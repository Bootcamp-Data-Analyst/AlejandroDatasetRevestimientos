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office\"/>
    </mc:Choice>
  </mc:AlternateContent>
  <xr:revisionPtr revIDLastSave="0" documentId="13_ncr:1_{982DB502-21FE-47DB-8807-2A45A8E88D33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activeTab="8" xr2:uid="{5CFC71CB-6676-4E53-BD9E-F018B0A6F053}"/>
  </bookViews>
  <sheets>
    <sheet name="Ventas" sheetId="2" r:id="rId1"/>
    <sheet name="Hoja2" sheetId="4" state="hidden" r:id="rId2"/>
    <sheet name="Hoja1" sheetId="5" state="hidden" r:id="rId3"/>
    <sheet name="Hoja3" sheetId="6" state="hidden" r:id="rId4"/>
    <sheet name="Hoja4" sheetId="7" state="hidden" r:id="rId5"/>
    <sheet name="Hoja5" sheetId="8" state="hidden" r:id="rId6"/>
    <sheet name="Hoja6" sheetId="9" state="hidden" r:id="rId7"/>
    <sheet name="Tablas dinamicas" sheetId="1" r:id="rId8"/>
    <sheet name="Dashboard" sheetId="3" r:id="rId9"/>
  </sheets>
  <definedNames>
    <definedName name="_xlcn.WorksheetConnection_revestimientosQuery.xlsxVentasCostoMaterial€1" hidden="1">Ventas[Costo Material (€)]</definedName>
    <definedName name="DatosExternos_1" localSheetId="0" hidden="1">Ventas!$A$1:$R$994</definedName>
    <definedName name="SegmentaciónDeDatos_Año">#N/A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 Costo Material  €" name="Ventas Costo Material  €" connection="WorksheetConnection_revestimientosQuery.xlsx!Ventas[Costo Material (€)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69" i="2" l="1"/>
  <c r="O631" i="2"/>
  <c r="O871" i="2"/>
  <c r="O943" i="2"/>
  <c r="O698" i="2"/>
  <c r="O442" i="2"/>
  <c r="O184" i="2"/>
  <c r="O149" i="2"/>
  <c r="O52" i="2"/>
  <c r="O949" i="2"/>
  <c r="O950" i="2"/>
  <c r="O643" i="2"/>
  <c r="O504" i="2"/>
  <c r="O901" i="2"/>
  <c r="O155" i="2"/>
  <c r="O870" i="2"/>
  <c r="O181" i="2"/>
  <c r="O368" i="2"/>
  <c r="O420" i="2"/>
  <c r="O692" i="2"/>
  <c r="O702" i="2"/>
  <c r="O248" i="2"/>
  <c r="O113" i="2"/>
  <c r="O660" i="2"/>
  <c r="O384" i="2"/>
  <c r="O348" i="2"/>
  <c r="O395" i="2"/>
  <c r="O191" i="2"/>
  <c r="O201" i="2"/>
  <c r="O967" i="2"/>
  <c r="O700" i="2"/>
  <c r="O413" i="2"/>
  <c r="O575" i="2"/>
  <c r="O291" i="2"/>
  <c r="O630" i="2"/>
  <c r="O742" i="2"/>
  <c r="O93" i="2"/>
  <c r="O902" i="2"/>
  <c r="O150" i="2"/>
  <c r="O716" i="2"/>
  <c r="O75" i="2"/>
  <c r="O615" i="2"/>
  <c r="O555" i="2"/>
  <c r="O401" i="2"/>
  <c r="O293" i="2"/>
  <c r="O386" i="2"/>
  <c r="O471" i="2"/>
  <c r="O438" i="2"/>
  <c r="O219" i="2"/>
  <c r="O204" i="2"/>
  <c r="O749" i="2"/>
  <c r="O856" i="2"/>
  <c r="O944" i="2"/>
  <c r="O628" i="2"/>
  <c r="O262" i="2"/>
  <c r="O782" i="2"/>
  <c r="O877" i="2"/>
  <c r="O960" i="2"/>
  <c r="O738" i="2"/>
  <c r="O362" i="2"/>
  <c r="O42" i="2"/>
  <c r="O241" i="2"/>
  <c r="O627" i="2"/>
  <c r="O547" i="2"/>
  <c r="O254" i="2"/>
  <c r="O445" i="2"/>
  <c r="O225" i="2"/>
  <c r="O800" i="2"/>
  <c r="O194" i="2"/>
  <c r="O192" i="2"/>
  <c r="O584" i="2"/>
  <c r="O980" i="2"/>
  <c r="O239" i="2"/>
  <c r="O31" i="2"/>
  <c r="O359" i="2"/>
  <c r="O370" i="2"/>
  <c r="O19" i="2"/>
  <c r="O786" i="2"/>
  <c r="O269" i="2"/>
  <c r="O863" i="2"/>
  <c r="O836" i="2"/>
  <c r="O937" i="2"/>
  <c r="O500" i="2"/>
  <c r="O588" i="2"/>
  <c r="O187" i="2"/>
  <c r="O667" i="2"/>
  <c r="O511" i="2"/>
  <c r="O106" i="2"/>
  <c r="O195" i="2"/>
  <c r="O11" i="2"/>
  <c r="O289" i="2"/>
  <c r="O286" i="2"/>
  <c r="O789" i="2"/>
  <c r="O841" i="2"/>
  <c r="O590" i="2"/>
  <c r="O983" i="2"/>
  <c r="O942" i="2"/>
  <c r="O494" i="2"/>
  <c r="O12" i="2"/>
  <c r="O864" i="2"/>
  <c r="O880" i="2"/>
  <c r="O799" i="2"/>
  <c r="O585" i="2"/>
  <c r="O728" i="2"/>
  <c r="O889" i="2"/>
  <c r="O405" i="2"/>
  <c r="O10" i="2"/>
  <c r="O503" i="2"/>
  <c r="O222" i="2"/>
  <c r="O617" i="2"/>
  <c r="O509" i="2"/>
  <c r="O294" i="2"/>
  <c r="O833" i="2"/>
  <c r="O832" i="2"/>
  <c r="O208" i="2"/>
  <c r="O111" i="2"/>
  <c r="O635" i="2"/>
  <c r="O788" i="2"/>
  <c r="O917" i="2"/>
  <c r="O463" i="2"/>
  <c r="O519" i="2"/>
  <c r="O755" i="2"/>
  <c r="O751" i="2"/>
  <c r="O375" i="2"/>
  <c r="O895" i="2"/>
  <c r="O366" i="2"/>
  <c r="O77" i="2"/>
  <c r="O956" i="2"/>
  <c r="O242" i="2"/>
  <c r="O570" i="2"/>
  <c r="O550" i="2"/>
  <c r="O229" i="2"/>
  <c r="O264" i="2"/>
  <c r="O434" i="2"/>
  <c r="O674" i="2"/>
  <c r="O583" i="2"/>
  <c r="O941" i="2"/>
  <c r="O41" i="2"/>
  <c r="O98" i="2"/>
  <c r="O559" i="2"/>
  <c r="O178" i="2"/>
  <c r="O971" i="2"/>
  <c r="O196" i="2"/>
  <c r="O421" i="2"/>
  <c r="O801" i="2"/>
  <c r="O985" i="2"/>
  <c r="O876" i="2"/>
  <c r="O896" i="2"/>
  <c r="O581" i="2"/>
  <c r="O256" i="2"/>
  <c r="O539" i="2"/>
  <c r="O315" i="2"/>
  <c r="O806" i="2"/>
  <c r="O346" i="2"/>
  <c r="O807" i="2"/>
  <c r="O933" i="2"/>
  <c r="O451" i="2"/>
  <c r="O905" i="2"/>
  <c r="O148" i="2"/>
  <c r="O251" i="2"/>
  <c r="O516" i="2"/>
  <c r="O499" i="2"/>
  <c r="O226" i="2"/>
  <c r="O215" i="2"/>
  <c r="O765" i="2"/>
  <c r="O531" i="2"/>
  <c r="O280" i="2"/>
  <c r="O273" i="2"/>
  <c r="O367" i="2"/>
  <c r="O526" i="2"/>
  <c r="O690" i="2"/>
  <c r="O374" i="2"/>
  <c r="O97" i="2"/>
  <c r="O708" i="2"/>
  <c r="O281" i="2"/>
  <c r="O843" i="2"/>
  <c r="O437" i="2"/>
  <c r="O703" i="2"/>
  <c r="O641" i="2"/>
  <c r="O668" i="2"/>
  <c r="O811" i="2"/>
  <c r="O776" i="2"/>
  <c r="O656" i="2"/>
  <c r="O518" i="2"/>
  <c r="O543" i="2"/>
  <c r="O553" i="2"/>
  <c r="O565" i="2"/>
  <c r="O534" i="2"/>
  <c r="O25" i="2"/>
  <c r="O936" i="2"/>
  <c r="O28" i="2"/>
  <c r="O596" i="2"/>
  <c r="O152" i="2"/>
  <c r="O176" i="2"/>
  <c r="O964" i="2"/>
  <c r="O298" i="2"/>
  <c r="O381" i="2"/>
  <c r="O868" i="2"/>
  <c r="O481" i="2"/>
  <c r="O263" i="2"/>
  <c r="O247" i="2"/>
  <c r="O727" i="2"/>
  <c r="O945" i="2"/>
  <c r="O966" i="2"/>
  <c r="O238" i="2"/>
  <c r="O131" i="2"/>
  <c r="O507" i="2"/>
  <c r="O993" i="2"/>
  <c r="O616" i="2"/>
  <c r="O125" i="2"/>
  <c r="O541" i="2"/>
  <c r="O910" i="2"/>
  <c r="O753" i="2"/>
  <c r="O115" i="2"/>
  <c r="O537" i="2"/>
  <c r="O853" i="2"/>
  <c r="O598" i="2"/>
  <c r="O210" i="2"/>
  <c r="O648" i="2"/>
  <c r="O255" i="2"/>
  <c r="O45" i="2"/>
  <c r="O46" i="2"/>
  <c r="O580" i="2"/>
  <c r="O595" i="2"/>
  <c r="O879" i="2"/>
  <c r="O909" i="2"/>
  <c r="O3" i="2"/>
  <c r="O815" i="2"/>
  <c r="O475" i="2"/>
  <c r="O792" i="2"/>
  <c r="O517" i="2"/>
  <c r="O658" i="2"/>
  <c r="O230" i="2"/>
  <c r="O709" i="2"/>
  <c r="O566" i="2"/>
  <c r="O654" i="2"/>
  <c r="O14" i="2"/>
  <c r="O444" i="2"/>
  <c r="O380" i="2"/>
  <c r="O991" i="2"/>
  <c r="O316" i="2"/>
  <c r="O267" i="2"/>
  <c r="O332" i="2"/>
  <c r="O680" i="2"/>
  <c r="O333" i="2"/>
  <c r="O70" i="2"/>
  <c r="O8" i="2"/>
  <c r="O930" i="2"/>
  <c r="O84" i="2"/>
  <c r="O328" i="2"/>
  <c r="O705" i="2"/>
  <c r="O780" i="2"/>
  <c r="O797" i="2"/>
  <c r="O599" i="2"/>
  <c r="O672" i="2"/>
  <c r="O295" i="2"/>
  <c r="O460" i="2"/>
  <c r="O153" i="2"/>
  <c r="O458" i="2"/>
  <c r="O724" i="2"/>
  <c r="O671" i="2"/>
  <c r="O576" i="2"/>
  <c r="O57" i="2"/>
  <c r="O21" i="2"/>
  <c r="O50" i="2"/>
  <c r="O456" i="2"/>
  <c r="O491" i="2"/>
  <c r="O296" i="2"/>
  <c r="O151" i="2"/>
  <c r="O51" i="2"/>
  <c r="O126" i="2"/>
  <c r="O427" i="2"/>
  <c r="O688" i="2"/>
  <c r="O512" i="2"/>
  <c r="O455" i="2"/>
  <c r="O394" i="2"/>
  <c r="O759" i="2"/>
  <c r="O642" i="2"/>
  <c r="O86" i="2"/>
  <c r="O743" i="2"/>
  <c r="O554" i="2"/>
  <c r="O574" i="2"/>
  <c r="O904" i="2"/>
  <c r="O849" i="2"/>
  <c r="O116" i="2"/>
  <c r="O638" i="2"/>
  <c r="O577" i="2"/>
  <c r="O758" i="2"/>
  <c r="O818" i="2"/>
  <c r="O739" i="2"/>
  <c r="O974" i="2"/>
  <c r="O415" i="2"/>
  <c r="O205" i="2"/>
  <c r="O198" i="2"/>
  <c r="O352" i="2"/>
  <c r="O312" i="2"/>
  <c r="O66" i="2"/>
  <c r="O462" i="2"/>
  <c r="O418" i="2"/>
  <c r="O852" i="2"/>
  <c r="O162" i="2"/>
  <c r="O890" i="2"/>
  <c r="O186" i="2"/>
  <c r="O448" i="2"/>
  <c r="O234" i="2"/>
  <c r="O202" i="2"/>
  <c r="O679" i="2"/>
  <c r="O607" i="2"/>
  <c r="O138" i="2"/>
  <c r="O217" i="2"/>
  <c r="O860" i="2"/>
  <c r="O661" i="2"/>
  <c r="O464" i="2"/>
  <c r="O275" i="2"/>
  <c r="O99" i="2"/>
  <c r="O323" i="2"/>
  <c r="O540" i="2"/>
  <c r="O957" i="2"/>
  <c r="O527" i="2"/>
  <c r="O828" i="2"/>
  <c r="O520" i="2"/>
  <c r="O114" i="2"/>
  <c r="O723" i="2"/>
  <c r="O145" i="2"/>
  <c r="O681" i="2"/>
  <c r="O459" i="2"/>
  <c r="O388" i="2"/>
  <c r="O969" i="2"/>
  <c r="O306" i="2"/>
  <c r="O862" i="2"/>
  <c r="O482" i="2"/>
  <c r="O492" i="2"/>
  <c r="O18" i="2"/>
  <c r="O55" i="2"/>
  <c r="O740" i="2"/>
  <c r="O955" i="2"/>
  <c r="O337" i="2"/>
  <c r="O685" i="2"/>
  <c r="O203" i="2"/>
  <c r="O158" i="2"/>
  <c r="O410" i="2"/>
  <c r="O266" i="2"/>
  <c r="O603" i="2"/>
  <c r="O103" i="2"/>
  <c r="O174" i="2"/>
  <c r="O891" i="2"/>
  <c r="O612" i="2"/>
  <c r="O745" i="2"/>
  <c r="O392" i="2"/>
  <c r="O734" i="2"/>
  <c r="O605" i="2"/>
  <c r="O67" i="2"/>
  <c r="O440" i="2"/>
  <c r="O120" i="2"/>
  <c r="O387" i="2"/>
  <c r="O622" i="2"/>
  <c r="O414" i="2"/>
  <c r="O798" i="2"/>
  <c r="O600" i="2"/>
  <c r="O122" i="2"/>
  <c r="O913" i="2"/>
  <c r="O476" i="2"/>
  <c r="O376" i="2"/>
  <c r="O717" i="2"/>
  <c r="O925" i="2"/>
  <c r="O128" i="2"/>
  <c r="O435" i="2"/>
  <c r="O423" i="2"/>
  <c r="O88" i="2"/>
  <c r="O314" i="2"/>
  <c r="O54" i="2"/>
  <c r="O163" i="2"/>
  <c r="O339" i="2"/>
  <c r="O301" i="2"/>
  <c r="O625" i="2"/>
  <c r="O279" i="2"/>
  <c r="O29" i="2"/>
  <c r="O436" i="2"/>
  <c r="O172" i="2"/>
  <c r="O220" i="2"/>
  <c r="O731" i="2"/>
  <c r="O403" i="2"/>
  <c r="O888" i="2"/>
  <c r="O926" i="2"/>
  <c r="O513" i="2"/>
  <c r="O730" i="2"/>
  <c r="O538" i="2"/>
  <c r="O250" i="2"/>
  <c r="O962" i="2"/>
  <c r="O919" i="2"/>
  <c r="O173" i="2"/>
  <c r="O545" i="2"/>
  <c r="O351" i="2"/>
  <c r="O816" i="2"/>
  <c r="O683" i="2"/>
  <c r="O981" i="2"/>
  <c r="O848" i="2"/>
  <c r="O982" i="2"/>
  <c r="O311" i="2"/>
  <c r="O898" i="2"/>
  <c r="O290" i="2"/>
  <c r="O839" i="2"/>
  <c r="O916" i="2"/>
  <c r="O133" i="2"/>
  <c r="O992" i="2"/>
  <c r="O371" i="2"/>
  <c r="O810" i="2"/>
  <c r="O270" i="2"/>
  <c r="O119" i="2"/>
  <c r="O747" i="2"/>
  <c r="O360" i="2"/>
  <c r="O91" i="2"/>
  <c r="O830" i="2"/>
  <c r="O453" i="2"/>
  <c r="O144" i="2"/>
  <c r="O461" i="2"/>
  <c r="O787" i="2"/>
  <c r="O664" i="2"/>
  <c r="O422" i="2"/>
  <c r="O58" i="2"/>
  <c r="O767" i="2"/>
  <c r="O946" i="2"/>
  <c r="O416" i="2"/>
  <c r="O768" i="2"/>
  <c r="O676" i="2"/>
  <c r="O719" i="2"/>
  <c r="O911" i="2"/>
  <c r="O835" i="2"/>
  <c r="O484" i="2"/>
  <c r="O804" i="2"/>
  <c r="O725" i="2"/>
  <c r="O288" i="2"/>
  <c r="O502" i="2"/>
  <c r="O361" i="2"/>
  <c r="O706" i="2"/>
  <c r="O199" i="2"/>
  <c r="O425" i="2"/>
  <c r="O5" i="2"/>
  <c r="O523" i="2"/>
  <c r="O918" i="2"/>
  <c r="O710" i="2"/>
  <c r="O147" i="2"/>
  <c r="O760" i="2"/>
  <c r="O134" i="2"/>
  <c r="O784" i="2"/>
  <c r="O954" i="2"/>
  <c r="O450" i="2"/>
  <c r="O340" i="2"/>
  <c r="O209" i="2"/>
  <c r="O13" i="2"/>
  <c r="O488" i="2"/>
  <c r="O32" i="2"/>
  <c r="O44" i="2"/>
  <c r="O573" i="2"/>
  <c r="O973" i="2"/>
  <c r="O68" i="2"/>
  <c r="O775" i="2"/>
  <c r="O707" i="2"/>
  <c r="O171" i="2"/>
  <c r="O483" i="2"/>
  <c r="O866" i="2"/>
  <c r="O357" i="2"/>
  <c r="O696" i="2"/>
  <c r="O632" i="2"/>
  <c r="O887" i="2"/>
  <c r="O319" i="2"/>
  <c r="O935" i="2"/>
  <c r="O363" i="2"/>
  <c r="O903" i="2"/>
  <c r="O535" i="2"/>
  <c r="O802" i="2"/>
  <c r="O785" i="2"/>
  <c r="O586" i="2"/>
  <c r="O821" i="2"/>
  <c r="O341" i="2"/>
  <c r="O609" i="2"/>
  <c r="O892" i="2"/>
  <c r="O501" i="2"/>
  <c r="O92" i="2"/>
  <c r="O24" i="2"/>
  <c r="O857" i="2"/>
  <c r="O794" i="2"/>
  <c r="O60" i="2"/>
  <c r="O244" i="2"/>
  <c r="O35" i="2"/>
  <c r="O720" i="2"/>
  <c r="O127" i="2"/>
  <c r="O808" i="2"/>
  <c r="O358" i="2"/>
  <c r="O170" i="2"/>
  <c r="O110" i="2"/>
  <c r="O390" i="2"/>
  <c r="O826" i="2"/>
  <c r="O783" i="2"/>
  <c r="O480" i="2"/>
  <c r="O994" i="2"/>
  <c r="O326" i="2"/>
  <c r="O117" i="2"/>
  <c r="O875" i="2"/>
  <c r="O715" i="2"/>
  <c r="O369" i="2"/>
  <c r="O693" i="2"/>
  <c r="O249" i="2"/>
  <c r="O687" i="2"/>
  <c r="O814" i="2"/>
  <c r="O781" i="2"/>
  <c r="O813" i="2"/>
  <c r="O592" i="2"/>
  <c r="O820" i="2"/>
  <c r="O884" i="2"/>
  <c r="O211" i="2"/>
  <c r="O284" i="2"/>
  <c r="O342" i="2"/>
  <c r="O569" i="2"/>
  <c r="O487" i="2"/>
  <c r="O906" i="2"/>
  <c r="O200" i="2"/>
  <c r="O102" i="2"/>
  <c r="O568" i="2"/>
  <c r="O924" i="2"/>
  <c r="O965" i="2"/>
  <c r="O793" i="2"/>
  <c r="O72" i="2"/>
  <c r="O548" i="2"/>
  <c r="O673" i="2"/>
  <c r="O750" i="2"/>
  <c r="O914" i="2"/>
  <c r="O83" i="2"/>
  <c r="O129" i="2"/>
  <c r="O989" i="2"/>
  <c r="O805" i="2"/>
  <c r="O589" i="2"/>
  <c r="O417" i="2"/>
  <c r="O441" i="2"/>
  <c r="O274" i="2"/>
  <c r="O349" i="2"/>
  <c r="O228" i="2"/>
  <c r="O831" i="2"/>
  <c r="O645" i="2"/>
  <c r="O873" i="2"/>
  <c r="O977" i="2"/>
  <c r="O216" i="2"/>
  <c r="O525" i="2"/>
  <c r="O557" i="2"/>
  <c r="O232" i="2"/>
  <c r="O859" i="2"/>
  <c r="O987" i="2"/>
  <c r="O752" i="2"/>
  <c r="O189" i="2"/>
  <c r="O40" i="2"/>
  <c r="O318" i="2"/>
  <c r="O744" i="2"/>
  <c r="O391" i="2"/>
  <c r="O932" i="2"/>
  <c r="O842" i="2"/>
  <c r="O546" i="2"/>
  <c r="O677" i="2"/>
  <c r="O827" i="2"/>
  <c r="O644" i="2"/>
  <c r="O30" i="2"/>
  <c r="O207" i="2"/>
  <c r="O823" i="2"/>
  <c r="O327" i="2"/>
  <c r="O307" i="2"/>
  <c r="O245" i="2"/>
  <c r="O689" i="2"/>
  <c r="O675" i="2"/>
  <c r="O180" i="2"/>
  <c r="O771" i="2"/>
  <c r="O990" i="2"/>
  <c r="O136" i="2"/>
  <c r="O479" i="2"/>
  <c r="O123" i="2"/>
  <c r="O78" i="2"/>
  <c r="O101" i="2"/>
  <c r="O618" i="2"/>
  <c r="O308" i="2"/>
  <c r="O564" i="2"/>
  <c r="O240" i="2"/>
  <c r="O382" i="2"/>
  <c r="O350" i="2"/>
  <c r="O579" i="2"/>
  <c r="O542" i="2"/>
  <c r="O95" i="2"/>
  <c r="O468" i="2"/>
  <c r="O429" i="2"/>
  <c r="O736" i="2"/>
  <c r="O623" i="2"/>
  <c r="O582" i="2"/>
  <c r="O276" i="2"/>
  <c r="O712" i="2"/>
  <c r="O803" i="2"/>
  <c r="O633" i="2"/>
  <c r="O529" i="2"/>
  <c r="O741" i="2"/>
  <c r="O530" i="2"/>
  <c r="O929" i="2"/>
  <c r="O272" i="2"/>
  <c r="O179" i="2"/>
  <c r="O718" i="2"/>
  <c r="O691" i="2"/>
  <c r="O489" i="2"/>
  <c r="O837" i="2"/>
  <c r="O302" i="2"/>
  <c r="O922" i="2"/>
  <c r="O834" i="2"/>
  <c r="O722" i="2"/>
  <c r="O65" i="2"/>
  <c r="O454" i="2"/>
  <c r="O90" i="2"/>
  <c r="O338" i="2"/>
  <c r="O665" i="2"/>
  <c r="O774" i="2"/>
  <c r="O657" i="2"/>
  <c r="O761" i="2"/>
  <c r="O756" i="2"/>
  <c r="O400" i="2"/>
  <c r="O449" i="2"/>
  <c r="O80" i="2"/>
  <c r="O419" i="2"/>
  <c r="O649" i="2"/>
  <c r="O71" i="2"/>
  <c r="O411" i="2"/>
  <c r="O36" i="2"/>
  <c r="O465" i="2"/>
  <c r="O907" i="2"/>
  <c r="O9" i="2"/>
  <c r="O297" i="2"/>
  <c r="O900" i="2"/>
  <c r="O320" i="2"/>
  <c r="O193" i="2"/>
  <c r="O619" i="2"/>
  <c r="O166" i="2"/>
  <c r="O497" i="2"/>
  <c r="O246" i="2"/>
  <c r="O470" i="2"/>
  <c r="O899" i="2"/>
  <c r="O532" i="2"/>
  <c r="O704" i="2"/>
  <c r="O364" i="2"/>
  <c r="O233" i="2"/>
  <c r="O439" i="2"/>
  <c r="O670" i="2"/>
  <c r="O157" i="2"/>
  <c r="O265" i="2"/>
  <c r="O979" i="2"/>
  <c r="O214" i="2"/>
  <c r="O865" i="2"/>
  <c r="O258" i="2"/>
  <c r="O135" i="2"/>
  <c r="O466" i="2"/>
  <c r="O493" i="2"/>
  <c r="O851" i="2"/>
  <c r="O221" i="2"/>
  <c r="O845" i="2"/>
  <c r="O477" i="2"/>
  <c r="O847" i="2"/>
  <c r="O947" i="2"/>
  <c r="O669" i="2"/>
  <c r="O948" i="2"/>
  <c r="O353" i="2"/>
  <c r="O385" i="2"/>
  <c r="O963" i="2"/>
  <c r="O829" i="2"/>
  <c r="O356" i="2"/>
  <c r="O325" i="2"/>
  <c r="O282" i="2"/>
  <c r="O867" i="2"/>
  <c r="O443" i="2"/>
  <c r="O636" i="2"/>
  <c r="O928" i="2"/>
  <c r="O894" i="2"/>
  <c r="O177" i="2"/>
  <c r="O613" i="2"/>
  <c r="O15" i="2"/>
  <c r="O779" i="2"/>
  <c r="O452" i="2"/>
  <c r="O678" i="2"/>
  <c r="O777" i="2"/>
  <c r="O762" i="2"/>
  <c r="O335" i="2"/>
  <c r="O324" i="2"/>
  <c r="O285" i="2"/>
  <c r="O874" i="2"/>
  <c r="O485" i="2"/>
  <c r="O160" i="2"/>
  <c r="O283" i="2"/>
  <c r="O536" i="2"/>
  <c r="O686" i="2"/>
  <c r="O522" i="2"/>
  <c r="O424" i="2"/>
  <c r="O223" i="2"/>
  <c r="O167" i="2"/>
  <c r="O130" i="2"/>
  <c r="O212" i="2"/>
  <c r="O175" i="2"/>
  <c r="O682" i="2"/>
  <c r="O396" i="2"/>
  <c r="O79" i="2"/>
  <c r="O878" i="2"/>
  <c r="O544" i="2"/>
  <c r="O426" i="2"/>
  <c r="O259" i="2"/>
  <c r="O721" i="2"/>
  <c r="O143" i="2"/>
  <c r="O300" i="2"/>
  <c r="O334" i="2"/>
  <c r="O154" i="2"/>
  <c r="O310" i="2"/>
  <c r="O87" i="2"/>
  <c r="O96" i="2"/>
  <c r="O824" i="2"/>
  <c r="O73" i="2"/>
  <c r="O473" i="2"/>
  <c r="O552" i="2"/>
  <c r="O701" i="2"/>
  <c r="O62" i="2"/>
  <c r="O939" i="2"/>
  <c r="O817" i="2"/>
  <c r="O447" i="2"/>
  <c r="O432" i="2"/>
  <c r="O968" i="2"/>
  <c r="O132" i="2"/>
  <c r="O578" i="2"/>
  <c r="O330" i="2"/>
  <c r="O790" i="2"/>
  <c r="O140" i="2"/>
  <c r="O322" i="2"/>
  <c r="O139" i="2"/>
  <c r="O621" i="2"/>
  <c r="O428" i="2"/>
  <c r="O858" i="2"/>
  <c r="O770" i="2"/>
  <c r="O309" i="2"/>
  <c r="O407" i="2"/>
  <c r="O495" i="2"/>
  <c r="O20" i="2"/>
  <c r="O844" i="2"/>
  <c r="O22" i="2"/>
  <c r="O168" i="2"/>
  <c r="O593" i="2"/>
  <c r="O524" i="2"/>
  <c r="O735" i="2"/>
  <c r="O825" i="2"/>
  <c r="O647" i="2"/>
  <c r="O408" i="2"/>
  <c r="O640" i="2"/>
  <c r="O430" i="2"/>
  <c r="O663" i="2"/>
  <c r="O331" i="2"/>
  <c r="O961" i="2"/>
  <c r="O389" i="2"/>
  <c r="O953" i="2"/>
  <c r="O354" i="2"/>
  <c r="O695" i="2"/>
  <c r="O231" i="2"/>
  <c r="O737" i="2"/>
  <c r="O224" i="2"/>
  <c r="O666" i="2"/>
  <c r="O63" i="2"/>
  <c r="O624" i="2"/>
  <c r="O6" i="2"/>
  <c r="O218" i="2"/>
  <c r="O183" i="2"/>
  <c r="O655" i="2"/>
  <c r="O872" i="2"/>
  <c r="O796" i="2"/>
  <c r="O141" i="2"/>
  <c r="O85" i="2"/>
  <c r="O82" i="2"/>
  <c r="O604" i="2"/>
  <c r="O457" i="2"/>
  <c r="O409" i="2"/>
  <c r="O365" i="2"/>
  <c r="O558" i="2"/>
  <c r="O970" i="2"/>
  <c r="O213" i="2"/>
  <c r="O601" i="2"/>
  <c r="O37" i="2"/>
  <c r="O243" i="2"/>
  <c r="O329" i="2"/>
  <c r="O372" i="2"/>
  <c r="O637" i="2"/>
  <c r="O490" i="2"/>
  <c r="O931" i="2"/>
  <c r="O699" i="2"/>
  <c r="O336" i="2"/>
  <c r="O855" i="2"/>
  <c r="O659" i="2"/>
  <c r="O629" i="2"/>
  <c r="O915" i="2"/>
  <c r="O107" i="2"/>
  <c r="O729" i="2"/>
  <c r="O650" i="2"/>
  <c r="O185" i="2"/>
  <c r="O121" i="2"/>
  <c r="O881" i="2"/>
  <c r="O533" i="2"/>
  <c r="O383" i="2"/>
  <c r="O56" i="2"/>
  <c r="O94" i="2"/>
  <c r="O626" i="2"/>
  <c r="O988" i="2"/>
  <c r="O694" i="2"/>
  <c r="O840" i="2"/>
  <c r="O402" i="2"/>
  <c r="O861" i="2"/>
  <c r="O959" i="2"/>
  <c r="O146" i="2"/>
  <c r="O474" i="2"/>
  <c r="O614" i="2"/>
  <c r="O118" i="2"/>
  <c r="O757" i="2"/>
  <c r="O159" i="2"/>
  <c r="O345" i="2"/>
  <c r="O923" i="2"/>
  <c r="O43" i="2"/>
  <c r="O952" i="2"/>
  <c r="O317" i="2"/>
  <c r="O684" i="2"/>
  <c r="O169" i="2"/>
  <c r="O47" i="2"/>
  <c r="O508" i="2"/>
  <c r="O355" i="2"/>
  <c r="O33" i="2"/>
  <c r="O972" i="2"/>
  <c r="O639" i="2"/>
  <c r="O772" i="2"/>
  <c r="O277" i="2"/>
  <c r="O399" i="2"/>
  <c r="O142" i="2"/>
  <c r="O299" i="2"/>
  <c r="O486" i="2"/>
  <c r="O431" i="2"/>
  <c r="O252" i="2"/>
  <c r="O927" i="2"/>
  <c r="O652" i="2"/>
  <c r="O646" i="2"/>
  <c r="O773" i="2"/>
  <c r="O156" i="2"/>
  <c r="O23" i="2"/>
  <c r="O594" i="2"/>
  <c r="O379" i="2"/>
  <c r="O446" i="2"/>
  <c r="O893" i="2"/>
  <c r="O505" i="2"/>
  <c r="O39" i="2"/>
  <c r="O467" i="2"/>
  <c r="O188" i="2"/>
  <c r="O934" i="2"/>
  <c r="O975" i="2"/>
  <c r="O17" i="2"/>
  <c r="O268" i="2"/>
  <c r="O587" i="2"/>
  <c r="O822" i="2"/>
  <c r="O838" i="2"/>
  <c r="O165" i="2"/>
  <c r="O271" i="2"/>
  <c r="O347" i="2"/>
  <c r="O795" i="2"/>
  <c r="O108" i="2"/>
  <c r="O304" i="2"/>
  <c r="O921" i="2"/>
  <c r="O620" i="2"/>
  <c r="O572" i="2"/>
  <c r="O561" i="2"/>
  <c r="O7" i="2"/>
  <c r="O549" i="2"/>
  <c r="O2" i="2"/>
  <c r="O53" i="2"/>
  <c r="O303" i="2"/>
  <c r="O908" i="2"/>
  <c r="O89" i="2"/>
  <c r="O854" i="2"/>
  <c r="O651" i="2"/>
  <c r="O748" i="2"/>
  <c r="O237" i="2"/>
  <c r="O528" i="2"/>
  <c r="O732" i="2"/>
  <c r="O206" i="2"/>
  <c r="O886" i="2"/>
  <c r="O257" i="2"/>
  <c r="O809" i="2"/>
  <c r="O563" i="2"/>
  <c r="O766" i="2"/>
  <c r="O515" i="2"/>
  <c r="O235" i="2"/>
  <c r="O608" i="2"/>
  <c r="O763" i="2"/>
  <c r="O551" i="2"/>
  <c r="O912" i="2"/>
  <c r="O64" i="2"/>
  <c r="O34" i="2"/>
  <c r="O521" i="2"/>
  <c r="O819" i="2"/>
  <c r="O469" i="2"/>
  <c r="O397" i="2"/>
  <c r="O882" i="2"/>
  <c r="O791" i="2"/>
  <c r="O606" i="2"/>
  <c r="O227" i="2"/>
  <c r="O514" i="2"/>
  <c r="O104" i="2"/>
  <c r="O634" i="2"/>
  <c r="O472" i="2"/>
  <c r="O812" i="2"/>
  <c r="O59" i="2"/>
  <c r="O287" i="2"/>
  <c r="O986" i="2"/>
  <c r="O726" i="2"/>
  <c r="O976" i="2"/>
  <c r="O261" i="2"/>
  <c r="O236" i="2"/>
  <c r="O567" i="2"/>
  <c r="O984" i="2"/>
  <c r="O412" i="2"/>
  <c r="O764" i="2"/>
  <c r="O343" i="2"/>
  <c r="O344" i="2"/>
  <c r="O69" i="2"/>
  <c r="O697" i="2"/>
  <c r="O161" i="2"/>
  <c r="O109" i="2"/>
  <c r="O560" i="2"/>
  <c r="O16" i="2"/>
  <c r="O4" i="2"/>
  <c r="O404" i="2"/>
  <c r="O74" i="2"/>
  <c r="O478" i="2"/>
  <c r="O321" i="2"/>
  <c r="O869" i="2"/>
  <c r="O433" i="2"/>
  <c r="O713" i="2"/>
  <c r="O26" i="2"/>
  <c r="O49" i="2"/>
  <c r="O313" i="2"/>
  <c r="O510" i="2"/>
  <c r="O253" i="2"/>
  <c r="O124" i="2"/>
  <c r="O885" i="2"/>
  <c r="O27" i="2"/>
  <c r="O897" i="2"/>
  <c r="O278" i="2"/>
  <c r="O711" i="2"/>
  <c r="O48" i="2"/>
  <c r="O61" i="2"/>
  <c r="O100" i="2"/>
  <c r="O393" i="2"/>
  <c r="O377" i="2"/>
  <c r="O398" i="2"/>
  <c r="O754" i="2"/>
  <c r="O938" i="2"/>
  <c r="O105" i="2"/>
  <c r="O571" i="2"/>
  <c r="O662" i="2"/>
  <c r="O76" i="2"/>
  <c r="O714" i="2"/>
  <c r="O597" i="2"/>
  <c r="O591" i="2"/>
  <c r="O958" i="2"/>
  <c r="O190" i="2"/>
  <c r="O164" i="2"/>
  <c r="O112" i="2"/>
  <c r="O920" i="2"/>
  <c r="O137" i="2"/>
  <c r="O260" i="2"/>
  <c r="O81" i="2"/>
  <c r="O498" i="2"/>
  <c r="O562" i="2"/>
  <c r="O733" i="2"/>
  <c r="O978" i="2"/>
  <c r="O406" i="2"/>
  <c r="O951" i="2"/>
  <c r="O373" i="2"/>
  <c r="O610" i="2"/>
  <c r="O305" i="2"/>
  <c r="O653" i="2"/>
  <c r="O506" i="2"/>
  <c r="O778" i="2"/>
  <c r="O602" i="2"/>
  <c r="O846" i="2"/>
  <c r="O182" i="2"/>
  <c r="O292" i="2"/>
  <c r="O556" i="2"/>
  <c r="O38" i="2"/>
  <c r="O496" i="2"/>
  <c r="O883" i="2"/>
  <c r="O197" i="2"/>
  <c r="O611" i="2"/>
  <c r="O940" i="2"/>
  <c r="O378" i="2"/>
  <c r="O850" i="2"/>
  <c r="O746" i="2"/>
  <c r="S769" i="2"/>
  <c r="S631" i="2"/>
  <c r="S871" i="2"/>
  <c r="S943" i="2"/>
  <c r="S698" i="2"/>
  <c r="S442" i="2"/>
  <c r="S184" i="2"/>
  <c r="S149" i="2"/>
  <c r="S52" i="2"/>
  <c r="S949" i="2"/>
  <c r="S950" i="2"/>
  <c r="S643" i="2"/>
  <c r="S504" i="2"/>
  <c r="S901" i="2"/>
  <c r="S155" i="2"/>
  <c r="S870" i="2"/>
  <c r="S181" i="2"/>
  <c r="S368" i="2"/>
  <c r="S420" i="2"/>
  <c r="S692" i="2"/>
  <c r="S702" i="2"/>
  <c r="S248" i="2"/>
  <c r="S113" i="2"/>
  <c r="S660" i="2"/>
  <c r="S384" i="2"/>
  <c r="S348" i="2"/>
  <c r="S395" i="2"/>
  <c r="S191" i="2"/>
  <c r="S201" i="2"/>
  <c r="S967" i="2"/>
  <c r="S700" i="2"/>
  <c r="S413" i="2"/>
  <c r="S575" i="2"/>
  <c r="S291" i="2"/>
  <c r="S630" i="2"/>
  <c r="S742" i="2"/>
  <c r="S93" i="2"/>
  <c r="S902" i="2"/>
  <c r="S150" i="2"/>
  <c r="S716" i="2"/>
  <c r="S75" i="2"/>
  <c r="S615" i="2"/>
  <c r="S555" i="2"/>
  <c r="S401" i="2"/>
  <c r="S293" i="2"/>
  <c r="S386" i="2"/>
  <c r="S471" i="2"/>
  <c r="S438" i="2"/>
  <c r="S219" i="2"/>
  <c r="S204" i="2"/>
  <c r="S749" i="2"/>
  <c r="S856" i="2"/>
  <c r="S944" i="2"/>
  <c r="S628" i="2"/>
  <c r="S262" i="2"/>
  <c r="S782" i="2"/>
  <c r="S877" i="2"/>
  <c r="S960" i="2"/>
  <c r="S738" i="2"/>
  <c r="S362" i="2"/>
  <c r="S42" i="2"/>
  <c r="S241" i="2"/>
  <c r="S627" i="2"/>
  <c r="S547" i="2"/>
  <c r="S254" i="2"/>
  <c r="S445" i="2"/>
  <c r="S225" i="2"/>
  <c r="S800" i="2"/>
  <c r="S194" i="2"/>
  <c r="S192" i="2"/>
  <c r="S584" i="2"/>
  <c r="S980" i="2"/>
  <c r="S239" i="2"/>
  <c r="S31" i="2"/>
  <c r="S359" i="2"/>
  <c r="S370" i="2"/>
  <c r="S19" i="2"/>
  <c r="S786" i="2"/>
  <c r="S269" i="2"/>
  <c r="S863" i="2"/>
  <c r="S836" i="2"/>
  <c r="S937" i="2"/>
  <c r="S500" i="2"/>
  <c r="S588" i="2"/>
  <c r="S187" i="2"/>
  <c r="S667" i="2"/>
  <c r="S511" i="2"/>
  <c r="S106" i="2"/>
  <c r="S195" i="2"/>
  <c r="S11" i="2"/>
  <c r="S289" i="2"/>
  <c r="S286" i="2"/>
  <c r="S789" i="2"/>
  <c r="S841" i="2"/>
  <c r="S590" i="2"/>
  <c r="S983" i="2"/>
  <c r="S942" i="2"/>
  <c r="S494" i="2"/>
  <c r="S12" i="2"/>
  <c r="S864" i="2"/>
  <c r="S880" i="2"/>
  <c r="S799" i="2"/>
  <c r="S585" i="2"/>
  <c r="S728" i="2"/>
  <c r="S889" i="2"/>
  <c r="S405" i="2"/>
  <c r="S10" i="2"/>
  <c r="S503" i="2"/>
  <c r="S222" i="2"/>
  <c r="S617" i="2"/>
  <c r="S509" i="2"/>
  <c r="S294" i="2"/>
  <c r="S833" i="2"/>
  <c r="S832" i="2"/>
  <c r="S208" i="2"/>
  <c r="S111" i="2"/>
  <c r="S635" i="2"/>
  <c r="S788" i="2"/>
  <c r="S917" i="2"/>
  <c r="S463" i="2"/>
  <c r="S519" i="2"/>
  <c r="S755" i="2"/>
  <c r="S751" i="2"/>
  <c r="S375" i="2"/>
  <c r="S895" i="2"/>
  <c r="S366" i="2"/>
  <c r="S77" i="2"/>
  <c r="S956" i="2"/>
  <c r="S242" i="2"/>
  <c r="S570" i="2"/>
  <c r="S550" i="2"/>
  <c r="S229" i="2"/>
  <c r="S264" i="2"/>
  <c r="S434" i="2"/>
  <c r="S674" i="2"/>
  <c r="S583" i="2"/>
  <c r="S941" i="2"/>
  <c r="S41" i="2"/>
  <c r="S98" i="2"/>
  <c r="S559" i="2"/>
  <c r="S178" i="2"/>
  <c r="S971" i="2"/>
  <c r="S196" i="2"/>
  <c r="S421" i="2"/>
  <c r="S801" i="2"/>
  <c r="S985" i="2"/>
  <c r="S876" i="2"/>
  <c r="S896" i="2"/>
  <c r="S581" i="2"/>
  <c r="S256" i="2"/>
  <c r="S539" i="2"/>
  <c r="S315" i="2"/>
  <c r="S806" i="2"/>
  <c r="S346" i="2"/>
  <c r="S807" i="2"/>
  <c r="S933" i="2"/>
  <c r="S451" i="2"/>
  <c r="S905" i="2"/>
  <c r="S148" i="2"/>
  <c r="S251" i="2"/>
  <c r="S516" i="2"/>
  <c r="S499" i="2"/>
  <c r="S226" i="2"/>
  <c r="S215" i="2"/>
  <c r="S765" i="2"/>
  <c r="S531" i="2"/>
  <c r="S280" i="2"/>
  <c r="S273" i="2"/>
  <c r="S367" i="2"/>
  <c r="S526" i="2"/>
  <c r="S690" i="2"/>
  <c r="S374" i="2"/>
  <c r="S97" i="2"/>
  <c r="S708" i="2"/>
  <c r="S281" i="2"/>
  <c r="S843" i="2"/>
  <c r="S437" i="2"/>
  <c r="S703" i="2"/>
  <c r="S641" i="2"/>
  <c r="S668" i="2"/>
  <c r="S811" i="2"/>
  <c r="S776" i="2"/>
  <c r="S656" i="2"/>
  <c r="S518" i="2"/>
  <c r="S543" i="2"/>
  <c r="S553" i="2"/>
  <c r="S565" i="2"/>
  <c r="S534" i="2"/>
  <c r="S25" i="2"/>
  <c r="S936" i="2"/>
  <c r="S28" i="2"/>
  <c r="S596" i="2"/>
  <c r="S152" i="2"/>
  <c r="S176" i="2"/>
  <c r="S964" i="2"/>
  <c r="S298" i="2"/>
  <c r="S381" i="2"/>
  <c r="S868" i="2"/>
  <c r="S481" i="2"/>
  <c r="S263" i="2"/>
  <c r="S247" i="2"/>
  <c r="S727" i="2"/>
  <c r="S945" i="2"/>
  <c r="S966" i="2"/>
  <c r="S238" i="2"/>
  <c r="S131" i="2"/>
  <c r="S507" i="2"/>
  <c r="S993" i="2"/>
  <c r="S616" i="2"/>
  <c r="S125" i="2"/>
  <c r="S541" i="2"/>
  <c r="S910" i="2"/>
  <c r="S753" i="2"/>
  <c r="S115" i="2"/>
  <c r="S537" i="2"/>
  <c r="S853" i="2"/>
  <c r="S598" i="2"/>
  <c r="S210" i="2"/>
  <c r="S648" i="2"/>
  <c r="S255" i="2"/>
  <c r="S45" i="2"/>
  <c r="S46" i="2"/>
  <c r="S580" i="2"/>
  <c r="S595" i="2"/>
  <c r="S879" i="2"/>
  <c r="S909" i="2"/>
  <c r="S3" i="2"/>
  <c r="S815" i="2"/>
  <c r="S475" i="2"/>
  <c r="S792" i="2"/>
  <c r="S517" i="2"/>
  <c r="S658" i="2"/>
  <c r="S230" i="2"/>
  <c r="S709" i="2"/>
  <c r="S566" i="2"/>
  <c r="S654" i="2"/>
  <c r="S14" i="2"/>
  <c r="S444" i="2"/>
  <c r="S380" i="2"/>
  <c r="S991" i="2"/>
  <c r="S316" i="2"/>
  <c r="S267" i="2"/>
  <c r="S332" i="2"/>
  <c r="S680" i="2"/>
  <c r="S333" i="2"/>
  <c r="S70" i="2"/>
  <c r="S8" i="2"/>
  <c r="S930" i="2"/>
  <c r="S84" i="2"/>
  <c r="S328" i="2"/>
  <c r="S705" i="2"/>
  <c r="S780" i="2"/>
  <c r="S797" i="2"/>
  <c r="S599" i="2"/>
  <c r="S672" i="2"/>
  <c r="S295" i="2"/>
  <c r="S460" i="2"/>
  <c r="S153" i="2"/>
  <c r="S458" i="2"/>
  <c r="S724" i="2"/>
  <c r="S671" i="2"/>
  <c r="S576" i="2"/>
  <c r="S57" i="2"/>
  <c r="S21" i="2"/>
  <c r="S50" i="2"/>
  <c r="S456" i="2"/>
  <c r="S491" i="2"/>
  <c r="S296" i="2"/>
  <c r="S151" i="2"/>
  <c r="S51" i="2"/>
  <c r="S126" i="2"/>
  <c r="S427" i="2"/>
  <c r="S688" i="2"/>
  <c r="S512" i="2"/>
  <c r="S455" i="2"/>
  <c r="S394" i="2"/>
  <c r="S759" i="2"/>
  <c r="S642" i="2"/>
  <c r="S86" i="2"/>
  <c r="S743" i="2"/>
  <c r="S554" i="2"/>
  <c r="S574" i="2"/>
  <c r="S904" i="2"/>
  <c r="S849" i="2"/>
  <c r="S116" i="2"/>
  <c r="S638" i="2"/>
  <c r="S577" i="2"/>
  <c r="S758" i="2"/>
  <c r="S818" i="2"/>
  <c r="S739" i="2"/>
  <c r="S974" i="2"/>
  <c r="S415" i="2"/>
  <c r="S205" i="2"/>
  <c r="S198" i="2"/>
  <c r="S352" i="2"/>
  <c r="S312" i="2"/>
  <c r="S66" i="2"/>
  <c r="S462" i="2"/>
  <c r="S418" i="2"/>
  <c r="S852" i="2"/>
  <c r="S162" i="2"/>
  <c r="S890" i="2"/>
  <c r="S186" i="2"/>
  <c r="S448" i="2"/>
  <c r="S234" i="2"/>
  <c r="S202" i="2"/>
  <c r="S679" i="2"/>
  <c r="S607" i="2"/>
  <c r="S138" i="2"/>
  <c r="S217" i="2"/>
  <c r="S860" i="2"/>
  <c r="S661" i="2"/>
  <c r="S464" i="2"/>
  <c r="S275" i="2"/>
  <c r="S99" i="2"/>
  <c r="S323" i="2"/>
  <c r="S540" i="2"/>
  <c r="S957" i="2"/>
  <c r="S527" i="2"/>
  <c r="S828" i="2"/>
  <c r="S520" i="2"/>
  <c r="S114" i="2"/>
  <c r="S723" i="2"/>
  <c r="S145" i="2"/>
  <c r="S681" i="2"/>
  <c r="S459" i="2"/>
  <c r="S388" i="2"/>
  <c r="S969" i="2"/>
  <c r="S306" i="2"/>
  <c r="S862" i="2"/>
  <c r="S482" i="2"/>
  <c r="S492" i="2"/>
  <c r="S18" i="2"/>
  <c r="S55" i="2"/>
  <c r="S740" i="2"/>
  <c r="S955" i="2"/>
  <c r="S337" i="2"/>
  <c r="S685" i="2"/>
  <c r="S203" i="2"/>
  <c r="S158" i="2"/>
  <c r="S410" i="2"/>
  <c r="S266" i="2"/>
  <c r="S603" i="2"/>
  <c r="S103" i="2"/>
  <c r="S174" i="2"/>
  <c r="S891" i="2"/>
  <c r="S612" i="2"/>
  <c r="S745" i="2"/>
  <c r="S392" i="2"/>
  <c r="S734" i="2"/>
  <c r="S605" i="2"/>
  <c r="S67" i="2"/>
  <c r="S440" i="2"/>
  <c r="S120" i="2"/>
  <c r="S387" i="2"/>
  <c r="S622" i="2"/>
  <c r="S414" i="2"/>
  <c r="S798" i="2"/>
  <c r="S600" i="2"/>
  <c r="S122" i="2"/>
  <c r="S913" i="2"/>
  <c r="S476" i="2"/>
  <c r="S376" i="2"/>
  <c r="S717" i="2"/>
  <c r="S925" i="2"/>
  <c r="S128" i="2"/>
  <c r="S435" i="2"/>
  <c r="S423" i="2"/>
  <c r="S88" i="2"/>
  <c r="S314" i="2"/>
  <c r="S54" i="2"/>
  <c r="S163" i="2"/>
  <c r="S339" i="2"/>
  <c r="S301" i="2"/>
  <c r="S625" i="2"/>
  <c r="S279" i="2"/>
  <c r="S29" i="2"/>
  <c r="S436" i="2"/>
  <c r="S172" i="2"/>
  <c r="S220" i="2"/>
  <c r="S731" i="2"/>
  <c r="S403" i="2"/>
  <c r="S888" i="2"/>
  <c r="S926" i="2"/>
  <c r="S513" i="2"/>
  <c r="S730" i="2"/>
  <c r="S538" i="2"/>
  <c r="S250" i="2"/>
  <c r="S962" i="2"/>
  <c r="S919" i="2"/>
  <c r="S173" i="2"/>
  <c r="S545" i="2"/>
  <c r="S351" i="2"/>
  <c r="S816" i="2"/>
  <c r="S683" i="2"/>
  <c r="S981" i="2"/>
  <c r="S848" i="2"/>
  <c r="S982" i="2"/>
  <c r="S311" i="2"/>
  <c r="S898" i="2"/>
  <c r="S290" i="2"/>
  <c r="S839" i="2"/>
  <c r="S916" i="2"/>
  <c r="S133" i="2"/>
  <c r="S992" i="2"/>
  <c r="S371" i="2"/>
  <c r="S810" i="2"/>
  <c r="S270" i="2"/>
  <c r="S119" i="2"/>
  <c r="S747" i="2"/>
  <c r="S360" i="2"/>
  <c r="S91" i="2"/>
  <c r="S830" i="2"/>
  <c r="S453" i="2"/>
  <c r="S144" i="2"/>
  <c r="S461" i="2"/>
  <c r="S787" i="2"/>
  <c r="S664" i="2"/>
  <c r="S422" i="2"/>
  <c r="S58" i="2"/>
  <c r="S767" i="2"/>
  <c r="S946" i="2"/>
  <c r="S416" i="2"/>
  <c r="S768" i="2"/>
  <c r="S676" i="2"/>
  <c r="S719" i="2"/>
  <c r="S911" i="2"/>
  <c r="S835" i="2"/>
  <c r="S484" i="2"/>
  <c r="S804" i="2"/>
  <c r="S725" i="2"/>
  <c r="S288" i="2"/>
  <c r="S502" i="2"/>
  <c r="S361" i="2"/>
  <c r="S706" i="2"/>
  <c r="S199" i="2"/>
  <c r="S425" i="2"/>
  <c r="S5" i="2"/>
  <c r="S523" i="2"/>
  <c r="S918" i="2"/>
  <c r="S710" i="2"/>
  <c r="S147" i="2"/>
  <c r="S760" i="2"/>
  <c r="S134" i="2"/>
  <c r="S784" i="2"/>
  <c r="S954" i="2"/>
  <c r="S450" i="2"/>
  <c r="S340" i="2"/>
  <c r="S209" i="2"/>
  <c r="S13" i="2"/>
  <c r="S488" i="2"/>
  <c r="S32" i="2"/>
  <c r="S44" i="2"/>
  <c r="S573" i="2"/>
  <c r="S973" i="2"/>
  <c r="S68" i="2"/>
  <c r="S775" i="2"/>
  <c r="S707" i="2"/>
  <c r="S171" i="2"/>
  <c r="S483" i="2"/>
  <c r="S866" i="2"/>
  <c r="S357" i="2"/>
  <c r="S696" i="2"/>
  <c r="S632" i="2"/>
  <c r="S887" i="2"/>
  <c r="S319" i="2"/>
  <c r="S935" i="2"/>
  <c r="S363" i="2"/>
  <c r="S903" i="2"/>
  <c r="S535" i="2"/>
  <c r="S802" i="2"/>
  <c r="S785" i="2"/>
  <c r="S586" i="2"/>
  <c r="S821" i="2"/>
  <c r="S341" i="2"/>
  <c r="S609" i="2"/>
  <c r="S892" i="2"/>
  <c r="S501" i="2"/>
  <c r="S92" i="2"/>
  <c r="S24" i="2"/>
  <c r="S857" i="2"/>
  <c r="S794" i="2"/>
  <c r="S60" i="2"/>
  <c r="S244" i="2"/>
  <c r="S35" i="2"/>
  <c r="S720" i="2"/>
  <c r="S127" i="2"/>
  <c r="S808" i="2"/>
  <c r="S358" i="2"/>
  <c r="S170" i="2"/>
  <c r="S110" i="2"/>
  <c r="S390" i="2"/>
  <c r="S826" i="2"/>
  <c r="S783" i="2"/>
  <c r="S480" i="2"/>
  <c r="S994" i="2"/>
  <c r="S326" i="2"/>
  <c r="S117" i="2"/>
  <c r="S875" i="2"/>
  <c r="S715" i="2"/>
  <c r="S369" i="2"/>
  <c r="S693" i="2"/>
  <c r="S249" i="2"/>
  <c r="S687" i="2"/>
  <c r="S814" i="2"/>
  <c r="S781" i="2"/>
  <c r="S813" i="2"/>
  <c r="S592" i="2"/>
  <c r="S820" i="2"/>
  <c r="S884" i="2"/>
  <c r="S211" i="2"/>
  <c r="S284" i="2"/>
  <c r="S342" i="2"/>
  <c r="S569" i="2"/>
  <c r="S487" i="2"/>
  <c r="S906" i="2"/>
  <c r="S200" i="2"/>
  <c r="S102" i="2"/>
  <c r="S568" i="2"/>
  <c r="S924" i="2"/>
  <c r="S965" i="2"/>
  <c r="S793" i="2"/>
  <c r="S72" i="2"/>
  <c r="S548" i="2"/>
  <c r="S673" i="2"/>
  <c r="S750" i="2"/>
  <c r="S914" i="2"/>
  <c r="S83" i="2"/>
  <c r="S129" i="2"/>
  <c r="S989" i="2"/>
  <c r="S805" i="2"/>
  <c r="S589" i="2"/>
  <c r="S417" i="2"/>
  <c r="S441" i="2"/>
  <c r="S274" i="2"/>
  <c r="S349" i="2"/>
  <c r="S228" i="2"/>
  <c r="S831" i="2"/>
  <c r="S645" i="2"/>
  <c r="S873" i="2"/>
  <c r="S977" i="2"/>
  <c r="S216" i="2"/>
  <c r="S525" i="2"/>
  <c r="S557" i="2"/>
  <c r="S232" i="2"/>
  <c r="S859" i="2"/>
  <c r="S987" i="2"/>
  <c r="S752" i="2"/>
  <c r="S189" i="2"/>
  <c r="S40" i="2"/>
  <c r="S318" i="2"/>
  <c r="S744" i="2"/>
  <c r="S391" i="2"/>
  <c r="S932" i="2"/>
  <c r="S842" i="2"/>
  <c r="S546" i="2"/>
  <c r="S677" i="2"/>
  <c r="S827" i="2"/>
  <c r="S644" i="2"/>
  <c r="S30" i="2"/>
  <c r="S207" i="2"/>
  <c r="S823" i="2"/>
  <c r="S327" i="2"/>
  <c r="S307" i="2"/>
  <c r="S245" i="2"/>
  <c r="S689" i="2"/>
  <c r="S675" i="2"/>
  <c r="S180" i="2"/>
  <c r="S771" i="2"/>
  <c r="S990" i="2"/>
  <c r="S136" i="2"/>
  <c r="S479" i="2"/>
  <c r="S123" i="2"/>
  <c r="S78" i="2"/>
  <c r="S101" i="2"/>
  <c r="S618" i="2"/>
  <c r="S308" i="2"/>
  <c r="S564" i="2"/>
  <c r="S240" i="2"/>
  <c r="S382" i="2"/>
  <c r="S350" i="2"/>
  <c r="S579" i="2"/>
  <c r="S542" i="2"/>
  <c r="S95" i="2"/>
  <c r="S468" i="2"/>
  <c r="S429" i="2"/>
  <c r="S736" i="2"/>
  <c r="S623" i="2"/>
  <c r="S582" i="2"/>
  <c r="S276" i="2"/>
  <c r="S712" i="2"/>
  <c r="S803" i="2"/>
  <c r="S633" i="2"/>
  <c r="S529" i="2"/>
  <c r="S741" i="2"/>
  <c r="S530" i="2"/>
  <c r="S929" i="2"/>
  <c r="S272" i="2"/>
  <c r="S179" i="2"/>
  <c r="S718" i="2"/>
  <c r="S691" i="2"/>
  <c r="S489" i="2"/>
  <c r="S837" i="2"/>
  <c r="S302" i="2"/>
  <c r="S922" i="2"/>
  <c r="S834" i="2"/>
  <c r="S722" i="2"/>
  <c r="S65" i="2"/>
  <c r="S454" i="2"/>
  <c r="S90" i="2"/>
  <c r="S338" i="2"/>
  <c r="S665" i="2"/>
  <c r="S774" i="2"/>
  <c r="S657" i="2"/>
  <c r="S761" i="2"/>
  <c r="S756" i="2"/>
  <c r="S400" i="2"/>
  <c r="S449" i="2"/>
  <c r="S80" i="2"/>
  <c r="S419" i="2"/>
  <c r="S649" i="2"/>
  <c r="S71" i="2"/>
  <c r="S411" i="2"/>
  <c r="S36" i="2"/>
  <c r="S465" i="2"/>
  <c r="S907" i="2"/>
  <c r="S9" i="2"/>
  <c r="S297" i="2"/>
  <c r="S900" i="2"/>
  <c r="S320" i="2"/>
  <c r="S193" i="2"/>
  <c r="S619" i="2"/>
  <c r="S166" i="2"/>
  <c r="S497" i="2"/>
  <c r="S246" i="2"/>
  <c r="S470" i="2"/>
  <c r="S899" i="2"/>
  <c r="S532" i="2"/>
  <c r="S704" i="2"/>
  <c r="S364" i="2"/>
  <c r="S233" i="2"/>
  <c r="S439" i="2"/>
  <c r="S670" i="2"/>
  <c r="S157" i="2"/>
  <c r="S265" i="2"/>
  <c r="S979" i="2"/>
  <c r="S214" i="2"/>
  <c r="S865" i="2"/>
  <c r="S258" i="2"/>
  <c r="S135" i="2"/>
  <c r="S466" i="2"/>
  <c r="S493" i="2"/>
  <c r="S851" i="2"/>
  <c r="S221" i="2"/>
  <c r="S845" i="2"/>
  <c r="S477" i="2"/>
  <c r="S847" i="2"/>
  <c r="S947" i="2"/>
  <c r="S669" i="2"/>
  <c r="S948" i="2"/>
  <c r="S353" i="2"/>
  <c r="S385" i="2"/>
  <c r="S963" i="2"/>
  <c r="S829" i="2"/>
  <c r="S356" i="2"/>
  <c r="S325" i="2"/>
  <c r="S282" i="2"/>
  <c r="S867" i="2"/>
  <c r="S443" i="2"/>
  <c r="S636" i="2"/>
  <c r="S928" i="2"/>
  <c r="S894" i="2"/>
  <c r="S177" i="2"/>
  <c r="S613" i="2"/>
  <c r="S15" i="2"/>
  <c r="S779" i="2"/>
  <c r="S452" i="2"/>
  <c r="S678" i="2"/>
  <c r="S777" i="2"/>
  <c r="S762" i="2"/>
  <c r="S335" i="2"/>
  <c r="S324" i="2"/>
  <c r="S285" i="2"/>
  <c r="S874" i="2"/>
  <c r="S485" i="2"/>
  <c r="S160" i="2"/>
  <c r="S283" i="2"/>
  <c r="S536" i="2"/>
  <c r="S686" i="2"/>
  <c r="S522" i="2"/>
  <c r="S424" i="2"/>
  <c r="S223" i="2"/>
  <c r="S167" i="2"/>
  <c r="S130" i="2"/>
  <c r="S212" i="2"/>
  <c r="S175" i="2"/>
  <c r="S682" i="2"/>
  <c r="S396" i="2"/>
  <c r="S79" i="2"/>
  <c r="S878" i="2"/>
  <c r="S544" i="2"/>
  <c r="S426" i="2"/>
  <c r="S259" i="2"/>
  <c r="S721" i="2"/>
  <c r="S143" i="2"/>
  <c r="S300" i="2"/>
  <c r="S334" i="2"/>
  <c r="S154" i="2"/>
  <c r="S310" i="2"/>
  <c r="S87" i="2"/>
  <c r="S96" i="2"/>
  <c r="S824" i="2"/>
  <c r="S73" i="2"/>
  <c r="S473" i="2"/>
  <c r="S552" i="2"/>
  <c r="S701" i="2"/>
  <c r="S62" i="2"/>
  <c r="S939" i="2"/>
  <c r="S817" i="2"/>
  <c r="S447" i="2"/>
  <c r="S432" i="2"/>
  <c r="S968" i="2"/>
  <c r="S132" i="2"/>
  <c r="S578" i="2"/>
  <c r="S330" i="2"/>
  <c r="S790" i="2"/>
  <c r="S140" i="2"/>
  <c r="S322" i="2"/>
  <c r="S139" i="2"/>
  <c r="S621" i="2"/>
  <c r="S428" i="2"/>
  <c r="S858" i="2"/>
  <c r="S770" i="2"/>
  <c r="S309" i="2"/>
  <c r="S407" i="2"/>
  <c r="S495" i="2"/>
  <c r="S20" i="2"/>
  <c r="S844" i="2"/>
  <c r="S22" i="2"/>
  <c r="S168" i="2"/>
  <c r="S593" i="2"/>
  <c r="S524" i="2"/>
  <c r="S735" i="2"/>
  <c r="S825" i="2"/>
  <c r="S647" i="2"/>
  <c r="S408" i="2"/>
  <c r="S640" i="2"/>
  <c r="S430" i="2"/>
  <c r="S663" i="2"/>
  <c r="S331" i="2"/>
  <c r="S961" i="2"/>
  <c r="S389" i="2"/>
  <c r="S953" i="2"/>
  <c r="S354" i="2"/>
  <c r="S695" i="2"/>
  <c r="S231" i="2"/>
  <c r="S737" i="2"/>
  <c r="S224" i="2"/>
  <c r="S666" i="2"/>
  <c r="S63" i="2"/>
  <c r="S624" i="2"/>
  <c r="S6" i="2"/>
  <c r="S218" i="2"/>
  <c r="S183" i="2"/>
  <c r="S655" i="2"/>
  <c r="S872" i="2"/>
  <c r="S796" i="2"/>
  <c r="S141" i="2"/>
  <c r="S85" i="2"/>
  <c r="S82" i="2"/>
  <c r="S604" i="2"/>
  <c r="S457" i="2"/>
  <c r="S409" i="2"/>
  <c r="S365" i="2"/>
  <c r="S558" i="2"/>
  <c r="S970" i="2"/>
  <c r="S213" i="2"/>
  <c r="S601" i="2"/>
  <c r="S37" i="2"/>
  <c r="S243" i="2"/>
  <c r="S329" i="2"/>
  <c r="S372" i="2"/>
  <c r="S637" i="2"/>
  <c r="S490" i="2"/>
  <c r="S931" i="2"/>
  <c r="S699" i="2"/>
  <c r="S336" i="2"/>
  <c r="S855" i="2"/>
  <c r="S659" i="2"/>
  <c r="S629" i="2"/>
  <c r="S915" i="2"/>
  <c r="S107" i="2"/>
  <c r="S729" i="2"/>
  <c r="S650" i="2"/>
  <c r="S185" i="2"/>
  <c r="S121" i="2"/>
  <c r="S881" i="2"/>
  <c r="S533" i="2"/>
  <c r="S383" i="2"/>
  <c r="S56" i="2"/>
  <c r="S94" i="2"/>
  <c r="S626" i="2"/>
  <c r="S988" i="2"/>
  <c r="S694" i="2"/>
  <c r="S840" i="2"/>
  <c r="S402" i="2"/>
  <c r="S861" i="2"/>
  <c r="S959" i="2"/>
  <c r="S146" i="2"/>
  <c r="S474" i="2"/>
  <c r="S614" i="2"/>
  <c r="S118" i="2"/>
  <c r="S757" i="2"/>
  <c r="S159" i="2"/>
  <c r="S345" i="2"/>
  <c r="S923" i="2"/>
  <c r="S43" i="2"/>
  <c r="S952" i="2"/>
  <c r="S317" i="2"/>
  <c r="S684" i="2"/>
  <c r="S169" i="2"/>
  <c r="S47" i="2"/>
  <c r="S508" i="2"/>
  <c r="S355" i="2"/>
  <c r="S33" i="2"/>
  <c r="S972" i="2"/>
  <c r="S639" i="2"/>
  <c r="S772" i="2"/>
  <c r="S277" i="2"/>
  <c r="S399" i="2"/>
  <c r="S142" i="2"/>
  <c r="S299" i="2"/>
  <c r="S486" i="2"/>
  <c r="S431" i="2"/>
  <c r="S252" i="2"/>
  <c r="S927" i="2"/>
  <c r="S652" i="2"/>
  <c r="S646" i="2"/>
  <c r="S773" i="2"/>
  <c r="S156" i="2"/>
  <c r="S23" i="2"/>
  <c r="S594" i="2"/>
  <c r="S379" i="2"/>
  <c r="S446" i="2"/>
  <c r="S893" i="2"/>
  <c r="S505" i="2"/>
  <c r="S39" i="2"/>
  <c r="S467" i="2"/>
  <c r="S188" i="2"/>
  <c r="S934" i="2"/>
  <c r="S975" i="2"/>
  <c r="S17" i="2"/>
  <c r="S268" i="2"/>
  <c r="S587" i="2"/>
  <c r="S822" i="2"/>
  <c r="S838" i="2"/>
  <c r="S165" i="2"/>
  <c r="S271" i="2"/>
  <c r="S347" i="2"/>
  <c r="S795" i="2"/>
  <c r="S108" i="2"/>
  <c r="S304" i="2"/>
  <c r="S921" i="2"/>
  <c r="S620" i="2"/>
  <c r="S572" i="2"/>
  <c r="S561" i="2"/>
  <c r="S7" i="2"/>
  <c r="S549" i="2"/>
  <c r="S2" i="2"/>
  <c r="S53" i="2"/>
  <c r="S303" i="2"/>
  <c r="S908" i="2"/>
  <c r="S89" i="2"/>
  <c r="S854" i="2"/>
  <c r="S651" i="2"/>
  <c r="S748" i="2"/>
  <c r="S237" i="2"/>
  <c r="S528" i="2"/>
  <c r="S732" i="2"/>
  <c r="S206" i="2"/>
  <c r="S886" i="2"/>
  <c r="S257" i="2"/>
  <c r="S809" i="2"/>
  <c r="S563" i="2"/>
  <c r="S766" i="2"/>
  <c r="S515" i="2"/>
  <c r="S235" i="2"/>
  <c r="S608" i="2"/>
  <c r="S763" i="2"/>
  <c r="S551" i="2"/>
  <c r="S912" i="2"/>
  <c r="S64" i="2"/>
  <c r="S34" i="2"/>
  <c r="S521" i="2"/>
  <c r="S819" i="2"/>
  <c r="S469" i="2"/>
  <c r="S397" i="2"/>
  <c r="S882" i="2"/>
  <c r="S791" i="2"/>
  <c r="S606" i="2"/>
  <c r="S227" i="2"/>
  <c r="S514" i="2"/>
  <c r="S104" i="2"/>
  <c r="S634" i="2"/>
  <c r="S472" i="2"/>
  <c r="S812" i="2"/>
  <c r="S59" i="2"/>
  <c r="S287" i="2"/>
  <c r="S986" i="2"/>
  <c r="S726" i="2"/>
  <c r="S976" i="2"/>
  <c r="S261" i="2"/>
  <c r="S236" i="2"/>
  <c r="S567" i="2"/>
  <c r="S984" i="2"/>
  <c r="S412" i="2"/>
  <c r="S764" i="2"/>
  <c r="S343" i="2"/>
  <c r="S344" i="2"/>
  <c r="S69" i="2"/>
  <c r="S697" i="2"/>
  <c r="S161" i="2"/>
  <c r="S109" i="2"/>
  <c r="S560" i="2"/>
  <c r="S16" i="2"/>
  <c r="S4" i="2"/>
  <c r="S404" i="2"/>
  <c r="S74" i="2"/>
  <c r="S478" i="2"/>
  <c r="S321" i="2"/>
  <c r="S869" i="2"/>
  <c r="S433" i="2"/>
  <c r="S713" i="2"/>
  <c r="S26" i="2"/>
  <c r="S49" i="2"/>
  <c r="S313" i="2"/>
  <c r="S510" i="2"/>
  <c r="S253" i="2"/>
  <c r="S124" i="2"/>
  <c r="S885" i="2"/>
  <c r="S27" i="2"/>
  <c r="S897" i="2"/>
  <c r="S278" i="2"/>
  <c r="S711" i="2"/>
  <c r="S48" i="2"/>
  <c r="S61" i="2"/>
  <c r="S100" i="2"/>
  <c r="S393" i="2"/>
  <c r="S377" i="2"/>
  <c r="S398" i="2"/>
  <c r="S754" i="2"/>
  <c r="S938" i="2"/>
  <c r="S105" i="2"/>
  <c r="S571" i="2"/>
  <c r="S662" i="2"/>
  <c r="S76" i="2"/>
  <c r="S714" i="2"/>
  <c r="S597" i="2"/>
  <c r="S591" i="2"/>
  <c r="S958" i="2"/>
  <c r="S190" i="2"/>
  <c r="S164" i="2"/>
  <c r="S112" i="2"/>
  <c r="S920" i="2"/>
  <c r="S137" i="2"/>
  <c r="S260" i="2"/>
  <c r="S81" i="2"/>
  <c r="S498" i="2"/>
  <c r="S562" i="2"/>
  <c r="S733" i="2"/>
  <c r="S978" i="2"/>
  <c r="S406" i="2"/>
  <c r="S951" i="2"/>
  <c r="S373" i="2"/>
  <c r="S610" i="2"/>
  <c r="S305" i="2"/>
  <c r="S653" i="2"/>
  <c r="S506" i="2"/>
  <c r="S778" i="2"/>
  <c r="S602" i="2"/>
  <c r="S846" i="2"/>
  <c r="S182" i="2"/>
  <c r="S292" i="2"/>
  <c r="S556" i="2"/>
  <c r="S38" i="2"/>
  <c r="S496" i="2"/>
  <c r="S883" i="2"/>
  <c r="S197" i="2"/>
  <c r="S611" i="2"/>
  <c r="S940" i="2"/>
  <c r="S378" i="2"/>
  <c r="S850" i="2"/>
  <c r="S746" i="2"/>
  <c r="T769" i="2"/>
  <c r="T631" i="2"/>
  <c r="T871" i="2"/>
  <c r="T943" i="2"/>
  <c r="T698" i="2"/>
  <c r="T442" i="2"/>
  <c r="T184" i="2"/>
  <c r="T149" i="2"/>
  <c r="T52" i="2"/>
  <c r="T949" i="2"/>
  <c r="T950" i="2"/>
  <c r="T643" i="2"/>
  <c r="T504" i="2"/>
  <c r="T901" i="2"/>
  <c r="T155" i="2"/>
  <c r="T870" i="2"/>
  <c r="T181" i="2"/>
  <c r="T368" i="2"/>
  <c r="T420" i="2"/>
  <c r="T692" i="2"/>
  <c r="T702" i="2"/>
  <c r="T248" i="2"/>
  <c r="T113" i="2"/>
  <c r="T660" i="2"/>
  <c r="T384" i="2"/>
  <c r="T348" i="2"/>
  <c r="T395" i="2"/>
  <c r="T191" i="2"/>
  <c r="T201" i="2"/>
  <c r="T967" i="2"/>
  <c r="T700" i="2"/>
  <c r="T413" i="2"/>
  <c r="T575" i="2"/>
  <c r="T291" i="2"/>
  <c r="T630" i="2"/>
  <c r="T742" i="2"/>
  <c r="T93" i="2"/>
  <c r="T902" i="2"/>
  <c r="T150" i="2"/>
  <c r="T716" i="2"/>
  <c r="T75" i="2"/>
  <c r="T615" i="2"/>
  <c r="T555" i="2"/>
  <c r="T401" i="2"/>
  <c r="T293" i="2"/>
  <c r="T386" i="2"/>
  <c r="T471" i="2"/>
  <c r="T438" i="2"/>
  <c r="T219" i="2"/>
  <c r="T204" i="2"/>
  <c r="T749" i="2"/>
  <c r="T856" i="2"/>
  <c r="T944" i="2"/>
  <c r="T628" i="2"/>
  <c r="T262" i="2"/>
  <c r="T782" i="2"/>
  <c r="T877" i="2"/>
  <c r="T960" i="2"/>
  <c r="T738" i="2"/>
  <c r="T362" i="2"/>
  <c r="T42" i="2"/>
  <c r="T241" i="2"/>
  <c r="T627" i="2"/>
  <c r="T547" i="2"/>
  <c r="T254" i="2"/>
  <c r="T445" i="2"/>
  <c r="T225" i="2"/>
  <c r="T800" i="2"/>
  <c r="T194" i="2"/>
  <c r="T192" i="2"/>
  <c r="T584" i="2"/>
  <c r="T980" i="2"/>
  <c r="T239" i="2"/>
  <c r="T31" i="2"/>
  <c r="T359" i="2"/>
  <c r="T370" i="2"/>
  <c r="T19" i="2"/>
  <c r="T786" i="2"/>
  <c r="T269" i="2"/>
  <c r="T863" i="2"/>
  <c r="T836" i="2"/>
  <c r="T937" i="2"/>
  <c r="T500" i="2"/>
  <c r="T588" i="2"/>
  <c r="T187" i="2"/>
  <c r="T667" i="2"/>
  <c r="T511" i="2"/>
  <c r="T106" i="2"/>
  <c r="T195" i="2"/>
  <c r="T11" i="2"/>
  <c r="T289" i="2"/>
  <c r="T286" i="2"/>
  <c r="T789" i="2"/>
  <c r="T841" i="2"/>
  <c r="T590" i="2"/>
  <c r="T983" i="2"/>
  <c r="T942" i="2"/>
  <c r="T494" i="2"/>
  <c r="T12" i="2"/>
  <c r="T864" i="2"/>
  <c r="T880" i="2"/>
  <c r="T799" i="2"/>
  <c r="T585" i="2"/>
  <c r="T728" i="2"/>
  <c r="T889" i="2"/>
  <c r="T405" i="2"/>
  <c r="T10" i="2"/>
  <c r="T503" i="2"/>
  <c r="T222" i="2"/>
  <c r="T617" i="2"/>
  <c r="T509" i="2"/>
  <c r="T294" i="2"/>
  <c r="T833" i="2"/>
  <c r="T832" i="2"/>
  <c r="T208" i="2"/>
  <c r="T111" i="2"/>
  <c r="T635" i="2"/>
  <c r="T788" i="2"/>
  <c r="T917" i="2"/>
  <c r="T463" i="2"/>
  <c r="T519" i="2"/>
  <c r="T755" i="2"/>
  <c r="T751" i="2"/>
  <c r="T375" i="2"/>
  <c r="T895" i="2"/>
  <c r="T366" i="2"/>
  <c r="T77" i="2"/>
  <c r="T956" i="2"/>
  <c r="T242" i="2"/>
  <c r="T570" i="2"/>
  <c r="T550" i="2"/>
  <c r="T229" i="2"/>
  <c r="T264" i="2"/>
  <c r="T434" i="2"/>
  <c r="T674" i="2"/>
  <c r="T583" i="2"/>
  <c r="T941" i="2"/>
  <c r="T41" i="2"/>
  <c r="T98" i="2"/>
  <c r="T559" i="2"/>
  <c r="T178" i="2"/>
  <c r="T971" i="2"/>
  <c r="T196" i="2"/>
  <c r="T421" i="2"/>
  <c r="T801" i="2"/>
  <c r="T985" i="2"/>
  <c r="T876" i="2"/>
  <c r="T896" i="2"/>
  <c r="T581" i="2"/>
  <c r="T256" i="2"/>
  <c r="T539" i="2"/>
  <c r="T315" i="2"/>
  <c r="T806" i="2"/>
  <c r="T346" i="2"/>
  <c r="T807" i="2"/>
  <c r="T933" i="2"/>
  <c r="T451" i="2"/>
  <c r="T905" i="2"/>
  <c r="T148" i="2"/>
  <c r="T251" i="2"/>
  <c r="T516" i="2"/>
  <c r="T499" i="2"/>
  <c r="T226" i="2"/>
  <c r="T215" i="2"/>
  <c r="T765" i="2"/>
  <c r="T531" i="2"/>
  <c r="T280" i="2"/>
  <c r="T273" i="2"/>
  <c r="T367" i="2"/>
  <c r="T526" i="2"/>
  <c r="T690" i="2"/>
  <c r="T374" i="2"/>
  <c r="T97" i="2"/>
  <c r="T708" i="2"/>
  <c r="T281" i="2"/>
  <c r="T843" i="2"/>
  <c r="T437" i="2"/>
  <c r="T703" i="2"/>
  <c r="T641" i="2"/>
  <c r="T668" i="2"/>
  <c r="T811" i="2"/>
  <c r="T776" i="2"/>
  <c r="T656" i="2"/>
  <c r="T518" i="2"/>
  <c r="T543" i="2"/>
  <c r="T553" i="2"/>
  <c r="T565" i="2"/>
  <c r="T534" i="2"/>
  <c r="T25" i="2"/>
  <c r="T936" i="2"/>
  <c r="T28" i="2"/>
  <c r="T596" i="2"/>
  <c r="T152" i="2"/>
  <c r="T176" i="2"/>
  <c r="T964" i="2"/>
  <c r="T298" i="2"/>
  <c r="T381" i="2"/>
  <c r="T868" i="2"/>
  <c r="T481" i="2"/>
  <c r="T263" i="2"/>
  <c r="T247" i="2"/>
  <c r="T727" i="2"/>
  <c r="T945" i="2"/>
  <c r="T966" i="2"/>
  <c r="T238" i="2"/>
  <c r="T131" i="2"/>
  <c r="T507" i="2"/>
  <c r="T993" i="2"/>
  <c r="T616" i="2"/>
  <c r="T125" i="2"/>
  <c r="T541" i="2"/>
  <c r="T910" i="2"/>
  <c r="T753" i="2"/>
  <c r="T115" i="2"/>
  <c r="T537" i="2"/>
  <c r="T853" i="2"/>
  <c r="T598" i="2"/>
  <c r="T210" i="2"/>
  <c r="T648" i="2"/>
  <c r="T255" i="2"/>
  <c r="T45" i="2"/>
  <c r="T46" i="2"/>
  <c r="T580" i="2"/>
  <c r="T595" i="2"/>
  <c r="T879" i="2"/>
  <c r="T909" i="2"/>
  <c r="T3" i="2"/>
  <c r="T815" i="2"/>
  <c r="T475" i="2"/>
  <c r="T792" i="2"/>
  <c r="T517" i="2"/>
  <c r="T658" i="2"/>
  <c r="T230" i="2"/>
  <c r="T709" i="2"/>
  <c r="T566" i="2"/>
  <c r="T654" i="2"/>
  <c r="T14" i="2"/>
  <c r="T444" i="2"/>
  <c r="T380" i="2"/>
  <c r="T991" i="2"/>
  <c r="T316" i="2"/>
  <c r="T267" i="2"/>
  <c r="T332" i="2"/>
  <c r="T680" i="2"/>
  <c r="T333" i="2"/>
  <c r="T70" i="2"/>
  <c r="T8" i="2"/>
  <c r="T930" i="2"/>
  <c r="T84" i="2"/>
  <c r="T328" i="2"/>
  <c r="T705" i="2"/>
  <c r="T780" i="2"/>
  <c r="T797" i="2"/>
  <c r="T599" i="2"/>
  <c r="T672" i="2"/>
  <c r="T295" i="2"/>
  <c r="T460" i="2"/>
  <c r="T153" i="2"/>
  <c r="T458" i="2"/>
  <c r="T724" i="2"/>
  <c r="T671" i="2"/>
  <c r="T576" i="2"/>
  <c r="T57" i="2"/>
  <c r="T21" i="2"/>
  <c r="T50" i="2"/>
  <c r="T456" i="2"/>
  <c r="T491" i="2"/>
  <c r="T296" i="2"/>
  <c r="T151" i="2"/>
  <c r="T51" i="2"/>
  <c r="T126" i="2"/>
  <c r="T427" i="2"/>
  <c r="T688" i="2"/>
  <c r="T512" i="2"/>
  <c r="T455" i="2"/>
  <c r="T394" i="2"/>
  <c r="T759" i="2"/>
  <c r="T642" i="2"/>
  <c r="T86" i="2"/>
  <c r="T743" i="2"/>
  <c r="T554" i="2"/>
  <c r="T574" i="2"/>
  <c r="T904" i="2"/>
  <c r="T849" i="2"/>
  <c r="T116" i="2"/>
  <c r="T638" i="2"/>
  <c r="T577" i="2"/>
  <c r="T758" i="2"/>
  <c r="T818" i="2"/>
  <c r="T739" i="2"/>
  <c r="T974" i="2"/>
  <c r="T415" i="2"/>
  <c r="T205" i="2"/>
  <c r="T198" i="2"/>
  <c r="T352" i="2"/>
  <c r="T312" i="2"/>
  <c r="T66" i="2"/>
  <c r="T462" i="2"/>
  <c r="T418" i="2"/>
  <c r="T852" i="2"/>
  <c r="T162" i="2"/>
  <c r="T890" i="2"/>
  <c r="T186" i="2"/>
  <c r="T448" i="2"/>
  <c r="T234" i="2"/>
  <c r="T202" i="2"/>
  <c r="T679" i="2"/>
  <c r="T607" i="2"/>
  <c r="T138" i="2"/>
  <c r="T217" i="2"/>
  <c r="T860" i="2"/>
  <c r="T661" i="2"/>
  <c r="T464" i="2"/>
  <c r="T275" i="2"/>
  <c r="T99" i="2"/>
  <c r="T323" i="2"/>
  <c r="T540" i="2"/>
  <c r="T957" i="2"/>
  <c r="T527" i="2"/>
  <c r="T828" i="2"/>
  <c r="T520" i="2"/>
  <c r="T114" i="2"/>
  <c r="T723" i="2"/>
  <c r="T145" i="2"/>
  <c r="T681" i="2"/>
  <c r="T459" i="2"/>
  <c r="T388" i="2"/>
  <c r="T969" i="2"/>
  <c r="T306" i="2"/>
  <c r="T862" i="2"/>
  <c r="T482" i="2"/>
  <c r="T492" i="2"/>
  <c r="T18" i="2"/>
  <c r="T55" i="2"/>
  <c r="T740" i="2"/>
  <c r="T955" i="2"/>
  <c r="T337" i="2"/>
  <c r="T685" i="2"/>
  <c r="T203" i="2"/>
  <c r="T158" i="2"/>
  <c r="T410" i="2"/>
  <c r="T266" i="2"/>
  <c r="T603" i="2"/>
  <c r="T103" i="2"/>
  <c r="T174" i="2"/>
  <c r="T891" i="2"/>
  <c r="T612" i="2"/>
  <c r="T745" i="2"/>
  <c r="T392" i="2"/>
  <c r="T734" i="2"/>
  <c r="T605" i="2"/>
  <c r="T67" i="2"/>
  <c r="T440" i="2"/>
  <c r="T120" i="2"/>
  <c r="T387" i="2"/>
  <c r="T622" i="2"/>
  <c r="T414" i="2"/>
  <c r="T798" i="2"/>
  <c r="T600" i="2"/>
  <c r="T122" i="2"/>
  <c r="T913" i="2"/>
  <c r="T476" i="2"/>
  <c r="T376" i="2"/>
  <c r="T717" i="2"/>
  <c r="T925" i="2"/>
  <c r="T128" i="2"/>
  <c r="T435" i="2"/>
  <c r="T423" i="2"/>
  <c r="T88" i="2"/>
  <c r="T314" i="2"/>
  <c r="T54" i="2"/>
  <c r="T163" i="2"/>
  <c r="T339" i="2"/>
  <c r="T301" i="2"/>
  <c r="T625" i="2"/>
  <c r="T279" i="2"/>
  <c r="T29" i="2"/>
  <c r="T436" i="2"/>
  <c r="T172" i="2"/>
  <c r="T220" i="2"/>
  <c r="T731" i="2"/>
  <c r="T403" i="2"/>
  <c r="T888" i="2"/>
  <c r="T926" i="2"/>
  <c r="T513" i="2"/>
  <c r="T730" i="2"/>
  <c r="T538" i="2"/>
  <c r="T250" i="2"/>
  <c r="T962" i="2"/>
  <c r="T919" i="2"/>
  <c r="T173" i="2"/>
  <c r="T545" i="2"/>
  <c r="T351" i="2"/>
  <c r="T816" i="2"/>
  <c r="T683" i="2"/>
  <c r="T981" i="2"/>
  <c r="T848" i="2"/>
  <c r="T982" i="2"/>
  <c r="T311" i="2"/>
  <c r="T898" i="2"/>
  <c r="T290" i="2"/>
  <c r="T839" i="2"/>
  <c r="T916" i="2"/>
  <c r="T133" i="2"/>
  <c r="T992" i="2"/>
  <c r="T371" i="2"/>
  <c r="T810" i="2"/>
  <c r="T270" i="2"/>
  <c r="T119" i="2"/>
  <c r="T747" i="2"/>
  <c r="T360" i="2"/>
  <c r="T91" i="2"/>
  <c r="T830" i="2"/>
  <c r="T453" i="2"/>
  <c r="T144" i="2"/>
  <c r="T461" i="2"/>
  <c r="T787" i="2"/>
  <c r="T664" i="2"/>
  <c r="T422" i="2"/>
  <c r="T58" i="2"/>
  <c r="T767" i="2"/>
  <c r="T946" i="2"/>
  <c r="T416" i="2"/>
  <c r="T768" i="2"/>
  <c r="T676" i="2"/>
  <c r="T719" i="2"/>
  <c r="T911" i="2"/>
  <c r="T835" i="2"/>
  <c r="T484" i="2"/>
  <c r="T804" i="2"/>
  <c r="T725" i="2"/>
  <c r="T288" i="2"/>
  <c r="T502" i="2"/>
  <c r="T361" i="2"/>
  <c r="T706" i="2"/>
  <c r="T199" i="2"/>
  <c r="T425" i="2"/>
  <c r="T5" i="2"/>
  <c r="T523" i="2"/>
  <c r="T918" i="2"/>
  <c r="T710" i="2"/>
  <c r="T147" i="2"/>
  <c r="T760" i="2"/>
  <c r="T134" i="2"/>
  <c r="T784" i="2"/>
  <c r="T954" i="2"/>
  <c r="T450" i="2"/>
  <c r="T340" i="2"/>
  <c r="T209" i="2"/>
  <c r="T13" i="2"/>
  <c r="T488" i="2"/>
  <c r="T32" i="2"/>
  <c r="T44" i="2"/>
  <c r="T573" i="2"/>
  <c r="T973" i="2"/>
  <c r="T68" i="2"/>
  <c r="T775" i="2"/>
  <c r="T707" i="2"/>
  <c r="T171" i="2"/>
  <c r="T483" i="2"/>
  <c r="T866" i="2"/>
  <c r="T357" i="2"/>
  <c r="T696" i="2"/>
  <c r="T632" i="2"/>
  <c r="T887" i="2"/>
  <c r="T319" i="2"/>
  <c r="T935" i="2"/>
  <c r="T363" i="2"/>
  <c r="T903" i="2"/>
  <c r="T535" i="2"/>
  <c r="T802" i="2"/>
  <c r="T785" i="2"/>
  <c r="T586" i="2"/>
  <c r="T821" i="2"/>
  <c r="T341" i="2"/>
  <c r="T609" i="2"/>
  <c r="T892" i="2"/>
  <c r="T501" i="2"/>
  <c r="T92" i="2"/>
  <c r="T24" i="2"/>
  <c r="T857" i="2"/>
  <c r="T794" i="2"/>
  <c r="T60" i="2"/>
  <c r="T244" i="2"/>
  <c r="T35" i="2"/>
  <c r="T720" i="2"/>
  <c r="T127" i="2"/>
  <c r="T808" i="2"/>
  <c r="T358" i="2"/>
  <c r="T170" i="2"/>
  <c r="T110" i="2"/>
  <c r="T390" i="2"/>
  <c r="T826" i="2"/>
  <c r="T783" i="2"/>
  <c r="T480" i="2"/>
  <c r="T994" i="2"/>
  <c r="T326" i="2"/>
  <c r="T117" i="2"/>
  <c r="T875" i="2"/>
  <c r="T715" i="2"/>
  <c r="T369" i="2"/>
  <c r="T693" i="2"/>
  <c r="T249" i="2"/>
  <c r="T687" i="2"/>
  <c r="T814" i="2"/>
  <c r="T781" i="2"/>
  <c r="T813" i="2"/>
  <c r="T592" i="2"/>
  <c r="T820" i="2"/>
  <c r="T884" i="2"/>
  <c r="T211" i="2"/>
  <c r="T284" i="2"/>
  <c r="T342" i="2"/>
  <c r="T569" i="2"/>
  <c r="T487" i="2"/>
  <c r="T906" i="2"/>
  <c r="T200" i="2"/>
  <c r="T102" i="2"/>
  <c r="T568" i="2"/>
  <c r="T924" i="2"/>
  <c r="T965" i="2"/>
  <c r="T793" i="2"/>
  <c r="T72" i="2"/>
  <c r="T548" i="2"/>
  <c r="T673" i="2"/>
  <c r="T750" i="2"/>
  <c r="T914" i="2"/>
  <c r="T83" i="2"/>
  <c r="T129" i="2"/>
  <c r="T989" i="2"/>
  <c r="T805" i="2"/>
  <c r="T589" i="2"/>
  <c r="T417" i="2"/>
  <c r="T441" i="2"/>
  <c r="T274" i="2"/>
  <c r="T349" i="2"/>
  <c r="T228" i="2"/>
  <c r="T831" i="2"/>
  <c r="T645" i="2"/>
  <c r="T873" i="2"/>
  <c r="T977" i="2"/>
  <c r="T216" i="2"/>
  <c r="T525" i="2"/>
  <c r="T557" i="2"/>
  <c r="T232" i="2"/>
  <c r="T859" i="2"/>
  <c r="T987" i="2"/>
  <c r="T752" i="2"/>
  <c r="T189" i="2"/>
  <c r="T40" i="2"/>
  <c r="T318" i="2"/>
  <c r="T744" i="2"/>
  <c r="T391" i="2"/>
  <c r="T932" i="2"/>
  <c r="T842" i="2"/>
  <c r="T546" i="2"/>
  <c r="T677" i="2"/>
  <c r="T827" i="2"/>
  <c r="T644" i="2"/>
  <c r="T30" i="2"/>
  <c r="T207" i="2"/>
  <c r="T823" i="2"/>
  <c r="T327" i="2"/>
  <c r="T307" i="2"/>
  <c r="T245" i="2"/>
  <c r="T689" i="2"/>
  <c r="T675" i="2"/>
  <c r="T180" i="2"/>
  <c r="T771" i="2"/>
  <c r="T990" i="2"/>
  <c r="T136" i="2"/>
  <c r="T479" i="2"/>
  <c r="T123" i="2"/>
  <c r="T78" i="2"/>
  <c r="T101" i="2"/>
  <c r="T618" i="2"/>
  <c r="T308" i="2"/>
  <c r="T564" i="2"/>
  <c r="T240" i="2"/>
  <c r="T382" i="2"/>
  <c r="T350" i="2"/>
  <c r="T579" i="2"/>
  <c r="T542" i="2"/>
  <c r="T95" i="2"/>
  <c r="T468" i="2"/>
  <c r="T429" i="2"/>
  <c r="T736" i="2"/>
  <c r="T623" i="2"/>
  <c r="T582" i="2"/>
  <c r="T276" i="2"/>
  <c r="T712" i="2"/>
  <c r="T803" i="2"/>
  <c r="T633" i="2"/>
  <c r="T529" i="2"/>
  <c r="T741" i="2"/>
  <c r="T530" i="2"/>
  <c r="T929" i="2"/>
  <c r="T272" i="2"/>
  <c r="T179" i="2"/>
  <c r="T718" i="2"/>
  <c r="T691" i="2"/>
  <c r="T489" i="2"/>
  <c r="T837" i="2"/>
  <c r="T302" i="2"/>
  <c r="T922" i="2"/>
  <c r="T834" i="2"/>
  <c r="T722" i="2"/>
  <c r="T65" i="2"/>
  <c r="T454" i="2"/>
  <c r="T90" i="2"/>
  <c r="T338" i="2"/>
  <c r="T665" i="2"/>
  <c r="T774" i="2"/>
  <c r="T657" i="2"/>
  <c r="T761" i="2"/>
  <c r="T756" i="2"/>
  <c r="T400" i="2"/>
  <c r="T449" i="2"/>
  <c r="T80" i="2"/>
  <c r="T419" i="2"/>
  <c r="T649" i="2"/>
  <c r="T71" i="2"/>
  <c r="T411" i="2"/>
  <c r="T36" i="2"/>
  <c r="T465" i="2"/>
  <c r="T907" i="2"/>
  <c r="T9" i="2"/>
  <c r="T297" i="2"/>
  <c r="T900" i="2"/>
  <c r="T320" i="2"/>
  <c r="T193" i="2"/>
  <c r="T619" i="2"/>
  <c r="T166" i="2"/>
  <c r="T497" i="2"/>
  <c r="T246" i="2"/>
  <c r="T470" i="2"/>
  <c r="T899" i="2"/>
  <c r="T532" i="2"/>
  <c r="T704" i="2"/>
  <c r="T364" i="2"/>
  <c r="T233" i="2"/>
  <c r="T439" i="2"/>
  <c r="T670" i="2"/>
  <c r="T157" i="2"/>
  <c r="T265" i="2"/>
  <c r="T979" i="2"/>
  <c r="T214" i="2"/>
  <c r="T865" i="2"/>
  <c r="T258" i="2"/>
  <c r="T135" i="2"/>
  <c r="T466" i="2"/>
  <c r="T493" i="2"/>
  <c r="T851" i="2"/>
  <c r="T221" i="2"/>
  <c r="T845" i="2"/>
  <c r="T477" i="2"/>
  <c r="T847" i="2"/>
  <c r="T947" i="2"/>
  <c r="T669" i="2"/>
  <c r="T948" i="2"/>
  <c r="T353" i="2"/>
  <c r="T385" i="2"/>
  <c r="T963" i="2"/>
  <c r="T829" i="2"/>
  <c r="T356" i="2"/>
  <c r="T325" i="2"/>
  <c r="T282" i="2"/>
  <c r="T867" i="2"/>
  <c r="T443" i="2"/>
  <c r="T636" i="2"/>
  <c r="T928" i="2"/>
  <c r="T894" i="2"/>
  <c r="T177" i="2"/>
  <c r="T613" i="2"/>
  <c r="T15" i="2"/>
  <c r="T779" i="2"/>
  <c r="T452" i="2"/>
  <c r="T678" i="2"/>
  <c r="T777" i="2"/>
  <c r="T762" i="2"/>
  <c r="T335" i="2"/>
  <c r="T324" i="2"/>
  <c r="T285" i="2"/>
  <c r="T874" i="2"/>
  <c r="T485" i="2"/>
  <c r="T160" i="2"/>
  <c r="T283" i="2"/>
  <c r="T536" i="2"/>
  <c r="T686" i="2"/>
  <c r="T522" i="2"/>
  <c r="T424" i="2"/>
  <c r="T223" i="2"/>
  <c r="T167" i="2"/>
  <c r="T130" i="2"/>
  <c r="T212" i="2"/>
  <c r="T175" i="2"/>
  <c r="T682" i="2"/>
  <c r="T396" i="2"/>
  <c r="T79" i="2"/>
  <c r="T878" i="2"/>
  <c r="T544" i="2"/>
  <c r="T426" i="2"/>
  <c r="T259" i="2"/>
  <c r="T721" i="2"/>
  <c r="T143" i="2"/>
  <c r="T300" i="2"/>
  <c r="T334" i="2"/>
  <c r="T154" i="2"/>
  <c r="T310" i="2"/>
  <c r="T87" i="2"/>
  <c r="T96" i="2"/>
  <c r="T824" i="2"/>
  <c r="T73" i="2"/>
  <c r="T473" i="2"/>
  <c r="T552" i="2"/>
  <c r="T701" i="2"/>
  <c r="T62" i="2"/>
  <c r="T939" i="2"/>
  <c r="T817" i="2"/>
  <c r="T447" i="2"/>
  <c r="T432" i="2"/>
  <c r="T968" i="2"/>
  <c r="T132" i="2"/>
  <c r="T578" i="2"/>
  <c r="T330" i="2"/>
  <c r="T790" i="2"/>
  <c r="T140" i="2"/>
  <c r="T322" i="2"/>
  <c r="T139" i="2"/>
  <c r="T621" i="2"/>
  <c r="T428" i="2"/>
  <c r="T858" i="2"/>
  <c r="T770" i="2"/>
  <c r="T309" i="2"/>
  <c r="T407" i="2"/>
  <c r="T495" i="2"/>
  <c r="T20" i="2"/>
  <c r="T844" i="2"/>
  <c r="T22" i="2"/>
  <c r="T168" i="2"/>
  <c r="T593" i="2"/>
  <c r="T524" i="2"/>
  <c r="T735" i="2"/>
  <c r="T825" i="2"/>
  <c r="T647" i="2"/>
  <c r="T408" i="2"/>
  <c r="T640" i="2"/>
  <c r="T430" i="2"/>
  <c r="T663" i="2"/>
  <c r="T331" i="2"/>
  <c r="T961" i="2"/>
  <c r="T389" i="2"/>
  <c r="T953" i="2"/>
  <c r="T354" i="2"/>
  <c r="T695" i="2"/>
  <c r="T231" i="2"/>
  <c r="T737" i="2"/>
  <c r="T224" i="2"/>
  <c r="T666" i="2"/>
  <c r="T63" i="2"/>
  <c r="T624" i="2"/>
  <c r="T6" i="2"/>
  <c r="T218" i="2"/>
  <c r="T183" i="2"/>
  <c r="T655" i="2"/>
  <c r="T872" i="2"/>
  <c r="T796" i="2"/>
  <c r="T141" i="2"/>
  <c r="T85" i="2"/>
  <c r="T82" i="2"/>
  <c r="T604" i="2"/>
  <c r="T457" i="2"/>
  <c r="T409" i="2"/>
  <c r="T365" i="2"/>
  <c r="T558" i="2"/>
  <c r="T970" i="2"/>
  <c r="T213" i="2"/>
  <c r="T601" i="2"/>
  <c r="T37" i="2"/>
  <c r="T243" i="2"/>
  <c r="T329" i="2"/>
  <c r="T372" i="2"/>
  <c r="T637" i="2"/>
  <c r="T490" i="2"/>
  <c r="T931" i="2"/>
  <c r="T699" i="2"/>
  <c r="T336" i="2"/>
  <c r="T855" i="2"/>
  <c r="T659" i="2"/>
  <c r="T629" i="2"/>
  <c r="T915" i="2"/>
  <c r="T107" i="2"/>
  <c r="T729" i="2"/>
  <c r="T650" i="2"/>
  <c r="T185" i="2"/>
  <c r="T121" i="2"/>
  <c r="T881" i="2"/>
  <c r="T533" i="2"/>
  <c r="T383" i="2"/>
  <c r="T56" i="2"/>
  <c r="T94" i="2"/>
  <c r="T626" i="2"/>
  <c r="T988" i="2"/>
  <c r="T694" i="2"/>
  <c r="T840" i="2"/>
  <c r="T402" i="2"/>
  <c r="T861" i="2"/>
  <c r="T959" i="2"/>
  <c r="T146" i="2"/>
  <c r="T474" i="2"/>
  <c r="T614" i="2"/>
  <c r="T118" i="2"/>
  <c r="T757" i="2"/>
  <c r="T159" i="2"/>
  <c r="T345" i="2"/>
  <c r="T923" i="2"/>
  <c r="T43" i="2"/>
  <c r="T952" i="2"/>
  <c r="T317" i="2"/>
  <c r="T684" i="2"/>
  <c r="T169" i="2"/>
  <c r="T47" i="2"/>
  <c r="T508" i="2"/>
  <c r="T355" i="2"/>
  <c r="T33" i="2"/>
  <c r="T972" i="2"/>
  <c r="T639" i="2"/>
  <c r="T772" i="2"/>
  <c r="T277" i="2"/>
  <c r="T399" i="2"/>
  <c r="T142" i="2"/>
  <c r="T299" i="2"/>
  <c r="T486" i="2"/>
  <c r="T431" i="2"/>
  <c r="T252" i="2"/>
  <c r="T927" i="2"/>
  <c r="T652" i="2"/>
  <c r="T646" i="2"/>
  <c r="T773" i="2"/>
  <c r="T156" i="2"/>
  <c r="T23" i="2"/>
  <c r="T594" i="2"/>
  <c r="T379" i="2"/>
  <c r="T446" i="2"/>
  <c r="T893" i="2"/>
  <c r="T505" i="2"/>
  <c r="T39" i="2"/>
  <c r="T467" i="2"/>
  <c r="T188" i="2"/>
  <c r="T934" i="2"/>
  <c r="T975" i="2"/>
  <c r="T17" i="2"/>
  <c r="T268" i="2"/>
  <c r="T587" i="2"/>
  <c r="T822" i="2"/>
  <c r="T838" i="2"/>
  <c r="T165" i="2"/>
  <c r="T271" i="2"/>
  <c r="T347" i="2"/>
  <c r="T795" i="2"/>
  <c r="T108" i="2"/>
  <c r="T304" i="2"/>
  <c r="T921" i="2"/>
  <c r="T620" i="2"/>
  <c r="T572" i="2"/>
  <c r="T561" i="2"/>
  <c r="T7" i="2"/>
  <c r="T549" i="2"/>
  <c r="T2" i="2"/>
  <c r="T53" i="2"/>
  <c r="T303" i="2"/>
  <c r="T908" i="2"/>
  <c r="T89" i="2"/>
  <c r="T854" i="2"/>
  <c r="T651" i="2"/>
  <c r="T748" i="2"/>
  <c r="T237" i="2"/>
  <c r="T528" i="2"/>
  <c r="T732" i="2"/>
  <c r="T206" i="2"/>
  <c r="T886" i="2"/>
  <c r="T257" i="2"/>
  <c r="T809" i="2"/>
  <c r="T563" i="2"/>
  <c r="T766" i="2"/>
  <c r="T515" i="2"/>
  <c r="T235" i="2"/>
  <c r="T608" i="2"/>
  <c r="T763" i="2"/>
  <c r="T551" i="2"/>
  <c r="T912" i="2"/>
  <c r="T64" i="2"/>
  <c r="T34" i="2"/>
  <c r="T521" i="2"/>
  <c r="T819" i="2"/>
  <c r="T469" i="2"/>
  <c r="T397" i="2"/>
  <c r="T882" i="2"/>
  <c r="T791" i="2"/>
  <c r="T606" i="2"/>
  <c r="T227" i="2"/>
  <c r="T514" i="2"/>
  <c r="T104" i="2"/>
  <c r="T634" i="2"/>
  <c r="T472" i="2"/>
  <c r="T812" i="2"/>
  <c r="T59" i="2"/>
  <c r="T287" i="2"/>
  <c r="T986" i="2"/>
  <c r="T726" i="2"/>
  <c r="T976" i="2"/>
  <c r="T261" i="2"/>
  <c r="T236" i="2"/>
  <c r="T567" i="2"/>
  <c r="T984" i="2"/>
  <c r="T412" i="2"/>
  <c r="T764" i="2"/>
  <c r="T343" i="2"/>
  <c r="T344" i="2"/>
  <c r="T69" i="2"/>
  <c r="T697" i="2"/>
  <c r="T161" i="2"/>
  <c r="T109" i="2"/>
  <c r="T560" i="2"/>
  <c r="T16" i="2"/>
  <c r="T4" i="2"/>
  <c r="T404" i="2"/>
  <c r="T74" i="2"/>
  <c r="T478" i="2"/>
  <c r="T321" i="2"/>
  <c r="T869" i="2"/>
  <c r="T433" i="2"/>
  <c r="T713" i="2"/>
  <c r="T26" i="2"/>
  <c r="T49" i="2"/>
  <c r="T313" i="2"/>
  <c r="T510" i="2"/>
  <c r="T253" i="2"/>
  <c r="T124" i="2"/>
  <c r="T885" i="2"/>
  <c r="T27" i="2"/>
  <c r="T897" i="2"/>
  <c r="T278" i="2"/>
  <c r="T711" i="2"/>
  <c r="T48" i="2"/>
  <c r="T61" i="2"/>
  <c r="T100" i="2"/>
  <c r="T393" i="2"/>
  <c r="T377" i="2"/>
  <c r="T398" i="2"/>
  <c r="T754" i="2"/>
  <c r="T938" i="2"/>
  <c r="T105" i="2"/>
  <c r="T571" i="2"/>
  <c r="T662" i="2"/>
  <c r="T76" i="2"/>
  <c r="T714" i="2"/>
  <c r="T597" i="2"/>
  <c r="T591" i="2"/>
  <c r="T958" i="2"/>
  <c r="T190" i="2"/>
  <c r="T164" i="2"/>
  <c r="T112" i="2"/>
  <c r="T920" i="2"/>
  <c r="T137" i="2"/>
  <c r="T260" i="2"/>
  <c r="T81" i="2"/>
  <c r="T498" i="2"/>
  <c r="T562" i="2"/>
  <c r="T733" i="2"/>
  <c r="T978" i="2"/>
  <c r="T406" i="2"/>
  <c r="T951" i="2"/>
  <c r="T373" i="2"/>
  <c r="T610" i="2"/>
  <c r="T305" i="2"/>
  <c r="T653" i="2"/>
  <c r="T506" i="2"/>
  <c r="T778" i="2"/>
  <c r="T602" i="2"/>
  <c r="T846" i="2"/>
  <c r="T182" i="2"/>
  <c r="T292" i="2"/>
  <c r="T556" i="2"/>
  <c r="T38" i="2"/>
  <c r="T496" i="2"/>
  <c r="T883" i="2"/>
  <c r="T197" i="2"/>
  <c r="T611" i="2"/>
  <c r="T940" i="2"/>
  <c r="T378" i="2"/>
  <c r="T850" i="2"/>
  <c r="T746" i="2"/>
  <c r="S104406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1E6AB7-8FD7-495B-AF09-E9AEF9AEBC34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2" xr16:uid="{F2ACFEA2-9D45-485B-9670-3AE9D4EFB2A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4F07F53-8F35-4DF6-AF00-D54E0CD81212}" name="WorksheetConnection_revestimientosQuery.xlsx!Ventas[Costo Material (€)]" type="102" refreshedVersion="8" minRefreshableVersion="5">
    <extLst>
      <ext xmlns:x15="http://schemas.microsoft.com/office/spreadsheetml/2010/11/main" uri="{DE250136-89BD-433C-8126-D09CA5730AF9}">
        <x15:connection id="Ventas Costo Material  €" autoDelete="1">
          <x15:rangePr sourceName="_xlcn.WorksheetConnection_revestimientosQuery.xlsxVentasCostoMaterial€1"/>
        </x15:connection>
      </ext>
    </extLst>
  </connection>
</connections>
</file>

<file path=xl/sharedStrings.xml><?xml version="1.0" encoding="utf-8"?>
<sst xmlns="http://schemas.openxmlformats.org/spreadsheetml/2006/main" count="38476" uniqueCount="85">
  <si>
    <t>Fecha</t>
  </si>
  <si>
    <t>Cliente</t>
  </si>
  <si>
    <t>ID_Cliente</t>
  </si>
  <si>
    <t>Producto</t>
  </si>
  <si>
    <t>Tipo</t>
  </si>
  <si>
    <t>Cantidad (kg/m²)</t>
  </si>
  <si>
    <t>Precio Unitario (€)</t>
  </si>
  <si>
    <t>Importe (€)</t>
  </si>
  <si>
    <t>Región</t>
  </si>
  <si>
    <t>Vendedor</t>
  </si>
  <si>
    <t>Canal</t>
  </si>
  <si>
    <t>Costo Material (€)</t>
  </si>
  <si>
    <t>Margen (%)</t>
  </si>
  <si>
    <t>Año</t>
  </si>
  <si>
    <t>Mes</t>
  </si>
  <si>
    <t>Beneficio (€)</t>
  </si>
  <si>
    <t>Rentabilidad</t>
  </si>
  <si>
    <t>Construcciones Hernández SL</t>
  </si>
  <si>
    <t>C0001</t>
  </si>
  <si>
    <t>Mortero Cementoso Gris</t>
  </si>
  <si>
    <t>MORTERO</t>
  </si>
  <si>
    <t>VALENCIA</t>
  </si>
  <si>
    <t>Marta Gómez</t>
  </si>
  <si>
    <t>ONLINE</t>
  </si>
  <si>
    <t>January</t>
  </si>
  <si>
    <t>Alta</t>
  </si>
  <si>
    <t>BARCELONA</t>
  </si>
  <si>
    <t>Ana Pérez</t>
  </si>
  <si>
    <t>DISTRIBUIDOR</t>
  </si>
  <si>
    <t>Baja</t>
  </si>
  <si>
    <t>Construcciones Costa SL</t>
  </si>
  <si>
    <t>C0002</t>
  </si>
  <si>
    <t>Mortero Monocapa Beige</t>
  </si>
  <si>
    <t>MURCIA</t>
  </si>
  <si>
    <t>Sergio León</t>
  </si>
  <si>
    <t>Construcciones García SL</t>
  </si>
  <si>
    <t>C0003</t>
  </si>
  <si>
    <t>Pladur 13mm</t>
  </si>
  <si>
    <t>PLADUR</t>
  </si>
  <si>
    <t>MADRID</t>
  </si>
  <si>
    <t>Carlos Ortega</t>
  </si>
  <si>
    <t>DIRECTO</t>
  </si>
  <si>
    <t>Construcciones López SL</t>
  </si>
  <si>
    <t>C0004</t>
  </si>
  <si>
    <t>Placa Pladur Ignífuga</t>
  </si>
  <si>
    <t>Mortero Acrílico Blanco</t>
  </si>
  <si>
    <t>ZARAGOZA</t>
  </si>
  <si>
    <t>Javier Ruiz</t>
  </si>
  <si>
    <t>Pladur Aislante 15mm</t>
  </si>
  <si>
    <t>Perlita Natural Grano Fino</t>
  </si>
  <si>
    <t>PERLITA</t>
  </si>
  <si>
    <t>Construcciones Jiménez SL</t>
  </si>
  <si>
    <t>C0005</t>
  </si>
  <si>
    <t>Perlita Expandida 40L</t>
  </si>
  <si>
    <t>SEVILLA</t>
  </si>
  <si>
    <t>MÁLAGA</t>
  </si>
  <si>
    <t>Lucía Díaz</t>
  </si>
  <si>
    <t>BILBAO</t>
  </si>
  <si>
    <t>Construcciones Torres SL</t>
  </si>
  <si>
    <t>C0006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</si>
  <si>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</si>
  <si>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</si>
  <si>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</si>
  <si>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</si>
  <si>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</si>
  <si>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</si>
  <si>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</si>
  <si>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</si>
  <si>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</si>
  <si>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</si>
  <si>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</si>
  <si>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Porcentaje Coste/Beneficio</t>
  </si>
  <si>
    <t>Margen de Rentabilidad</t>
  </si>
  <si>
    <t>Suma de Beneficio (€)</t>
  </si>
  <si>
    <t>Suma de Margen (%)</t>
  </si>
  <si>
    <t>Suma de Costo Material (€)</t>
  </si>
  <si>
    <t>Etiquetas de fila</t>
  </si>
  <si>
    <t>Total general</t>
  </si>
  <si>
    <t>Beneficio</t>
  </si>
  <si>
    <t>Suma de Precio Unitario (€)</t>
  </si>
  <si>
    <t>Trimestre</t>
  </si>
  <si>
    <t>(Todas)</t>
  </si>
  <si>
    <t>Perdidas</t>
  </si>
  <si>
    <t>Suma de Cantidad (kg/m²)</t>
  </si>
  <si>
    <t>Suma de Porcentaje Coste/Beneficio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</si>
</sst>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;[Red]0.0"/>
    <numFmt numFmtId="165" formatCode="dd/mm/yyyy;@"/>
    <numFmt numFmtId="166" formatCode="#,##0.00\ &quot;€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/>
    <xf numFmtId="0" fontId="2" fillId="0" borderId="0" xfId="0" applyFont="1"/>
    <xf numFmtId="0" fontId="0" fillId="2" borderId="0" xfId="0" applyFill="1" applyBorder="1"/>
    <xf numFmtId="165" fontId="0" fillId="0" borderId="0" xfId="0" applyNumberFormat="1"/>
    <xf numFmtId="14" fontId="0" fillId="0" borderId="0" xfId="0" applyNumberFormat="1"/>
    <xf numFmtId="165" fontId="0" fillId="0" borderId="0" xfId="0" applyNumberFormat="1" applyProtection="1">
      <protection hidden="1"/>
    </xf>
    <xf numFmtId="165" fontId="0" fillId="0" borderId="0" xfId="0" applyNumberFormat="1" applyProtection="1">
      <protection locked="0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6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0.0;[Red]0.0"/>
    </dxf>
    <dxf>
      <numFmt numFmtId="0" formatCode="General"/>
      <alignment horizontal="right" vertical="bottom" textRotation="0" wrapText="0" indent="0" justifyLastLine="0" shrinkToFit="0" readingOrder="0"/>
    </dxf>
    <dxf>
      <numFmt numFmtId="165" formatCode="dd/mm/yyyy;@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;@"/>
      <protection locked="1" hidden="1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[revestimientosQueryBueno.xlsx]Tablas dinamicas!TablaDinámica1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dinamicas'!$C$3</c:f>
              <c:strCache>
                <c:ptCount val="1"/>
                <c:pt idx="0">
                  <c:v>Suma de Beneficio (€)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60-45F5-9986-8C783A6684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60-45F5-9986-8C783A6684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60-45F5-9986-8C783A6684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60-45F5-9986-8C783A6684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60-45F5-9986-8C783A6684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60-45F5-9986-8C783A668498}"/>
              </c:ext>
            </c:extLst>
          </c:dPt>
          <c:cat>
            <c:strRef>
              <c:f>'Tablas dinamicas'!$B$4:$B$10</c:f>
              <c:strCache>
                <c:ptCount val="6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</c:strCache>
            </c:strRef>
          </c:cat>
          <c:val>
            <c:numRef>
              <c:f>'Tablas dinamicas'!$C$4:$C$10</c:f>
              <c:numCache>
                <c:formatCode>General</c:formatCode>
                <c:ptCount val="6"/>
                <c:pt idx="0">
                  <c:v>127914.26</c:v>
                </c:pt>
                <c:pt idx="1">
                  <c:v>119287.55999999991</c:v>
                </c:pt>
                <c:pt idx="2">
                  <c:v>101998.89</c:v>
                </c:pt>
                <c:pt idx="3">
                  <c:v>111048.45</c:v>
                </c:pt>
                <c:pt idx="4">
                  <c:v>133816.65000000002</c:v>
                </c:pt>
                <c:pt idx="5">
                  <c:v>119228.80999999998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60-45F5-9986-8C783A668498}"/>
            </c:ext>
          </c:extLst>
        </c:ser>
        <c:ser>
          <c:idx val="1"/>
          <c:order val="1"/>
          <c:tx>
            <c:strRef>
              <c:f>'Tablas dinamicas'!$D$3</c:f>
              <c:strCache>
                <c:ptCount val="1"/>
                <c:pt idx="0">
                  <c:v>Suma de Porcentaje Coste/Beneficio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D2-4FE4-A2C7-C071FCBEC4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BD2-4FE4-A2C7-C071FCBEC4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BD2-4FE4-A2C7-C071FCBEC4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BD2-4FE4-A2C7-C071FCBEC4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BD2-4FE4-A2C7-C071FCBEC4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BD2-4FE4-A2C7-C071FCBEC406}"/>
              </c:ext>
            </c:extLst>
          </c:dPt>
          <c:cat>
            <c:strRef>
              <c:f>'Tablas dinamicas'!$B$4:$B$10</c:f>
              <c:strCache>
                <c:ptCount val="6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</c:strCache>
            </c:strRef>
          </c:cat>
          <c:val>
            <c:numRef>
              <c:f>'Tablas dinamicas'!$D$4:$D$10</c:f>
              <c:numCache>
                <c:formatCode>General</c:formatCode>
                <c:ptCount val="6"/>
                <c:pt idx="0">
                  <c:v>568.98931199157755</c:v>
                </c:pt>
                <c:pt idx="1">
                  <c:v>490.27325164633908</c:v>
                </c:pt>
                <c:pt idx="2">
                  <c:v>550.60073665670211</c:v>
                </c:pt>
                <c:pt idx="3">
                  <c:v>518.68075934144042</c:v>
                </c:pt>
                <c:pt idx="4">
                  <c:v>530.83523105809115</c:v>
                </c:pt>
                <c:pt idx="5">
                  <c:v>440.99006850535153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11-4493-B18E-4CB9571E5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[revestimientosQueryBueno.xlsx]Tablas dinamicas!TablaDinámica2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42920485724626"/>
          <c:y val="0.14478313913678789"/>
          <c:w val="0.31240191834659409"/>
          <c:h val="0.78190064193351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dinamicas'!$G$6</c:f>
              <c:strCache>
                <c:ptCount val="1"/>
                <c:pt idx="0">
                  <c:v>Suma de Margen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dinamicas'!$F$7:$F$13</c:f>
              <c:strCache>
                <c:ptCount val="6"/>
                <c:pt idx="0">
                  <c:v>Ana Pérez</c:v>
                </c:pt>
                <c:pt idx="1">
                  <c:v>Carlos Ortega</c:v>
                </c:pt>
                <c:pt idx="2">
                  <c:v>Javier Ruiz</c:v>
                </c:pt>
                <c:pt idx="3">
                  <c:v>Lucía Díaz</c:v>
                </c:pt>
                <c:pt idx="4">
                  <c:v>Marta Gómez</c:v>
                </c:pt>
                <c:pt idx="5">
                  <c:v>Sergio León</c:v>
                </c:pt>
              </c:strCache>
            </c:strRef>
          </c:cat>
          <c:val>
            <c:numRef>
              <c:f>'Tablas dinamicas'!$G$7:$G$13</c:f>
              <c:numCache>
                <c:formatCode>General</c:formatCode>
                <c:ptCount val="6"/>
                <c:pt idx="0">
                  <c:v>3461.4</c:v>
                </c:pt>
                <c:pt idx="1">
                  <c:v>2819.9999999999995</c:v>
                </c:pt>
                <c:pt idx="2">
                  <c:v>3655.0999999999985</c:v>
                </c:pt>
                <c:pt idx="3">
                  <c:v>3293.4</c:v>
                </c:pt>
                <c:pt idx="4">
                  <c:v>3506.5000000000023</c:v>
                </c:pt>
                <c:pt idx="5">
                  <c:v>3219.4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F-4908-8E68-9BD1047458C4}"/>
            </c:ext>
          </c:extLst>
        </c:ser>
        <c:ser>
          <c:idx val="1"/>
          <c:order val="1"/>
          <c:tx>
            <c:strRef>
              <c:f>'Tablas dinamicas'!$H$6</c:f>
              <c:strCache>
                <c:ptCount val="1"/>
                <c:pt idx="0">
                  <c:v>Suma de Precio Unitario (€)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dinamicas'!$F$7:$F$13</c:f>
              <c:strCache>
                <c:ptCount val="6"/>
                <c:pt idx="0">
                  <c:v>Ana Pérez</c:v>
                </c:pt>
                <c:pt idx="1">
                  <c:v>Carlos Ortega</c:v>
                </c:pt>
                <c:pt idx="2">
                  <c:v>Javier Ruiz</c:v>
                </c:pt>
                <c:pt idx="3">
                  <c:v>Lucía Díaz</c:v>
                </c:pt>
                <c:pt idx="4">
                  <c:v>Marta Gómez</c:v>
                </c:pt>
                <c:pt idx="5">
                  <c:v>Sergio León</c:v>
                </c:pt>
              </c:strCache>
            </c:strRef>
          </c:cat>
          <c:val>
            <c:numRef>
              <c:f>'Tablas dinamicas'!$H$7:$H$13</c:f>
              <c:numCache>
                <c:formatCode>General</c:formatCode>
                <c:ptCount val="6"/>
                <c:pt idx="0">
                  <c:v>1004.7599999999999</c:v>
                </c:pt>
                <c:pt idx="1">
                  <c:v>784.16999999999985</c:v>
                </c:pt>
                <c:pt idx="2">
                  <c:v>1007.4399999999995</c:v>
                </c:pt>
                <c:pt idx="3">
                  <c:v>977.9100000000002</c:v>
                </c:pt>
                <c:pt idx="4">
                  <c:v>984.24000000000012</c:v>
                </c:pt>
                <c:pt idx="5">
                  <c:v>941.1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3B7-4122-A26A-F13F9F72005E}"/>
            </c:ext>
          </c:extLst>
        </c:ser>
        <c:ser>
          <c:idx val="2"/>
          <c:order val="2"/>
          <c:tx>
            <c:strRef>
              <c:f>'Tablas dinamicas'!$I$6</c:f>
              <c:strCache>
                <c:ptCount val="1"/>
                <c:pt idx="0">
                  <c:v>Suma de Costo Material (€)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dinamicas'!$F$7:$F$13</c:f>
              <c:strCache>
                <c:ptCount val="6"/>
                <c:pt idx="0">
                  <c:v>Ana Pérez</c:v>
                </c:pt>
                <c:pt idx="1">
                  <c:v>Carlos Ortega</c:v>
                </c:pt>
                <c:pt idx="2">
                  <c:v>Javier Ruiz</c:v>
                </c:pt>
                <c:pt idx="3">
                  <c:v>Lucía Díaz</c:v>
                </c:pt>
                <c:pt idx="4">
                  <c:v>Marta Gómez</c:v>
                </c:pt>
                <c:pt idx="5">
                  <c:v>Sergio León</c:v>
                </c:pt>
              </c:strCache>
            </c:strRef>
          </c:cat>
          <c:val>
            <c:numRef>
              <c:f>'Tablas dinamicas'!$I$7:$I$13</c:f>
              <c:numCache>
                <c:formatCode>General</c:formatCode>
                <c:ptCount val="6"/>
                <c:pt idx="0">
                  <c:v>378683.35999999987</c:v>
                </c:pt>
                <c:pt idx="1">
                  <c:v>317842.48000000004</c:v>
                </c:pt>
                <c:pt idx="2">
                  <c:v>403099.61</c:v>
                </c:pt>
                <c:pt idx="3">
                  <c:v>371840.0399999998</c:v>
                </c:pt>
                <c:pt idx="4">
                  <c:v>388877.05999999965</c:v>
                </c:pt>
                <c:pt idx="5">
                  <c:v>389498.60000000027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3B7-4122-A26A-F13F9F720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8325504"/>
        <c:axId val="1958333184"/>
      </c:barChart>
      <c:catAx>
        <c:axId val="195832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8333184"/>
        <c:crosses val="autoZero"/>
        <c:auto val="1"/>
        <c:lblAlgn val="ctr"/>
        <c:lblOffset val="100"/>
        <c:noMultiLvlLbl val="0"/>
      </c:catAx>
      <c:valAx>
        <c:axId val="195833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832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[revestimientosQueryBueno.xlsx]Tablas dinamicas!TablaDinámica1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dinamicas'!$C$3</c:f>
              <c:strCache>
                <c:ptCount val="1"/>
                <c:pt idx="0">
                  <c:v>Suma de Beneficio (€)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CB-4E62-B26D-D6774D033A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CB-4E62-B26D-D6774D033A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CB-4E62-B26D-D6774D033A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CB-4E62-B26D-D6774D033A9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CB-4E62-B26D-D6774D033A9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CB-4E62-B26D-D6774D033A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dinamicas'!$B$4:$B$10</c:f>
              <c:strCache>
                <c:ptCount val="6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</c:strCache>
            </c:strRef>
          </c:cat>
          <c:val>
            <c:numRef>
              <c:f>'Tablas dinamicas'!$C$4:$C$10</c:f>
              <c:numCache>
                <c:formatCode>General</c:formatCode>
                <c:ptCount val="6"/>
                <c:pt idx="0">
                  <c:v>127914.26</c:v>
                </c:pt>
                <c:pt idx="1">
                  <c:v>119287.55999999991</c:v>
                </c:pt>
                <c:pt idx="2">
                  <c:v>101998.89</c:v>
                </c:pt>
                <c:pt idx="3">
                  <c:v>111048.45</c:v>
                </c:pt>
                <c:pt idx="4">
                  <c:v>133816.65000000002</c:v>
                </c:pt>
                <c:pt idx="5">
                  <c:v>119228.80999999998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CB-4E62-B26D-D6774D033A99}"/>
            </c:ext>
          </c:extLst>
        </c:ser>
        <c:ser>
          <c:idx val="1"/>
          <c:order val="1"/>
          <c:tx>
            <c:strRef>
              <c:f>'Tablas dinamicas'!$D$3</c:f>
              <c:strCache>
                <c:ptCount val="1"/>
                <c:pt idx="0">
                  <c:v>Suma de Porcentaje Coste/Beneficio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EF1-4F0A-A0C2-F5229A465F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EF1-4F0A-A0C2-F5229A465F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EF1-4F0A-A0C2-F5229A465F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2EF1-4F0A-A0C2-F5229A465F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2EF1-4F0A-A0C2-F5229A465FA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2EF1-4F0A-A0C2-F5229A465F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dinamicas'!$B$4:$B$10</c:f>
              <c:strCache>
                <c:ptCount val="6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</c:strCache>
            </c:strRef>
          </c:cat>
          <c:val>
            <c:numRef>
              <c:f>'Tablas dinamicas'!$D$4:$D$10</c:f>
              <c:numCache>
                <c:formatCode>General</c:formatCode>
                <c:ptCount val="6"/>
                <c:pt idx="0">
                  <c:v>568.98931199157755</c:v>
                </c:pt>
                <c:pt idx="1">
                  <c:v>490.27325164633908</c:v>
                </c:pt>
                <c:pt idx="2">
                  <c:v>550.60073665670211</c:v>
                </c:pt>
                <c:pt idx="3">
                  <c:v>518.68075934144042</c:v>
                </c:pt>
                <c:pt idx="4">
                  <c:v>530.83523105809115</c:v>
                </c:pt>
                <c:pt idx="5">
                  <c:v>440.99006850535153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54-483B-AFB7-2622332B57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[revestimientosQueryBueno.xlsx]Tablas dinamicas!TablaDinámica2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dinamicas'!$G$6</c:f>
              <c:strCache>
                <c:ptCount val="1"/>
                <c:pt idx="0">
                  <c:v>Suma de Margen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dinamicas'!$F$7:$F$13</c:f>
              <c:strCache>
                <c:ptCount val="6"/>
                <c:pt idx="0">
                  <c:v>Ana Pérez</c:v>
                </c:pt>
                <c:pt idx="1">
                  <c:v>Carlos Ortega</c:v>
                </c:pt>
                <c:pt idx="2">
                  <c:v>Javier Ruiz</c:v>
                </c:pt>
                <c:pt idx="3">
                  <c:v>Lucía Díaz</c:v>
                </c:pt>
                <c:pt idx="4">
                  <c:v>Marta Gómez</c:v>
                </c:pt>
                <c:pt idx="5">
                  <c:v>Sergio León</c:v>
                </c:pt>
              </c:strCache>
            </c:strRef>
          </c:cat>
          <c:val>
            <c:numRef>
              <c:f>'Tablas dinamicas'!$G$7:$G$13</c:f>
              <c:numCache>
                <c:formatCode>General</c:formatCode>
                <c:ptCount val="6"/>
                <c:pt idx="0">
                  <c:v>3461.4</c:v>
                </c:pt>
                <c:pt idx="1">
                  <c:v>2819.9999999999995</c:v>
                </c:pt>
                <c:pt idx="2">
                  <c:v>3655.0999999999985</c:v>
                </c:pt>
                <c:pt idx="3">
                  <c:v>3293.4</c:v>
                </c:pt>
                <c:pt idx="4">
                  <c:v>3506.5000000000023</c:v>
                </c:pt>
                <c:pt idx="5">
                  <c:v>3219.4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E-47B8-8E41-D2A9A094419E}"/>
            </c:ext>
          </c:extLst>
        </c:ser>
        <c:ser>
          <c:idx val="1"/>
          <c:order val="1"/>
          <c:tx>
            <c:strRef>
              <c:f>'Tablas dinamicas'!$H$6</c:f>
              <c:strCache>
                <c:ptCount val="1"/>
                <c:pt idx="0">
                  <c:v>Suma de Precio Unitario (€)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dinamicas'!$F$7:$F$13</c:f>
              <c:strCache>
                <c:ptCount val="6"/>
                <c:pt idx="0">
                  <c:v>Ana Pérez</c:v>
                </c:pt>
                <c:pt idx="1">
                  <c:v>Carlos Ortega</c:v>
                </c:pt>
                <c:pt idx="2">
                  <c:v>Javier Ruiz</c:v>
                </c:pt>
                <c:pt idx="3">
                  <c:v>Lucía Díaz</c:v>
                </c:pt>
                <c:pt idx="4">
                  <c:v>Marta Gómez</c:v>
                </c:pt>
                <c:pt idx="5">
                  <c:v>Sergio León</c:v>
                </c:pt>
              </c:strCache>
            </c:strRef>
          </c:cat>
          <c:val>
            <c:numRef>
              <c:f>'Tablas dinamicas'!$H$7:$H$13</c:f>
              <c:numCache>
                <c:formatCode>General</c:formatCode>
                <c:ptCount val="6"/>
                <c:pt idx="0">
                  <c:v>1004.7599999999999</c:v>
                </c:pt>
                <c:pt idx="1">
                  <c:v>784.16999999999985</c:v>
                </c:pt>
                <c:pt idx="2">
                  <c:v>1007.4399999999995</c:v>
                </c:pt>
                <c:pt idx="3">
                  <c:v>977.9100000000002</c:v>
                </c:pt>
                <c:pt idx="4">
                  <c:v>984.24000000000012</c:v>
                </c:pt>
                <c:pt idx="5">
                  <c:v>941.1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08D-4C9F-84E8-2C5D3AD0A231}"/>
            </c:ext>
          </c:extLst>
        </c:ser>
        <c:ser>
          <c:idx val="2"/>
          <c:order val="2"/>
          <c:tx>
            <c:strRef>
              <c:f>'Tablas dinamicas'!$I$6</c:f>
              <c:strCache>
                <c:ptCount val="1"/>
                <c:pt idx="0">
                  <c:v>Suma de Costo Material (€)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dinamicas'!$F$7:$F$13</c:f>
              <c:strCache>
                <c:ptCount val="6"/>
                <c:pt idx="0">
                  <c:v>Ana Pérez</c:v>
                </c:pt>
                <c:pt idx="1">
                  <c:v>Carlos Ortega</c:v>
                </c:pt>
                <c:pt idx="2">
                  <c:v>Javier Ruiz</c:v>
                </c:pt>
                <c:pt idx="3">
                  <c:v>Lucía Díaz</c:v>
                </c:pt>
                <c:pt idx="4">
                  <c:v>Marta Gómez</c:v>
                </c:pt>
                <c:pt idx="5">
                  <c:v>Sergio León</c:v>
                </c:pt>
              </c:strCache>
            </c:strRef>
          </c:cat>
          <c:val>
            <c:numRef>
              <c:f>'Tablas dinamicas'!$I$7:$I$13</c:f>
              <c:numCache>
                <c:formatCode>General</c:formatCode>
                <c:ptCount val="6"/>
                <c:pt idx="0">
                  <c:v>378683.35999999987</c:v>
                </c:pt>
                <c:pt idx="1">
                  <c:v>317842.48000000004</c:v>
                </c:pt>
                <c:pt idx="2">
                  <c:v>403099.61</c:v>
                </c:pt>
                <c:pt idx="3">
                  <c:v>371840.0399999998</c:v>
                </c:pt>
                <c:pt idx="4">
                  <c:v>388877.05999999965</c:v>
                </c:pt>
                <c:pt idx="5">
                  <c:v>389498.60000000027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08D-4C9F-84E8-2C5D3AD0A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8325504"/>
        <c:axId val="1958333184"/>
      </c:barChart>
      <c:catAx>
        <c:axId val="195832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8333184"/>
        <c:crosses val="autoZero"/>
        <c:auto val="1"/>
        <c:lblAlgn val="ctr"/>
        <c:lblOffset val="100"/>
        <c:noMultiLvlLbl val="0"/>
      </c:catAx>
      <c:valAx>
        <c:axId val="195833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832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11</xdr:row>
      <xdr:rowOff>104775</xdr:rowOff>
    </xdr:from>
    <xdr:to>
      <xdr:col>3</xdr:col>
      <xdr:colOff>1371601</xdr:colOff>
      <xdr:row>23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8D4C7D-5526-428F-BA4A-964EB7548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1276350</xdr:colOff>
      <xdr:row>14</xdr:row>
      <xdr:rowOff>38100</xdr:rowOff>
    </xdr:from>
    <xdr:to>
      <xdr:col>9</xdr:col>
      <xdr:colOff>0</xdr:colOff>
      <xdr:row>31</xdr:row>
      <xdr:rowOff>133349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2B1E4F-602B-4612-8BCA-0D43894AF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4</xdr:row>
      <xdr:rowOff>123824</xdr:rowOff>
    </xdr:from>
    <xdr:to>
      <xdr:col>9</xdr:col>
      <xdr:colOff>57151</xdr:colOff>
      <xdr:row>11</xdr:row>
      <xdr:rowOff>138111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952B3D-8419-C96A-3ED4-651C687CA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438150</xdr:colOff>
      <xdr:row>4</xdr:row>
      <xdr:rowOff>114300</xdr:rowOff>
    </xdr:from>
    <xdr:to>
      <xdr:col>18</xdr:col>
      <xdr:colOff>419099</xdr:colOff>
      <xdr:row>16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DA7202-68BC-F03C-E12D-CC22D68BD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47624</xdr:colOff>
      <xdr:row>1</xdr:row>
      <xdr:rowOff>114300</xdr:rowOff>
    </xdr:from>
    <xdr:to>
      <xdr:col>18</xdr:col>
      <xdr:colOff>323849</xdr:colOff>
      <xdr:row>1</xdr:row>
      <xdr:rowOff>742950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92F921F-7ADC-272A-3045-A45C6E300A3B}"/>
            </a:ext>
          </a:extLst>
        </xdr:cNvPr>
        <xdr:cNvSpPr txBox="1"/>
      </xdr:nvSpPr>
      <xdr:spPr>
        <a:xfrm>
          <a:off x="2333624" y="304800"/>
          <a:ext cx="11706225" cy="6286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4000">
              <a:solidFill>
                <a:schemeClr val="accent2">
                  <a:lumMod val="50000"/>
                </a:schemeClr>
              </a:solidFill>
            </a:rPr>
            <a:t>Relación</a:t>
          </a:r>
          <a:r>
            <a:rPr lang="es-ES" sz="4000" baseline="0">
              <a:solidFill>
                <a:schemeClr val="accent2">
                  <a:lumMod val="50000"/>
                </a:schemeClr>
              </a:solidFill>
            </a:rPr>
            <a:t> Margen/Beneficio</a:t>
          </a:r>
          <a:endParaRPr lang="es-ES" sz="40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oneCellAnchor>
    <xdr:from>
      <xdr:col>12</xdr:col>
      <xdr:colOff>219075</xdr:colOff>
      <xdr:row>2</xdr:row>
      <xdr:rowOff>76200</xdr:rowOff>
    </xdr:from>
    <xdr:ext cx="1457325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8DB348A-1373-D7A3-3ADB-8327904CF18F}"/>
            </a:ext>
          </a:extLst>
        </xdr:cNvPr>
        <xdr:cNvSpPr txBox="1"/>
      </xdr:nvSpPr>
      <xdr:spPr>
        <a:xfrm>
          <a:off x="9363075" y="1104900"/>
          <a:ext cx="1457325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100"/>
            <a:t> Costo</a:t>
          </a:r>
          <a:r>
            <a:rPr lang="es-ES" sz="1100" baseline="0"/>
            <a:t> Material</a:t>
          </a:r>
        </a:p>
      </xdr:txBody>
    </xdr:sp>
    <xdr:clientData/>
  </xdr:oneCellAnchor>
  <xdr:oneCellAnchor>
    <xdr:from>
      <xdr:col>3</xdr:col>
      <xdr:colOff>47625</xdr:colOff>
      <xdr:row>2</xdr:row>
      <xdr:rowOff>95250</xdr:rowOff>
    </xdr:from>
    <xdr:ext cx="1457325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CF4A529-897D-4BDC-9E8B-914DB688C2EF}"/>
            </a:ext>
          </a:extLst>
        </xdr:cNvPr>
        <xdr:cNvSpPr txBox="1"/>
      </xdr:nvSpPr>
      <xdr:spPr>
        <a:xfrm>
          <a:off x="2333625" y="1123950"/>
          <a:ext cx="1457325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100"/>
            <a:t> Beneficio</a:t>
          </a:r>
          <a:endParaRPr lang="es-ES" sz="1100" baseline="0"/>
        </a:p>
      </xdr:txBody>
    </xdr:sp>
    <xdr:clientData/>
  </xdr:oneCellAnchor>
  <xdr:oneCellAnchor>
    <xdr:from>
      <xdr:col>16</xdr:col>
      <xdr:colOff>476251</xdr:colOff>
      <xdr:row>2</xdr:row>
      <xdr:rowOff>85725</xdr:rowOff>
    </xdr:from>
    <xdr:ext cx="1371600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E72E028-6731-4431-8D13-EFE9DACE4B71}"/>
            </a:ext>
          </a:extLst>
        </xdr:cNvPr>
        <xdr:cNvSpPr txBox="1"/>
      </xdr:nvSpPr>
      <xdr:spPr>
        <a:xfrm>
          <a:off x="12668251" y="1114425"/>
          <a:ext cx="1371600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100"/>
            <a:t> Margen</a:t>
          </a:r>
        </a:p>
      </xdr:txBody>
    </xdr:sp>
    <xdr:clientData/>
  </xdr:oneCellAnchor>
  <xdr:oneCellAnchor>
    <xdr:from>
      <xdr:col>12</xdr:col>
      <xdr:colOff>219075</xdr:colOff>
      <xdr:row>2</xdr:row>
      <xdr:rowOff>571500</xdr:rowOff>
    </xdr:from>
    <xdr:ext cx="1457325" cy="264560"/>
    <xdr:sp macro="" textlink="'Tablas dinamicas'!$B$45">
      <xdr:nvSpPr>
        <xdr:cNvPr id="9" name="CuadroTexto 8">
          <a:extLst>
            <a:ext uri="{FF2B5EF4-FFF2-40B4-BE49-F238E27FC236}">
              <a16:creationId xmlns:a16="http://schemas.microsoft.com/office/drawing/2014/main" id="{DEEC6C33-1AC7-474B-BA4B-1815BF5013CB}"/>
            </a:ext>
          </a:extLst>
        </xdr:cNvPr>
        <xdr:cNvSpPr txBox="1"/>
      </xdr:nvSpPr>
      <xdr:spPr>
        <a:xfrm>
          <a:off x="9363075" y="1600200"/>
          <a:ext cx="1457325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A3F5C011-1CDD-4855-881B-E7E3B0358BCF}" type="TxLink"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pPr algn="ctr"/>
            <a:t>2.249.841,15 €</a:t>
          </a:fld>
          <a:endParaRPr lang="es-ES" sz="1100" baseline="0"/>
        </a:p>
      </xdr:txBody>
    </xdr:sp>
    <xdr:clientData/>
  </xdr:oneCellAnchor>
  <xdr:oneCellAnchor>
    <xdr:from>
      <xdr:col>3</xdr:col>
      <xdr:colOff>38100</xdr:colOff>
      <xdr:row>2</xdr:row>
      <xdr:rowOff>561975</xdr:rowOff>
    </xdr:from>
    <xdr:ext cx="1524000" cy="264560"/>
    <xdr:sp macro="" textlink="'Tablas dinamicas'!$D$45">
      <xdr:nvSpPr>
        <xdr:cNvPr id="10" name="CuadroTexto 9">
          <a:extLst>
            <a:ext uri="{FF2B5EF4-FFF2-40B4-BE49-F238E27FC236}">
              <a16:creationId xmlns:a16="http://schemas.microsoft.com/office/drawing/2014/main" id="{70C66653-6368-400E-866C-BCC38C45389C}"/>
            </a:ext>
          </a:extLst>
        </xdr:cNvPr>
        <xdr:cNvSpPr txBox="1"/>
      </xdr:nvSpPr>
      <xdr:spPr>
        <a:xfrm>
          <a:off x="2324100" y="1590675"/>
          <a:ext cx="1524000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B40E4BB9-069F-40D9-98B7-F54EAB88BEFE}" type="TxLink"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pPr algn="ctr"/>
            <a:t>713.294,62 €</a:t>
          </a:fld>
          <a:endParaRPr lang="es-ES" sz="1100" baseline="0"/>
        </a:p>
      </xdr:txBody>
    </xdr:sp>
    <xdr:clientData/>
  </xdr:oneCellAnchor>
  <xdr:oneCellAnchor>
    <xdr:from>
      <xdr:col>16</xdr:col>
      <xdr:colOff>504826</xdr:colOff>
      <xdr:row>2</xdr:row>
      <xdr:rowOff>561975</xdr:rowOff>
    </xdr:from>
    <xdr:ext cx="1352550" cy="264560"/>
    <xdr:sp macro="" textlink="'Tablas dinamicas'!$E$45">
      <xdr:nvSpPr>
        <xdr:cNvPr id="11" name="CuadroTexto 10">
          <a:extLst>
            <a:ext uri="{FF2B5EF4-FFF2-40B4-BE49-F238E27FC236}">
              <a16:creationId xmlns:a16="http://schemas.microsoft.com/office/drawing/2014/main" id="{25F56A8C-90DD-4846-B07B-EF9433F5A5D1}"/>
            </a:ext>
          </a:extLst>
        </xdr:cNvPr>
        <xdr:cNvSpPr txBox="1"/>
      </xdr:nvSpPr>
      <xdr:spPr>
        <a:xfrm>
          <a:off x="12696826" y="1590675"/>
          <a:ext cx="1352550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14D22C7C-740D-4513-A9A1-951C2839FA54}" type="TxLink"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pPr algn="ctr"/>
            <a:t>19955,8</a:t>
          </a:fld>
          <a:endParaRPr lang="es-ES" sz="1100" baseline="0"/>
        </a:p>
      </xdr:txBody>
    </xdr:sp>
    <xdr:clientData/>
  </xdr:oneCellAnchor>
  <xdr:twoCellAnchor editAs="oneCell">
    <xdr:from>
      <xdr:col>8</xdr:col>
      <xdr:colOff>581024</xdr:colOff>
      <xdr:row>2</xdr:row>
      <xdr:rowOff>85725</xdr:rowOff>
    </xdr:from>
    <xdr:to>
      <xdr:col>11</xdr:col>
      <xdr:colOff>628650</xdr:colOff>
      <xdr:row>3</xdr:row>
      <xdr:rowOff>571500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ño">
              <a:extLst>
                <a:ext uri="{FF2B5EF4-FFF2-40B4-BE49-F238E27FC236}">
                  <a16:creationId xmlns:a16="http://schemas.microsoft.com/office/drawing/2014/main" id="{CB17D767-EF72-40EA-8C3D-AEE099F694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7024" y="1114425"/>
              <a:ext cx="2333626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6</xdr:col>
      <xdr:colOff>19050</xdr:colOff>
      <xdr:row>2</xdr:row>
      <xdr:rowOff>85725</xdr:rowOff>
    </xdr:from>
    <xdr:ext cx="1457325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850112D-DC00-4805-9338-B641AA67E863}"/>
            </a:ext>
          </a:extLst>
        </xdr:cNvPr>
        <xdr:cNvSpPr txBox="1"/>
      </xdr:nvSpPr>
      <xdr:spPr>
        <a:xfrm>
          <a:off x="4591050" y="1114425"/>
          <a:ext cx="1457325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100"/>
            <a:t>Cantidad</a:t>
          </a:r>
          <a:r>
            <a:rPr lang="es-ES" sz="1100" baseline="0"/>
            <a:t> kg/m2</a:t>
          </a:r>
        </a:p>
      </xdr:txBody>
    </xdr:sp>
    <xdr:clientData/>
  </xdr:oneCellAnchor>
  <xdr:oneCellAnchor>
    <xdr:from>
      <xdr:col>14</xdr:col>
      <xdr:colOff>371475</xdr:colOff>
      <xdr:row>2</xdr:row>
      <xdr:rowOff>85725</xdr:rowOff>
    </xdr:from>
    <xdr:ext cx="1457325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7E15D18-CC05-42DB-839A-5FEB0BED8F59}"/>
            </a:ext>
          </a:extLst>
        </xdr:cNvPr>
        <xdr:cNvSpPr txBox="1"/>
      </xdr:nvSpPr>
      <xdr:spPr>
        <a:xfrm>
          <a:off x="11039475" y="1114425"/>
          <a:ext cx="1457325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100"/>
            <a:t> Precio Unitario</a:t>
          </a:r>
        </a:p>
      </xdr:txBody>
    </xdr:sp>
    <xdr:clientData/>
  </xdr:oneCellAnchor>
  <xdr:oneCellAnchor>
    <xdr:from>
      <xdr:col>14</xdr:col>
      <xdr:colOff>428625</xdr:colOff>
      <xdr:row>2</xdr:row>
      <xdr:rowOff>561975</xdr:rowOff>
    </xdr:from>
    <xdr:ext cx="1457325" cy="264560"/>
    <xdr:sp macro="" textlink="'Tablas dinamicas'!$G$45">
      <xdr:nvSpPr>
        <xdr:cNvPr id="14" name="CuadroTexto 13">
          <a:extLst>
            <a:ext uri="{FF2B5EF4-FFF2-40B4-BE49-F238E27FC236}">
              <a16:creationId xmlns:a16="http://schemas.microsoft.com/office/drawing/2014/main" id="{98FB17A3-F767-4C05-88CC-23D5FE19E79E}"/>
            </a:ext>
          </a:extLst>
        </xdr:cNvPr>
        <xdr:cNvSpPr txBox="1"/>
      </xdr:nvSpPr>
      <xdr:spPr>
        <a:xfrm>
          <a:off x="11096625" y="1590675"/>
          <a:ext cx="1457325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31CA09C0-5771-4103-9DC4-DF9EBBCA8E7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5.699,62 €</a:t>
          </a:fld>
          <a:endParaRPr lang="es-ES" sz="1100"/>
        </a:p>
      </xdr:txBody>
    </xdr:sp>
    <xdr:clientData/>
  </xdr:oneCellAnchor>
  <xdr:oneCellAnchor>
    <xdr:from>
      <xdr:col>6</xdr:col>
      <xdr:colOff>19050</xdr:colOff>
      <xdr:row>2</xdr:row>
      <xdr:rowOff>561975</xdr:rowOff>
    </xdr:from>
    <xdr:ext cx="1457325" cy="264560"/>
    <xdr:sp macro="" textlink="'Tablas dinamicas'!$I$45">
      <xdr:nvSpPr>
        <xdr:cNvPr id="15" name="CuadroTexto 14">
          <a:extLst>
            <a:ext uri="{FF2B5EF4-FFF2-40B4-BE49-F238E27FC236}">
              <a16:creationId xmlns:a16="http://schemas.microsoft.com/office/drawing/2014/main" id="{DE5DD5B5-5F0C-4BA9-8BD2-5F650BA28070}"/>
            </a:ext>
          </a:extLst>
        </xdr:cNvPr>
        <xdr:cNvSpPr txBox="1"/>
      </xdr:nvSpPr>
      <xdr:spPr>
        <a:xfrm>
          <a:off x="4591050" y="1590675"/>
          <a:ext cx="1457325" cy="264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B13E8EF7-87B0-4328-A4AC-30938633F2E5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425.066,00 €</a:t>
          </a:fld>
          <a:endParaRPr lang="es-E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5.618222106481" createdVersion="8" refreshedVersion="8" minRefreshableVersion="3" recordCount="993" xr:uid="{8A267523-65C5-4F21-A74C-AFD93321A5A6}">
  <cacheSource type="worksheet">
    <worksheetSource name="Ventas"/>
  </cacheSource>
  <cacheFields count="20">
    <cacheField name="Fecha" numFmtId="165">
      <sharedItems containsSemiMixedTypes="0" containsNonDate="0" containsDate="1" containsString="0" minDate="2023-01-01T00:00:00" maxDate="2025-10-31T00:00:00"/>
    </cacheField>
    <cacheField name="Cliente" numFmtId="0">
      <sharedItems/>
    </cacheField>
    <cacheField name="ID_Cliente" numFmtId="0">
      <sharedItems containsBlank="1" count="7">
        <s v="C0001"/>
        <s v="C0005"/>
        <s v="C0006"/>
        <s v="C0002"/>
        <s v="C0003"/>
        <s v="C0004"/>
        <m u="1"/>
      </sharedItems>
    </cacheField>
    <cacheField name="Producto" numFmtId="0">
      <sharedItems/>
    </cacheField>
    <cacheField name="Tipo" numFmtId="0">
      <sharedItems/>
    </cacheField>
    <cacheField name="Cantidad (kg/m²)" numFmtId="0">
      <sharedItems containsSemiMixedTypes="0" containsString="0" containsNumber="1" containsInteger="1" minValue="50" maxValue="996"/>
    </cacheField>
    <cacheField name="Precio Unitario (€)" numFmtId="0">
      <sharedItems containsSemiMixedTypes="0" containsString="0" containsNumber="1" minValue="2" maxValue="12"/>
    </cacheField>
    <cacheField name="Importe (€)" numFmtId="0">
      <sharedItems containsSemiMixedTypes="0" containsString="0" containsNumber="1" minValue="133.97999999999999" maxValue="11806.6"/>
    </cacheField>
    <cacheField name="Región" numFmtId="0">
      <sharedItems/>
    </cacheField>
    <cacheField name="Vendedor" numFmtId="0">
      <sharedItems containsBlank="1" count="7">
        <s v="Javier Ruiz"/>
        <s v="Sergio León"/>
        <s v="Ana Pérez"/>
        <s v="Carlos Ortega"/>
        <s v="Marta Gómez"/>
        <s v="Lucía Díaz"/>
        <m u="1"/>
      </sharedItems>
    </cacheField>
    <cacheField name="Canal" numFmtId="0">
      <sharedItems/>
    </cacheField>
    <cacheField name="Costo Material (€)" numFmtId="0">
      <sharedItems containsSemiMixedTypes="0" containsString="0" containsNumber="1" minValue="86.52" maxValue="9426.07"/>
    </cacheField>
    <cacheField name="Margen (%)" numFmtId="0">
      <sharedItems containsSemiMixedTypes="0" containsString="0" containsNumber="1" minValue="10" maxValue="40"/>
    </cacheField>
    <cacheField name="Año" numFmtId="0">
      <sharedItems containsSemiMixedTypes="0" containsString="0" containsNumber="1" containsInteger="1" minValue="2023" maxValue="2025" count="3">
        <n v="2024"/>
        <n v="2023"/>
        <n v="2025"/>
      </sharedItems>
    </cacheField>
    <cacheField name="Trimestre" numFmtId="0">
      <sharedItems containsSemiMixedTypes="0" containsString="0" containsNumber="1" containsInteger="1" minValue="1" maxValue="4"/>
    </cacheField>
    <cacheField name="Mes" numFmtId="14">
      <sharedItems/>
    </cacheField>
    <cacheField name="Beneficio (€)" numFmtId="0">
      <sharedItems containsSemiMixedTypes="0" containsString="0" containsNumber="1" minValue="21.35" maxValue="4182.34" count="992">
        <n v="4182.34"/>
        <n v="3883.89"/>
        <n v="3803.13"/>
        <n v="3552.97"/>
        <n v="3505.12"/>
        <n v="3428.43"/>
        <n v="3408.15"/>
        <n v="3341.43"/>
        <n v="3329.79"/>
        <n v="3304.27"/>
        <n v="3249.29"/>
        <n v="3231.97"/>
        <n v="3135.85"/>
        <n v="3133.24"/>
        <n v="3058.73"/>
        <n v="3053.43"/>
        <n v="3013.09"/>
        <n v="2991.21"/>
        <n v="2984.13"/>
        <n v="2909.25"/>
        <n v="2895.05"/>
        <n v="2886.61"/>
        <n v="2883.17"/>
        <n v="2880.71"/>
        <n v="2879.82"/>
        <n v="2870.6"/>
        <n v="2831.02"/>
        <n v="2825.74"/>
        <n v="2825.61"/>
        <n v="2814.54"/>
        <n v="2777.36"/>
        <n v="2749.46"/>
        <n v="2728.85"/>
        <n v="2718.47"/>
        <n v="2706.27"/>
        <n v="2672.19"/>
        <n v="2661.72"/>
        <n v="2618.9699999999998"/>
        <n v="2575.11"/>
        <n v="2548.34"/>
        <n v="2525.6799999999998"/>
        <n v="2525.6"/>
        <n v="2516.85"/>
        <n v="2510.61"/>
        <n v="2502.9699999999998"/>
        <n v="2498.0500000000002"/>
        <n v="2480.9899999999998"/>
        <n v="2432.12"/>
        <n v="2380.36"/>
        <n v="2370.56"/>
        <n v="2366.4"/>
        <n v="2332.62"/>
        <n v="2319.71"/>
        <n v="2318.61"/>
        <n v="2283.44"/>
        <n v="2275.2399999999998"/>
        <n v="2259.1999999999998"/>
        <n v="2254.6799999999998"/>
        <n v="2220.46"/>
        <n v="2218.67"/>
        <n v="2192.4299999999998"/>
        <n v="2181.2800000000002"/>
        <n v="2176.39"/>
        <n v="2163.2399999999998"/>
        <n v="2161.25"/>
        <n v="2147.31"/>
        <n v="2146.83"/>
        <n v="2141.4899999999998"/>
        <n v="2139.61"/>
        <n v="2135.19"/>
        <n v="2132.39"/>
        <n v="2128.48"/>
        <n v="2122.9899999999998"/>
        <n v="2118.8200000000002"/>
        <n v="2109.02"/>
        <n v="2093.52"/>
        <n v="2087.79"/>
        <n v="2086.13"/>
        <n v="2080.4499999999998"/>
        <n v="2076.83"/>
        <n v="2056.86"/>
        <n v="2042.26"/>
        <n v="2042.08"/>
        <n v="2041.83"/>
        <n v="2040.3"/>
        <n v="2029.25"/>
        <n v="2021.77"/>
        <n v="2019.42"/>
        <n v="2015.55"/>
        <n v="2012.58"/>
        <n v="2003.37"/>
        <n v="1986.8"/>
        <n v="1978.62"/>
        <n v="1960.2"/>
        <n v="1958.88"/>
        <n v="1956.26"/>
        <n v="1955.69"/>
        <n v="1955.21"/>
        <n v="1955.1"/>
        <n v="1954.62"/>
        <n v="1946.52"/>
        <n v="1942.65"/>
        <n v="1941.75"/>
        <n v="1910.51"/>
        <n v="1901.42"/>
        <n v="1893.38"/>
        <n v="1882.76"/>
        <n v="1869.02"/>
        <n v="1845.02"/>
        <n v="1830.52"/>
        <n v="1829.04"/>
        <n v="1825.78"/>
        <n v="1821.48"/>
        <n v="1819.03"/>
        <n v="1815.91"/>
        <n v="1809.95"/>
        <n v="1809.12"/>
        <n v="1809.03"/>
        <n v="1807.55"/>
        <n v="1800.4"/>
        <n v="1792.59"/>
        <n v="1783.3"/>
        <n v="1783.11"/>
        <n v="1778.53"/>
        <n v="1773.43"/>
        <n v="1759.88"/>
        <n v="1752.59"/>
        <n v="1745.37"/>
        <n v="1741.76"/>
        <n v="1741.36"/>
        <n v="1734.39"/>
        <n v="1733.03"/>
        <n v="1732.03"/>
        <n v="1718.87"/>
        <n v="1711.56"/>
        <n v="1709.84"/>
        <n v="1708.21"/>
        <n v="1702.08"/>
        <n v="1700.82"/>
        <n v="1697.97"/>
        <n v="1696.58"/>
        <n v="1694.65"/>
        <n v="1689.75"/>
        <n v="1688.84"/>
        <n v="1683.36"/>
        <n v="1681.89"/>
        <n v="1673.6"/>
        <n v="1669.21"/>
        <n v="1662.79"/>
        <n v="1653.67"/>
        <n v="1647.49"/>
        <n v="1646.35"/>
        <n v="1641.5"/>
        <n v="1635.54"/>
        <n v="1635.51"/>
        <n v="1625.95"/>
        <n v="1607.02"/>
        <n v="1595.84"/>
        <n v="1595.31"/>
        <n v="1588.52"/>
        <n v="1583.52"/>
        <n v="1579.9"/>
        <n v="1571.59"/>
        <n v="1570.84"/>
        <n v="1565.95"/>
        <n v="1564.74"/>
        <n v="1558.8"/>
        <n v="1557.84"/>
        <n v="1543.12"/>
        <n v="1536.53"/>
        <n v="1535.82"/>
        <n v="1530.12"/>
        <n v="1528.06"/>
        <n v="1523.75"/>
        <n v="1518.76"/>
        <n v="1518.11"/>
        <n v="1509.36"/>
        <n v="1500.59"/>
        <n v="1491.82"/>
        <n v="1490.94"/>
        <n v="1479.52"/>
        <n v="1474.42"/>
        <n v="1463.63"/>
        <n v="1462.23"/>
        <n v="1454.74"/>
        <n v="1452.25"/>
        <n v="1449.33"/>
        <n v="1443.25"/>
        <n v="1438.28"/>
        <n v="1436.8"/>
        <n v="1429.23"/>
        <n v="1419.94"/>
        <n v="1416.16"/>
        <n v="1407.57"/>
        <n v="1404.99"/>
        <n v="1403.57"/>
        <n v="1403.33"/>
        <n v="1392.67"/>
        <n v="1391.7"/>
        <n v="1389.67"/>
        <n v="1382.22"/>
        <n v="1374.19"/>
        <n v="1370.9"/>
        <n v="1366.28"/>
        <n v="1364.41"/>
        <n v="1363.51"/>
        <n v="1355.48"/>
        <n v="1346.15"/>
        <n v="1342.73"/>
        <n v="1342.69"/>
        <n v="1340.66"/>
        <n v="1339.98"/>
        <n v="1331.05"/>
        <n v="1329.4"/>
        <n v="1322.23"/>
        <n v="1321.99"/>
        <n v="1321.3"/>
        <n v="1317.84"/>
        <n v="1316.65"/>
        <n v="1313.17"/>
        <n v="1312.14"/>
        <n v="1308.9000000000001"/>
        <n v="1300.07"/>
        <n v="1299.78"/>
        <n v="1298.6300000000001"/>
        <n v="1297.06"/>
        <n v="1289.28"/>
        <n v="1288.29"/>
        <n v="1287.4100000000001"/>
        <n v="1284.32"/>
        <n v="1283.8699999999999"/>
        <n v="1283.83"/>
        <n v="1282.28"/>
        <n v="1282.04"/>
        <n v="1281.1400000000001"/>
        <n v="1279.29"/>
        <n v="1266.74"/>
        <n v="1266.52"/>
        <n v="1264.02"/>
        <n v="1262.08"/>
        <n v="1260.97"/>
        <n v="1256.28"/>
        <n v="1253.1400000000001"/>
        <n v="1249.5999999999999"/>
        <n v="1240.92"/>
        <n v="1240.72"/>
        <n v="1240.42"/>
        <n v="1239.98"/>
        <n v="1235.5"/>
        <n v="1235.3399999999999"/>
        <n v="1231.57"/>
        <n v="1231.23"/>
        <n v="1230.3800000000001"/>
        <n v="1227.6400000000001"/>
        <n v="1227.44"/>
        <n v="1225.43"/>
        <n v="1223.44"/>
        <n v="1222.3699999999999"/>
        <n v="1222.08"/>
        <n v="1221.26"/>
        <n v="1215.5999999999999"/>
        <n v="1211.01"/>
        <n v="1209.06"/>
        <n v="1207.07"/>
        <n v="1205.26"/>
        <n v="1203.1400000000001"/>
        <n v="1199.73"/>
        <n v="1199.08"/>
        <n v="1197.56"/>
        <n v="1196.1600000000001"/>
        <n v="1194.92"/>
        <n v="1193.42"/>
        <n v="1188.49"/>
        <n v="1184.7"/>
        <n v="1178.95"/>
        <n v="1167.99"/>
        <n v="1162.9100000000001"/>
        <n v="1162.77"/>
        <n v="1159.18"/>
        <n v="1156.74"/>
        <n v="1154.3599999999999"/>
        <n v="1153.8399999999999"/>
        <n v="1149.6199999999999"/>
        <n v="1142.8399999999999"/>
        <n v="1142.2"/>
        <n v="1139.71"/>
        <n v="1138.52"/>
        <n v="1132.98"/>
        <n v="1132.47"/>
        <n v="1126.17"/>
        <n v="1122.94"/>
        <n v="1122.48"/>
        <n v="1121.68"/>
        <n v="1118.93"/>
        <n v="1114.5899999999999"/>
        <n v="1112.3399999999999"/>
        <n v="1111.51"/>
        <n v="1110.72"/>
        <n v="1110.47"/>
        <n v="1103.78"/>
        <n v="1097.28"/>
        <n v="1097.27"/>
        <n v="1095.81"/>
        <n v="1090.03"/>
        <n v="1090.02"/>
        <n v="1084.1500000000001"/>
        <n v="1080.6400000000001"/>
        <n v="1075.67"/>
        <n v="1071.51"/>
        <n v="1071.49"/>
        <n v="1068.25"/>
        <n v="1067.51"/>
        <n v="1064.97"/>
        <n v="1063.18"/>
        <n v="1062.33"/>
        <n v="1061.45"/>
        <n v="1061.4000000000001"/>
        <n v="1060.5899999999999"/>
        <n v="1055.2"/>
        <n v="1055.18"/>
        <n v="1053.6199999999999"/>
        <n v="1050.4100000000001"/>
        <n v="1047.44"/>
        <n v="1046.74"/>
        <n v="1046.53"/>
        <n v="1044.42"/>
        <n v="1042.97"/>
        <n v="1040.3399999999999"/>
        <n v="1037.47"/>
        <n v="1036.21"/>
        <n v="1034.31"/>
        <n v="1031.7"/>
        <n v="1028.23"/>
        <n v="1028.1400000000001"/>
        <n v="1027.93"/>
        <n v="1019.64"/>
        <n v="1018.03"/>
        <n v="1013.09"/>
        <n v="1006.96"/>
        <n v="1006.26"/>
        <n v="1005.33"/>
        <n v="1002.98"/>
        <n v="1000.67"/>
        <n v="997.98"/>
        <n v="996.33"/>
        <n v="994.2"/>
        <n v="990.11"/>
        <n v="988.69"/>
        <n v="988.45"/>
        <n v="987.87"/>
        <n v="984.79"/>
        <n v="983.67"/>
        <n v="983.36"/>
        <n v="978.36"/>
        <n v="977.21"/>
        <n v="976.46"/>
        <n v="973.92"/>
        <n v="972.9"/>
        <n v="966.57"/>
        <n v="966.39"/>
        <n v="964.28"/>
        <n v="963.92"/>
        <n v="961.74"/>
        <n v="956.97"/>
        <n v="956.49"/>
        <n v="953.11"/>
        <n v="952.9"/>
        <n v="952.67"/>
        <n v="947.31"/>
        <n v="946.11"/>
        <n v="942.71"/>
        <n v="941.33"/>
        <n v="939.48"/>
        <n v="938.23"/>
        <n v="936.8"/>
        <n v="932.48"/>
        <n v="932.37"/>
        <n v="931.96"/>
        <n v="928.84"/>
        <n v="927.24"/>
        <n v="921.62"/>
        <n v="920.6"/>
        <n v="915.67"/>
        <n v="911.64"/>
        <n v="910.2"/>
        <n v="909.63"/>
        <n v="908.25"/>
        <n v="904.78"/>
        <n v="899.9"/>
        <n v="899.56"/>
        <n v="899.4"/>
        <n v="894.79"/>
        <n v="888.2"/>
        <n v="885.8"/>
        <n v="884.17"/>
        <n v="882.6"/>
        <n v="882.57"/>
        <n v="873.92"/>
        <n v="872.04"/>
        <n v="871.59"/>
        <n v="871.57"/>
        <n v="871.47"/>
        <n v="870.03"/>
        <n v="869.16"/>
        <n v="867.65"/>
        <n v="867.22"/>
        <n v="865.72"/>
        <n v="861.87"/>
        <n v="860.2"/>
        <n v="857.44"/>
        <n v="857.15"/>
        <n v="856.06"/>
        <n v="852.01"/>
        <n v="848.13"/>
        <n v="847.59"/>
        <n v="845.87"/>
        <n v="845.09"/>
        <n v="844.1"/>
        <n v="843.7"/>
        <n v="843.41"/>
        <n v="843.19"/>
        <n v="842.76"/>
        <n v="837.43"/>
        <n v="835.47"/>
        <n v="834.89"/>
        <n v="834.57"/>
        <n v="832.89"/>
        <n v="831.47"/>
        <n v="829.24"/>
        <n v="829.03"/>
        <n v="818.39"/>
        <n v="815.84"/>
        <n v="814.93"/>
        <n v="814.02"/>
        <n v="812.93"/>
        <n v="812.91"/>
        <n v="811.89"/>
        <n v="811.41"/>
        <n v="810.2"/>
        <n v="807.69"/>
        <n v="807.41"/>
        <n v="807.15"/>
        <n v="801.91"/>
        <n v="797.65"/>
        <n v="797.46"/>
        <n v="797.22"/>
        <n v="792.39"/>
        <n v="792.21"/>
        <n v="788.69"/>
        <n v="787.74"/>
        <n v="787.71"/>
        <n v="785.14"/>
        <n v="783.66"/>
        <n v="777.09"/>
        <n v="773.63"/>
        <n v="771.18"/>
        <n v="764.2"/>
        <n v="764.04"/>
        <n v="762.05"/>
        <n v="761.95"/>
        <n v="761.23"/>
        <n v="760.94"/>
        <n v="759.89"/>
        <n v="758.37"/>
        <n v="758.2"/>
        <n v="754.01"/>
        <n v="752.7"/>
        <n v="752.34"/>
        <n v="751.18"/>
        <n v="746.32"/>
        <n v="746.23"/>
        <n v="746.18"/>
        <n v="743.63"/>
        <n v="742.48"/>
        <n v="740.16"/>
        <n v="738.48"/>
        <n v="738.4"/>
        <n v="731.16"/>
        <n v="731.12"/>
        <n v="728.69"/>
        <n v="724.53"/>
        <n v="722.16"/>
        <n v="720.45"/>
        <n v="714.07"/>
        <n v="711.62"/>
        <n v="710.5"/>
        <n v="708.32"/>
        <n v="708.25"/>
        <n v="708.16"/>
        <n v="706.56"/>
        <n v="704.88"/>
        <n v="704.81"/>
        <n v="704.25"/>
        <n v="702.33"/>
        <n v="701.42"/>
        <n v="701.21"/>
        <n v="700.8"/>
        <n v="699.54"/>
        <n v="697.5"/>
        <n v="697.2"/>
        <n v="696.61"/>
        <n v="696.1"/>
        <n v="693.94"/>
        <n v="690.87"/>
        <n v="689.26"/>
        <n v="686.13"/>
        <n v="684.91"/>
        <n v="684.38"/>
        <n v="681.51"/>
        <n v="678.66"/>
        <n v="676.15"/>
        <n v="670.17"/>
        <n v="667.02"/>
        <n v="666.9"/>
        <n v="664.29"/>
        <n v="663.38"/>
        <n v="661.84"/>
        <n v="660.92"/>
        <n v="656.87"/>
        <n v="654.70000000000005"/>
        <n v="650.22"/>
        <n v="649.39"/>
        <n v="649.05999999999995"/>
        <n v="648.04"/>
        <n v="647.46"/>
        <n v="645.24"/>
        <n v="642.89"/>
        <n v="642.80999999999995"/>
        <n v="642.11"/>
        <n v="631.36"/>
        <n v="628.34"/>
        <n v="626.46"/>
        <n v="625"/>
        <n v="624.88"/>
        <n v="623.39"/>
        <n v="622.66999999999996"/>
        <n v="620.46"/>
        <n v="616.84"/>
        <n v="616.08000000000004"/>
        <n v="614.97"/>
        <n v="612.73"/>
        <n v="610.69000000000005"/>
        <n v="608.76"/>
        <n v="605.23"/>
        <n v="604.78"/>
        <n v="600.79"/>
        <n v="597.88"/>
        <n v="597.6"/>
        <n v="596.76"/>
        <n v="593.96"/>
        <n v="591.78"/>
        <n v="591.39"/>
        <n v="591.22"/>
        <n v="588.33000000000004"/>
        <n v="585.5"/>
        <n v="585.37"/>
        <n v="584.66"/>
        <n v="584.5"/>
        <n v="584.25"/>
        <n v="579.14"/>
        <n v="577.97"/>
        <n v="577.05999999999995"/>
        <n v="575.21"/>
        <n v="574.76"/>
        <n v="573.87"/>
        <n v="573.41"/>
        <n v="573.13"/>
        <n v="572.37"/>
        <n v="568.87"/>
        <n v="567.17999999999995"/>
        <n v="565.03"/>
        <n v="563.61"/>
        <n v="561.82000000000005"/>
        <n v="561.02"/>
        <n v="560.91999999999996"/>
        <n v="560.04999999999995"/>
        <n v="558.28"/>
        <n v="557.89"/>
        <n v="557.59"/>
        <n v="557.52"/>
        <n v="555.85"/>
        <n v="554.61"/>
        <n v="552.33000000000004"/>
        <n v="549.86"/>
        <n v="548.94000000000005"/>
        <n v="547.17999999999995"/>
        <n v="546.85"/>
        <n v="546.27"/>
        <n v="545"/>
        <n v="544.69000000000005"/>
        <n v="544.4"/>
        <n v="543.94000000000005"/>
        <n v="542.87"/>
        <n v="541.75"/>
        <n v="541.58000000000004"/>
        <n v="540.91"/>
        <n v="539.96"/>
        <n v="539.48"/>
        <n v="538.78"/>
        <n v="537"/>
        <n v="535.54"/>
        <n v="534.07000000000005"/>
        <n v="533.46"/>
        <n v="533.15"/>
        <n v="532.14"/>
        <n v="530.17999999999995"/>
        <n v="527.12"/>
        <n v="525.86"/>
        <n v="523.53"/>
        <n v="522.80999999999995"/>
        <n v="522.35"/>
        <n v="522.13"/>
        <n v="520.45000000000005"/>
        <n v="518.6"/>
        <n v="518.4"/>
        <n v="516.45000000000005"/>
        <n v="514.75"/>
        <n v="513.78"/>
        <n v="512.57000000000005"/>
        <n v="511.36"/>
        <n v="509.81"/>
        <n v="509.49"/>
        <n v="509.17"/>
        <n v="505.2"/>
        <n v="505.16"/>
        <n v="504.86"/>
        <n v="503.59"/>
        <n v="502.55"/>
        <n v="501.76"/>
        <n v="494.49"/>
        <n v="493.8"/>
        <n v="493"/>
        <n v="491.48"/>
        <n v="490.4"/>
        <n v="489.23"/>
        <n v="488.22"/>
        <n v="485.93"/>
        <n v="485.92"/>
        <n v="485.53"/>
        <n v="484.13"/>
        <n v="483.51"/>
        <n v="481.03"/>
        <n v="480.16"/>
        <n v="479.16"/>
        <n v="478.83"/>
        <n v="477.5"/>
        <n v="474.75"/>
        <n v="474.23"/>
        <n v="472.47"/>
        <n v="472.06"/>
        <n v="470.38"/>
        <n v="469.87"/>
        <n v="469.33"/>
        <n v="468.07"/>
        <n v="466.28"/>
        <n v="464.51"/>
        <n v="464.36"/>
        <n v="463.97"/>
        <n v="463.36"/>
        <n v="462.37"/>
        <n v="461.87"/>
        <n v="458.17"/>
        <n v="458.09"/>
        <n v="456.69"/>
        <n v="452.39"/>
        <n v="450.62"/>
        <n v="446.21"/>
        <n v="445.74"/>
        <n v="445.01"/>
        <n v="443.03"/>
        <n v="440.86"/>
        <n v="440.47"/>
        <n v="437.22"/>
        <n v="434.85"/>
        <n v="428.76"/>
        <n v="426.56"/>
        <n v="424.96"/>
        <n v="423.7"/>
        <n v="419.85"/>
        <n v="419.27"/>
        <n v="419.05"/>
        <n v="418.81"/>
        <n v="416.65"/>
        <n v="415.1"/>
        <n v="414.12"/>
        <n v="413.1"/>
        <n v="410.47"/>
        <n v="406.81"/>
        <n v="406.5"/>
        <n v="406.14"/>
        <n v="405.17"/>
        <n v="402.57"/>
        <n v="402.49"/>
        <n v="400.17"/>
        <n v="397.42"/>
        <n v="396.86"/>
        <n v="395.1"/>
        <n v="394.91"/>
        <n v="389.72"/>
        <n v="389.67"/>
        <n v="385.86"/>
        <n v="384.68"/>
        <n v="384.54"/>
        <n v="384.39"/>
        <n v="382.14"/>
        <n v="380.23"/>
        <n v="378.55"/>
        <n v="374.96"/>
        <n v="374.79"/>
        <n v="374.58"/>
        <n v="372.59"/>
        <n v="369.22"/>
        <n v="368.7"/>
        <n v="368.24"/>
        <n v="366.27"/>
        <n v="365.66"/>
        <n v="360.52"/>
        <n v="360.26"/>
        <n v="359.1"/>
        <n v="358.94"/>
        <n v="357.27"/>
        <n v="355.14"/>
        <n v="354.44"/>
        <n v="353.12"/>
        <n v="352.52"/>
        <n v="350.01"/>
        <n v="347.57"/>
        <n v="341.95"/>
        <n v="341.55"/>
        <n v="341.54"/>
        <n v="340.76"/>
        <n v="340.17"/>
        <n v="340.03"/>
        <n v="338.39"/>
        <n v="337.31"/>
        <n v="336.63"/>
        <n v="335.36"/>
        <n v="334.15"/>
        <n v="333.86"/>
        <n v="333.26"/>
        <n v="332.05"/>
        <n v="331.47"/>
        <n v="330.38"/>
        <n v="329.31"/>
        <n v="327.49"/>
        <n v="325.11"/>
        <n v="323.77"/>
        <n v="322.48"/>
        <n v="319.23"/>
        <n v="319.04000000000002"/>
        <n v="318.36"/>
        <n v="317.5"/>
        <n v="317.18"/>
        <n v="316.49"/>
        <n v="316.32"/>
        <n v="315.89"/>
        <n v="315.77"/>
        <n v="315.57"/>
        <n v="315.39"/>
        <n v="314.85000000000002"/>
        <n v="313.35000000000002"/>
        <n v="312.85000000000002"/>
        <n v="311.13"/>
        <n v="310.83"/>
        <n v="306.48"/>
        <n v="306.31"/>
        <n v="305.87"/>
        <n v="305.5"/>
        <n v="304.39999999999998"/>
        <n v="303.93"/>
        <n v="303.26"/>
        <n v="300.13"/>
        <n v="299.49"/>
        <n v="298.69"/>
        <n v="295.94"/>
        <n v="295.12"/>
        <n v="294.22000000000003"/>
        <n v="293.82"/>
        <n v="292.20999999999998"/>
        <n v="291.95"/>
        <n v="291.3"/>
        <n v="289.69"/>
        <n v="287.97000000000003"/>
        <n v="286.83999999999997"/>
        <n v="282.62"/>
        <n v="280.79000000000002"/>
        <n v="280.25"/>
        <n v="280.16000000000003"/>
        <n v="279.44"/>
        <n v="278.58"/>
        <n v="277.48"/>
        <n v="277.11"/>
        <n v="276.85000000000002"/>
        <n v="273.27"/>
        <n v="273.02999999999997"/>
        <n v="273.01"/>
        <n v="272.72000000000003"/>
        <n v="269.83999999999997"/>
        <n v="268.18"/>
        <n v="267.48"/>
        <n v="267.25"/>
        <n v="266.56"/>
        <n v="266.05"/>
        <n v="265.23"/>
        <n v="264.41000000000003"/>
        <n v="263.22000000000003"/>
        <n v="261.97000000000003"/>
        <n v="260.55"/>
        <n v="259.64"/>
        <n v="259.19"/>
        <n v="259.02999999999997"/>
        <n v="258.43"/>
        <n v="257.72000000000003"/>
        <n v="257.33"/>
        <n v="255.76"/>
        <n v="254.74"/>
        <n v="254.2"/>
        <n v="253.94"/>
        <n v="253.77"/>
        <n v="252.68"/>
        <n v="252.59"/>
        <n v="250.97"/>
        <n v="250.88"/>
        <n v="250.52"/>
        <n v="250.51"/>
        <n v="249.4"/>
        <n v="248.15"/>
        <n v="247.65"/>
        <n v="246.96"/>
        <n v="246.68"/>
        <n v="244.66"/>
        <n v="244.35"/>
        <n v="241.35"/>
        <n v="238.59"/>
        <n v="238"/>
        <n v="237.4"/>
        <n v="233.25"/>
        <n v="232.5"/>
        <n v="230.99"/>
        <n v="230.12"/>
        <n v="229.73"/>
        <n v="227.9"/>
        <n v="219.42"/>
        <n v="217.21"/>
        <n v="215.98"/>
        <n v="215.55"/>
        <n v="213.72"/>
        <n v="212.78"/>
        <n v="212.55"/>
        <n v="212.36"/>
        <n v="211.62"/>
        <n v="210.15"/>
        <n v="209.46"/>
        <n v="209.21"/>
        <n v="208.98"/>
        <n v="207.2"/>
        <n v="205.87"/>
        <n v="205.55"/>
        <n v="203.48"/>
        <n v="201.84"/>
        <n v="200.38"/>
        <n v="200.05"/>
        <n v="199.83"/>
        <n v="199.14"/>
        <n v="195.38"/>
        <n v="195.1"/>
        <n v="194.03"/>
        <n v="190.39"/>
        <n v="189.55"/>
        <n v="188.75"/>
        <n v="187.97"/>
        <n v="187.93"/>
        <n v="187.8"/>
        <n v="185.98"/>
        <n v="183.79"/>
        <n v="183.25"/>
        <n v="179.06"/>
        <n v="178.09"/>
        <n v="177.73"/>
        <n v="175.61"/>
        <n v="174.82"/>
        <n v="174.55"/>
        <n v="172.61"/>
        <n v="169.75"/>
        <n v="164.68"/>
        <n v="163.84"/>
        <n v="163.58000000000001"/>
        <n v="162.5"/>
        <n v="162.44"/>
        <n v="161.93"/>
        <n v="161.46"/>
        <n v="161.37"/>
        <n v="159.72"/>
        <n v="155.91"/>
        <n v="155.47"/>
        <n v="154.32"/>
        <n v="152.26"/>
        <n v="150.88999999999999"/>
        <n v="150.58000000000001"/>
        <n v="150.11000000000001"/>
        <n v="147.06"/>
        <n v="145.19999999999999"/>
        <n v="144.16999999999999"/>
        <n v="142.03"/>
        <n v="141.35"/>
        <n v="141.22"/>
        <n v="139.56"/>
        <n v="138.94999999999999"/>
        <n v="137.66"/>
        <n v="134.59"/>
        <n v="134.35"/>
        <n v="133.66"/>
        <n v="133.06"/>
        <n v="132.57"/>
        <n v="131.72999999999999"/>
        <n v="131.63999999999999"/>
        <n v="130.65"/>
        <n v="128.44"/>
        <n v="127.97"/>
        <n v="122.08"/>
        <n v="120.88"/>
        <n v="120.3"/>
        <n v="120.22"/>
        <n v="118.32"/>
        <n v="115.48"/>
        <n v="114.76"/>
        <n v="113.35"/>
        <n v="113.22"/>
        <n v="112.04"/>
        <n v="111.92"/>
        <n v="111.89"/>
        <n v="111.24"/>
        <n v="111.11"/>
        <n v="110.72"/>
        <n v="109.25"/>
        <n v="109.17"/>
        <n v="108.93"/>
        <n v="108.42"/>
        <n v="107.6"/>
        <n v="101.74"/>
        <n v="100.29"/>
        <n v="98.96"/>
        <n v="97.79"/>
        <n v="96.74"/>
        <n v="94.19"/>
        <n v="91.71"/>
        <n v="90.29"/>
        <n v="89.5"/>
        <n v="89.08"/>
        <n v="88.51"/>
        <n v="85.92"/>
        <n v="85.53"/>
        <n v="84.67"/>
        <n v="82.17"/>
        <n v="82.16"/>
        <n v="80.25"/>
        <n v="78.2"/>
        <n v="77.77"/>
        <n v="76.209999999999994"/>
        <n v="75.900000000000006"/>
        <n v="73.61"/>
        <n v="72.78"/>
        <n v="72.69"/>
        <n v="70.8"/>
        <n v="70.34"/>
        <n v="70.069999999999993"/>
        <n v="69.36"/>
        <n v="68.86"/>
        <n v="67"/>
        <n v="65.650000000000006"/>
        <n v="64.69"/>
        <n v="64.06"/>
        <n v="62.48"/>
        <n v="58.83"/>
        <n v="58.73"/>
        <n v="56.29"/>
        <n v="55.71"/>
        <n v="55"/>
        <n v="54.6"/>
        <n v="53.02"/>
        <n v="52.15"/>
        <n v="48.91"/>
        <n v="48.2"/>
        <n v="47.53"/>
        <n v="47.46"/>
        <n v="47.42"/>
        <n v="45.17"/>
        <n v="44.63"/>
        <n v="39.96"/>
        <n v="34.909999999999997"/>
        <n v="32.65"/>
        <n v="21.35"/>
      </sharedItems>
    </cacheField>
    <cacheField name="Rentabilidad" numFmtId="0">
      <sharedItems containsBlank="1" count="3">
        <s v="Alta"/>
        <s v="Baja"/>
        <m u="1"/>
      </sharedItems>
    </cacheField>
    <cacheField name="Porcentaje Coste/Beneficio" numFmtId="164">
      <sharedItems containsSemiMixedTypes="0" containsString="0" containsNumber="1" minValue="1.501603440694145" maxValue="8.9855094404913807" count="993">
        <n v="1.6288871779912681"/>
        <n v="1.7745121514769986"/>
        <n v="1.6501329168342918"/>
        <n v="2.304035778517691"/>
        <n v="1.7241549504724518"/>
        <n v="2.443733720682645"/>
        <n v="1.7399498261520179"/>
        <n v="1.7117731031324914"/>
        <n v="2.0531384862108424"/>
        <n v="1.7631246841208497"/>
        <n v="2.0975074554748883"/>
        <n v="1.7847164422937094"/>
        <n v="1.6558413189406382"/>
        <n v="2.102705186963016"/>
        <n v="1.7754264024611521"/>
        <n v="1.9914227606331243"/>
        <n v="2.0853376434158952"/>
        <n v="1.8461090996620098"/>
        <n v="1.9322951748080681"/>
        <n v="1.8848981696313485"/>
        <n v="1.9708433360391009"/>
        <n v="1.8006242616771921"/>
        <n v="2.0888501198333778"/>
        <n v="2.6620138785230028"/>
        <n v="2.3260412109090152"/>
        <n v="1.8382637776074688"/>
        <n v="2.3915125996990483"/>
        <n v="2.7165096576472005"/>
        <n v="2.9847749689447585"/>
        <n v="2.1609676892138681"/>
        <n v="1.8145289051473341"/>
        <n v="2.3079586536992718"/>
        <n v="2.2202209722044084"/>
        <n v="2.2102984399312851"/>
        <n v="1.6362484157160964"/>
        <n v="2.9433760323929063"/>
        <n v="2.2490269449829436"/>
        <n v="1.7645982962767808"/>
        <n v="2.0686766778894881"/>
        <n v="2.4780523791958684"/>
        <n v="1.9887990560957842"/>
        <n v="1.6601203674374407"/>
        <n v="2.1574110495261936"/>
        <n v="1.545803609481361"/>
        <n v="3.3055410172714819"/>
        <n v="1.5391965733271951"/>
        <n v="1.5482247006235417"/>
        <n v="1.5649967929214021"/>
        <n v="1.6583037859819523"/>
        <n v="2.7412510124190068"/>
        <n v="2.2641227180527381"/>
        <n v="1.617228695629807"/>
        <n v="1.5277254484396756"/>
        <n v="3.073388797598561"/>
        <n v="3.3755561783975057"/>
        <n v="1.6287512526151089"/>
        <n v="1.7659702549575071"/>
        <n v="2.3854294179218338"/>
        <n v="1.7708853120524575"/>
        <n v="2.8093001663158557"/>
        <n v="1.5746774127338159"/>
        <n v="2.9521840387295528"/>
        <n v="1.7606770845298867"/>
        <n v="2.6617296277805518"/>
        <n v="1.8601226142278775"/>
        <n v="3.7056503252907129"/>
        <n v="3.9769474061756172"/>
        <n v="1.538512904566447"/>
        <n v="1.8731030421431942"/>
        <n v="3.5309035729841369"/>
        <n v="1.8942876303115286"/>
        <n v="3.2327952341577086"/>
        <n v="1.8934097664143499"/>
        <n v="3.2496861460624307"/>
        <n v="4.1204350835933274"/>
        <n v="1.5122664221024877"/>
        <n v="3.1469688043337691"/>
        <n v="1.5939179245780464"/>
        <n v="1.9099473671561444"/>
        <n v="1.6636267773481701"/>
        <n v="2.1452991452991452"/>
        <n v="2.0992723747221218"/>
        <n v="2.2498628849016686"/>
        <n v="2.1236978592732987"/>
        <n v="2.2348968288977109"/>
        <n v="1.5093014660588888"/>
        <n v="2.4852629131899278"/>
        <n v="1.9618504323023442"/>
        <n v="4.652625834139565"/>
        <n v="1.623513102584742"/>
        <n v="2.0851764776351849"/>
        <n v="1.5904721159653714"/>
        <n v="3.1891520352568965"/>
        <n v="2.642087542087542"/>
        <n v="1.5906078983909171"/>
        <n v="1.8602946438612453"/>
        <n v="2.0018561223915858"/>
        <n v="1.5973271413300874"/>
        <n v="3.6138560687432868"/>
        <n v="1.9898599216215942"/>
        <n v="2.0339374884409098"/>
        <n v="1.5257045787970041"/>
        <n v="3.6685979142526071"/>
        <n v="3.2503415318422832"/>
        <n v="1.5764954612868276"/>
        <n v="2.8297436330794659"/>
        <n v="3.580578512396694"/>
        <n v="1.6024440615937765"/>
        <n v="3.3219910895274851"/>
        <n v="5.0558529816664119"/>
        <n v="2.9574858942396012"/>
        <n v="3.0295161520007885"/>
        <n v="3.1918110547466894"/>
        <n v="1.9156748376882184"/>
        <n v="3.4105985428793275"/>
        <n v="2.909936738583939"/>
        <n v="2.4614619262403821"/>
        <n v="2.9604484171075107"/>
        <n v="2.5492074908024671"/>
        <n v="3.6889580093312597"/>
        <n v="1.5106187137047513"/>
        <n v="3.4669433073515394"/>
        <n v="2.2227288277223503"/>
        <n v="3.6092784490562431"/>
        <n v="1.538910472925348"/>
        <n v="4.3890947110030227"/>
        <n v="3.7716008878288703"/>
        <n v="3.2771618625277164"/>
        <n v="2.4575257211096821"/>
        <n v="1.8263483713878808"/>
        <n v="2.3163821285869961"/>
        <n v="3.58588137539454"/>
        <n v="1.7251375553541219"/>
        <n v="2.0519469186151369"/>
        <n v="3.4248054406506347"/>
        <n v="1.9548846675712348"/>
        <n v="2.4180457906229327"/>
        <n v="1.503595600676819"/>
        <n v="1.6031561246927952"/>
        <n v="3.921783070372268"/>
        <n v="5.5559242711808459"/>
        <n v="1.7518130587436933"/>
        <n v="1.9500932090545939"/>
        <n v="2.0424196489898394"/>
        <n v="3.5565654405474763"/>
        <n v="4.2848759431354004"/>
        <n v="2.9439531548757172"/>
        <n v="1.5785131888737785"/>
        <n v="1.7609259136752087"/>
        <n v="2.6105510773007912"/>
        <n v="2.3182598983908855"/>
        <n v="1.8499407780848545"/>
        <n v="4.0208041425525431"/>
        <n v="3.0782371571468752"/>
        <n v="1.6209072399435041"/>
        <n v="2.3706879055321504"/>
        <n v="2.9420791278266605"/>
        <n v="2.6138898636454786"/>
        <n v="4.9593934721151376"/>
        <n v="1.7895399491350439"/>
        <n v="3.204468525815904"/>
        <n v="2.3189758845496549"/>
        <n v="1.7751194650004138"/>
        <n v="2.2309337679203485"/>
        <n v="2.8674031737922667"/>
        <n v="2.3673453736723036"/>
        <n v="2.2211444701052092"/>
        <n v="4.8638884609459252"/>
        <n v="1.9168826792472395"/>
        <n v="2.0017311734883143"/>
        <n v="2.1745777499967445"/>
        <n v="1.8360651452173689"/>
        <n v="2.0909781029540726"/>
        <n v="1.6410237899917968"/>
        <n v="5.4841778819563327"/>
        <n v="2.2092536113983834"/>
        <n v="2.88726347591032"/>
        <n v="4.073031274365416"/>
        <n v="5.191216098456918"/>
        <n v="2.4165559982293048"/>
        <n v="3.5650143289715586"/>
        <n v="3.3583239511129799"/>
        <n v="3.1408006121765748"/>
        <n v="2.7279360976043439"/>
        <n v="2.3414630793131419"/>
        <n v="3.760385608538475"/>
        <n v="3.9282772039494112"/>
        <n v="1.938700848778798"/>
        <n v="2.1252607280918876"/>
        <n v="1.969445991091314"/>
        <n v="1.6191305808022503"/>
        <n v="1.6955646013211825"/>
        <n v="2.492938650999887"/>
        <n v="4.2752403077644452"/>
        <n v="2.8791165773421876"/>
        <n v="2.2045427018246331"/>
        <n v="3.0407815695524221"/>
        <n v="2.8884588596006231"/>
        <n v="3.9899978443630091"/>
        <n v="1.8877647211208415"/>
        <n v="2.9249034162434344"/>
        <n v="5.4093029348197845"/>
        <n v="1.8889634546648186"/>
        <n v="2.0225136867991922"/>
        <n v="1.5144054939497658"/>
        <n v="1.5892879406825033"/>
        <n v="1.6747056393307169"/>
        <n v="2.4330943802696576"/>
        <n v="2.9777766192756547"/>
        <n v="2.1938124213332935"/>
        <n v="4.6909283487237623"/>
        <n v="4.3691846146957412"/>
        <n v="2.9429923744412307"/>
        <n v="4.4283436136602976"/>
        <n v="2.0372930579399955"/>
        <n v="2.6647554066218353"/>
        <n v="3.0910466964353289"/>
        <n v="1.6812511382261883"/>
        <n v="1.6190331523183836"/>
        <n v="1.8747229985455043"/>
        <n v="1.8934793543371897"/>
        <n v="2.2582626633050653"/>
        <n v="3.2952687162998915"/>
        <n v="2.4687716382772469"/>
        <n v="1.9154955607062827"/>
        <n v="1.8407321172497804"/>
        <n v="2.1446621370067014"/>
        <n v="2.1780189243105204"/>
        <n v="4.386489152639796"/>
        <n v="6.3215709480503302"/>
        <n v="2.389751298807512"/>
        <n v="2.4284445759952642"/>
        <n v="4.393416414511651"/>
        <n v="3.3053648872110073"/>
        <n v="3.367828652606272"/>
        <n v="2.1432747852324336"/>
        <n v="2.8155185752403811"/>
        <n v="3.506103338281275"/>
        <n v="1.626730589705859"/>
        <n v="2.149633937626775"/>
        <n v="2.9639325281331037"/>
        <n v="6.6699461903397328"/>
        <n v="2.2911406546754551"/>
        <n v="4.7521446862996157"/>
        <n v="1.8993327531186539"/>
        <n v="6.0050938164936492"/>
        <n v="5.7942471098498896"/>
        <n v="2.6783496508008193"/>
        <n v="2.8233427762039658"/>
        <n v="4.8268007188304436"/>
        <n v="2.713309028313454"/>
        <n v="6.466484734777417"/>
        <n v="1.6590484240641101"/>
        <n v="5.4303623212016543"/>
        <n v="1.6411392817571531"/>
        <n v="1.8289253568135264"/>
        <n v="4.3317776106715487"/>
        <n v="3.1636820275366708"/>
        <n v="1.6273975517151087"/>
        <n v="2.2788104089219332"/>
        <n v="7.0759131293188551"/>
        <n v="5.0921049372011797"/>
        <n v="4.8307693580136633"/>
        <n v="2.9341877438756661"/>
        <n v="6.1593681031478686"/>
        <n v="2.1295443589274727"/>
        <n v="1.6216315337617631"/>
        <n v="3.9463755545918544"/>
        <n v="1.9636427402384848"/>
        <n v="2.4748695826645264"/>
        <n v="4.1196230710005688"/>
        <n v="1.8342913643143233"/>
        <n v="5.8343275921547511"/>
        <n v="3.0938803072507808"/>
        <n v="1.7968276856524872"/>
        <n v="5.6754681118845198"/>
        <n v="3.5269195380553953"/>
        <n v="2.533751300773154"/>
        <n v="3.5739143187425597"/>
        <n v="2.8020644224285496"/>
        <n v="2.1417408780623033"/>
        <n v="1.7696387714067812"/>
        <n v="5.1671160905342646"/>
        <n v="3.0994014910223653"/>
        <n v="1.6977762213272631"/>
        <n v="2.4918093199147151"/>
        <n v="4.2105277026314871"/>
        <n v="1.9090981305936554"/>
        <n v="1.5271751128065203"/>
        <n v="2.0585257998348383"/>
        <n v="3.743245409371827"/>
        <n v="1.7036383721758961"/>
        <n v="2.8520077027316169"/>
        <n v="4.3076421223847783"/>
        <n v="2.5695636960676125"/>
        <n v="2.8472948918496144"/>
        <n v="2.0787397324360555"/>
        <n v="3.4808052434456926"/>
        <n v="1.8345295235350798"/>
        <n v="3.0067767127507294"/>
        <n v="1.7220581802274715"/>
        <n v="4.6532302897190307"/>
        <n v="2.1030196840693187"/>
        <n v="1.9329101033916496"/>
        <n v="6.4104603585255315"/>
        <n v="3.3889867638241937"/>
        <n v="3.0113728901391768"/>
        <n v="5.2617624364349656"/>
        <n v="7.1241145672928861"/>
        <n v="1.5686567303474601"/>
        <n v="1.8559606833606366"/>
        <n v="3.2449438412754916"/>
        <n v="4.6537930645933683"/>
        <n v="8.3559322033898304"/>
        <n v="3.1889525853548331"/>
        <n v="3.355589052710914"/>
        <n v="3.8054267947993212"/>
        <n v="1.771410252783828"/>
        <n v="2.042617513267627"/>
        <n v="2.8765329138156521"/>
        <n v="1.7119454831912835"/>
        <n v="2.1907540864995574"/>
        <n v="3.9559688383105476"/>
        <n v="5.5341727649655121"/>
        <n v="2.665809866893448"/>
        <n v="2.403410505352253"/>
        <n v="2.8529392024698699"/>
        <n v="1.5036430397754581"/>
        <n v="5.3830279429766641"/>
        <n v="3.9671012632574478"/>
        <n v="2.1829045450590252"/>
        <n v="3.7009886594940387"/>
        <n v="4.2729836709685571"/>
        <n v="2.6473048417530687"/>
        <n v="1.5364470343311314"/>
        <n v="2.2635636106861243"/>
        <n v="6.1434437099103167"/>
        <n v="2.6667522135249579"/>
        <n v="2.0144295701914672"/>
        <n v="4.251386321626617"/>
        <n v="2.6918225856186524"/>
        <n v="5.2258669165885658"/>
        <n v="2.7754504481997064"/>
        <n v="2.2821800036072868"/>
        <n v="1.7619764535846556"/>
        <n v="8.2199758599879296"/>
        <n v="2.7622082394885417"/>
        <n v="1.8995134976585177"/>
        <n v="3.8776569376296219"/>
        <n v="1.6480711024729975"/>
        <n v="1.5868256176443709"/>
        <n v="2.0897455447456972"/>
        <n v="4.9135820045558081"/>
        <n v="2.2937568993008708"/>
        <n v="2.5660707524482969"/>
        <n v="2.9201605800544823"/>
        <n v="5.2284376540167568"/>
        <n v="4.1659985610031862"/>
        <n v="1.9242062137248208"/>
        <n v="7.564430509421662"/>
        <n v="2.3762081553075869"/>
        <n v="4.1069590837413896"/>
        <n v="3.7667768835652047"/>
        <n v="3.0598764851562743"/>
        <n v="4.1809219124089116"/>
        <n v="6.6596405451626781"/>
        <n v="4.8402140833245877"/>
        <n v="2.1651253844458207"/>
        <n v="3.7435369625571355"/>
        <n v="1.7720666730084238"/>
        <n v="4.6058384869153821"/>
        <n v="3.0317741918349568"/>
        <n v="1.7624856303487035"/>
        <n v="2.7025676006949255"/>
        <n v="5.3592655849701121"/>
        <n v="6.1908566403568983"/>
        <n v="1.501603440694145"/>
        <n v="3.9756427314477012"/>
        <n v="2.1529434563541621"/>
        <n v="7.3801604762521036"/>
        <n v="1.6793472363880992"/>
        <n v="4.370215077123615"/>
        <n v="2.0451145063177782"/>
        <n v="3.6399894695274453"/>
        <n v="7.5796308503625571"/>
        <n v="2.8105163637962689"/>
        <n v="2.3146820809248556"/>
        <n v="3.5514158137889873"/>
        <n v="3.1617290810090006"/>
        <n v="3.3813419894170482"/>
        <n v="4.2737380475872806"/>
        <n v="5.0433174264352534"/>
        <n v="7.7878180589957218"/>
        <n v="7.7053510950553168"/>
        <n v="5.5387425495097098"/>
        <n v="2.019068660774983"/>
        <n v="2.398144056562086"/>
        <n v="3.3314834309776638"/>
        <n v="1.6139855969909638"/>
        <n v="7.5437877901306809"/>
        <n v="7.3244604564177278"/>
        <n v="6.1831044097903547"/>
        <n v="4.5961288691194557"/>
        <n v="2.1532168990749692"/>
        <n v="2.2653835071745521"/>
        <n v="2.7297456239477871"/>
        <n v="3.3139814258651756"/>
        <n v="2.9221692366598213"/>
        <n v="4.753313182980702"/>
        <n v="3.3330728680724011"/>
        <n v="1.5694685877617687"/>
        <n v="7.2705651473027597"/>
        <n v="2.0241898569265619"/>
        <n v="2.6219919116173229"/>
        <n v="8.1043782961101467"/>
        <n v="1.5539030820338824"/>
        <n v="2.1407187400158563"/>
        <n v="7.3639379220471506"/>
        <n v="1.7833116036505865"/>
        <n v="3.2925741928599375"/>
        <n v="2.5956308779753079"/>
        <n v="1.7352983055674214"/>
        <n v="4.3342965979246033"/>
        <n v="2.4256167187331679"/>
        <n v="6.2126268131131042"/>
        <n v="3.0938207699773539"/>
        <n v="2.0693729063861976"/>
        <n v="1.8313829723261212"/>
        <n v="7.7889633881626548"/>
        <n v="4.2400998757584167"/>
        <n v="4.0477156367990812"/>
        <n v="2.7355363796822907"/>
        <n v="3.3942915342422051"/>
        <n v="1.6625390039556767"/>
        <n v="3.8535544265803945"/>
        <n v="3.8318264014466545"/>
        <n v="4.9987190382933644"/>
        <n v="4.0093540873294637"/>
        <n v="5.2890397432732659"/>
        <n v="1.6898933996954277"/>
        <n v="2.9875404069803446"/>
        <n v="7.9604162795019517"/>
        <n v="3.2898454938833535"/>
        <n v="1.7889926659562465"/>
        <n v="7.3297971058109495"/>
        <n v="2.3711146233160232"/>
        <n v="6.8873660697383858"/>
        <n v="2.4208732533040478"/>
        <n v="1.9886267101142401"/>
        <n v="2.4556833472973318"/>
        <n v="4.0989069581444948"/>
        <n v="1.8086710650329878"/>
        <n v="2.3032565143046733"/>
        <n v="2.7787514959657185"/>
        <n v="2.5318950919690293"/>
        <n v="1.7507456106226824"/>
        <n v="7.2641193404867828"/>
        <n v="3.9688236217999062"/>
        <n v="2.9294009579423923"/>
        <n v="2.183279742765273"/>
        <n v="1.9510134913232533"/>
        <n v="3.0003153993744576"/>
        <n v="1.685388674676598"/>
        <n v="3.7660508722655166"/>
        <n v="7.7702716961223945"/>
        <n v="7.6971790825055368"/>
        <n v="2.3466188388468181"/>
        <n v="2.7366749076215537"/>
        <n v="2.3750632338454167"/>
        <n v="5.2005574016507667"/>
        <n v="3.0299907535210324"/>
        <n v="7.23976788442467"/>
        <n v="1.8992913142288503"/>
        <n v="1.7738524943432818"/>
        <n v="2.7181150021616949"/>
        <n v="3.4960459321850288"/>
        <n v="3.7298212351029254"/>
        <n v="3.5013403359045903"/>
        <n v="8.8789391618338982"/>
        <n v="2.6239553170758483"/>
        <n v="2.4376354326252883"/>
        <n v="8.2796056275617591"/>
        <n v="5.6691651051426186"/>
        <n v="8.1285168120772475"/>
        <n v="5.4570697844355136"/>
        <n v="7.6182125263898657"/>
        <n v="3.3241896318048338"/>
        <n v="7.9716625485351225"/>
        <n v="4.5975485765928612"/>
        <n v="2.5310518568840581"/>
        <n v="5.1564663488820797"/>
        <n v="1.7477192434840596"/>
        <n v="2.940759673411431"/>
        <n v="1.6613700112482734"/>
        <n v="3.358216190014542"/>
        <n v="1.7104576375123002"/>
        <n v="2.1753710045662102"/>
        <n v="2.3572061640506621"/>
        <n v="1.7393835125448029"/>
        <n v="1.8582903040734364"/>
        <n v="4.0859160792983156"/>
        <n v="5.7367332279844847"/>
        <n v="3.0650776724212467"/>
        <n v="1.8176212601502453"/>
        <n v="4.7112265328032965"/>
        <n v="2.275807791526387"/>
        <n v="1.9025711407338191"/>
        <n v="2.7268622694994011"/>
        <n v="3.0709600739534268"/>
        <n v="1.7990157074234523"/>
        <n v="2.6600754270502107"/>
        <n v="2.7766686064729846"/>
        <n v="3.8444724296123058"/>
        <n v="4.1461988304093564"/>
        <n v="2.113579912387662"/>
        <n v="1.5194006451807411"/>
        <n v="2.4918560377130423"/>
        <n v="7.9596017672335533"/>
        <n v="1.6984639274133391"/>
        <n v="6.4014815946234913"/>
        <n v="3.3800559810525668"/>
        <n v="1.9463650502779533"/>
        <n v="1.8306473977752444"/>
        <n v="8.5103388679711127"/>
        <n v="2.8392333117103759"/>
        <n v="8.3330543673671809"/>
        <n v="3.5083295742662037"/>
        <n v="3.1359032995753022"/>
        <n v="5.9284079051875844"/>
        <n v="2.7454700963000507"/>
        <n v="1.5715536174682496"/>
        <n v="5.3695048367014655"/>
        <n v="1.5376000000000001"/>
        <n v="3.7313564204327232"/>
        <n v="1.9404225284332441"/>
        <n v="2.7694926686687973"/>
        <n v="3.1250684975663217"/>
        <n v="3.4001037546203232"/>
        <n v="2.7564277366575767"/>
        <n v="2.9916743906206804"/>
        <n v="8.1559904036035444"/>
        <n v="1.6718957245083428"/>
        <n v="3.783494316315132"/>
        <n v="4.3771293557820989"/>
        <n v="4.9181024504778597"/>
        <n v="2.4597446695184675"/>
        <n v="1.7244932093396668"/>
        <n v="2.7590361445783129"/>
        <n v="7.9705241638179496"/>
        <n v="2.1487978988484069"/>
        <n v="2.907938761026057"/>
        <n v="6.0618711848357263"/>
        <n v="2.2981631203274584"/>
        <n v="7.8350415583091122"/>
        <n v="1.8095644748078565"/>
        <n v="2.0916343509233477"/>
        <n v="8.682961037184004"/>
        <n v="5.7462788708297685"/>
        <n v="2.2931792896876337"/>
        <n v="2.0916876748281936"/>
        <n v="5.221084139315189"/>
        <n v="2.3751083076283228"/>
        <n v="5.2059421776394705"/>
        <n v="3.6837984550073077"/>
        <n v="3.4835938452959732"/>
        <n v="2.256204112240805"/>
        <n v="2.3066843473557483"/>
        <n v="7.6516763631916422"/>
        <n v="3.102132297361436"/>
        <n v="5.2268591981381576"/>
        <n v="5.9700192910110967"/>
        <n v="1.5296215468142864"/>
        <n v="1.6043928660425046"/>
        <n v="3.3891483369576845"/>
        <n v="2.080653212579334"/>
        <n v="2.19246495848585"/>
        <n v="8.4483771584151341"/>
        <n v="5.1987847066626038"/>
        <n v="1.8434692157319894"/>
        <n v="2.5350660066006601"/>
        <n v="6.7082666186920932"/>
        <n v="2.6409368745605022"/>
        <n v="2.6416634982709608"/>
        <n v="7.6203760957334596"/>
        <n v="7.0068859984697776"/>
        <n v="4.4113819949559563"/>
        <n v="6.5122245588369756"/>
        <n v="4.1984549764768335"/>
        <n v="2.1233211009174311"/>
        <n v="2.1479006407314252"/>
        <n v="3.123989713445996"/>
        <n v="6.415891458616759"/>
        <n v="4.3615045959437806"/>
        <n v="1.9081679741578219"/>
        <n v="1.8454706599209718"/>
        <n v="2.1650366974173152"/>
        <n v="6.9630898585080372"/>
        <n v="1.5075628382887223"/>
        <n v="3.6881472957422323"/>
        <n v="6.0811173184357541"/>
        <n v="2.2537438846771485"/>
        <n v="2.5388057745239387"/>
        <n v="5.7842574888463991"/>
        <n v="2.3198912126043325"/>
        <n v="5.341940090953508"/>
        <n v="3.6458184012976731"/>
        <n v="2.0998634087114891"/>
        <n v="6.4643060890731379"/>
        <n v="7.8635226252554773"/>
        <n v="1.5831755322201184"/>
        <n v="4.1616732076194118"/>
        <n v="8.0435715243330197"/>
        <n v="2.5738303391295991"/>
        <n v="5.8204010798303125"/>
        <n v="6.649228395061729"/>
        <n v="3.5804627747119757"/>
        <n v="5.2508402136959687"/>
        <n v="5.2664564599634094"/>
        <n v="2.8279454513529858"/>
        <n v="1.7474186483103877"/>
        <n v="3.8526706027735824"/>
        <n v="7.6630944670160357"/>
        <n v="5.9813618241451776"/>
        <n v="2.1339271575613616"/>
        <n v="3.9125029693562436"/>
        <n v="4.0488848393614072"/>
        <n v="2.8889175718342304"/>
        <n v="3.7410207939508506"/>
        <n v="2.7332589285714288"/>
        <n v="8.7745151570304749"/>
        <n v="5.3951397326852977"/>
        <n v="7.7375253549695735"/>
        <n v="1.7028566777895335"/>
        <n v="5.6890701468189233"/>
        <n v="2.07383030476463"/>
        <n v="8.8145712998238483"/>
        <n v="2.0813080073261583"/>
        <n v="3.7766298979255843"/>
        <n v="3.5202562148579903"/>
        <n v="2.2257038398777187"/>
        <n v="4.7133461562325492"/>
        <n v="1.9070951915680936"/>
        <n v="4.5936354548483829"/>
        <n v="5.218883045329326"/>
        <n v="4.4583046175051688"/>
        <n v="2.2139895287958118"/>
        <n v="1.7811901000526593"/>
        <n v="6.5555742993905906"/>
        <n v="4.5421084936609732"/>
        <n v="2.0991823073338134"/>
        <n v="1.8999532293039672"/>
        <n v="3.7202843339647136"/>
        <n v="4.2961668761852003"/>
        <n v="1.9384066485782041"/>
        <n v="1.6225872866089046"/>
        <n v="1.6848076467675617"/>
        <n v="4.4520630545266604"/>
        <n v="4.9027523331249867"/>
        <n v="2.8229454419889501"/>
        <n v="8.9855094404913807"/>
        <n v="4.0674432199536668"/>
        <n v="8.2376628762249808"/>
        <n v="6.9827108210177045"/>
        <n v="4.0273927609538198"/>
        <n v="6.5125002763102637"/>
        <n v="3.7328347609959609"/>
        <n v="3.4197126913336775"/>
        <n v="1.996500201911428"/>
        <n v="5.8505426844340578"/>
        <n v="6.7689998419971564"/>
        <n v="2.9817629179331306"/>
        <n v="8.1527686335051186"/>
        <n v="4.2698412698412698"/>
        <n v="7.7962055881338381"/>
        <n v="4.7216624685138537"/>
        <n v="1.5099868717179294"/>
        <n v="2.1324124623493979"/>
        <n v="3.7899457163087091"/>
        <n v="8.0232225794926766"/>
        <n v="6.3306938249815161"/>
        <n v="2.7850853120152723"/>
        <n v="2.2574437095580335"/>
        <n v="3.2632905316212653"/>
        <n v="5.9818116116598414"/>
        <n v="1.9274364918381146"/>
        <n v="2.672331154684096"/>
        <n v="1.6104709235754133"/>
        <n v="2.3742533369386201"/>
        <n v="2.4477490774907751"/>
        <n v="3.7065297680602747"/>
        <n v="7.82088999679147"/>
        <n v="5.2185706833594159"/>
        <n v="7.2199806206365365"/>
        <n v="5.1850963340580254"/>
        <n v="4.0217905490413157"/>
        <n v="6.9846797359270267"/>
        <n v="1.5491268033409262"/>
        <n v="8.9018510546706828"/>
        <n v="3.2652930308939747"/>
        <n v="1.5950162958400698"/>
        <n v="1.5023324521847303"/>
        <n v="7.0942601642923986"/>
        <n v="8.6661985749206831"/>
        <n v="6.9277816800645171"/>
        <n v="3.9417752656094627"/>
        <n v="3.4605633432396177"/>
        <n v="7.0715097080966851"/>
        <n v="1.7616279069767442"/>
        <n v="2.680781237492996"/>
        <n v="5.7613593891825516"/>
        <n v="3.0371453876915644"/>
        <n v="2.2689453442392069"/>
        <n v="3.0850556007594254"/>
        <n v="3.9129372148598742"/>
        <n v="5.7876702978676935"/>
        <n v="2.1752447628944918"/>
        <n v="2.1571064018639743"/>
        <n v="3.0279797923721756"/>
        <n v="3.4656084656084656"/>
        <n v="6.2379784922271133"/>
        <n v="2.0604304867467182"/>
        <n v="5.4571718195641159"/>
        <n v="5.1149700936688864"/>
        <n v="3.3904621658359764"/>
        <n v="6.4261318506751399"/>
        <n v="5.2530213422473642"/>
        <n v="6.4848232010817961"/>
        <n v="4.3335575376517035"/>
        <n v="3.5443712487190746"/>
        <n v="5.7655911459858284"/>
        <n v="2.1327620612747977"/>
        <n v="3.8055972013993"/>
        <n v="3.8516601476340329"/>
        <n v="1.7767960046100655"/>
        <n v="6.5509471999051314"/>
        <n v="1.6939666696372873"/>
        <n v="2.5391817748091601"/>
        <n v="1.5261409546610805"/>
        <n v="8.9148744982926971"/>
        <n v="1.6499429874572407"/>
        <n v="2.5351001355217586"/>
        <n v="5.016622922134732"/>
        <n v="1.6512198074944002"/>
        <n v="4.5916917190489199"/>
        <n v="4.6804787932455953"/>
        <n v="5.9902186952108512"/>
        <n v="4.1888686413194556"/>
        <n v="8.3066236665839739"/>
        <n v="1.9950819158600381"/>
        <n v="3.0171451855566698"/>
        <n v="2.4476693051890939"/>
        <n v="8.5332283464566938"/>
        <n v="4.1324799798221825"/>
        <n v="2.8099781983632974"/>
        <n v="6.012044764795144"/>
        <n v="5.3363829181044036"/>
        <n v="2.4506127877885806"/>
        <n v="2.8866178660835948"/>
        <n v="2.26072481689337"/>
        <n v="4.9952358265840875"/>
        <n v="6.9648086390344597"/>
        <n v="2.3919897877772458"/>
        <n v="4.7522135208566398"/>
        <n v="2.8112686015491914"/>
        <n v="2.4653990927516651"/>
        <n v="2.0042743409031583"/>
        <n v="1.5275048153831086"/>
        <n v="2.6688135482394477"/>
        <n v="3.340261865793781"/>
        <n v="2.2838370565045993"/>
        <n v="7.3269173822919749"/>
        <n v="3.0288861043329156"/>
        <n v="1.6936660780328525"/>
        <n v="1.5879328191258473"/>
        <n v="4.4287053466805046"/>
        <n v="5.7756977765763331"/>
        <n v="7.895432366494985"/>
        <n v="5.4714839235945885"/>
        <n v="3.3557279967326936"/>
        <n v="7.9494541596796822"/>
        <n v="2.3367357424216477"/>
        <n v="3.3873669756265019"/>
        <n v="3.3610756325727502"/>
        <n v="2.3558356773274989"/>
        <n v="3.2400990099009905"/>
        <n v="5.4306135446889812"/>
        <n v="7.5371630043804974"/>
        <n v="3.7084745762711862"/>
        <n v="4.8289548829240436"/>
        <n v="8.3272258803320938"/>
        <n v="6.1379137052193276"/>
        <n v="3.2632261784633125"/>
        <n v="8.8122767132185764"/>
        <n v="1.6194690265486724"/>
        <n v="2.9425476634830026"/>
        <n v="5.3276929275171225"/>
        <n v="8.08157210358595"/>
        <n v="2.2322895277207389"/>
        <n v="7.1533501334123928"/>
        <n v="8.8602431202923402"/>
        <n v="5.2516449828024525"/>
        <n v="3.8331524789522922"/>
        <n v="8.7382953181272516"/>
        <n v="2.8158240932155607"/>
        <n v="8.2843946763186658"/>
        <n v="4.9301085435497898"/>
        <n v="3.7067092166248758"/>
        <n v="3.6528228423101878"/>
        <n v="5.2222222222222223"/>
        <n v="7.4793560314281322"/>
        <n v="3.1084918399629617"/>
        <n v="6.2394317260548977"/>
        <n v="5.3447742135201022"/>
        <n v="7.58257023125873"/>
        <n v="2.9195585435044498"/>
        <n v="4.3309352517985618"/>
        <n v="5.4685561749234513"/>
        <n v="7.7661683713611334"/>
        <n v="7.139718043632354"/>
        <n v="3.9158687000039403"/>
        <n v="7.9057305683077406"/>
        <n v="2.1374163664436439"/>
        <n v="2.9024584611706579"/>
        <n v="6.4203603316326534"/>
        <n v="8.7458885518122305"/>
        <n v="4.5933096483174332"/>
        <n v="8.4937850842020843"/>
        <n v="1.9079185976224058"/>
        <n v="1.8088431253785584"/>
        <n v="2.9938046647230321"/>
        <n v="6.6914220852926869"/>
        <n v="2.7930188833483203"/>
        <n v="7.3039901780233274"/>
        <n v="3.4023617153511498"/>
        <n v="2.6574039146653252"/>
        <n v="5.6747899159663859"/>
        <n v="4.5630160067396801"/>
        <n v="5.6068595927116824"/>
        <n v="6.018752688172043"/>
        <n v="2.6577341010433351"/>
        <n v="6.9630192942812439"/>
        <n v="4.4542288773777914"/>
        <n v="8.3988591487494517"/>
        <n v="4.8534317746786986"/>
        <n v="1.7903871829105473"/>
        <n v="2.8422076118159092"/>
        <n v="4.1089770354906054"/>
        <n v="4.3112015721504768"/>
        <n v="2.9547889839270609"/>
        <n v="8.8299694189602445"/>
        <n v="5.2026747033339609"/>
        <n v="7.030242888195823"/>
        <n v="2.55707827742089"/>
        <n v="1.7090613959705911"/>
        <n v="1.8630562592610294"/>
        <n v="1.9813379270743612"/>
        <n v="7.1032818532818531"/>
        <n v="8.6019818331957065"/>
        <n v="2.283872537095597"/>
        <n v="1.640259484961667"/>
        <n v="4.3980875941339672"/>
        <n v="7.9743986425791"/>
        <n v="3.0662834291427141"/>
        <n v="6.4048941600360303"/>
        <n v="5.8809882494727335"/>
        <n v="2.0658204524516326"/>
        <n v="2.1096360840594568"/>
        <n v="5.1550275730557127"/>
        <n v="3.5101633489153841"/>
        <n v="4.6217356897916115"/>
        <n v="8.1829403973509933"/>
        <n v="6.5001329999467998"/>
        <n v="2.1935295056670037"/>
        <n v="4.4411075612353565"/>
        <n v="2.1398537477148083"/>
        <n v="2.0116981337395945"/>
        <n v="2.8052933151432473"/>
        <n v="2.7160169775494247"/>
        <n v="4.695940254927284"/>
        <n v="3.1482023293760197"/>
        <n v="5.7169865041854102"/>
        <n v="5.1600503374899898"/>
        <n v="5.878258378688054"/>
        <n v="8.1977869184867611"/>
        <n v="3.4337555228276879"/>
        <n v="1.6208404177799369"/>
        <n v="6.8503417968749991"/>
        <n v="4.9090353343929571"/>
        <n v="4.8876923076923076"/>
        <n v="6.966572272839203"/>
        <n v="4.3146421293151356"/>
        <n v="2.6835748792270531"/>
        <n v="4.9335688170043994"/>
        <n v="3.9146005509641872"/>
        <n v="6.1732409723558463"/>
        <n v="8.0245063356274517"/>
        <n v="8.2939346811819608"/>
        <n v="3.3031656377249443"/>
        <n v="1.8465769766054743"/>
        <n v="1.5650152742728116"/>
        <n v="3.0518286589834118"/>
        <n v="8.7915136678906567"/>
        <n v="1.9330578512396697"/>
        <n v="3.9402788374835271"/>
        <n v="7.3796381046257844"/>
        <n v="1.8867350548284401"/>
        <n v="3.4725959495822121"/>
        <n v="2.7399684723416451"/>
        <n v="4.3719323497661033"/>
        <n v="6.7403748365538281"/>
        <n v="3.1606360056467788"/>
        <n v="2.6323036844064012"/>
        <n v="2.313107885680084"/>
        <n v="4.1969036524875998"/>
        <n v="1.9339971335898016"/>
        <n v="2.7846352387459197"/>
        <n v="8.1647675478577941"/>
        <n v="1.9028702640642938"/>
        <n v="2.4283712239177824"/>
        <n v="1.9206845354379933"/>
        <n v="2.9950851900393185"/>
        <n v="6.4377895433487762"/>
        <n v="2.6641729010806317"/>
        <n v="4.4080851771751792"/>
        <n v="2.4989858012170387"/>
        <n v="5.2496536196744028"/>
        <n v="6.1134541652143604"/>
        <n v="4.2674018526687254"/>
        <n v="2.460519342872284"/>
        <n v="5.7558014994644768"/>
        <n v="5.4846318799142244"/>
        <n v="5.2833139690767714"/>
        <n v="3.1537216828478964"/>
        <n v="4.3894338943389428"/>
        <n v="1.7122471098265897"/>
        <n v="4.8643478260869557"/>
        <n v="8.1508656224237424"/>
        <n v="7.5717433213990626"/>
        <n v="3.7603763143331488"/>
        <n v="2.1622676579925653"/>
        <n v="7.204737566345587"/>
        <n v="4.9835477116362545"/>
        <n v="6.9365400161681494"/>
        <n v="2.0350751610594129"/>
        <n v="4.5821790365929296"/>
        <n v="2.2351629684679901"/>
        <n v="4.0264965652600591"/>
        <n v="7.8255620777494741"/>
        <n v="2.6744134078212292"/>
        <n v="2.439155814997755"/>
        <n v="6.0489210258727821"/>
        <n v="5.1368715083798886"/>
        <n v="3.6453875833041041"/>
        <n v="5.301169245305303"/>
        <n v="5.262139466958744"/>
        <n v="3.1713729308666019"/>
        <n v="1.5514018691588785"/>
        <n v="8.4891304347826093"/>
        <n v="3.6434357721486439"/>
        <n v="4.6318068494948177"/>
        <n v="7.9204216073781284"/>
        <n v="3.1814970792011956"/>
        <n v="8.9640010992030774"/>
        <n v="5.0192598706837259"/>
        <n v="2.5161016949152541"/>
        <n v="2.0541654819448394"/>
        <n v="7.1081775367489657"/>
        <n v="7.1262975778546709"/>
        <n v="8.7728724949172232"/>
        <n v="5.8588059701492536"/>
        <n v="6.5390708301599387"/>
        <n v="1.8907095377956409"/>
        <n v="6.6568841710896036"/>
        <n v="7.4362996158770809"/>
        <n v="1.6914839367669559"/>
        <n v="8.8927294398092975"/>
        <n v="7.9145496535796767"/>
        <n v="7.5148088314485726"/>
        <n v="4.0165454545454544"/>
        <n v="7.2741758241758241"/>
        <n v="5.4111655978875888"/>
        <n v="5.8139980824544581"/>
        <n v="4.262727458597424"/>
        <n v="7.7307053941908714"/>
        <n v="3.4132127077635173"/>
        <n v="1.8230088495575221"/>
        <n v="6.8296077604386332"/>
        <n v="6.2043391631613902"/>
        <n v="4.0466054223616394"/>
        <n v="6.8843843843843846"/>
        <n v="4.630478372959038"/>
        <n v="6.0070444104134761"/>
        <n v="8.8262295081967199"/>
      </sharedItems>
    </cacheField>
    <cacheField name="Margen de Rentabilidad" numFmtId="0">
      <sharedItems/>
    </cacheField>
  </cacheFields>
  <extLst>
    <ext xmlns:x14="http://schemas.microsoft.com/office/spreadsheetml/2009/9/main" uri="{725AE2AE-9491-48be-B2B4-4EB974FC3084}">
      <x14:pivotCacheDefinition pivotCacheId="5223482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5975.973071412038" backgroundQuery="1" createdVersion="8" refreshedVersion="8" minRefreshableVersion="3" recordCount="0" supportSubquery="1" supportAdvancedDrill="1" xr:uid="{2606C588-8A59-4465-AB27-8B9A7D9288D1}">
  <cacheSource type="external" connectionId="2"/>
  <cacheFields count="0"/>
  <cacheHierarchies count="3">
    <cacheHierarchy uniqueName="[Ventas Costo Material  €].[Costo Material (€)]" caption="Costo Material (€)" attribute="1" defaultMemberUniqueName="[Ventas Costo Material  €].[Costo Material (€)].[All]" allUniqueName="[Ventas Costo Material  €].[Costo Material (€)].[All]" dimensionUniqueName="[Ventas Costo Material  €]" displayFolder="" count="0" memberValueDatatype="5" unbalanced="0"/>
    <cacheHierarchy uniqueName="[Measures].[__XL_Count Ventas Costo Material  €]" caption="__XL_Count Ventas Costo Material  €" measure="1" displayFolder="" measureGroup="Ventas Costo Material  €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Ventas Costo Material  €" uniqueName="[Ventas Costo Material  €]" caption="Ventas Costo Material  €"/>
  </dimensions>
  <measureGroups count="1">
    <measureGroup name="Ventas Costo Material  €" caption="Ventas Costo Material  €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3">
  <r>
    <d v="2024-03-22T00:00:00"/>
    <s v="Construcciones Hernández SL"/>
    <x v="0"/>
    <s v="Perlita Expandida 40L"/>
    <s v="PERLITA"/>
    <n v="973"/>
    <n v="11.3"/>
    <n v="10994.9"/>
    <s v="BARCELONA"/>
    <x v="0"/>
    <s v="DISTRIBUIDOR"/>
    <n v="6812.56"/>
    <n v="38"/>
    <x v="0"/>
    <n v="1"/>
    <s v="March"/>
    <x v="0"/>
    <x v="0"/>
    <x v="0"/>
    <s v="Beneficio"/>
  </r>
  <r>
    <d v="2023-02-23T00:00:00"/>
    <s v="Construcciones Jiménez SL"/>
    <x v="1"/>
    <s v="Perlita Natural Grano Fino"/>
    <s v="PERLITA"/>
    <n v="985"/>
    <n v="10.94"/>
    <n v="10775.9"/>
    <s v="SEVILLA"/>
    <x v="1"/>
    <s v="DISTRIBUIDOR"/>
    <n v="6892.01"/>
    <n v="36"/>
    <x v="1"/>
    <n v="1"/>
    <s v="February"/>
    <x v="1"/>
    <x v="0"/>
    <x v="1"/>
    <s v="Beneficio"/>
  </r>
  <r>
    <d v="2024-06-23T00:00:00"/>
    <s v="Construcciones Torres SL"/>
    <x v="2"/>
    <s v="Perlita Expandida 40L"/>
    <s v="PERLITA"/>
    <n v="888"/>
    <n v="11.35"/>
    <n v="10078.799999999999"/>
    <s v="BILBAO"/>
    <x v="2"/>
    <s v="ONLINE"/>
    <n v="6275.67"/>
    <n v="37.700000000000003"/>
    <x v="0"/>
    <n v="2"/>
    <s v="June"/>
    <x v="2"/>
    <x v="0"/>
    <x v="2"/>
    <s v="Beneficio"/>
  </r>
  <r>
    <d v="2023-05-02T00:00:00"/>
    <s v="Construcciones Jiménez SL"/>
    <x v="1"/>
    <s v="Mortero Cementoso Gris"/>
    <s v="MORTERO"/>
    <n v="994"/>
    <n v="11.81"/>
    <n v="11739.14"/>
    <s v="ZARAGOZA"/>
    <x v="0"/>
    <s v="ONLINE"/>
    <n v="8186.17"/>
    <n v="30.3"/>
    <x v="1"/>
    <n v="2"/>
    <s v="May"/>
    <x v="3"/>
    <x v="0"/>
    <x v="3"/>
    <s v="Beneficio"/>
  </r>
  <r>
    <d v="2023-11-06T00:00:00"/>
    <s v="Construcciones Costa SL"/>
    <x v="3"/>
    <s v="Perlita Expandida 40L"/>
    <s v="PERLITA"/>
    <n v="861"/>
    <n v="11.09"/>
    <n v="9548.49"/>
    <s v="MURCIA"/>
    <x v="3"/>
    <s v="ONLINE"/>
    <n v="6043.37"/>
    <n v="36.700000000000003"/>
    <x v="1"/>
    <n v="4"/>
    <s v="November"/>
    <x v="4"/>
    <x v="0"/>
    <x v="4"/>
    <s v="Beneficio"/>
  </r>
  <r>
    <d v="2024-03-18T00:00:00"/>
    <s v="Construcciones Torres SL"/>
    <x v="2"/>
    <s v="Perlita Expandida 40L"/>
    <s v="PERLITA"/>
    <n v="988"/>
    <n v="11.95"/>
    <n v="11806.6"/>
    <s v="BARCELONA"/>
    <x v="0"/>
    <s v="ONLINE"/>
    <n v="8378.17"/>
    <n v="29"/>
    <x v="0"/>
    <n v="1"/>
    <s v="March"/>
    <x v="5"/>
    <x v="0"/>
    <x v="5"/>
    <s v="Beneficio"/>
  </r>
  <r>
    <d v="2023-03-02T00:00:00"/>
    <s v="Construcciones Torres SL"/>
    <x v="2"/>
    <s v="Mortero Monocapa Beige"/>
    <s v="MORTERO"/>
    <n v="949"/>
    <n v="9.84"/>
    <n v="9338.16"/>
    <s v="VALENCIA"/>
    <x v="0"/>
    <s v="DISTRIBUIDOR"/>
    <n v="5930.01"/>
    <n v="36.5"/>
    <x v="1"/>
    <n v="1"/>
    <s v="March"/>
    <x v="6"/>
    <x v="0"/>
    <x v="6"/>
    <s v="Beneficio"/>
  </r>
  <r>
    <d v="2023-07-18T00:00:00"/>
    <s v="Construcciones García SL"/>
    <x v="4"/>
    <s v="Perlita Natural Grano Fino"/>
    <s v="PERLITA"/>
    <n v="839"/>
    <n v="10.8"/>
    <n v="9061.2000000000007"/>
    <s v="ZARAGOZA"/>
    <x v="1"/>
    <s v="DISTRIBUIDOR"/>
    <n v="5719.77"/>
    <n v="36.9"/>
    <x v="1"/>
    <n v="3"/>
    <s v="July"/>
    <x v="7"/>
    <x v="0"/>
    <x v="7"/>
    <s v="Beneficio"/>
  </r>
  <r>
    <d v="2023-01-22T00:00:00"/>
    <s v="Construcciones Jiménez SL"/>
    <x v="1"/>
    <s v="Placa Pladur Ignífuga"/>
    <s v="PLADUR"/>
    <n v="891"/>
    <n v="11.41"/>
    <n v="10166.31"/>
    <s v="MURCIA"/>
    <x v="4"/>
    <s v="ONLINE"/>
    <n v="6836.52"/>
    <n v="32.799999999999997"/>
    <x v="1"/>
    <n v="1"/>
    <s v="January"/>
    <x v="8"/>
    <x v="0"/>
    <x v="8"/>
    <s v="Beneficio"/>
  </r>
  <r>
    <d v="2023-01-19T00:00:00"/>
    <s v="Construcciones García SL"/>
    <x v="4"/>
    <s v="Pladur 13mm"/>
    <s v="PLADUR"/>
    <n v="803"/>
    <n v="11.37"/>
    <n v="9130.11"/>
    <s v="SEVILLA"/>
    <x v="0"/>
    <s v="ONLINE"/>
    <n v="5825.84"/>
    <n v="36.200000000000003"/>
    <x v="1"/>
    <n v="1"/>
    <s v="January"/>
    <x v="9"/>
    <x v="0"/>
    <x v="9"/>
    <s v="Beneficio"/>
  </r>
  <r>
    <d v="2023-01-21T00:00:00"/>
    <s v="Construcciones Costa SL"/>
    <x v="3"/>
    <s v="Mortero Acrílico Blanco"/>
    <s v="MORTERO"/>
    <n v="954"/>
    <n v="10.55"/>
    <n v="10064.700000000001"/>
    <s v="BILBAO"/>
    <x v="1"/>
    <s v="ONLINE"/>
    <n v="6815.41"/>
    <n v="32.299999999999997"/>
    <x v="1"/>
    <n v="1"/>
    <s v="January"/>
    <x v="10"/>
    <x v="0"/>
    <x v="10"/>
    <s v="Beneficio"/>
  </r>
  <r>
    <d v="2023-05-06T00:00:00"/>
    <s v="Construcciones García SL"/>
    <x v="4"/>
    <s v="Mortero Acrílico Blanco"/>
    <s v="MORTERO"/>
    <n v="838"/>
    <n v="10.74"/>
    <n v="9000.1200000000008"/>
    <s v="ZARAGOZA"/>
    <x v="4"/>
    <s v="ONLINE"/>
    <n v="5768.15"/>
    <n v="35.9"/>
    <x v="1"/>
    <n v="2"/>
    <s v="May"/>
    <x v="11"/>
    <x v="0"/>
    <x v="11"/>
    <s v="Beneficio"/>
  </r>
  <r>
    <d v="2023-02-26T00:00:00"/>
    <s v="Construcciones López SL"/>
    <x v="5"/>
    <s v="Mortero Cementoso Gris"/>
    <s v="MORTERO"/>
    <n v="704"/>
    <n v="11.83"/>
    <n v="8328.32"/>
    <s v="SEVILLA"/>
    <x v="1"/>
    <s v="ONLINE"/>
    <n v="5192.47"/>
    <n v="37.700000000000003"/>
    <x v="1"/>
    <n v="1"/>
    <s v="February"/>
    <x v="12"/>
    <x v="0"/>
    <x v="12"/>
    <s v="Beneficio"/>
  </r>
  <r>
    <d v="2023-08-15T00:00:00"/>
    <s v="Construcciones Hernández SL"/>
    <x v="0"/>
    <s v="Mortero Cementoso Gris"/>
    <s v="MORTERO"/>
    <n v="887"/>
    <n v="10.96"/>
    <n v="9721.52"/>
    <s v="MÁLAGA"/>
    <x v="1"/>
    <s v="ONLINE"/>
    <n v="6588.28"/>
    <n v="32.200000000000003"/>
    <x v="1"/>
    <n v="3"/>
    <s v="August"/>
    <x v="13"/>
    <x v="0"/>
    <x v="13"/>
    <s v="Beneficio"/>
  </r>
  <r>
    <d v="2024-06-21T00:00:00"/>
    <s v="Construcciones Torres SL"/>
    <x v="2"/>
    <s v="Placa Pladur Ignífuga"/>
    <s v="PLADUR"/>
    <n v="717"/>
    <n v="11.84"/>
    <n v="8489.2800000000007"/>
    <s v="VALENCIA"/>
    <x v="2"/>
    <s v="ONLINE"/>
    <n v="5430.55"/>
    <n v="36"/>
    <x v="0"/>
    <n v="2"/>
    <s v="June"/>
    <x v="14"/>
    <x v="0"/>
    <x v="14"/>
    <s v="Beneficio"/>
  </r>
  <r>
    <d v="2024-02-03T00:00:00"/>
    <s v="Construcciones Torres SL"/>
    <x v="2"/>
    <s v="Mortero Monocapa Beige"/>
    <s v="MORTERO"/>
    <n v="995"/>
    <n v="9.18"/>
    <n v="9134.1"/>
    <s v="BILBAO"/>
    <x v="4"/>
    <s v="DISTRIBUIDOR"/>
    <n v="6080.67"/>
    <n v="33.4"/>
    <x v="0"/>
    <n v="1"/>
    <s v="February"/>
    <x v="15"/>
    <x v="0"/>
    <x v="15"/>
    <s v="Beneficio"/>
  </r>
  <r>
    <d v="2023-03-29T00:00:00"/>
    <s v="Construcciones López SL"/>
    <x v="5"/>
    <s v="Pladur Aislante 15mm"/>
    <s v="PLADUR"/>
    <n v="915"/>
    <n v="10.16"/>
    <n v="9296.4"/>
    <s v="MÁLAGA"/>
    <x v="4"/>
    <s v="DISTRIBUIDOR"/>
    <n v="6283.31"/>
    <n v="32.4"/>
    <x v="1"/>
    <n v="1"/>
    <s v="March"/>
    <x v="16"/>
    <x v="0"/>
    <x v="16"/>
    <s v="Beneficio"/>
  </r>
  <r>
    <d v="2023-01-17T00:00:00"/>
    <s v="Construcciones García SL"/>
    <x v="4"/>
    <s v="Mortero Monocapa Beige"/>
    <s v="MORTERO"/>
    <n v="789"/>
    <n v="10.79"/>
    <n v="8513.31"/>
    <s v="ZARAGOZA"/>
    <x v="1"/>
    <s v="ONLINE"/>
    <n v="5522.1"/>
    <n v="35.1"/>
    <x v="1"/>
    <n v="1"/>
    <s v="January"/>
    <x v="17"/>
    <x v="0"/>
    <x v="17"/>
    <s v="Beneficio"/>
  </r>
  <r>
    <d v="2023-10-15T00:00:00"/>
    <s v="Construcciones García SL"/>
    <x v="4"/>
    <s v="Placa Pladur Ignífuga"/>
    <s v="PLADUR"/>
    <n v="805"/>
    <n v="10.87"/>
    <n v="8750.35"/>
    <s v="BILBAO"/>
    <x v="1"/>
    <s v="ONLINE"/>
    <n v="5766.22"/>
    <n v="34.1"/>
    <x v="1"/>
    <n v="4"/>
    <s v="October"/>
    <x v="18"/>
    <x v="0"/>
    <x v="18"/>
    <s v="Beneficio"/>
  </r>
  <r>
    <d v="2023-03-10T00:00:00"/>
    <s v="Construcciones López SL"/>
    <x v="5"/>
    <s v="Mortero Acrílico Blanco"/>
    <s v="MORTERO"/>
    <n v="957"/>
    <n v="8.77"/>
    <n v="8392.89"/>
    <s v="ZARAGOZA"/>
    <x v="1"/>
    <s v="DISTRIBUIDOR"/>
    <n v="5483.64"/>
    <n v="34.700000000000003"/>
    <x v="1"/>
    <n v="1"/>
    <s v="March"/>
    <x v="19"/>
    <x v="0"/>
    <x v="19"/>
    <s v="Beneficio"/>
  </r>
  <r>
    <d v="2023-10-16T00:00:00"/>
    <s v="Construcciones Costa SL"/>
    <x v="3"/>
    <s v="Mortero Acrílico Blanco"/>
    <s v="MORTERO"/>
    <n v="914"/>
    <n v="9.41"/>
    <n v="8600.74"/>
    <s v="VALENCIA"/>
    <x v="4"/>
    <s v="ONLINE"/>
    <n v="5705.69"/>
    <n v="33.700000000000003"/>
    <x v="1"/>
    <n v="4"/>
    <s v="October"/>
    <x v="20"/>
    <x v="0"/>
    <x v="20"/>
    <s v="Beneficio"/>
  </r>
  <r>
    <d v="2024-01-25T00:00:00"/>
    <s v="Construcciones López SL"/>
    <x v="5"/>
    <s v="Mortero Cementoso Gris"/>
    <s v="MORTERO"/>
    <n v="741"/>
    <n v="10.91"/>
    <n v="8084.31"/>
    <s v="SEVILLA"/>
    <x v="1"/>
    <s v="ONLINE"/>
    <n v="5197.7"/>
    <n v="35.700000000000003"/>
    <x v="0"/>
    <n v="1"/>
    <s v="January"/>
    <x v="21"/>
    <x v="0"/>
    <x v="21"/>
    <s v="Beneficio"/>
  </r>
  <r>
    <d v="2023-05-14T00:00:00"/>
    <s v="Construcciones Costa SL"/>
    <x v="3"/>
    <s v="Mortero Cementoso Gris"/>
    <s v="MORTERO"/>
    <n v="837"/>
    <n v="10.64"/>
    <n v="8905.68"/>
    <s v="MADRID"/>
    <x v="0"/>
    <s v="ONLINE"/>
    <n v="6022.51"/>
    <n v="32.4"/>
    <x v="1"/>
    <n v="2"/>
    <s v="May"/>
    <x v="22"/>
    <x v="0"/>
    <x v="22"/>
    <s v="Beneficio"/>
  </r>
  <r>
    <d v="2023-02-11T00:00:00"/>
    <s v="Construcciones Hernández SL"/>
    <x v="0"/>
    <s v="Mortero Acrílico Blanco"/>
    <s v="MORTERO"/>
    <n v="885"/>
    <n v="11.92"/>
    <n v="10549.2"/>
    <s v="BILBAO"/>
    <x v="0"/>
    <s v="DIRECTO"/>
    <n v="7668.49"/>
    <n v="27.3"/>
    <x v="1"/>
    <n v="1"/>
    <s v="February"/>
    <x v="23"/>
    <x v="0"/>
    <x v="23"/>
    <s v="Beneficio"/>
  </r>
  <r>
    <d v="2024-07-28T00:00:00"/>
    <s v="Construcciones Hernández SL"/>
    <x v="0"/>
    <s v="Perlita Natural Grano Fino"/>
    <s v="PERLITA"/>
    <n v="921"/>
    <n v="10.4"/>
    <n v="9578.4"/>
    <s v="SEVILLA"/>
    <x v="5"/>
    <s v="DISTRIBUIDOR"/>
    <n v="6698.58"/>
    <n v="30.1"/>
    <x v="0"/>
    <n v="3"/>
    <s v="July"/>
    <x v="24"/>
    <x v="0"/>
    <x v="24"/>
    <s v="Beneficio"/>
  </r>
  <r>
    <d v="2024-08-10T00:00:00"/>
    <s v="Construcciones Costa SL"/>
    <x v="3"/>
    <s v="Perlita Expandida 40L"/>
    <s v="PERLITA"/>
    <n v="984"/>
    <n v="8.2799999999999994"/>
    <n v="8147.52"/>
    <s v="ZARAGOZA"/>
    <x v="2"/>
    <s v="DISTRIBUIDOR"/>
    <n v="5276.92"/>
    <n v="35.200000000000003"/>
    <x v="0"/>
    <n v="3"/>
    <s v="August"/>
    <x v="25"/>
    <x v="0"/>
    <x v="25"/>
    <s v="Beneficio"/>
  </r>
  <r>
    <d v="2023-02-12T00:00:00"/>
    <s v="Construcciones Hernández SL"/>
    <x v="0"/>
    <s v="Mortero Acrílico Blanco"/>
    <s v="MORTERO"/>
    <n v="964"/>
    <n v="9.9600000000000009"/>
    <n v="9601.44"/>
    <s v="MURCIA"/>
    <x v="5"/>
    <s v="ONLINE"/>
    <n v="6770.42"/>
    <n v="29.5"/>
    <x v="1"/>
    <n v="1"/>
    <s v="February"/>
    <x v="26"/>
    <x v="0"/>
    <x v="26"/>
    <s v="Beneficio"/>
  </r>
  <r>
    <d v="2023-04-12T00:00:00"/>
    <s v="Construcciones López SL"/>
    <x v="5"/>
    <s v="Perlita Expandida 40L"/>
    <s v="PERLITA"/>
    <n v="903"/>
    <n v="11.63"/>
    <n v="10501.89"/>
    <s v="ZARAGOZA"/>
    <x v="5"/>
    <s v="DISTRIBUIDOR"/>
    <n v="7676.15"/>
    <n v="26.9"/>
    <x v="1"/>
    <n v="2"/>
    <s v="April"/>
    <x v="27"/>
    <x v="0"/>
    <x v="27"/>
    <s v="Beneficio"/>
  </r>
  <r>
    <d v="2023-06-15T00:00:00"/>
    <s v="Construcciones Jiménez SL"/>
    <x v="1"/>
    <s v="Perlita Natural Grano Fino"/>
    <s v="PERLITA"/>
    <n v="943"/>
    <n v="11.94"/>
    <n v="11259.42"/>
    <s v="BILBAO"/>
    <x v="5"/>
    <s v="DIRECTO"/>
    <n v="8433.81"/>
    <n v="25.1"/>
    <x v="1"/>
    <n v="2"/>
    <s v="June"/>
    <x v="28"/>
    <x v="0"/>
    <x v="28"/>
    <s v="Beneficio"/>
  </r>
  <r>
    <d v="2023-01-16T00:00:00"/>
    <s v="Construcciones Hernández SL"/>
    <x v="0"/>
    <s v="Mortero Cementoso Gris"/>
    <s v="MORTERO"/>
    <n v="811"/>
    <n v="10.97"/>
    <n v="8896.67"/>
    <s v="VALENCIA"/>
    <x v="5"/>
    <s v="DIRECTO"/>
    <n v="6082.13"/>
    <n v="31.6"/>
    <x v="1"/>
    <n v="1"/>
    <s v="January"/>
    <x v="29"/>
    <x v="0"/>
    <x v="29"/>
    <s v="Beneficio"/>
  </r>
  <r>
    <d v="2023-05-06T00:00:00"/>
    <s v="Construcciones Hernández SL"/>
    <x v="0"/>
    <s v="Mortero Acrílico Blanco"/>
    <s v="MORTERO"/>
    <n v="992"/>
    <n v="7.88"/>
    <n v="7816.96"/>
    <s v="ZARAGOZA"/>
    <x v="2"/>
    <s v="ONLINE"/>
    <n v="5039.6000000000004"/>
    <n v="35.5"/>
    <x v="1"/>
    <n v="2"/>
    <s v="May"/>
    <x v="30"/>
    <x v="0"/>
    <x v="30"/>
    <s v="Beneficio"/>
  </r>
  <r>
    <d v="2024-01-08T00:00:00"/>
    <s v="Construcciones Costa SL"/>
    <x v="3"/>
    <s v="Placa Pladur Ignífuga"/>
    <s v="PLADUR"/>
    <n v="994"/>
    <n v="9.15"/>
    <n v="9095.1"/>
    <s v="BARCELONA"/>
    <x v="1"/>
    <s v="DIRECTO"/>
    <n v="6345.64"/>
    <n v="30.2"/>
    <x v="0"/>
    <n v="1"/>
    <s v="January"/>
    <x v="31"/>
    <x v="0"/>
    <x v="31"/>
    <s v="Beneficio"/>
  </r>
  <r>
    <d v="2024-04-26T00:00:00"/>
    <s v="Construcciones López SL"/>
    <x v="5"/>
    <s v="Pladur 13mm"/>
    <s v="PLADUR"/>
    <n v="925"/>
    <n v="9.5"/>
    <n v="8787.5"/>
    <s v="MADRID"/>
    <x v="4"/>
    <s v="DIRECTO"/>
    <n v="6058.65"/>
    <n v="31.1"/>
    <x v="0"/>
    <n v="2"/>
    <s v="April"/>
    <x v="32"/>
    <x v="0"/>
    <x v="32"/>
    <s v="Beneficio"/>
  </r>
  <r>
    <d v="2023-05-17T00:00:00"/>
    <s v="Construcciones Jiménez SL"/>
    <x v="1"/>
    <s v="Perlita Natural Grano Fino"/>
    <s v="PERLITA"/>
    <n v="886"/>
    <n v="9.85"/>
    <n v="8727.1"/>
    <s v="ZARAGOZA"/>
    <x v="3"/>
    <s v="ONLINE"/>
    <n v="6008.63"/>
    <n v="31.1"/>
    <x v="1"/>
    <n v="2"/>
    <s v="May"/>
    <x v="33"/>
    <x v="0"/>
    <x v="33"/>
    <s v="Beneficio"/>
  </r>
  <r>
    <d v="2023-07-17T00:00:00"/>
    <s v="Construcciones Jiménez SL"/>
    <x v="1"/>
    <s v="Placa Pladur Ignífuga"/>
    <s v="PLADUR"/>
    <n v="910"/>
    <n v="7.84"/>
    <n v="7134.4"/>
    <s v="VALENCIA"/>
    <x v="3"/>
    <s v="ONLINE"/>
    <n v="4428.13"/>
    <n v="37.9"/>
    <x v="1"/>
    <n v="3"/>
    <s v="July"/>
    <x v="34"/>
    <x v="0"/>
    <x v="34"/>
    <s v="Beneficio"/>
  </r>
  <r>
    <d v="2023-11-22T00:00:00"/>
    <s v="Construcciones Jiménez SL"/>
    <x v="1"/>
    <s v="Pladur 13mm"/>
    <s v="PLADUR"/>
    <n v="935"/>
    <n v="11.27"/>
    <n v="10537.45"/>
    <s v="ZARAGOZA"/>
    <x v="0"/>
    <s v="DIRECTO"/>
    <n v="7865.26"/>
    <n v="25.4"/>
    <x v="1"/>
    <n v="4"/>
    <s v="November"/>
    <x v="35"/>
    <x v="0"/>
    <x v="35"/>
    <s v="Beneficio"/>
  </r>
  <r>
    <d v="2025-05-30T00:00:00"/>
    <s v="Construcciones Costa SL"/>
    <x v="3"/>
    <s v="Mortero Acrílico Blanco"/>
    <s v="MORTERO"/>
    <n v="736"/>
    <n v="11.75"/>
    <n v="8648"/>
    <s v="ZARAGOZA"/>
    <x v="1"/>
    <s v="DISTRIBUIDOR"/>
    <n v="5986.28"/>
    <n v="30.8"/>
    <x v="2"/>
    <n v="2"/>
    <s v="May"/>
    <x v="36"/>
    <x v="0"/>
    <x v="36"/>
    <s v="Beneficio"/>
  </r>
  <r>
    <d v="2024-01-31T00:00:00"/>
    <s v="Construcciones Jiménez SL"/>
    <x v="1"/>
    <s v="Mortero Monocapa Beige"/>
    <s v="MORTERO"/>
    <n v="920"/>
    <n v="7.87"/>
    <n v="7240.4"/>
    <s v="ZARAGOZA"/>
    <x v="3"/>
    <s v="ONLINE"/>
    <n v="4621.43"/>
    <n v="36.200000000000003"/>
    <x v="0"/>
    <n v="1"/>
    <s v="January"/>
    <x v="37"/>
    <x v="0"/>
    <x v="37"/>
    <s v="Beneficio"/>
  </r>
  <r>
    <d v="2023-06-13T00:00:00"/>
    <s v="Construcciones García SL"/>
    <x v="4"/>
    <s v="Pladur Aislante 15mm"/>
    <s v="PLADUR"/>
    <n v="858"/>
    <n v="9.2100000000000009"/>
    <n v="7902.18"/>
    <s v="VALENCIA"/>
    <x v="0"/>
    <s v="DISTRIBUIDOR"/>
    <n v="5327.07"/>
    <n v="32.6"/>
    <x v="1"/>
    <n v="2"/>
    <s v="June"/>
    <x v="38"/>
    <x v="0"/>
    <x v="38"/>
    <s v="Beneficio"/>
  </r>
  <r>
    <d v="2023-01-30T00:00:00"/>
    <s v="Construcciones Torres SL"/>
    <x v="2"/>
    <s v="Mortero Monocapa Beige"/>
    <s v="MORTERO"/>
    <n v="987"/>
    <n v="8.98"/>
    <n v="8863.26"/>
    <s v="ZARAGOZA"/>
    <x v="3"/>
    <s v="DIRECTO"/>
    <n v="6314.92"/>
    <n v="28.8"/>
    <x v="1"/>
    <n v="1"/>
    <s v="January"/>
    <x v="39"/>
    <x v="0"/>
    <x v="39"/>
    <s v="Beneficio"/>
  </r>
  <r>
    <d v="2023-01-13T00:00:00"/>
    <s v="Construcciones Costa SL"/>
    <x v="3"/>
    <s v="Mortero Cementoso Gris"/>
    <s v="MORTERO"/>
    <n v="915"/>
    <n v="8.25"/>
    <n v="7548.75"/>
    <s v="BARCELONA"/>
    <x v="4"/>
    <s v="ONLINE"/>
    <n v="5023.07"/>
    <n v="33.5"/>
    <x v="1"/>
    <n v="1"/>
    <s v="January"/>
    <x v="40"/>
    <x v="0"/>
    <x v="40"/>
    <s v="Beneficio"/>
  </r>
  <r>
    <d v="2023-12-31T00:00:00"/>
    <s v="Construcciones Hernández SL"/>
    <x v="0"/>
    <s v="Pladur 13mm"/>
    <s v="PLADUR"/>
    <n v="884"/>
    <n v="7.6"/>
    <n v="6718.4"/>
    <s v="SEVILLA"/>
    <x v="4"/>
    <s v="DISTRIBUIDOR"/>
    <n v="4192.8"/>
    <n v="37.6"/>
    <x v="1"/>
    <n v="4"/>
    <s v="December"/>
    <x v="41"/>
    <x v="0"/>
    <x v="41"/>
    <s v="Beneficio"/>
  </r>
  <r>
    <d v="2023-05-06T00:00:00"/>
    <s v="Construcciones Jiménez SL"/>
    <x v="1"/>
    <s v="Perlita Natural Grano Fino"/>
    <s v="PERLITA"/>
    <n v="759"/>
    <n v="10.47"/>
    <n v="7946.73"/>
    <s v="VALENCIA"/>
    <x v="1"/>
    <s v="ONLINE"/>
    <n v="5429.88"/>
    <n v="31.7"/>
    <x v="1"/>
    <n v="2"/>
    <s v="May"/>
    <x v="42"/>
    <x v="0"/>
    <x v="42"/>
    <s v="Beneficio"/>
  </r>
  <r>
    <d v="2023-02-21T00:00:00"/>
    <s v="Construcciones López SL"/>
    <x v="5"/>
    <s v="Mortero Monocapa Beige"/>
    <s v="MORTERO"/>
    <n v="688"/>
    <n v="9.2899999999999991"/>
    <n v="6391.52"/>
    <s v="MADRID"/>
    <x v="1"/>
    <s v="DISTRIBUIDOR"/>
    <n v="3880.91"/>
    <n v="39.299999999999997"/>
    <x v="1"/>
    <n v="1"/>
    <s v="February"/>
    <x v="43"/>
    <x v="0"/>
    <x v="43"/>
    <s v="Beneficio"/>
  </r>
  <r>
    <d v="2023-02-22T00:00:00"/>
    <s v="Construcciones López SL"/>
    <x v="5"/>
    <s v="Mortero Monocapa Beige"/>
    <s v="MORTERO"/>
    <n v="952"/>
    <n v="11.32"/>
    <n v="10776.64"/>
    <s v="MÁLAGA"/>
    <x v="5"/>
    <s v="ONLINE"/>
    <n v="8273.67"/>
    <n v="23.2"/>
    <x v="1"/>
    <n v="1"/>
    <s v="February"/>
    <x v="44"/>
    <x v="1"/>
    <x v="44"/>
    <s v="Beneficio"/>
  </r>
  <r>
    <d v="2024-01-06T00:00:00"/>
    <s v="Construcciones Torres SL"/>
    <x v="2"/>
    <s v="Perlita Natural Grano Fino"/>
    <s v="PERLITA"/>
    <n v="704"/>
    <n v="9.01"/>
    <n v="6343.04"/>
    <s v="MÁLAGA"/>
    <x v="3"/>
    <s v="DISTRIBUIDOR"/>
    <n v="3844.99"/>
    <n v="39.4"/>
    <x v="0"/>
    <n v="1"/>
    <s v="January"/>
    <x v="45"/>
    <x v="0"/>
    <x v="45"/>
    <s v="Beneficio"/>
  </r>
  <r>
    <d v="2024-08-20T00:00:00"/>
    <s v="Construcciones Torres SL"/>
    <x v="2"/>
    <s v="Mortero Acrílico Blanco"/>
    <s v="MORTERO"/>
    <n v="674"/>
    <n v="9.3800000000000008"/>
    <n v="6322.12"/>
    <s v="VALENCIA"/>
    <x v="5"/>
    <s v="DIRECTO"/>
    <n v="3841.13"/>
    <n v="39.200000000000003"/>
    <x v="0"/>
    <n v="3"/>
    <s v="August"/>
    <x v="46"/>
    <x v="0"/>
    <x v="46"/>
    <s v="Beneficio"/>
  </r>
  <r>
    <d v="2024-07-28T00:00:00"/>
    <s v="Construcciones Hernández SL"/>
    <x v="0"/>
    <s v="Pladur Aislante 15mm"/>
    <s v="PLADUR"/>
    <n v="601"/>
    <n v="10.38"/>
    <n v="6238.38"/>
    <s v="VALENCIA"/>
    <x v="4"/>
    <s v="ONLINE"/>
    <n v="3806.26"/>
    <n v="39"/>
    <x v="0"/>
    <n v="3"/>
    <s v="July"/>
    <x v="47"/>
    <x v="0"/>
    <x v="47"/>
    <s v="Beneficio"/>
  </r>
  <r>
    <d v="2023-03-10T00:00:00"/>
    <s v="Construcciones Jiménez SL"/>
    <x v="1"/>
    <s v="Mortero Monocapa Beige"/>
    <s v="MORTERO"/>
    <n v="651"/>
    <n v="9.7200000000000006"/>
    <n v="6327.72"/>
    <s v="VALENCIA"/>
    <x v="5"/>
    <s v="DISTRIBUIDOR"/>
    <n v="3947.36"/>
    <n v="37.6"/>
    <x v="1"/>
    <n v="1"/>
    <s v="March"/>
    <x v="48"/>
    <x v="0"/>
    <x v="48"/>
    <s v="Beneficio"/>
  </r>
  <r>
    <d v="2023-03-13T00:00:00"/>
    <s v="Construcciones Torres SL"/>
    <x v="2"/>
    <s v="Mortero Monocapa Beige"/>
    <s v="MORTERO"/>
    <n v="886"/>
    <n v="10.01"/>
    <n v="8868.86"/>
    <s v="BILBAO"/>
    <x v="1"/>
    <s v="DIRECTO"/>
    <n v="6498.3"/>
    <n v="26.7"/>
    <x v="1"/>
    <n v="1"/>
    <s v="March"/>
    <x v="49"/>
    <x v="0"/>
    <x v="49"/>
    <s v="Beneficio"/>
  </r>
  <r>
    <d v="2023-01-02T00:00:00"/>
    <s v="Construcciones Costa SL"/>
    <x v="3"/>
    <s v="Placa Pladur Ignífuga"/>
    <s v="PLADUR"/>
    <n v="742"/>
    <n v="10.41"/>
    <n v="7724.22"/>
    <s v="ZARAGOZA"/>
    <x v="0"/>
    <s v="DIRECTO"/>
    <n v="5357.82"/>
    <n v="30.6"/>
    <x v="1"/>
    <n v="1"/>
    <s v="January"/>
    <x v="50"/>
    <x v="0"/>
    <x v="50"/>
    <s v="Beneficio"/>
  </r>
  <r>
    <d v="2024-03-25T00:00:00"/>
    <s v="Construcciones Hernández SL"/>
    <x v="0"/>
    <s v="Perlita Expandida 40L"/>
    <s v="PERLITA"/>
    <n v="925"/>
    <n v="6.6"/>
    <n v="6105"/>
    <s v="MÁLAGA"/>
    <x v="2"/>
    <s v="DISTRIBUIDOR"/>
    <n v="3772.38"/>
    <n v="38.200000000000003"/>
    <x v="0"/>
    <n v="1"/>
    <s v="March"/>
    <x v="51"/>
    <x v="0"/>
    <x v="51"/>
    <s v="Beneficio"/>
  </r>
  <r>
    <d v="2023-04-11T00:00:00"/>
    <s v="Construcciones Costa SL"/>
    <x v="3"/>
    <s v="Perlita Natural Grano Fino"/>
    <s v="PERLITA"/>
    <n v="513"/>
    <n v="11.43"/>
    <n v="5863.59"/>
    <s v="SEVILLA"/>
    <x v="3"/>
    <s v="ONLINE"/>
    <n v="3543.88"/>
    <n v="39.6"/>
    <x v="1"/>
    <n v="2"/>
    <s v="April"/>
    <x v="52"/>
    <x v="0"/>
    <x v="52"/>
    <s v="Beneficio"/>
  </r>
  <r>
    <d v="2023-03-29T00:00:00"/>
    <s v="Construcciones Jiménez SL"/>
    <x v="1"/>
    <s v="Mortero Monocapa Beige"/>
    <s v="MORTERO"/>
    <n v="795"/>
    <n v="11.88"/>
    <n v="9444.6"/>
    <s v="MÁLAGA"/>
    <x v="3"/>
    <s v="DISTRIBUIDOR"/>
    <n v="7125.99"/>
    <n v="24.5"/>
    <x v="1"/>
    <n v="1"/>
    <s v="March"/>
    <x v="53"/>
    <x v="1"/>
    <x v="53"/>
    <s v="Beneficio"/>
  </r>
  <r>
    <d v="2023-12-16T00:00:00"/>
    <s v="Construcciones Costa SL"/>
    <x v="3"/>
    <s v="Mortero Acrílico Blanco"/>
    <s v="MORTERO"/>
    <n v="834"/>
    <n v="11.98"/>
    <n v="9991.32"/>
    <s v="BARCELONA"/>
    <x v="4"/>
    <s v="ONLINE"/>
    <n v="7707.88"/>
    <n v="22.9"/>
    <x v="1"/>
    <n v="4"/>
    <s v="December"/>
    <x v="54"/>
    <x v="1"/>
    <x v="54"/>
    <s v="Beneficio"/>
  </r>
  <r>
    <d v="2023-03-09T00:00:00"/>
    <s v="Construcciones López SL"/>
    <x v="5"/>
    <s v="Mortero Cementoso Gris"/>
    <s v="MORTERO"/>
    <n v="923"/>
    <n v="6.48"/>
    <n v="5981.04"/>
    <s v="MÁLAGA"/>
    <x v="2"/>
    <s v="DIRECTO"/>
    <n v="3705.8"/>
    <n v="38"/>
    <x v="1"/>
    <n v="1"/>
    <s v="March"/>
    <x v="55"/>
    <x v="0"/>
    <x v="55"/>
    <s v="Beneficio"/>
  </r>
  <r>
    <d v="2023-04-25T00:00:00"/>
    <s v="Construcciones Jiménez SL"/>
    <x v="1"/>
    <s v="Pladur 13mm"/>
    <s v="PLADUR"/>
    <n v="792"/>
    <n v="7.89"/>
    <n v="6248.88"/>
    <s v="BARCELONA"/>
    <x v="3"/>
    <s v="DIRECTO"/>
    <n v="3989.68"/>
    <n v="36.200000000000003"/>
    <x v="1"/>
    <n v="2"/>
    <s v="April"/>
    <x v="56"/>
    <x v="0"/>
    <x v="56"/>
    <s v="Beneficio"/>
  </r>
  <r>
    <d v="2024-05-15T00:00:00"/>
    <s v="Construcciones Hernández SL"/>
    <x v="0"/>
    <s v="Mortero Monocapa Beige"/>
    <s v="MORTERO"/>
    <n v="758"/>
    <n v="10.07"/>
    <n v="7633.06"/>
    <s v="SEVILLA"/>
    <x v="2"/>
    <s v="ONLINE"/>
    <n v="5378.38"/>
    <n v="29.5"/>
    <x v="0"/>
    <n v="2"/>
    <s v="May"/>
    <x v="57"/>
    <x v="0"/>
    <x v="57"/>
    <s v="Beneficio"/>
  </r>
  <r>
    <d v="2023-05-16T00:00:00"/>
    <s v="Construcciones Torres SL"/>
    <x v="2"/>
    <s v="Mortero Cementoso Gris"/>
    <s v="MORTERO"/>
    <n v="624"/>
    <n v="9.86"/>
    <n v="6152.64"/>
    <s v="ZARAGOZA"/>
    <x v="1"/>
    <s v="DIRECTO"/>
    <n v="3932.18"/>
    <n v="36.1"/>
    <x v="1"/>
    <n v="2"/>
    <s v="May"/>
    <x v="58"/>
    <x v="0"/>
    <x v="58"/>
    <s v="Beneficio"/>
  </r>
  <r>
    <d v="2024-08-20T00:00:00"/>
    <s v="Construcciones Costa SL"/>
    <x v="3"/>
    <s v="Mortero Monocapa Beige"/>
    <s v="MORTERO"/>
    <n v="874"/>
    <n v="9.67"/>
    <n v="8451.58"/>
    <s v="BILBAO"/>
    <x v="0"/>
    <s v="DISTRIBUIDOR"/>
    <n v="6232.91"/>
    <n v="26.3"/>
    <x v="0"/>
    <n v="3"/>
    <s v="August"/>
    <x v="59"/>
    <x v="0"/>
    <x v="59"/>
    <s v="Beneficio"/>
  </r>
  <r>
    <d v="2023-09-27T00:00:00"/>
    <s v="Construcciones Torres SL"/>
    <x v="2"/>
    <s v="Pladur 13mm"/>
    <s v="PLADUR"/>
    <n v="896"/>
    <n v="6.3"/>
    <n v="5644.8"/>
    <s v="MADRID"/>
    <x v="4"/>
    <s v="DISTRIBUIDOR"/>
    <n v="3452.37"/>
    <n v="38.799999999999997"/>
    <x v="1"/>
    <n v="3"/>
    <s v="September"/>
    <x v="60"/>
    <x v="0"/>
    <x v="60"/>
    <s v="Beneficio"/>
  </r>
  <r>
    <d v="2023-11-02T00:00:00"/>
    <s v="Construcciones García SL"/>
    <x v="4"/>
    <s v="Perlita Expandida 40L"/>
    <s v="PERLITA"/>
    <n v="923"/>
    <n v="9.34"/>
    <n v="8620.82"/>
    <s v="VALENCIA"/>
    <x v="0"/>
    <s v="DIRECTO"/>
    <n v="6439.54"/>
    <n v="25.3"/>
    <x v="1"/>
    <n v="4"/>
    <s v="November"/>
    <x v="61"/>
    <x v="0"/>
    <x v="61"/>
    <s v="Beneficio"/>
  </r>
  <r>
    <d v="2024-04-24T00:00:00"/>
    <s v="Construcciones López SL"/>
    <x v="5"/>
    <s v="Mortero Monocapa Beige"/>
    <s v="MORTERO"/>
    <n v="693"/>
    <n v="8.67"/>
    <n v="6008.31"/>
    <s v="SEVILLA"/>
    <x v="5"/>
    <s v="ONLINE"/>
    <n v="3831.92"/>
    <n v="36.200000000000003"/>
    <x v="0"/>
    <n v="2"/>
    <s v="April"/>
    <x v="62"/>
    <x v="0"/>
    <x v="62"/>
    <s v="Beneficio"/>
  </r>
  <r>
    <d v="2023-07-09T00:00:00"/>
    <s v="Construcciones Torres SL"/>
    <x v="2"/>
    <s v="Perlita Natural Grano Fino"/>
    <s v="PERLITA"/>
    <n v="943"/>
    <n v="8.4"/>
    <n v="7921.2"/>
    <s v="ZARAGOZA"/>
    <x v="2"/>
    <s v="DIRECTO"/>
    <n v="5757.96"/>
    <n v="27.3"/>
    <x v="1"/>
    <n v="3"/>
    <s v="July"/>
    <x v="63"/>
    <x v="0"/>
    <x v="63"/>
    <s v="Beneficio"/>
  </r>
  <r>
    <d v="2023-03-19T00:00:00"/>
    <s v="Construcciones Torres SL"/>
    <x v="2"/>
    <s v="Mortero Monocapa Beige"/>
    <s v="MORTERO"/>
    <n v="822"/>
    <n v="7.52"/>
    <n v="6181.44"/>
    <s v="SEVILLA"/>
    <x v="4"/>
    <s v="ONLINE"/>
    <n v="4020.19"/>
    <n v="35"/>
    <x v="1"/>
    <n v="1"/>
    <s v="March"/>
    <x v="64"/>
    <x v="0"/>
    <x v="64"/>
    <s v="Beneficio"/>
  </r>
  <r>
    <d v="2023-04-03T00:00:00"/>
    <s v="Construcciones López SL"/>
    <x v="5"/>
    <s v="Pladur Aislante 15mm"/>
    <s v="PLADUR"/>
    <n v="947"/>
    <n v="10.67"/>
    <n v="10104.49"/>
    <s v="BARCELONA"/>
    <x v="4"/>
    <s v="ONLINE"/>
    <n v="7957.18"/>
    <n v="21.3"/>
    <x v="1"/>
    <n v="2"/>
    <s v="April"/>
    <x v="65"/>
    <x v="1"/>
    <x v="65"/>
    <s v="Beneficio"/>
  </r>
  <r>
    <d v="2023-05-08T00:00:00"/>
    <s v="Construcciones Jiménez SL"/>
    <x v="1"/>
    <s v="Placa Pladur Ignífuga"/>
    <s v="PLADUR"/>
    <n v="914"/>
    <n v="11.69"/>
    <n v="10684.66"/>
    <s v="VALENCIA"/>
    <x v="2"/>
    <s v="DIRECTO"/>
    <n v="8537.83"/>
    <n v="20.100000000000001"/>
    <x v="1"/>
    <n v="2"/>
    <s v="May"/>
    <x v="66"/>
    <x v="1"/>
    <x v="66"/>
    <s v="Beneficio"/>
  </r>
  <r>
    <d v="2024-06-14T00:00:00"/>
    <s v="Construcciones Costa SL"/>
    <x v="3"/>
    <s v="Perlita Expandida 40L"/>
    <s v="PERLITA"/>
    <n v="706"/>
    <n v="7.7"/>
    <n v="5436.2"/>
    <s v="BILBAO"/>
    <x v="2"/>
    <s v="DISTRIBUIDOR"/>
    <n v="3294.71"/>
    <n v="39.4"/>
    <x v="0"/>
    <n v="2"/>
    <s v="June"/>
    <x v="67"/>
    <x v="0"/>
    <x v="67"/>
    <s v="Beneficio"/>
  </r>
  <r>
    <d v="2023-03-02T00:00:00"/>
    <s v="Construcciones Costa SL"/>
    <x v="3"/>
    <s v="Perlita Expandida 40L"/>
    <s v="PERLITA"/>
    <n v="626"/>
    <n v="9.82"/>
    <n v="6147.32"/>
    <s v="MÁLAGA"/>
    <x v="3"/>
    <s v="DISTRIBUIDOR"/>
    <n v="4007.71"/>
    <n v="34.799999999999997"/>
    <x v="1"/>
    <n v="1"/>
    <s v="March"/>
    <x v="68"/>
    <x v="0"/>
    <x v="68"/>
    <s v="Beneficio"/>
  </r>
  <r>
    <d v="2023-07-14T00:00:00"/>
    <s v="Construcciones Torres SL"/>
    <x v="2"/>
    <s v="Mortero Cementoso Gris"/>
    <s v="MORTERO"/>
    <n v="942"/>
    <n v="10.27"/>
    <n v="9674.34"/>
    <s v="MÁLAGA"/>
    <x v="4"/>
    <s v="DIRECTO"/>
    <n v="7539.15"/>
    <n v="22.1"/>
    <x v="1"/>
    <n v="3"/>
    <s v="July"/>
    <x v="69"/>
    <x v="1"/>
    <x v="69"/>
    <s v="Beneficio"/>
  </r>
  <r>
    <d v="2023-05-31T00:00:00"/>
    <s v="Construcciones López SL"/>
    <x v="5"/>
    <s v="Perlita Natural Grano Fino"/>
    <s v="PERLITA"/>
    <n v="633"/>
    <n v="9.75"/>
    <n v="6171.75"/>
    <s v="BILBAO"/>
    <x v="0"/>
    <s v="DISTRIBUIDOR"/>
    <n v="4039.36"/>
    <n v="34.6"/>
    <x v="1"/>
    <n v="2"/>
    <s v="May"/>
    <x v="70"/>
    <x v="0"/>
    <x v="70"/>
    <s v="Beneficio"/>
  </r>
  <r>
    <d v="2023-09-21T00:00:00"/>
    <s v="Construcciones Torres SL"/>
    <x v="2"/>
    <s v="Pladur Aislante 15mm"/>
    <s v="PLADUR"/>
    <n v="798"/>
    <n v="11.29"/>
    <n v="9009.42"/>
    <s v="MADRID"/>
    <x v="1"/>
    <s v="ONLINE"/>
    <n v="6880.94"/>
    <n v="23.6"/>
    <x v="1"/>
    <n v="3"/>
    <s v="September"/>
    <x v="71"/>
    <x v="1"/>
    <x v="71"/>
    <s v="Beneficio"/>
  </r>
  <r>
    <d v="2024-07-07T00:00:00"/>
    <s v="Construcciones García SL"/>
    <x v="4"/>
    <s v="Mortero Monocapa Beige"/>
    <s v="MORTERO"/>
    <n v="906"/>
    <n v="6.78"/>
    <n v="6142.68"/>
    <s v="SEVILLA"/>
    <x v="5"/>
    <s v="DIRECTO"/>
    <n v="4019.69"/>
    <n v="34.6"/>
    <x v="0"/>
    <n v="3"/>
    <s v="July"/>
    <x v="72"/>
    <x v="0"/>
    <x v="72"/>
    <s v="Beneficio"/>
  </r>
  <r>
    <d v="2023-01-09T00:00:00"/>
    <s v="Construcciones Jiménez SL"/>
    <x v="1"/>
    <s v="Perlita Natural Grano Fino"/>
    <s v="PERLITA"/>
    <n v="962"/>
    <n v="9.36"/>
    <n v="9004.32"/>
    <s v="BILBAO"/>
    <x v="1"/>
    <s v="DISTRIBUIDOR"/>
    <n v="6885.5"/>
    <n v="23.5"/>
    <x v="1"/>
    <n v="1"/>
    <s v="January"/>
    <x v="73"/>
    <x v="1"/>
    <x v="73"/>
    <s v="Beneficio"/>
  </r>
  <r>
    <d v="2024-10-24T00:00:00"/>
    <s v="Construcciones López SL"/>
    <x v="5"/>
    <s v="Perlita Expandida 40L"/>
    <s v="PERLITA"/>
    <n v="923"/>
    <n v="11.7"/>
    <n v="10799.1"/>
    <s v="BILBAO"/>
    <x v="5"/>
    <s v="DIRECTO"/>
    <n v="8690.08"/>
    <n v="19.5"/>
    <x v="0"/>
    <n v="4"/>
    <s v="October"/>
    <x v="74"/>
    <x v="1"/>
    <x v="74"/>
    <s v="Beneficio"/>
  </r>
  <r>
    <d v="2023-01-28T00:00:00"/>
    <s v="Construcciones Costa SL"/>
    <x v="3"/>
    <s v="Mortero Cementoso Gris"/>
    <s v="MORTERO"/>
    <n v="492"/>
    <n v="10.69"/>
    <n v="5259.48"/>
    <s v="MÁLAGA"/>
    <x v="5"/>
    <s v="DIRECTO"/>
    <n v="3165.96"/>
    <n v="39.799999999999997"/>
    <x v="1"/>
    <n v="1"/>
    <s v="January"/>
    <x v="75"/>
    <x v="0"/>
    <x v="75"/>
    <s v="Beneficio"/>
  </r>
  <r>
    <d v="2023-06-22T00:00:00"/>
    <s v="Construcciones Jiménez SL"/>
    <x v="1"/>
    <s v="Pladur Aislante 15mm"/>
    <s v="PLADUR"/>
    <n v="780"/>
    <n v="11.1"/>
    <n v="8658"/>
    <s v="SEVILLA"/>
    <x v="4"/>
    <s v="DISTRIBUIDOR"/>
    <n v="6570.21"/>
    <n v="24.1"/>
    <x v="1"/>
    <n v="2"/>
    <s v="June"/>
    <x v="76"/>
    <x v="1"/>
    <x v="76"/>
    <s v="Beneficio"/>
  </r>
  <r>
    <d v="2023-09-04T00:00:00"/>
    <s v="Construcciones Hernández SL"/>
    <x v="0"/>
    <s v="Perlita Natural Grano Fino"/>
    <s v="PERLITA"/>
    <n v="481"/>
    <n v="11.25"/>
    <n v="5411.25"/>
    <s v="MÁLAGA"/>
    <x v="4"/>
    <s v="ONLINE"/>
    <n v="3325.12"/>
    <n v="38.6"/>
    <x v="1"/>
    <n v="3"/>
    <s v="September"/>
    <x v="77"/>
    <x v="0"/>
    <x v="77"/>
    <s v="Beneficio"/>
  </r>
  <r>
    <d v="2023-07-13T00:00:00"/>
    <s v="Construcciones Costa SL"/>
    <x v="3"/>
    <s v="Perlita Expandida 40L"/>
    <s v="PERLITA"/>
    <n v="600"/>
    <n v="10.09"/>
    <n v="6054"/>
    <s v="SEVILLA"/>
    <x v="3"/>
    <s v="ONLINE"/>
    <n v="3973.55"/>
    <n v="34.4"/>
    <x v="1"/>
    <n v="3"/>
    <s v="July"/>
    <x v="78"/>
    <x v="0"/>
    <x v="78"/>
    <s v="Beneficio"/>
  </r>
  <r>
    <d v="2024-12-28T00:00:00"/>
    <s v="Construcciones Jiménez SL"/>
    <x v="1"/>
    <s v="Mortero Acrílico Blanco"/>
    <s v="MORTERO"/>
    <n v="470"/>
    <n v="11.77"/>
    <n v="5531.9"/>
    <s v="MADRID"/>
    <x v="1"/>
    <s v="DISTRIBUIDOR"/>
    <n v="3455.07"/>
    <n v="37.5"/>
    <x v="0"/>
    <n v="4"/>
    <s v="December"/>
    <x v="79"/>
    <x v="0"/>
    <x v="79"/>
    <s v="Beneficio"/>
  </r>
  <r>
    <d v="2023-11-13T00:00:00"/>
    <s v="Construcciones López SL"/>
    <x v="5"/>
    <s v="Pladur 13mm"/>
    <s v="PLADUR"/>
    <n v="586"/>
    <n v="11.04"/>
    <n v="6469.44"/>
    <s v="MÁLAGA"/>
    <x v="2"/>
    <s v="DISTRIBUIDOR"/>
    <n v="4412.58"/>
    <n v="31.8"/>
    <x v="1"/>
    <n v="4"/>
    <s v="November"/>
    <x v="80"/>
    <x v="0"/>
    <x v="80"/>
    <s v="Beneficio"/>
  </r>
  <r>
    <d v="2023-06-03T00:00:00"/>
    <s v="Construcciones Hernández SL"/>
    <x v="0"/>
    <s v="Mortero Acrílico Blanco"/>
    <s v="MORTERO"/>
    <n v="596"/>
    <n v="10.62"/>
    <n v="6329.52"/>
    <s v="VALENCIA"/>
    <x v="1"/>
    <s v="ONLINE"/>
    <n v="4287.26"/>
    <n v="32.299999999999997"/>
    <x v="1"/>
    <n v="2"/>
    <s v="June"/>
    <x v="81"/>
    <x v="0"/>
    <x v="81"/>
    <s v="Beneficio"/>
  </r>
  <r>
    <d v="2023-03-02T00:00:00"/>
    <s v="Construcciones Torres SL"/>
    <x v="2"/>
    <s v="Placa Pladur Ignífuga"/>
    <s v="PLADUR"/>
    <n v="669"/>
    <n v="9.92"/>
    <n v="6636.48"/>
    <s v="MURCIA"/>
    <x v="3"/>
    <s v="DISTRIBUIDOR"/>
    <n v="4594.3999999999996"/>
    <n v="30.8"/>
    <x v="1"/>
    <n v="1"/>
    <s v="March"/>
    <x v="82"/>
    <x v="0"/>
    <x v="82"/>
    <s v="Beneficio"/>
  </r>
  <r>
    <d v="2023-11-13T00:00:00"/>
    <s v="Construcciones Hernández SL"/>
    <x v="0"/>
    <s v="Pladur 13mm"/>
    <s v="PLADUR"/>
    <n v="629"/>
    <n v="10.14"/>
    <n v="6378.06"/>
    <s v="MURCIA"/>
    <x v="2"/>
    <s v="ONLINE"/>
    <n v="4336.2299999999996"/>
    <n v="32"/>
    <x v="1"/>
    <n v="4"/>
    <s v="November"/>
    <x v="83"/>
    <x v="0"/>
    <x v="83"/>
    <s v="Beneficio"/>
  </r>
  <r>
    <d v="2023-03-14T00:00:00"/>
    <s v="Construcciones Torres SL"/>
    <x v="2"/>
    <s v="Perlita Expandida 40L"/>
    <s v="PERLITA"/>
    <n v="664"/>
    <n v="9.94"/>
    <n v="6600.16"/>
    <s v="BILBAO"/>
    <x v="3"/>
    <s v="DISTRIBUIDOR"/>
    <n v="4559.8599999999997"/>
    <n v="30.9"/>
    <x v="1"/>
    <n v="1"/>
    <s v="March"/>
    <x v="84"/>
    <x v="0"/>
    <x v="84"/>
    <s v="Beneficio"/>
  </r>
  <r>
    <d v="2023-09-13T00:00:00"/>
    <s v="Construcciones Jiménez SL"/>
    <x v="1"/>
    <s v="Mortero Acrílico Blanco"/>
    <s v="MORTERO"/>
    <n v="475"/>
    <n v="10.72"/>
    <n v="5092"/>
    <s v="ZARAGOZA"/>
    <x v="2"/>
    <s v="ONLINE"/>
    <n v="3062.75"/>
    <n v="39.9"/>
    <x v="1"/>
    <n v="3"/>
    <s v="September"/>
    <x v="85"/>
    <x v="0"/>
    <x v="85"/>
    <s v="Beneficio"/>
  </r>
  <r>
    <d v="2023-04-10T00:00:00"/>
    <s v="Construcciones Jiménez SL"/>
    <x v="1"/>
    <s v="Mortero Monocapa Beige"/>
    <s v="MORTERO"/>
    <n v="960"/>
    <n v="7.34"/>
    <n v="7046.4"/>
    <s v="ZARAGOZA"/>
    <x v="5"/>
    <s v="ONLINE"/>
    <n v="5024.63"/>
    <n v="28.7"/>
    <x v="1"/>
    <n v="2"/>
    <s v="April"/>
    <x v="86"/>
    <x v="0"/>
    <x v="86"/>
    <s v="Beneficio"/>
  </r>
  <r>
    <d v="2024-04-01T00:00:00"/>
    <s v="Construcciones Hernández SL"/>
    <x v="0"/>
    <s v="Mortero Acrílico Blanco"/>
    <s v="MORTERO"/>
    <n v="707"/>
    <n v="8.4600000000000009"/>
    <n v="5981.22"/>
    <s v="BILBAO"/>
    <x v="1"/>
    <s v="DISTRIBUIDOR"/>
    <n v="3961.8"/>
    <n v="33.799999999999997"/>
    <x v="0"/>
    <n v="2"/>
    <s v="April"/>
    <x v="87"/>
    <x v="0"/>
    <x v="87"/>
    <s v="Beneficio"/>
  </r>
  <r>
    <d v="2023-07-10T00:00:00"/>
    <s v="Construcciones Torres SL"/>
    <x v="2"/>
    <s v="Perlita Natural Grano Fino"/>
    <s v="PERLITA"/>
    <n v="955"/>
    <n v="11.93"/>
    <n v="11393.15"/>
    <s v="ZARAGOZA"/>
    <x v="0"/>
    <s v="DISTRIBUIDOR"/>
    <n v="9377.6"/>
    <n v="17.7"/>
    <x v="1"/>
    <n v="3"/>
    <s v="July"/>
    <x v="88"/>
    <x v="1"/>
    <x v="88"/>
    <s v="Beneficio"/>
  </r>
  <r>
    <d v="2023-04-23T00:00:00"/>
    <s v="Construcciones Jiménez SL"/>
    <x v="1"/>
    <s v="Mortero Monocapa Beige"/>
    <s v="MORTERO"/>
    <n v="493"/>
    <n v="10.71"/>
    <n v="5280.03"/>
    <s v="BILBAO"/>
    <x v="0"/>
    <s v="ONLINE"/>
    <n v="3267.45"/>
    <n v="38.1"/>
    <x v="1"/>
    <n v="2"/>
    <s v="April"/>
    <x v="89"/>
    <x v="0"/>
    <x v="89"/>
    <s v="Beneficio"/>
  </r>
  <r>
    <d v="2023-05-14T00:00:00"/>
    <s v="Construcciones Hernández SL"/>
    <x v="0"/>
    <s v="Perlita Natural Grano Fino"/>
    <s v="PERLITA"/>
    <n v="603"/>
    <n v="10.25"/>
    <n v="6180.75"/>
    <s v="BILBAO"/>
    <x v="2"/>
    <s v="ONLINE"/>
    <n v="4177.38"/>
    <n v="32.4"/>
    <x v="1"/>
    <n v="2"/>
    <s v="May"/>
    <x v="90"/>
    <x v="0"/>
    <x v="90"/>
    <s v="Beneficio"/>
  </r>
  <r>
    <d v="2023-01-08T00:00:00"/>
    <s v="Construcciones López SL"/>
    <x v="5"/>
    <s v="Pladur 13mm"/>
    <s v="PLADUR"/>
    <n v="595"/>
    <n v="8.65"/>
    <n v="5146.75"/>
    <s v="SEVILLA"/>
    <x v="4"/>
    <s v="DISTRIBUIDOR"/>
    <n v="3159.95"/>
    <n v="38.6"/>
    <x v="1"/>
    <n v="1"/>
    <s v="January"/>
    <x v="91"/>
    <x v="0"/>
    <x v="91"/>
    <s v="Beneficio"/>
  </r>
  <r>
    <d v="2023-12-17T00:00:00"/>
    <s v="Construcciones López SL"/>
    <x v="5"/>
    <s v="Mortero Cementoso Gris"/>
    <s v="MORTERO"/>
    <n v="974"/>
    <n v="8.51"/>
    <n v="8288.74"/>
    <s v="MÁLAGA"/>
    <x v="5"/>
    <s v="ONLINE"/>
    <n v="6310.12"/>
    <n v="23.9"/>
    <x v="1"/>
    <n v="4"/>
    <s v="December"/>
    <x v="92"/>
    <x v="1"/>
    <x v="92"/>
    <s v="Beneficio"/>
  </r>
  <r>
    <d v="2023-07-02T00:00:00"/>
    <s v="Construcciones Hernández SL"/>
    <x v="0"/>
    <s v="Placa Pladur Ignífuga"/>
    <s v="PLADUR"/>
    <n v="638"/>
    <n v="11.19"/>
    <n v="7139.22"/>
    <s v="BILBAO"/>
    <x v="2"/>
    <s v="DIRECTO"/>
    <n v="5179.0200000000004"/>
    <n v="27.5"/>
    <x v="1"/>
    <n v="3"/>
    <s v="July"/>
    <x v="93"/>
    <x v="0"/>
    <x v="93"/>
    <s v="Beneficio"/>
  </r>
  <r>
    <d v="2023-09-14T00:00:00"/>
    <s v="Construcciones Costa SL"/>
    <x v="3"/>
    <s v="Mortero Monocapa Beige"/>
    <s v="MORTERO"/>
    <n v="743"/>
    <n v="6.83"/>
    <n v="5074.6899999999996"/>
    <s v="VALENCIA"/>
    <x v="3"/>
    <s v="DISTRIBUIDOR"/>
    <n v="3115.81"/>
    <n v="38.6"/>
    <x v="1"/>
    <n v="3"/>
    <s v="September"/>
    <x v="94"/>
    <x v="0"/>
    <x v="94"/>
    <s v="Beneficio"/>
  </r>
  <r>
    <d v="2023-02-08T00:00:00"/>
    <s v="Construcciones López SL"/>
    <x v="5"/>
    <s v="Perlita Natural Grano Fino"/>
    <s v="PERLITA"/>
    <n v="942"/>
    <n v="5.94"/>
    <n v="5595.48"/>
    <s v="MADRID"/>
    <x v="2"/>
    <s v="ONLINE"/>
    <n v="3639.22"/>
    <n v="35"/>
    <x v="1"/>
    <n v="1"/>
    <s v="February"/>
    <x v="95"/>
    <x v="0"/>
    <x v="95"/>
    <s v="Beneficio"/>
  </r>
  <r>
    <d v="2023-01-30T00:00:00"/>
    <s v="Construcciones Costa SL"/>
    <x v="3"/>
    <s v="Mortero Cementoso Gris"/>
    <s v="MORTERO"/>
    <n v="593"/>
    <n v="9.9"/>
    <n v="5870.7"/>
    <s v="BARCELONA"/>
    <x v="1"/>
    <s v="ONLINE"/>
    <n v="3915.01"/>
    <n v="33.299999999999997"/>
    <x v="1"/>
    <n v="1"/>
    <s v="January"/>
    <x v="96"/>
    <x v="0"/>
    <x v="96"/>
    <s v="Beneficio"/>
  </r>
  <r>
    <d v="2023-03-24T00:00:00"/>
    <s v="Construcciones Jiménez SL"/>
    <x v="1"/>
    <s v="Mortero Acrílico Blanco"/>
    <s v="MORTERO"/>
    <n v="988"/>
    <n v="5.14"/>
    <n v="5078.32"/>
    <s v="MADRID"/>
    <x v="5"/>
    <s v="DISTRIBUIDOR"/>
    <n v="3123.11"/>
    <n v="38.5"/>
    <x v="1"/>
    <n v="1"/>
    <s v="March"/>
    <x v="97"/>
    <x v="0"/>
    <x v="97"/>
    <s v="Beneficio"/>
  </r>
  <r>
    <d v="2024-08-22T00:00:00"/>
    <s v="Construcciones García SL"/>
    <x v="4"/>
    <s v="Perlita Expandida 40L"/>
    <s v="PERLITA"/>
    <n v="847"/>
    <n v="10.65"/>
    <n v="9020.5499999999993"/>
    <s v="MÁLAGA"/>
    <x v="0"/>
    <s v="DIRECTO"/>
    <n v="7065.45"/>
    <n v="21.7"/>
    <x v="0"/>
    <n v="3"/>
    <s v="August"/>
    <x v="98"/>
    <x v="1"/>
    <x v="98"/>
    <s v="Beneficio"/>
  </r>
  <r>
    <d v="2023-06-22T00:00:00"/>
    <s v="Construcciones Torres SL"/>
    <x v="2"/>
    <s v="Mortero Monocapa Beige"/>
    <s v="MORTERO"/>
    <n v="772"/>
    <n v="7.57"/>
    <n v="5844.04"/>
    <s v="ZARAGOZA"/>
    <x v="4"/>
    <s v="ONLINE"/>
    <n v="3889.42"/>
    <n v="33.4"/>
    <x v="1"/>
    <n v="2"/>
    <s v="June"/>
    <x v="99"/>
    <x v="0"/>
    <x v="99"/>
    <s v="Beneficio"/>
  </r>
  <r>
    <d v="2023-05-28T00:00:00"/>
    <s v="Construcciones García SL"/>
    <x v="4"/>
    <s v="Pladur 13mm"/>
    <s v="PLADUR"/>
    <n v="903"/>
    <n v="6.54"/>
    <n v="5905.62"/>
    <s v="VALENCIA"/>
    <x v="0"/>
    <s v="ONLINE"/>
    <n v="3959.1"/>
    <n v="33"/>
    <x v="1"/>
    <n v="2"/>
    <s v="May"/>
    <x v="100"/>
    <x v="0"/>
    <x v="100"/>
    <s v="Beneficio"/>
  </r>
  <r>
    <d v="2023-04-01T00:00:00"/>
    <s v="Construcciones Torres SL"/>
    <x v="2"/>
    <s v="Perlita Expandida 40L"/>
    <s v="PERLITA"/>
    <n v="807"/>
    <n v="6.08"/>
    <n v="4906.5600000000004"/>
    <s v="BARCELONA"/>
    <x v="4"/>
    <s v="DIRECTO"/>
    <n v="2963.91"/>
    <n v="39.6"/>
    <x v="1"/>
    <n v="2"/>
    <s v="April"/>
    <x v="101"/>
    <x v="0"/>
    <x v="101"/>
    <s v="Beneficio"/>
  </r>
  <r>
    <d v="2024-05-08T00:00:00"/>
    <s v="Construcciones López SL"/>
    <x v="5"/>
    <s v="Mortero Monocapa Beige"/>
    <s v="MORTERO"/>
    <n v="765"/>
    <n v="11.85"/>
    <n v="9065.25"/>
    <s v="BILBAO"/>
    <x v="2"/>
    <s v="ONLINE"/>
    <n v="7123.5"/>
    <n v="21.4"/>
    <x v="0"/>
    <n v="2"/>
    <s v="May"/>
    <x v="102"/>
    <x v="1"/>
    <x v="102"/>
    <s v="Beneficio"/>
  </r>
  <r>
    <d v="2024-09-29T00:00:00"/>
    <s v="Construcciones Jiménez SL"/>
    <x v="1"/>
    <s v="Perlita Natural Grano Fino"/>
    <s v="PERLITA"/>
    <n v="832"/>
    <n v="9.76"/>
    <n v="8120.32"/>
    <s v="VALENCIA"/>
    <x v="2"/>
    <s v="DISTRIBUIDOR"/>
    <n v="6209.81"/>
    <n v="23.5"/>
    <x v="0"/>
    <n v="3"/>
    <s v="September"/>
    <x v="103"/>
    <x v="1"/>
    <x v="103"/>
    <s v="Beneficio"/>
  </r>
  <r>
    <d v="2023-01-19T00:00:00"/>
    <s v="Construcciones López SL"/>
    <x v="5"/>
    <s v="Placa Pladur Ignífuga"/>
    <s v="PLADUR"/>
    <n v="575"/>
    <n v="8.52"/>
    <n v="4899"/>
    <s v="ZARAGOZA"/>
    <x v="2"/>
    <s v="ONLINE"/>
    <n v="2997.58"/>
    <n v="38.799999999999997"/>
    <x v="1"/>
    <n v="1"/>
    <s v="January"/>
    <x v="104"/>
    <x v="0"/>
    <x v="104"/>
    <s v="Beneficio"/>
  </r>
  <r>
    <d v="2023-12-06T00:00:00"/>
    <s v="Construcciones Costa SL"/>
    <x v="3"/>
    <s v="Perlita Natural Grano Fino"/>
    <s v="PERLITA"/>
    <n v="658"/>
    <n v="11.02"/>
    <n v="7251.16"/>
    <s v="BILBAO"/>
    <x v="3"/>
    <s v="DIRECTO"/>
    <n v="5357.78"/>
    <n v="26.1"/>
    <x v="1"/>
    <n v="4"/>
    <s v="December"/>
    <x v="105"/>
    <x v="0"/>
    <x v="105"/>
    <s v="Beneficio"/>
  </r>
  <r>
    <d v="2024-02-27T00:00:00"/>
    <s v="Construcciones Torres SL"/>
    <x v="2"/>
    <s v="Perlita Natural Grano Fino"/>
    <s v="PERLITA"/>
    <n v="739"/>
    <n v="11.67"/>
    <n v="8624.1299999999992"/>
    <s v="MÁLAGA"/>
    <x v="5"/>
    <s v="ONLINE"/>
    <n v="6741.37"/>
    <n v="21.8"/>
    <x v="0"/>
    <n v="1"/>
    <s v="February"/>
    <x v="106"/>
    <x v="1"/>
    <x v="106"/>
    <s v="Beneficio"/>
  </r>
  <r>
    <d v="2024-06-20T00:00:00"/>
    <s v="Construcciones Costa SL"/>
    <x v="3"/>
    <s v="Perlita Expandida 40L"/>
    <s v="PERLITA"/>
    <n v="939"/>
    <n v="5.18"/>
    <n v="4864.0200000000004"/>
    <s v="BARCELONA"/>
    <x v="1"/>
    <s v="ONLINE"/>
    <n v="2995"/>
    <n v="38.4"/>
    <x v="0"/>
    <n v="2"/>
    <s v="June"/>
    <x v="107"/>
    <x v="0"/>
    <x v="107"/>
    <s v="Beneficio"/>
  </r>
  <r>
    <d v="2023-05-19T00:00:00"/>
    <s v="Construcciones Costa SL"/>
    <x v="3"/>
    <s v="Perlita Expandida 40L"/>
    <s v="PERLITA"/>
    <n v="758"/>
    <n v="10.52"/>
    <n v="7974.16"/>
    <s v="BARCELONA"/>
    <x v="1"/>
    <s v="ONLINE"/>
    <n v="6129.14"/>
    <n v="23.1"/>
    <x v="1"/>
    <n v="2"/>
    <s v="May"/>
    <x v="108"/>
    <x v="1"/>
    <x v="108"/>
    <s v="Beneficio"/>
  </r>
  <r>
    <d v="2023-01-25T00:00:00"/>
    <s v="Construcciones García SL"/>
    <x v="4"/>
    <s v="Perlita Expandida 40L"/>
    <s v="PERLITA"/>
    <n v="969"/>
    <n v="11.44"/>
    <n v="11085.36"/>
    <s v="MURCIA"/>
    <x v="1"/>
    <s v="DISTRIBUIDOR"/>
    <n v="9254.84"/>
    <n v="16.5"/>
    <x v="1"/>
    <n v="1"/>
    <s v="January"/>
    <x v="109"/>
    <x v="1"/>
    <x v="109"/>
    <s v="Beneficio"/>
  </r>
  <r>
    <d v="2024-11-25T00:00:00"/>
    <s v="Construcciones Costa SL"/>
    <x v="3"/>
    <s v="Mortero Monocapa Beige"/>
    <s v="MORTERO"/>
    <n v="832"/>
    <n v="8.6999999999999993"/>
    <n v="7238.4"/>
    <s v="VALENCIA"/>
    <x v="0"/>
    <s v="DISTRIBUIDOR"/>
    <n v="5409.36"/>
    <n v="25.3"/>
    <x v="0"/>
    <n v="4"/>
    <s v="November"/>
    <x v="110"/>
    <x v="0"/>
    <x v="110"/>
    <s v="Beneficio"/>
  </r>
  <r>
    <d v="2023-01-05T00:00:00"/>
    <s v="Construcciones García SL"/>
    <x v="4"/>
    <s v="Perlita Expandida 40L"/>
    <s v="PERLITA"/>
    <n v="667"/>
    <n v="11.03"/>
    <n v="7357.01"/>
    <s v="MÁLAGA"/>
    <x v="5"/>
    <s v="ONLINE"/>
    <n v="5531.23"/>
    <n v="24.8"/>
    <x v="1"/>
    <n v="1"/>
    <s v="January"/>
    <x v="111"/>
    <x v="1"/>
    <x v="111"/>
    <s v="Beneficio"/>
  </r>
  <r>
    <d v="2023-03-26T00:00:00"/>
    <s v="Construcciones Torres SL"/>
    <x v="2"/>
    <s v="Mortero Monocapa Beige"/>
    <s v="MORTERO"/>
    <n v="821"/>
    <n v="9.3000000000000007"/>
    <n v="7635.3"/>
    <s v="SEVILLA"/>
    <x v="3"/>
    <s v="DIRECTO"/>
    <n v="5813.82"/>
    <n v="23.9"/>
    <x v="1"/>
    <n v="1"/>
    <s v="March"/>
    <x v="112"/>
    <x v="1"/>
    <x v="112"/>
    <s v="Beneficio"/>
  </r>
  <r>
    <d v="2023-02-19T00:00:00"/>
    <s v="Construcciones Torres SL"/>
    <x v="2"/>
    <s v="Pladur Aislante 15mm"/>
    <s v="PLADUR"/>
    <n v="747"/>
    <n v="7.1"/>
    <n v="5303.7"/>
    <s v="ZARAGOZA"/>
    <x v="5"/>
    <s v="DIRECTO"/>
    <n v="3484.67"/>
    <n v="34.299999999999997"/>
    <x v="1"/>
    <n v="1"/>
    <s v="February"/>
    <x v="113"/>
    <x v="0"/>
    <x v="113"/>
    <s v="Beneficio"/>
  </r>
  <r>
    <d v="2023-03-16T00:00:00"/>
    <s v="Construcciones López SL"/>
    <x v="5"/>
    <s v="Mortero Acrílico Blanco"/>
    <s v="MORTERO"/>
    <n v="885"/>
    <n v="9.0500000000000007"/>
    <n v="8009.25"/>
    <s v="MADRID"/>
    <x v="2"/>
    <s v="DISTRIBUIDOR"/>
    <n v="6193.34"/>
    <n v="22.7"/>
    <x v="1"/>
    <n v="1"/>
    <s v="March"/>
    <x v="114"/>
    <x v="1"/>
    <x v="114"/>
    <s v="Beneficio"/>
  </r>
  <r>
    <d v="2023-05-21T00:00:00"/>
    <s v="Construcciones Jiménez SL"/>
    <x v="1"/>
    <s v="Mortero Monocapa Beige"/>
    <s v="MORTERO"/>
    <n v="987"/>
    <n v="7.17"/>
    <n v="7076.79"/>
    <s v="MÁLAGA"/>
    <x v="4"/>
    <s v="DIRECTO"/>
    <n v="5266.84"/>
    <n v="25.6"/>
    <x v="1"/>
    <n v="2"/>
    <s v="May"/>
    <x v="115"/>
    <x v="0"/>
    <x v="115"/>
    <s v="Beneficio"/>
  </r>
  <r>
    <d v="2023-12-28T00:00:00"/>
    <s v="Construcciones García SL"/>
    <x v="4"/>
    <s v="Mortero Cementoso Gris"/>
    <s v="MORTERO"/>
    <n v="852"/>
    <n v="7.35"/>
    <n v="6262.2"/>
    <s v="VALENCIA"/>
    <x v="3"/>
    <s v="DIRECTO"/>
    <n v="4453.08"/>
    <n v="28.9"/>
    <x v="1"/>
    <n v="4"/>
    <s v="December"/>
    <x v="116"/>
    <x v="0"/>
    <x v="116"/>
    <s v="Beneficio"/>
  </r>
  <r>
    <d v="2023-04-23T00:00:00"/>
    <s v="Construcciones Jiménez SL"/>
    <x v="1"/>
    <s v="Pladur 13mm"/>
    <s v="PLADUR"/>
    <n v="939"/>
    <n v="7.63"/>
    <n v="7164.57"/>
    <s v="ZARAGOZA"/>
    <x v="2"/>
    <s v="DIRECTO"/>
    <n v="5355.54"/>
    <n v="25.2"/>
    <x v="1"/>
    <n v="2"/>
    <s v="April"/>
    <x v="117"/>
    <x v="0"/>
    <x v="117"/>
    <s v="Beneficio"/>
  </r>
  <r>
    <d v="2023-04-05T00:00:00"/>
    <s v="Construcciones Torres SL"/>
    <x v="2"/>
    <s v="Pladur 13mm"/>
    <s v="PLADUR"/>
    <n v="793"/>
    <n v="8.09"/>
    <n v="6415.37"/>
    <s v="SEVILLA"/>
    <x v="1"/>
    <s v="DISTRIBUIDOR"/>
    <n v="4607.82"/>
    <n v="28.2"/>
    <x v="1"/>
    <n v="2"/>
    <s v="April"/>
    <x v="118"/>
    <x v="0"/>
    <x v="118"/>
    <s v="Beneficio"/>
  </r>
  <r>
    <d v="2023-12-10T00:00:00"/>
    <s v="Construcciones Costa SL"/>
    <x v="3"/>
    <s v="Pladur 13mm"/>
    <s v="PLADUR"/>
    <n v="840"/>
    <n v="10.050000000000001"/>
    <n v="8442"/>
    <s v="MÁLAGA"/>
    <x v="2"/>
    <s v="ONLINE"/>
    <n v="6641.6"/>
    <n v="21.3"/>
    <x v="1"/>
    <n v="4"/>
    <s v="December"/>
    <x v="119"/>
    <x v="1"/>
    <x v="119"/>
    <s v="Beneficio"/>
  </r>
  <r>
    <d v="2023-04-06T00:00:00"/>
    <s v="Construcciones Torres SL"/>
    <x v="2"/>
    <s v="Pladur 13mm"/>
    <s v="PLADUR"/>
    <n v="609"/>
    <n v="7.39"/>
    <n v="4500.51"/>
    <s v="BILBAO"/>
    <x v="5"/>
    <s v="DISTRIBUIDOR"/>
    <n v="2707.92"/>
    <n v="39.799999999999997"/>
    <x v="1"/>
    <n v="2"/>
    <s v="April"/>
    <x v="120"/>
    <x v="0"/>
    <x v="120"/>
    <s v="Beneficio"/>
  </r>
  <r>
    <d v="2023-06-22T00:00:00"/>
    <s v="Construcciones Torres SL"/>
    <x v="2"/>
    <s v="Pladur Aislante 15mm"/>
    <s v="PLADUR"/>
    <n v="954"/>
    <n v="8.35"/>
    <n v="7965.9"/>
    <s v="BILBAO"/>
    <x v="1"/>
    <s v="ONLINE"/>
    <n v="6182.6"/>
    <n v="22.4"/>
    <x v="1"/>
    <n v="2"/>
    <s v="June"/>
    <x v="121"/>
    <x v="1"/>
    <x v="121"/>
    <s v="Beneficio"/>
  </r>
  <r>
    <d v="2024-08-03T00:00:00"/>
    <s v="Construcciones García SL"/>
    <x v="4"/>
    <s v="Perlita Natural Grano Fino"/>
    <s v="PERLITA"/>
    <n v="872"/>
    <n v="6.59"/>
    <n v="5746.48"/>
    <s v="VALENCIA"/>
    <x v="0"/>
    <s v="ONLINE"/>
    <n v="3963.37"/>
    <n v="31"/>
    <x v="0"/>
    <n v="3"/>
    <s v="August"/>
    <x v="122"/>
    <x v="0"/>
    <x v="122"/>
    <s v="Beneficio"/>
  </r>
  <r>
    <d v="2023-02-18T00:00:00"/>
    <s v="Construcciones López SL"/>
    <x v="5"/>
    <s v="Pladur 13mm"/>
    <s v="PLADUR"/>
    <n v="846"/>
    <n v="9.69"/>
    <n v="8197.74"/>
    <s v="BILBAO"/>
    <x v="3"/>
    <s v="ONLINE"/>
    <n v="6419.21"/>
    <n v="21.7"/>
    <x v="1"/>
    <n v="1"/>
    <s v="February"/>
    <x v="123"/>
    <x v="1"/>
    <x v="123"/>
    <s v="Beneficio"/>
  </r>
  <r>
    <d v="2023-03-13T00:00:00"/>
    <s v="Construcciones Jiménez SL"/>
    <x v="1"/>
    <s v="Mortero Monocapa Beige"/>
    <s v="MORTERO"/>
    <n v="743"/>
    <n v="6.06"/>
    <n v="4502.58"/>
    <s v="VALENCIA"/>
    <x v="0"/>
    <s v="ONLINE"/>
    <n v="2729.15"/>
    <n v="39.4"/>
    <x v="1"/>
    <n v="1"/>
    <s v="March"/>
    <x v="124"/>
    <x v="0"/>
    <x v="124"/>
    <s v="Beneficio"/>
  </r>
  <r>
    <d v="2023-05-18T00:00:00"/>
    <s v="Construcciones García SL"/>
    <x v="4"/>
    <s v="Perlita Expandida 40L"/>
    <s v="PERLITA"/>
    <n v="812"/>
    <n v="11.68"/>
    <n v="9484.16"/>
    <s v="MÁLAGA"/>
    <x v="4"/>
    <s v="DIRECTO"/>
    <n v="7724.28"/>
    <n v="18.600000000000001"/>
    <x v="1"/>
    <n v="2"/>
    <s v="May"/>
    <x v="125"/>
    <x v="1"/>
    <x v="125"/>
    <s v="Beneficio"/>
  </r>
  <r>
    <d v="2023-04-09T00:00:00"/>
    <s v="Construcciones Torres SL"/>
    <x v="2"/>
    <s v="Mortero Acrílico Blanco"/>
    <s v="MORTERO"/>
    <n v="746"/>
    <n v="11.21"/>
    <n v="8362.66"/>
    <s v="MÁLAGA"/>
    <x v="1"/>
    <s v="ONLINE"/>
    <n v="6610.07"/>
    <n v="21"/>
    <x v="1"/>
    <n v="2"/>
    <s v="April"/>
    <x v="126"/>
    <x v="1"/>
    <x v="126"/>
    <s v="Beneficio"/>
  </r>
  <r>
    <d v="2023-06-03T00:00:00"/>
    <s v="Construcciones López SL"/>
    <x v="5"/>
    <s v="Perlita Expandida 40L"/>
    <s v="PERLITA"/>
    <n v="643"/>
    <n v="11.61"/>
    <n v="7465.23"/>
    <s v="MÁLAGA"/>
    <x v="5"/>
    <s v="ONLINE"/>
    <n v="5719.86"/>
    <n v="23.4"/>
    <x v="1"/>
    <n v="2"/>
    <s v="June"/>
    <x v="127"/>
    <x v="1"/>
    <x v="127"/>
    <s v="Beneficio"/>
  </r>
  <r>
    <d v="2023-09-01T00:00:00"/>
    <s v="Construcciones Hernández SL"/>
    <x v="0"/>
    <s v="Mortero Acrílico Blanco"/>
    <s v="MORTERO"/>
    <n v="853"/>
    <n v="7.06"/>
    <n v="6022.18"/>
    <s v="BILBAO"/>
    <x v="2"/>
    <s v="DIRECTO"/>
    <n v="4280.42"/>
    <n v="28.9"/>
    <x v="1"/>
    <n v="3"/>
    <s v="September"/>
    <x v="128"/>
    <x v="0"/>
    <x v="128"/>
    <s v="Beneficio"/>
  </r>
  <r>
    <d v="2023-02-17T00:00:00"/>
    <s v="Construcciones Torres SL"/>
    <x v="2"/>
    <s v="Pladur Aislante 15mm"/>
    <s v="PLADUR"/>
    <n v="463"/>
    <n v="10.63"/>
    <n v="4921.6899999999996"/>
    <s v="BILBAO"/>
    <x v="0"/>
    <s v="DIRECTO"/>
    <n v="3180.33"/>
    <n v="35.4"/>
    <x v="1"/>
    <n v="1"/>
    <s v="February"/>
    <x v="129"/>
    <x v="0"/>
    <x v="129"/>
    <s v="Beneficio"/>
  </r>
  <r>
    <d v="2023-10-03T00:00:00"/>
    <s v="Construcciones Hernández SL"/>
    <x v="0"/>
    <s v="Mortero Monocapa Beige"/>
    <s v="MORTERO"/>
    <n v="693"/>
    <n v="8.3000000000000007"/>
    <n v="5751.9"/>
    <s v="BILBAO"/>
    <x v="2"/>
    <s v="DIRECTO"/>
    <n v="4017.51"/>
    <n v="30.2"/>
    <x v="1"/>
    <n v="4"/>
    <s v="October"/>
    <x v="130"/>
    <x v="0"/>
    <x v="130"/>
    <s v="Beneficio"/>
  </r>
  <r>
    <d v="2023-04-22T00:00:00"/>
    <s v="Construcciones Torres SL"/>
    <x v="2"/>
    <s v="Mortero Acrílico Blanco"/>
    <s v="MORTERO"/>
    <n v="827"/>
    <n v="9.61"/>
    <n v="7947.47"/>
    <s v="MURCIA"/>
    <x v="0"/>
    <s v="DIRECTO"/>
    <n v="6214.44"/>
    <n v="21.8"/>
    <x v="1"/>
    <n v="2"/>
    <s v="April"/>
    <x v="131"/>
    <x v="1"/>
    <x v="131"/>
    <s v="Beneficio"/>
  </r>
  <r>
    <d v="2023-05-04T00:00:00"/>
    <s v="Construcciones Costa SL"/>
    <x v="3"/>
    <s v="Pladur 13mm"/>
    <s v="PLADUR"/>
    <n v="582"/>
    <n v="8.11"/>
    <n v="4720.0200000000004"/>
    <s v="MÁLAGA"/>
    <x v="5"/>
    <s v="DIRECTO"/>
    <n v="2987.99"/>
    <n v="36.700000000000003"/>
    <x v="1"/>
    <n v="2"/>
    <s v="May"/>
    <x v="132"/>
    <x v="0"/>
    <x v="132"/>
    <s v="Beneficio"/>
  </r>
  <r>
    <d v="2023-07-30T00:00:00"/>
    <s v="Construcciones Jiménez SL"/>
    <x v="1"/>
    <s v="Mortero Cementoso Gris"/>
    <s v="MORTERO"/>
    <n v="502"/>
    <n v="10.45"/>
    <n v="5245.9"/>
    <s v="MÁLAGA"/>
    <x v="3"/>
    <s v="ONLINE"/>
    <n v="3527.03"/>
    <n v="32.799999999999997"/>
    <x v="1"/>
    <n v="3"/>
    <s v="July"/>
    <x v="133"/>
    <x v="0"/>
    <x v="133"/>
    <s v="Beneficio"/>
  </r>
  <r>
    <d v="2023-06-22T00:00:00"/>
    <s v="Construcciones Torres SL"/>
    <x v="2"/>
    <s v="Mortero Acrílico Blanco"/>
    <s v="MORTERO"/>
    <n v="772"/>
    <n v="9.81"/>
    <n v="7573.32"/>
    <s v="MURCIA"/>
    <x v="5"/>
    <s v="DISTRIBUIDOR"/>
    <n v="5861.76"/>
    <n v="22.6"/>
    <x v="1"/>
    <n v="2"/>
    <s v="June"/>
    <x v="134"/>
    <x v="1"/>
    <x v="134"/>
    <s v="Beneficio"/>
  </r>
  <r>
    <d v="2024-12-14T00:00:00"/>
    <s v="Construcciones López SL"/>
    <x v="5"/>
    <s v="Mortero Monocapa Beige"/>
    <s v="MORTERO"/>
    <n v="899"/>
    <n v="5.62"/>
    <n v="5052.38"/>
    <s v="MADRID"/>
    <x v="1"/>
    <s v="DIRECTO"/>
    <n v="3342.54"/>
    <n v="33.799999999999997"/>
    <x v="0"/>
    <n v="4"/>
    <s v="December"/>
    <x v="135"/>
    <x v="0"/>
    <x v="135"/>
    <s v="Beneficio"/>
  </r>
  <r>
    <d v="2023-03-23T00:00:00"/>
    <s v="Construcciones García SL"/>
    <x v="4"/>
    <s v="Pladur Aislante 15mm"/>
    <s v="PLADUR"/>
    <n v="659"/>
    <n v="8.86"/>
    <n v="5838.74"/>
    <s v="MÁLAGA"/>
    <x v="2"/>
    <s v="DISTRIBUIDOR"/>
    <n v="4130.53"/>
    <n v="29.3"/>
    <x v="1"/>
    <n v="1"/>
    <s v="March"/>
    <x v="136"/>
    <x v="0"/>
    <x v="136"/>
    <s v="Beneficio"/>
  </r>
  <r>
    <d v="2023-10-07T00:00:00"/>
    <s v="Construcciones Torres SL"/>
    <x v="2"/>
    <s v="Perlita Natural Grano Fino"/>
    <s v="PERLITA"/>
    <n v="356"/>
    <n v="11.97"/>
    <n v="4261.32"/>
    <s v="MURCIA"/>
    <x v="4"/>
    <s v="DISTRIBUIDOR"/>
    <n v="2559.2399999999998"/>
    <n v="39.9"/>
    <x v="1"/>
    <n v="4"/>
    <s v="October"/>
    <x v="137"/>
    <x v="0"/>
    <x v="137"/>
    <s v="Beneficio"/>
  </r>
  <r>
    <d v="2023-10-05T00:00:00"/>
    <s v="Construcciones Torres SL"/>
    <x v="2"/>
    <s v="Perlita Expandida 40L"/>
    <s v="PERLITA"/>
    <n v="875"/>
    <n v="5.0599999999999996"/>
    <n v="4427.5"/>
    <s v="SEVILLA"/>
    <x v="1"/>
    <s v="DIRECTO"/>
    <n v="2726.68"/>
    <n v="38.4"/>
    <x v="1"/>
    <n v="4"/>
    <s v="October"/>
    <x v="138"/>
    <x v="0"/>
    <x v="138"/>
    <s v="Beneficio"/>
  </r>
  <r>
    <d v="2023-11-10T00:00:00"/>
    <s v="Construcciones Torres SL"/>
    <x v="2"/>
    <s v="Mortero Acrílico Blanco"/>
    <s v="MORTERO"/>
    <n v="954"/>
    <n v="8.76"/>
    <n v="8357.0400000000009"/>
    <s v="VALENCIA"/>
    <x v="4"/>
    <s v="DISTRIBUIDOR"/>
    <n v="6659.07"/>
    <n v="20.3"/>
    <x v="1"/>
    <n v="4"/>
    <s v="November"/>
    <x v="139"/>
    <x v="1"/>
    <x v="139"/>
    <s v="Beneficio"/>
  </r>
  <r>
    <d v="2024-01-14T00:00:00"/>
    <s v="Construcciones García SL"/>
    <x v="4"/>
    <s v="Mortero Monocapa Beige"/>
    <s v="MORTERO"/>
    <n v="963"/>
    <n v="11.55"/>
    <n v="11122.65"/>
    <s v="BARCELONA"/>
    <x v="1"/>
    <s v="DIRECTO"/>
    <n v="9426.07"/>
    <n v="15.3"/>
    <x v="0"/>
    <n v="1"/>
    <s v="January"/>
    <x v="140"/>
    <x v="1"/>
    <x v="140"/>
    <s v="Beneficio"/>
  </r>
  <r>
    <d v="2023-09-08T00:00:00"/>
    <s v="Construcciones Hernández SL"/>
    <x v="0"/>
    <s v="Perlita Natural Grano Fino"/>
    <s v="PERLITA"/>
    <n v="988"/>
    <n v="4.72"/>
    <n v="4663.3599999999997"/>
    <s v="MURCIA"/>
    <x v="5"/>
    <s v="ONLINE"/>
    <n v="2968.71"/>
    <n v="36.299999999999997"/>
    <x v="1"/>
    <n v="3"/>
    <s v="September"/>
    <x v="141"/>
    <x v="0"/>
    <x v="141"/>
    <s v="Beneficio"/>
  </r>
  <r>
    <d v="2023-04-24T00:00:00"/>
    <s v="Construcciones Costa SL"/>
    <x v="3"/>
    <s v="Perlita Natural Grano Fino"/>
    <s v="PERLITA"/>
    <n v="454"/>
    <n v="10.98"/>
    <n v="4984.92"/>
    <s v="MURCIA"/>
    <x v="2"/>
    <s v="ONLINE"/>
    <n v="3295.17"/>
    <n v="33.9"/>
    <x v="1"/>
    <n v="2"/>
    <s v="April"/>
    <x v="142"/>
    <x v="0"/>
    <x v="142"/>
    <s v="Beneficio"/>
  </r>
  <r>
    <d v="2023-03-27T00:00:00"/>
    <s v="Construcciones Torres SL"/>
    <x v="2"/>
    <s v="Pladur 13mm"/>
    <s v="PLADUR"/>
    <n v="474"/>
    <n v="10.84"/>
    <n v="5138.16"/>
    <s v="BARCELONA"/>
    <x v="4"/>
    <s v="DIRECTO"/>
    <n v="3449.32"/>
    <n v="32.9"/>
    <x v="1"/>
    <n v="1"/>
    <s v="March"/>
    <x v="143"/>
    <x v="0"/>
    <x v="143"/>
    <s v="Beneficio"/>
  </r>
  <r>
    <d v="2023-12-24T00:00:00"/>
    <s v="Construcciones Torres SL"/>
    <x v="2"/>
    <s v="Placa Pladur Ignífuga"/>
    <s v="PLADUR"/>
    <n v="774"/>
    <n v="9.91"/>
    <n v="7670.34"/>
    <s v="ZARAGOZA"/>
    <x v="0"/>
    <s v="ONLINE"/>
    <n v="5986.98"/>
    <n v="21.9"/>
    <x v="1"/>
    <n v="4"/>
    <s v="December"/>
    <x v="144"/>
    <x v="1"/>
    <x v="144"/>
    <s v="Beneficio"/>
  </r>
  <r>
    <d v="2023-05-03T00:00:00"/>
    <s v="Construcciones Costa SL"/>
    <x v="3"/>
    <s v="Pladur Aislante 15mm"/>
    <s v="PLADUR"/>
    <n v="874"/>
    <n v="10.17"/>
    <n v="8888.58"/>
    <s v="VALENCIA"/>
    <x v="1"/>
    <s v="DISTRIBUIDOR"/>
    <n v="7206.69"/>
    <n v="18.899999999999999"/>
    <x v="1"/>
    <n v="2"/>
    <s v="May"/>
    <x v="145"/>
    <x v="1"/>
    <x v="145"/>
    <s v="Beneficio"/>
  </r>
  <r>
    <d v="2023-02-04T00:00:00"/>
    <s v="Construcciones Costa SL"/>
    <x v="3"/>
    <s v="Mortero Acrílico Blanco"/>
    <s v="MORTERO"/>
    <n v="579"/>
    <n v="11.4"/>
    <n v="6600.6"/>
    <s v="MÁLAGA"/>
    <x v="1"/>
    <s v="ONLINE"/>
    <n v="4927"/>
    <n v="25.4"/>
    <x v="1"/>
    <n v="1"/>
    <s v="February"/>
    <x v="146"/>
    <x v="0"/>
    <x v="146"/>
    <s v="Beneficio"/>
  </r>
  <r>
    <d v="2023-01-01T00:00:00"/>
    <s v="Construcciones Costa SL"/>
    <x v="3"/>
    <s v="Mortero Acrílico Blanco"/>
    <s v="MORTERO"/>
    <n v="584"/>
    <n v="7.37"/>
    <n v="4304.08"/>
    <s v="VALENCIA"/>
    <x v="0"/>
    <s v="DISTRIBUIDOR"/>
    <n v="2634.87"/>
    <n v="38.799999999999997"/>
    <x v="1"/>
    <n v="1"/>
    <s v="January"/>
    <x v="147"/>
    <x v="0"/>
    <x v="147"/>
    <s v="Beneficio"/>
  </r>
  <r>
    <d v="2023-01-08T00:00:00"/>
    <s v="Construcciones López SL"/>
    <x v="5"/>
    <s v="Pladur 13mm"/>
    <s v="PLADUR"/>
    <n v="571"/>
    <n v="8.0399999999999991"/>
    <n v="4590.84"/>
    <s v="BILBAO"/>
    <x v="5"/>
    <s v="DISTRIBUIDOR"/>
    <n v="2928.05"/>
    <n v="36.200000000000003"/>
    <x v="1"/>
    <n v="1"/>
    <s v="January"/>
    <x v="148"/>
    <x v="0"/>
    <x v="148"/>
    <s v="Beneficio"/>
  </r>
  <r>
    <d v="2023-03-12T00:00:00"/>
    <s v="Construcciones López SL"/>
    <x v="5"/>
    <s v="Perlita Expandida 40L"/>
    <s v="PERLITA"/>
    <n v="573"/>
    <n v="10.42"/>
    <n v="5970.66"/>
    <s v="MURCIA"/>
    <x v="1"/>
    <s v="ONLINE"/>
    <n v="4316.99"/>
    <n v="27.7"/>
    <x v="1"/>
    <n v="1"/>
    <s v="March"/>
    <x v="149"/>
    <x v="0"/>
    <x v="149"/>
    <s v="Beneficio"/>
  </r>
  <r>
    <d v="2023-02-12T00:00:00"/>
    <s v="Construcciones Hernández SL"/>
    <x v="0"/>
    <s v="Placa Pladur Ignífuga"/>
    <s v="PLADUR"/>
    <n v="790"/>
    <n v="6.92"/>
    <n v="5466.8"/>
    <s v="MÁLAGA"/>
    <x v="5"/>
    <s v="ONLINE"/>
    <n v="3819.31"/>
    <n v="30.1"/>
    <x v="1"/>
    <n v="1"/>
    <s v="February"/>
    <x v="150"/>
    <x v="0"/>
    <x v="150"/>
    <s v="Beneficio"/>
  </r>
  <r>
    <d v="2023-03-06T00:00:00"/>
    <s v="Construcciones Costa SL"/>
    <x v="3"/>
    <s v="Mortero Cementoso Gris"/>
    <s v="MORTERO"/>
    <n v="510"/>
    <n v="9.1999999999999993"/>
    <n v="4692"/>
    <s v="VALENCIA"/>
    <x v="5"/>
    <s v="DISTRIBUIDOR"/>
    <n v="3045.65"/>
    <n v="35.1"/>
    <x v="1"/>
    <n v="1"/>
    <s v="March"/>
    <x v="151"/>
    <x v="0"/>
    <x v="151"/>
    <s v="Beneficio"/>
  </r>
  <r>
    <d v="2023-09-10T00:00:00"/>
    <s v="Construcciones López SL"/>
    <x v="5"/>
    <s v="Mortero Acrílico Blanco"/>
    <s v="MORTERO"/>
    <n v="863"/>
    <n v="9.5500000000000007"/>
    <n v="8241.65"/>
    <s v="ZARAGOZA"/>
    <x v="0"/>
    <s v="DIRECTO"/>
    <n v="6600.15"/>
    <n v="19.899999999999999"/>
    <x v="1"/>
    <n v="3"/>
    <s v="September"/>
    <x v="152"/>
    <x v="1"/>
    <x v="152"/>
    <s v="Beneficio"/>
  </r>
  <r>
    <d v="2023-01-03T00:00:00"/>
    <s v="Construcciones Costa SL"/>
    <x v="3"/>
    <s v="Pladur 13mm"/>
    <s v="PLADUR"/>
    <n v="578"/>
    <n v="11.54"/>
    <n v="6670.12"/>
    <s v="VALENCIA"/>
    <x v="4"/>
    <s v="DIRECTO"/>
    <n v="5034.58"/>
    <n v="24.5"/>
    <x v="1"/>
    <n v="1"/>
    <s v="January"/>
    <x v="153"/>
    <x v="1"/>
    <x v="153"/>
    <s v="Beneficio"/>
  </r>
  <r>
    <d v="2024-01-22T00:00:00"/>
    <s v="Construcciones Jiménez SL"/>
    <x v="1"/>
    <s v="Pladur 13mm"/>
    <s v="PLADUR"/>
    <n v="588"/>
    <n v="7.29"/>
    <n v="4286.5200000000004"/>
    <s v="VALENCIA"/>
    <x v="5"/>
    <s v="DISTRIBUIDOR"/>
    <n v="2651.01"/>
    <n v="38.200000000000003"/>
    <x v="0"/>
    <n v="1"/>
    <s v="January"/>
    <x v="154"/>
    <x v="0"/>
    <x v="154"/>
    <s v="Beneficio"/>
  </r>
  <r>
    <d v="2023-07-27T00:00:00"/>
    <s v="Construcciones Hernández SL"/>
    <x v="0"/>
    <s v="Pladur Aislante 15mm"/>
    <s v="PLADUR"/>
    <n v="709"/>
    <n v="7.73"/>
    <n v="5480.57"/>
    <s v="MÁLAGA"/>
    <x v="1"/>
    <s v="ONLINE"/>
    <n v="3854.62"/>
    <n v="29.7"/>
    <x v="1"/>
    <n v="3"/>
    <s v="July"/>
    <x v="155"/>
    <x v="0"/>
    <x v="155"/>
    <s v="Beneficio"/>
  </r>
  <r>
    <d v="2023-03-31T00:00:00"/>
    <s v="Construcciones Hernández SL"/>
    <x v="0"/>
    <s v="Pladur Aislante 15mm"/>
    <s v="PLADUR"/>
    <n v="905"/>
    <n v="7"/>
    <n v="6335"/>
    <s v="MADRID"/>
    <x v="1"/>
    <s v="ONLINE"/>
    <n v="4727.9799999999996"/>
    <n v="25.4"/>
    <x v="1"/>
    <n v="1"/>
    <s v="March"/>
    <x v="156"/>
    <x v="0"/>
    <x v="156"/>
    <s v="Beneficio"/>
  </r>
  <r>
    <d v="2023-12-29T00:00:00"/>
    <s v="Construcciones Costa SL"/>
    <x v="3"/>
    <s v="Mortero Monocapa Beige"/>
    <s v="MORTERO"/>
    <n v="481"/>
    <n v="11.99"/>
    <n v="5767.19"/>
    <s v="BILBAO"/>
    <x v="4"/>
    <s v="DISTRIBUIDOR"/>
    <n v="4171.3500000000004"/>
    <n v="27.7"/>
    <x v="1"/>
    <n v="4"/>
    <s v="December"/>
    <x v="157"/>
    <x v="0"/>
    <x v="157"/>
    <s v="Beneficio"/>
  </r>
  <r>
    <d v="2023-08-27T00:00:00"/>
    <s v="Construcciones Costa SL"/>
    <x v="3"/>
    <s v="Perlita Expandida 40L"/>
    <s v="PERLITA"/>
    <n v="902"/>
    <n v="10.54"/>
    <n v="9507.08"/>
    <s v="MURCIA"/>
    <x v="2"/>
    <s v="DIRECTO"/>
    <n v="7911.77"/>
    <n v="16.8"/>
    <x v="1"/>
    <n v="3"/>
    <s v="August"/>
    <x v="158"/>
    <x v="1"/>
    <x v="158"/>
    <s v="Beneficio"/>
  </r>
  <r>
    <d v="2024-06-16T00:00:00"/>
    <s v="Construcciones García SL"/>
    <x v="4"/>
    <s v="Mortero Acrílico Blanco"/>
    <s v="MORTERO"/>
    <n v="594"/>
    <n v="7.46"/>
    <n v="4431.24"/>
    <s v="MURCIA"/>
    <x v="3"/>
    <s v="DIRECTO"/>
    <n v="2842.72"/>
    <n v="35.799999999999997"/>
    <x v="0"/>
    <n v="2"/>
    <s v="June"/>
    <x v="159"/>
    <x v="0"/>
    <x v="159"/>
    <s v="Beneficio"/>
  </r>
  <r>
    <d v="2023-03-20T00:00:00"/>
    <s v="Construcciones López SL"/>
    <x v="5"/>
    <s v="Perlita Natural Grano Fino"/>
    <s v="PERLITA"/>
    <n v="571"/>
    <n v="11.66"/>
    <n v="6657.86"/>
    <s v="MÁLAGA"/>
    <x v="5"/>
    <s v="ONLINE"/>
    <n v="5074.34"/>
    <n v="23.8"/>
    <x v="1"/>
    <n v="1"/>
    <s v="March"/>
    <x v="160"/>
    <x v="1"/>
    <x v="160"/>
    <s v="Beneficio"/>
  </r>
  <r>
    <d v="2023-04-11T00:00:00"/>
    <s v="Construcciones Torres SL"/>
    <x v="2"/>
    <s v="Mortero Cementoso Gris"/>
    <s v="MORTERO"/>
    <n v="527"/>
    <n v="9.9499999999999993"/>
    <n v="5243.65"/>
    <s v="MÁLAGA"/>
    <x v="2"/>
    <s v="DIRECTO"/>
    <n v="3663.75"/>
    <n v="30.1"/>
    <x v="1"/>
    <n v="2"/>
    <s v="April"/>
    <x v="161"/>
    <x v="0"/>
    <x v="161"/>
    <s v="Beneficio"/>
  </r>
  <r>
    <d v="2024-11-22T00:00:00"/>
    <s v="Construcciones Jiménez SL"/>
    <x v="1"/>
    <s v="Placa Pladur Ignífuga"/>
    <s v="PLADUR"/>
    <n v="595"/>
    <n v="7.33"/>
    <n v="4361.3500000000004"/>
    <s v="BARCELONA"/>
    <x v="1"/>
    <s v="DISTRIBUIDOR"/>
    <n v="2789.76"/>
    <n v="36"/>
    <x v="0"/>
    <n v="4"/>
    <s v="November"/>
    <x v="162"/>
    <x v="0"/>
    <x v="162"/>
    <s v="Beneficio"/>
  </r>
  <r>
    <d v="2024-02-17T00:00:00"/>
    <s v="Construcciones López SL"/>
    <x v="5"/>
    <s v="Mortero Acrílico Blanco"/>
    <s v="MORTERO"/>
    <n v="742"/>
    <n v="6.84"/>
    <n v="5075.28"/>
    <s v="MÁLAGA"/>
    <x v="5"/>
    <s v="ONLINE"/>
    <n v="3504.44"/>
    <n v="31"/>
    <x v="0"/>
    <n v="1"/>
    <s v="February"/>
    <x v="163"/>
    <x v="0"/>
    <x v="163"/>
    <s v="Beneficio"/>
  </r>
  <r>
    <d v="2023-07-20T00:00:00"/>
    <s v="Construcciones Hernández SL"/>
    <x v="0"/>
    <s v="Pladur 13mm"/>
    <s v="PLADUR"/>
    <n v="528"/>
    <n v="11.47"/>
    <n v="6056.16"/>
    <s v="ZARAGOZA"/>
    <x v="2"/>
    <s v="DIRECTO"/>
    <n v="4490.21"/>
    <n v="25.9"/>
    <x v="1"/>
    <n v="3"/>
    <s v="July"/>
    <x v="164"/>
    <x v="0"/>
    <x v="164"/>
    <s v="Beneficio"/>
  </r>
  <r>
    <d v="2023-09-01T00:00:00"/>
    <s v="Construcciones Hernández SL"/>
    <x v="0"/>
    <s v="Pladur Aislante 15mm"/>
    <s v="PLADUR"/>
    <n v="641"/>
    <n v="8.2200000000000006"/>
    <n v="5269.02"/>
    <s v="VALENCIA"/>
    <x v="4"/>
    <s v="DIRECTO"/>
    <n v="3704.28"/>
    <n v="29.7"/>
    <x v="1"/>
    <n v="3"/>
    <s v="September"/>
    <x v="165"/>
    <x v="0"/>
    <x v="165"/>
    <s v="Beneficio"/>
  </r>
  <r>
    <d v="2023-10-18T00:00:00"/>
    <s v="Construcciones García SL"/>
    <x v="4"/>
    <s v="Pladur Aislante 15mm"/>
    <s v="PLADUR"/>
    <n v="544"/>
    <n v="9.23"/>
    <n v="5021.12"/>
    <s v="BARCELONA"/>
    <x v="4"/>
    <s v="DISTRIBUIDOR"/>
    <n v="3462.32"/>
    <n v="31"/>
    <x v="1"/>
    <n v="4"/>
    <s v="October"/>
    <x v="166"/>
    <x v="0"/>
    <x v="166"/>
    <s v="Beneficio"/>
  </r>
  <r>
    <d v="2024-01-05T00:00:00"/>
    <s v="Construcciones López SL"/>
    <x v="5"/>
    <s v="Perlita Expandida 40L"/>
    <s v="PERLITA"/>
    <n v="875"/>
    <n v="10.44"/>
    <n v="9135"/>
    <s v="VALENCIA"/>
    <x v="0"/>
    <s v="DIRECTO"/>
    <n v="7577.16"/>
    <n v="17.100000000000001"/>
    <x v="0"/>
    <n v="1"/>
    <s v="January"/>
    <x v="167"/>
    <x v="1"/>
    <x v="167"/>
    <s v="Beneficio"/>
  </r>
  <r>
    <d v="2023-05-19T00:00:00"/>
    <s v="Construcciones López SL"/>
    <x v="5"/>
    <s v="Placa Pladur Ignífuga"/>
    <s v="PLADUR"/>
    <n v="437"/>
    <n v="10.3"/>
    <n v="4501.1000000000004"/>
    <s v="VALENCIA"/>
    <x v="5"/>
    <s v="DIRECTO"/>
    <n v="2957.98"/>
    <n v="34.299999999999997"/>
    <x v="1"/>
    <n v="2"/>
    <s v="May"/>
    <x v="168"/>
    <x v="0"/>
    <x v="168"/>
    <s v="Beneficio"/>
  </r>
  <r>
    <d v="2023-05-08T00:00:00"/>
    <s v="Construcciones Hernández SL"/>
    <x v="0"/>
    <s v="Placa Pladur Ignífuga"/>
    <s v="PLADUR"/>
    <n v="475"/>
    <n v="9.7100000000000009"/>
    <n v="4612.25"/>
    <s v="SEVILLA"/>
    <x v="0"/>
    <s v="DIRECTO"/>
    <n v="3075.72"/>
    <n v="33.299999999999997"/>
    <x v="1"/>
    <n v="2"/>
    <s v="May"/>
    <x v="169"/>
    <x v="0"/>
    <x v="169"/>
    <s v="Beneficio"/>
  </r>
  <r>
    <d v="2023-04-14T00:00:00"/>
    <s v="Construcciones Jiménez SL"/>
    <x v="1"/>
    <s v="Perlita Natural Grano Fino"/>
    <s v="PERLITA"/>
    <n v="866"/>
    <n v="5.63"/>
    <n v="4875.58"/>
    <s v="BARCELONA"/>
    <x v="1"/>
    <s v="DISTRIBUIDOR"/>
    <n v="3339.76"/>
    <n v="31.5"/>
    <x v="1"/>
    <n v="2"/>
    <s v="April"/>
    <x v="170"/>
    <x v="0"/>
    <x v="170"/>
    <s v="Beneficio"/>
  </r>
  <r>
    <d v="2023-04-18T00:00:00"/>
    <s v="Construcciones Costa SL"/>
    <x v="3"/>
    <s v="Mortero Monocapa Beige"/>
    <s v="MORTERO"/>
    <n v="382"/>
    <n v="11.36"/>
    <n v="4339.5200000000004"/>
    <s v="MÁLAGA"/>
    <x v="2"/>
    <s v="ONLINE"/>
    <n v="2809.4"/>
    <n v="35.299999999999997"/>
    <x v="1"/>
    <n v="2"/>
    <s v="April"/>
    <x v="171"/>
    <x v="0"/>
    <x v="171"/>
    <s v="Beneficio"/>
  </r>
  <r>
    <d v="2023-04-01T00:00:00"/>
    <s v="Construcciones Hernández SL"/>
    <x v="0"/>
    <s v="Mortero Acrílico Blanco"/>
    <s v="MORTERO"/>
    <n v="984"/>
    <n v="4.8"/>
    <n v="4723.2"/>
    <s v="MURCIA"/>
    <x v="1"/>
    <s v="ONLINE"/>
    <n v="3195.14"/>
    <n v="32.4"/>
    <x v="1"/>
    <n v="2"/>
    <s v="April"/>
    <x v="172"/>
    <x v="0"/>
    <x v="172"/>
    <s v="Beneficio"/>
  </r>
  <r>
    <d v="2023-09-03T00:00:00"/>
    <s v="Construcciones Jiménez SL"/>
    <x v="1"/>
    <s v="Mortero Acrílico Blanco"/>
    <s v="MORTERO"/>
    <n v="474"/>
    <n v="8.49"/>
    <n v="4024.26"/>
    <s v="BILBAO"/>
    <x v="3"/>
    <s v="DIRECTO"/>
    <n v="2500.5100000000002"/>
    <n v="37.9"/>
    <x v="1"/>
    <n v="3"/>
    <s v="September"/>
    <x v="173"/>
    <x v="0"/>
    <x v="173"/>
    <s v="Beneficio"/>
  </r>
  <r>
    <d v="2023-02-12T00:00:00"/>
    <s v="Construcciones Hernández SL"/>
    <x v="0"/>
    <s v="Perlita Natural Grano Fino"/>
    <s v="PERLITA"/>
    <n v="911"/>
    <n v="10.81"/>
    <n v="9847.91"/>
    <s v="VALENCIA"/>
    <x v="0"/>
    <s v="ONLINE"/>
    <n v="8329.15"/>
    <n v="15.4"/>
    <x v="1"/>
    <n v="1"/>
    <s v="February"/>
    <x v="174"/>
    <x v="1"/>
    <x v="174"/>
    <s v="Beneficio"/>
  </r>
  <r>
    <d v="2023-08-14T00:00:00"/>
    <s v="Construcciones García SL"/>
    <x v="4"/>
    <s v="Mortero Monocapa Beige"/>
    <s v="MORTERO"/>
    <n v="725"/>
    <n v="6.72"/>
    <n v="4872"/>
    <s v="MADRID"/>
    <x v="3"/>
    <s v="DISTRIBUIDOR"/>
    <n v="3353.89"/>
    <n v="31.2"/>
    <x v="1"/>
    <n v="3"/>
    <s v="August"/>
    <x v="175"/>
    <x v="0"/>
    <x v="175"/>
    <s v="Beneficio"/>
  </r>
  <r>
    <d v="2023-01-31T00:00:00"/>
    <s v="Construcciones Torres SL"/>
    <x v="2"/>
    <s v="Mortero Acrílico Blanco"/>
    <s v="MORTERO"/>
    <n v="843"/>
    <n v="6.96"/>
    <n v="5867.28"/>
    <s v="ZARAGOZA"/>
    <x v="4"/>
    <s v="DISTRIBUIDOR"/>
    <n v="4357.92"/>
    <n v="25.7"/>
    <x v="1"/>
    <n v="1"/>
    <s v="January"/>
    <x v="176"/>
    <x v="0"/>
    <x v="176"/>
    <s v="Beneficio"/>
  </r>
  <r>
    <d v="2023-07-06T00:00:00"/>
    <s v="Construcciones Costa SL"/>
    <x v="3"/>
    <s v="Perlita Natural Grano Fino"/>
    <s v="PERLITA"/>
    <n v="874"/>
    <n v="8.7100000000000009"/>
    <n v="7612.54"/>
    <s v="ZARAGOZA"/>
    <x v="3"/>
    <s v="DISTRIBUIDOR"/>
    <n v="6111.95"/>
    <n v="19.7"/>
    <x v="1"/>
    <n v="3"/>
    <s v="July"/>
    <x v="177"/>
    <x v="1"/>
    <x v="177"/>
    <s v="Beneficio"/>
  </r>
  <r>
    <d v="2023-06-20T00:00:00"/>
    <s v="Construcciones Jiménez SL"/>
    <x v="1"/>
    <s v="Mortero Acrílico Blanco"/>
    <s v="MORTERO"/>
    <n v="883"/>
    <n v="10.46"/>
    <n v="9236.18"/>
    <s v="MADRID"/>
    <x v="2"/>
    <s v="DISTRIBUIDOR"/>
    <n v="7744.36"/>
    <n v="16.2"/>
    <x v="1"/>
    <n v="2"/>
    <s v="June"/>
    <x v="178"/>
    <x v="1"/>
    <x v="178"/>
    <s v="Beneficio"/>
  </r>
  <r>
    <d v="2023-01-03T00:00:00"/>
    <s v="Construcciones Jiménez SL"/>
    <x v="1"/>
    <s v="Mortero Monocapa Beige"/>
    <s v="MORTERO"/>
    <n v="454"/>
    <n v="11.22"/>
    <n v="5093.88"/>
    <s v="ZARAGOZA"/>
    <x v="1"/>
    <s v="ONLINE"/>
    <n v="3602.94"/>
    <n v="29.3"/>
    <x v="1"/>
    <n v="1"/>
    <s v="January"/>
    <x v="179"/>
    <x v="0"/>
    <x v="179"/>
    <s v="Beneficio"/>
  </r>
  <r>
    <d v="2025-05-03T00:00:00"/>
    <s v="Construcciones Costa SL"/>
    <x v="3"/>
    <s v="Mortero Cementoso Gris"/>
    <s v="MORTERO"/>
    <n v="569"/>
    <n v="11.87"/>
    <n v="6754.03"/>
    <s v="ZARAGOZA"/>
    <x v="3"/>
    <s v="DISTRIBUIDOR"/>
    <n v="5274.51"/>
    <n v="21.9"/>
    <x v="2"/>
    <n v="2"/>
    <s v="May"/>
    <x v="180"/>
    <x v="1"/>
    <x v="180"/>
    <s v="Beneficio"/>
  </r>
  <r>
    <d v="2023-11-07T00:00:00"/>
    <s v="Construcciones Torres SL"/>
    <x v="2"/>
    <s v="Mortero Monocapa Beige"/>
    <s v="MORTERO"/>
    <n v="630"/>
    <n v="10.199999999999999"/>
    <n v="6426"/>
    <s v="BILBAO"/>
    <x v="2"/>
    <s v="DISTRIBUIDOR"/>
    <n v="4951.58"/>
    <n v="22.9"/>
    <x v="1"/>
    <n v="4"/>
    <s v="November"/>
    <x v="181"/>
    <x v="1"/>
    <x v="181"/>
    <s v="Beneficio"/>
  </r>
  <r>
    <d v="2023-01-01T00:00:00"/>
    <s v="Construcciones García SL"/>
    <x v="4"/>
    <s v="Pladur 13mm"/>
    <s v="PLADUR"/>
    <n v="630"/>
    <n v="9.6199999999999992"/>
    <n v="6060.6"/>
    <s v="BARCELONA"/>
    <x v="3"/>
    <s v="DIRECTO"/>
    <n v="4596.97"/>
    <n v="24.1"/>
    <x v="1"/>
    <n v="1"/>
    <s v="January"/>
    <x v="182"/>
    <x v="1"/>
    <x v="182"/>
    <s v="Beneficio"/>
  </r>
  <r>
    <d v="2023-12-09T00:00:00"/>
    <s v="Construcciones López SL"/>
    <x v="5"/>
    <s v="Mortero Acrílico Blanco"/>
    <s v="MORTERO"/>
    <n v="722"/>
    <n v="7.55"/>
    <n v="5451.1"/>
    <s v="SEVILLA"/>
    <x v="1"/>
    <s v="ONLINE"/>
    <n v="3988.87"/>
    <n v="26.8"/>
    <x v="1"/>
    <n v="4"/>
    <s v="December"/>
    <x v="183"/>
    <x v="0"/>
    <x v="183"/>
    <s v="Beneficio"/>
  </r>
  <r>
    <d v="2023-03-20T00:00:00"/>
    <s v="Construcciones Jiménez SL"/>
    <x v="1"/>
    <s v="Pladur 13mm"/>
    <s v="PLADUR"/>
    <n v="912"/>
    <n v="5.33"/>
    <n v="4860.96"/>
    <s v="BARCELONA"/>
    <x v="0"/>
    <s v="DIRECTO"/>
    <n v="3406.22"/>
    <n v="29.9"/>
    <x v="1"/>
    <n v="1"/>
    <s v="March"/>
    <x v="184"/>
    <x v="0"/>
    <x v="184"/>
    <s v="Beneficio"/>
  </r>
  <r>
    <d v="2023-01-19T00:00:00"/>
    <s v="Construcciones López SL"/>
    <x v="5"/>
    <s v="Mortero Cementoso Gris"/>
    <s v="MORTERO"/>
    <n v="923"/>
    <n v="7.49"/>
    <n v="6913.27"/>
    <s v="ZARAGOZA"/>
    <x v="4"/>
    <s v="DIRECTO"/>
    <n v="5461.02"/>
    <n v="21"/>
    <x v="1"/>
    <n v="1"/>
    <s v="January"/>
    <x v="185"/>
    <x v="1"/>
    <x v="185"/>
    <s v="Beneficio"/>
  </r>
  <r>
    <d v="2024-02-01T00:00:00"/>
    <s v="Construcciones García SL"/>
    <x v="4"/>
    <s v="Placa Pladur Ignífuga"/>
    <s v="PLADUR"/>
    <n v="870"/>
    <n v="8.2100000000000009"/>
    <n v="7142.7"/>
    <s v="MÁLAGA"/>
    <x v="2"/>
    <s v="DIRECTO"/>
    <n v="5693.37"/>
    <n v="20.3"/>
    <x v="0"/>
    <n v="1"/>
    <s v="February"/>
    <x v="186"/>
    <x v="1"/>
    <x v="186"/>
    <s v="Beneficio"/>
  </r>
  <r>
    <d v="2023-06-13T00:00:00"/>
    <s v="Construcciones Jiménez SL"/>
    <x v="1"/>
    <s v="Mortero Cementoso Gris"/>
    <s v="MORTERO"/>
    <n v="376"/>
    <n v="11.28"/>
    <n v="4241.28"/>
    <s v="SEVILLA"/>
    <x v="1"/>
    <s v="DIRECTO"/>
    <n v="2798.03"/>
    <n v="34"/>
    <x v="1"/>
    <n v="2"/>
    <s v="June"/>
    <x v="187"/>
    <x v="0"/>
    <x v="187"/>
    <s v="Beneficio"/>
  </r>
  <r>
    <d v="2024-11-19T00:00:00"/>
    <s v="Construcciones Torres SL"/>
    <x v="2"/>
    <s v="Placa Pladur Ignífuga"/>
    <s v="PLADUR"/>
    <n v="899"/>
    <n v="5"/>
    <n v="4495"/>
    <s v="VALENCIA"/>
    <x v="4"/>
    <s v="DIRECTO"/>
    <n v="3056.72"/>
    <n v="32"/>
    <x v="0"/>
    <n v="4"/>
    <s v="November"/>
    <x v="188"/>
    <x v="0"/>
    <x v="188"/>
    <s v="Beneficio"/>
  </r>
  <r>
    <d v="2023-01-06T00:00:00"/>
    <s v="Construcciones Hernández SL"/>
    <x v="0"/>
    <s v="Mortero Cementoso Gris"/>
    <s v="MORTERO"/>
    <n v="575"/>
    <n v="7.42"/>
    <n v="4266.5"/>
    <s v="MADRID"/>
    <x v="4"/>
    <s v="ONLINE"/>
    <n v="2829.7"/>
    <n v="33.700000000000003"/>
    <x v="1"/>
    <n v="1"/>
    <s v="January"/>
    <x v="189"/>
    <x v="0"/>
    <x v="189"/>
    <s v="Beneficio"/>
  </r>
  <r>
    <d v="2023-01-15T00:00:00"/>
    <s v="Construcciones Torres SL"/>
    <x v="2"/>
    <s v="Mortero Monocapa Beige"/>
    <s v="MORTERO"/>
    <n v="701"/>
    <n v="5.34"/>
    <n v="3743.34"/>
    <s v="BILBAO"/>
    <x v="3"/>
    <s v="DIRECTO"/>
    <n v="2314.11"/>
    <n v="38.200000000000003"/>
    <x v="1"/>
    <n v="1"/>
    <s v="January"/>
    <x v="190"/>
    <x v="0"/>
    <x v="190"/>
    <s v="Beneficio"/>
  </r>
  <r>
    <d v="2023-07-20T00:00:00"/>
    <s v="Construcciones García SL"/>
    <x v="4"/>
    <s v="Mortero Cementoso Gris"/>
    <s v="MORTERO"/>
    <n v="422"/>
    <n v="9.07"/>
    <n v="3827.54"/>
    <s v="BILBAO"/>
    <x v="2"/>
    <s v="DISTRIBUIDOR"/>
    <n v="2407.6"/>
    <n v="37.1"/>
    <x v="1"/>
    <n v="3"/>
    <s v="July"/>
    <x v="191"/>
    <x v="0"/>
    <x v="191"/>
    <s v="Beneficio"/>
  </r>
  <r>
    <d v="2023-01-15T00:00:00"/>
    <s v="Construcciones Costa SL"/>
    <x v="3"/>
    <s v="Mortero Cementoso Gris"/>
    <s v="MORTERO"/>
    <n v="944"/>
    <n v="5.24"/>
    <n v="4946.5600000000004"/>
    <s v="MURCIA"/>
    <x v="3"/>
    <s v="ONLINE"/>
    <n v="3530.4"/>
    <n v="28.6"/>
    <x v="1"/>
    <n v="1"/>
    <s v="January"/>
    <x v="192"/>
    <x v="0"/>
    <x v="192"/>
    <s v="Beneficio"/>
  </r>
  <r>
    <d v="2023-01-19T00:00:00"/>
    <s v="Construcciones García SL"/>
    <x v="4"/>
    <s v="Pladur 13mm"/>
    <s v="PLADUR"/>
    <n v="801"/>
    <n v="9.27"/>
    <n v="7425.27"/>
    <s v="MÁLAGA"/>
    <x v="0"/>
    <s v="DIRECTO"/>
    <n v="6017.7"/>
    <n v="19"/>
    <x v="1"/>
    <n v="1"/>
    <s v="January"/>
    <x v="193"/>
    <x v="1"/>
    <x v="193"/>
    <s v="Beneficio"/>
  </r>
  <r>
    <d v="2023-01-31T00:00:00"/>
    <s v="Construcciones Hernández SL"/>
    <x v="0"/>
    <s v="Mortero Acrílico Blanco"/>
    <s v="MORTERO"/>
    <n v="892"/>
    <n v="6.11"/>
    <n v="5450.12"/>
    <s v="MÁLAGA"/>
    <x v="0"/>
    <s v="DISTRIBUIDOR"/>
    <n v="4045.13"/>
    <n v="25.8"/>
    <x v="1"/>
    <n v="1"/>
    <s v="January"/>
    <x v="194"/>
    <x v="0"/>
    <x v="194"/>
    <s v="Beneficio"/>
  </r>
  <r>
    <d v="2025-08-15T00:00:00"/>
    <s v="Construcciones Hernández SL"/>
    <x v="0"/>
    <s v="Perlita Natural Grano Fino"/>
    <s v="PERLITA"/>
    <n v="523"/>
    <n v="8.6"/>
    <n v="4497.8"/>
    <s v="MURCIA"/>
    <x v="3"/>
    <s v="DIRECTO"/>
    <n v="3094.23"/>
    <n v="31.2"/>
    <x v="2"/>
    <n v="3"/>
    <s v="August"/>
    <x v="195"/>
    <x v="0"/>
    <x v="195"/>
    <s v="Beneficio"/>
  </r>
  <r>
    <d v="2023-03-17T00:00:00"/>
    <s v="Construcciones Torres SL"/>
    <x v="2"/>
    <s v="Placa Pladur Ignífuga"/>
    <s v="PLADUR"/>
    <n v="635"/>
    <n v="8.93"/>
    <n v="5670.55"/>
    <s v="SEVILLA"/>
    <x v="0"/>
    <s v="ONLINE"/>
    <n v="4267.22"/>
    <n v="24.7"/>
    <x v="1"/>
    <n v="1"/>
    <s v="March"/>
    <x v="196"/>
    <x v="1"/>
    <x v="196"/>
    <s v="Beneficio"/>
  </r>
  <r>
    <d v="2023-05-01T00:00:00"/>
    <s v="Construcciones Jiménez SL"/>
    <x v="1"/>
    <s v="Perlita Expandida 40L"/>
    <s v="PERLITA"/>
    <n v="658"/>
    <n v="8.23"/>
    <n v="5415.34"/>
    <s v="MADRID"/>
    <x v="1"/>
    <s v="DISTRIBUIDOR"/>
    <n v="4022.67"/>
    <n v="25.7"/>
    <x v="1"/>
    <n v="2"/>
    <s v="May"/>
    <x v="197"/>
    <x v="0"/>
    <x v="197"/>
    <s v="Beneficio"/>
  </r>
  <r>
    <d v="2023-05-28T00:00:00"/>
    <s v="Construcciones Torres SL"/>
    <x v="2"/>
    <s v="Mortero Acrílico Blanco"/>
    <s v="MORTERO"/>
    <n v="941"/>
    <n v="7.38"/>
    <n v="6944.58"/>
    <s v="VALENCIA"/>
    <x v="2"/>
    <s v="DIRECTO"/>
    <n v="5552.88"/>
    <n v="20"/>
    <x v="1"/>
    <n v="2"/>
    <s v="May"/>
    <x v="198"/>
    <x v="1"/>
    <x v="198"/>
    <s v="Beneficio"/>
  </r>
  <r>
    <d v="2023-01-06T00:00:00"/>
    <s v="Construcciones Jiménez SL"/>
    <x v="1"/>
    <s v="Placa Pladur Ignífuga"/>
    <s v="PLADUR"/>
    <n v="552"/>
    <n v="7.27"/>
    <n v="4013.04"/>
    <s v="VALENCIA"/>
    <x v="3"/>
    <s v="ONLINE"/>
    <n v="2623.37"/>
    <n v="34.6"/>
    <x v="1"/>
    <n v="1"/>
    <s v="January"/>
    <x v="199"/>
    <x v="0"/>
    <x v="199"/>
    <s v="Beneficio"/>
  </r>
  <r>
    <d v="2023-03-22T00:00:00"/>
    <s v="Construcciones Costa SL"/>
    <x v="3"/>
    <s v="Pladur Aislante 15mm"/>
    <s v="PLADUR"/>
    <n v="853"/>
    <n v="6.36"/>
    <n v="5425.08"/>
    <s v="MÁLAGA"/>
    <x v="1"/>
    <s v="DISTRIBUIDOR"/>
    <n v="4042.86"/>
    <n v="25.5"/>
    <x v="1"/>
    <n v="1"/>
    <s v="March"/>
    <x v="200"/>
    <x v="0"/>
    <x v="200"/>
    <s v="Beneficio"/>
  </r>
  <r>
    <d v="2023-03-31T00:00:00"/>
    <s v="Construcciones Hernández SL"/>
    <x v="0"/>
    <s v="Perlita Natural Grano Fino"/>
    <s v="PERLITA"/>
    <n v="908"/>
    <n v="9.6999999999999993"/>
    <n v="8807.6"/>
    <s v="BILBAO"/>
    <x v="2"/>
    <s v="DIRECTO"/>
    <n v="7433.41"/>
    <n v="15.6"/>
    <x v="1"/>
    <n v="1"/>
    <s v="March"/>
    <x v="201"/>
    <x v="1"/>
    <x v="201"/>
    <s v="Beneficio"/>
  </r>
  <r>
    <d v="2023-01-11T00:00:00"/>
    <s v="Construcciones López SL"/>
    <x v="5"/>
    <s v="Pladur 13mm"/>
    <s v="PLADUR"/>
    <n v="446"/>
    <n v="8.8800000000000008"/>
    <n v="3960.48"/>
    <s v="VALENCIA"/>
    <x v="2"/>
    <s v="DIRECTO"/>
    <n v="2589.58"/>
    <n v="34.6"/>
    <x v="1"/>
    <n v="1"/>
    <s v="January"/>
    <x v="202"/>
    <x v="0"/>
    <x v="202"/>
    <s v="Beneficio"/>
  </r>
  <r>
    <d v="2023-03-17T00:00:00"/>
    <s v="Construcciones Hernández SL"/>
    <x v="0"/>
    <s v="Perlita Natural Grano Fino"/>
    <s v="PERLITA"/>
    <n v="356"/>
    <n v="11.6"/>
    <n v="4129.6000000000004"/>
    <s v="SEVILLA"/>
    <x v="0"/>
    <s v="DISTRIBUIDOR"/>
    <n v="2763.32"/>
    <n v="33.1"/>
    <x v="1"/>
    <n v="1"/>
    <s v="March"/>
    <x v="203"/>
    <x v="0"/>
    <x v="203"/>
    <s v="Beneficio"/>
  </r>
  <r>
    <d v="2024-04-09T00:00:00"/>
    <s v="Construcciones Jiménez SL"/>
    <x v="1"/>
    <s v="Mortero Cementoso Gris"/>
    <s v="MORTERO"/>
    <n v="339"/>
    <n v="10.119999999999999"/>
    <n v="3430.68"/>
    <s v="SEVILLA"/>
    <x v="4"/>
    <s v="DISTRIBUIDOR"/>
    <n v="2066.27"/>
    <n v="39.799999999999997"/>
    <x v="0"/>
    <n v="2"/>
    <s v="April"/>
    <x v="204"/>
    <x v="0"/>
    <x v="204"/>
    <s v="Beneficio"/>
  </r>
  <r>
    <d v="2023-06-15T00:00:00"/>
    <s v="Construcciones López SL"/>
    <x v="5"/>
    <s v="Mortero Cementoso Gris"/>
    <s v="MORTERO"/>
    <n v="467"/>
    <n v="7.56"/>
    <n v="3530.52"/>
    <s v="VALENCIA"/>
    <x v="1"/>
    <s v="DISTRIBUIDOR"/>
    <n v="2167.0100000000002"/>
    <n v="38.6"/>
    <x v="1"/>
    <n v="2"/>
    <s v="June"/>
    <x v="205"/>
    <x v="0"/>
    <x v="205"/>
    <s v="Beneficio"/>
  </r>
  <r>
    <d v="2023-01-25T00:00:00"/>
    <s v="Construcciones Costa SL"/>
    <x v="3"/>
    <s v="Pladur Aislante 15mm"/>
    <s v="PLADUR"/>
    <n v="343"/>
    <n v="10.57"/>
    <n v="3625.51"/>
    <s v="BILBAO"/>
    <x v="1"/>
    <s v="DIRECTO"/>
    <n v="2270.0300000000002"/>
    <n v="37.4"/>
    <x v="1"/>
    <n v="1"/>
    <s v="January"/>
    <x v="206"/>
    <x v="0"/>
    <x v="206"/>
    <s v="Beneficio"/>
  </r>
  <r>
    <d v="2023-05-05T00:00:00"/>
    <s v="Construcciones Jiménez SL"/>
    <x v="1"/>
    <s v="Mortero Acrílico Blanco"/>
    <s v="MORTERO"/>
    <n v="743"/>
    <n v="6.22"/>
    <n v="4621.46"/>
    <s v="SEVILLA"/>
    <x v="3"/>
    <s v="DISTRIBUIDOR"/>
    <n v="3275.31"/>
    <n v="29.1"/>
    <x v="1"/>
    <n v="2"/>
    <s v="May"/>
    <x v="207"/>
    <x v="0"/>
    <x v="207"/>
    <s v="Beneficio"/>
  </r>
  <r>
    <d v="2023-02-20T00:00:00"/>
    <s v="Construcciones Torres SL"/>
    <x v="2"/>
    <s v="Mortero Acrílico Blanco"/>
    <s v="MORTERO"/>
    <n v="947"/>
    <n v="5.64"/>
    <n v="5341.08"/>
    <s v="MURCIA"/>
    <x v="0"/>
    <s v="DISTRIBUIDOR"/>
    <n v="3998.35"/>
    <n v="25.1"/>
    <x v="1"/>
    <n v="1"/>
    <s v="February"/>
    <x v="208"/>
    <x v="0"/>
    <x v="208"/>
    <s v="Beneficio"/>
  </r>
  <r>
    <d v="2023-05-26T00:00:00"/>
    <s v="Construcciones López SL"/>
    <x v="5"/>
    <s v="Placa Pladur Ignífuga"/>
    <s v="PLADUR"/>
    <n v="370"/>
    <n v="11.59"/>
    <n v="4288.3"/>
    <s v="MADRID"/>
    <x v="0"/>
    <s v="ONLINE"/>
    <n v="2945.61"/>
    <n v="31.3"/>
    <x v="1"/>
    <n v="2"/>
    <s v="May"/>
    <x v="209"/>
    <x v="0"/>
    <x v="209"/>
    <s v="Beneficio"/>
  </r>
  <r>
    <d v="2023-09-02T00:00:00"/>
    <s v="Construcciones García SL"/>
    <x v="4"/>
    <s v="Pladur 13mm"/>
    <s v="PLADUR"/>
    <n v="935"/>
    <n v="8.16"/>
    <n v="7629.6"/>
    <s v="BARCELONA"/>
    <x v="5"/>
    <s v="ONLINE"/>
    <n v="6288.94"/>
    <n v="17.600000000000001"/>
    <x v="1"/>
    <n v="3"/>
    <s v="September"/>
    <x v="210"/>
    <x v="1"/>
    <x v="210"/>
    <s v="Beneficio"/>
  </r>
  <r>
    <d v="2023-11-18T00:00:00"/>
    <s v="Construcciones Torres SL"/>
    <x v="2"/>
    <s v="Mortero Cementoso Gris"/>
    <s v="MORTERO"/>
    <n v="630"/>
    <n v="11.42"/>
    <n v="7194.6"/>
    <s v="MÁLAGA"/>
    <x v="1"/>
    <s v="DISTRIBUIDOR"/>
    <n v="5854.62"/>
    <n v="18.600000000000001"/>
    <x v="1"/>
    <n v="4"/>
    <s v="November"/>
    <x v="211"/>
    <x v="1"/>
    <x v="211"/>
    <s v="Beneficio"/>
  </r>
  <r>
    <d v="2023-07-29T00:00:00"/>
    <s v="Construcciones Hernández SL"/>
    <x v="0"/>
    <s v="Mortero Cementoso Gris"/>
    <s v="MORTERO"/>
    <n v="568"/>
    <n v="9.24"/>
    <n v="5248.32"/>
    <s v="MÁLAGA"/>
    <x v="4"/>
    <s v="DISTRIBUIDOR"/>
    <n v="3917.27"/>
    <n v="25.4"/>
    <x v="1"/>
    <n v="3"/>
    <s v="July"/>
    <x v="212"/>
    <x v="0"/>
    <x v="212"/>
    <s v="Beneficio"/>
  </r>
  <r>
    <d v="2023-02-06T00:00:00"/>
    <s v="Construcciones Jiménez SL"/>
    <x v="1"/>
    <s v="Pladur Aislante 15mm"/>
    <s v="PLADUR"/>
    <n v="852"/>
    <n v="8.4700000000000006"/>
    <n v="7216.44"/>
    <s v="BARCELONA"/>
    <x v="1"/>
    <s v="DISTRIBUIDOR"/>
    <n v="5887.04"/>
    <n v="18.399999999999999"/>
    <x v="1"/>
    <n v="1"/>
    <s v="February"/>
    <x v="213"/>
    <x v="1"/>
    <x v="213"/>
    <s v="Beneficio"/>
  </r>
  <r>
    <d v="2023-06-09T00:00:00"/>
    <s v="Construcciones Jiménez SL"/>
    <x v="1"/>
    <s v="Mortero Cementoso Gris"/>
    <s v="MORTERO"/>
    <n v="400"/>
    <n v="10.039999999999999"/>
    <n v="4016"/>
    <s v="SEVILLA"/>
    <x v="1"/>
    <s v="ONLINE"/>
    <n v="2693.77"/>
    <n v="32.9"/>
    <x v="1"/>
    <n v="2"/>
    <s v="June"/>
    <x v="214"/>
    <x v="0"/>
    <x v="214"/>
    <s v="Beneficio"/>
  </r>
  <r>
    <d v="2023-03-23T00:00:00"/>
    <s v="Construcciones López SL"/>
    <x v="5"/>
    <s v="Pladur Aislante 15mm"/>
    <s v="PLADUR"/>
    <n v="469"/>
    <n v="10.33"/>
    <n v="4844.7700000000004"/>
    <s v="BARCELONA"/>
    <x v="4"/>
    <s v="DISTRIBUIDOR"/>
    <n v="3522.78"/>
    <n v="27.3"/>
    <x v="1"/>
    <n v="1"/>
    <s v="March"/>
    <x v="215"/>
    <x v="0"/>
    <x v="215"/>
    <s v="Beneficio"/>
  </r>
  <r>
    <d v="2023-11-07T00:00:00"/>
    <s v="Construcciones Hernández SL"/>
    <x v="0"/>
    <s v="Pladur 13mm"/>
    <s v="PLADUR"/>
    <n v="950"/>
    <n v="5.69"/>
    <n v="5405.5"/>
    <s v="BILBAO"/>
    <x v="0"/>
    <s v="ONLINE"/>
    <n v="4084.2"/>
    <n v="24.4"/>
    <x v="1"/>
    <n v="4"/>
    <s v="November"/>
    <x v="216"/>
    <x v="1"/>
    <x v="216"/>
    <s v="Beneficio"/>
  </r>
  <r>
    <d v="2023-01-11T00:00:00"/>
    <s v="Construcciones Jiménez SL"/>
    <x v="1"/>
    <s v="Mortero Monocapa Beige"/>
    <s v="MORTERO"/>
    <n v="987"/>
    <n v="3.58"/>
    <n v="3533.46"/>
    <s v="BILBAO"/>
    <x v="1"/>
    <s v="DISTRIBUIDOR"/>
    <n v="2215.62"/>
    <n v="37.299999999999997"/>
    <x v="1"/>
    <n v="1"/>
    <s v="January"/>
    <x v="217"/>
    <x v="0"/>
    <x v="217"/>
    <s v="Beneficio"/>
  </r>
  <r>
    <d v="2023-04-14T00:00:00"/>
    <s v="Construcciones Torres SL"/>
    <x v="2"/>
    <s v="Placa Pladur Ignífuga"/>
    <s v="PLADUR"/>
    <n v="873"/>
    <n v="3.95"/>
    <n v="3448.35"/>
    <s v="ZARAGOZA"/>
    <x v="2"/>
    <s v="DISTRIBUIDOR"/>
    <n v="2131.6999999999998"/>
    <n v="38.200000000000003"/>
    <x v="1"/>
    <n v="2"/>
    <s v="April"/>
    <x v="218"/>
    <x v="0"/>
    <x v="218"/>
    <s v="Beneficio"/>
  </r>
  <r>
    <d v="2023-08-02T00:00:00"/>
    <s v="Construcciones Jiménez SL"/>
    <x v="1"/>
    <s v="Perlita Expandida 40L"/>
    <s v="PERLITA"/>
    <n v="625"/>
    <n v="6.04"/>
    <n v="3775"/>
    <s v="BARCELONA"/>
    <x v="0"/>
    <s v="DIRECTO"/>
    <n v="2461.83"/>
    <n v="34.799999999999997"/>
    <x v="1"/>
    <n v="3"/>
    <s v="August"/>
    <x v="219"/>
    <x v="0"/>
    <x v="219"/>
    <s v="Beneficio"/>
  </r>
  <r>
    <d v="2023-01-23T00:00:00"/>
    <s v="Construcciones Torres SL"/>
    <x v="2"/>
    <s v="Mortero Acrílico Blanco"/>
    <s v="MORTERO"/>
    <n v="495"/>
    <n v="7.67"/>
    <n v="3796.65"/>
    <s v="BILBAO"/>
    <x v="2"/>
    <s v="DIRECTO"/>
    <n v="2484.5100000000002"/>
    <n v="34.6"/>
    <x v="1"/>
    <n v="1"/>
    <s v="January"/>
    <x v="220"/>
    <x v="0"/>
    <x v="220"/>
    <s v="Beneficio"/>
  </r>
  <r>
    <d v="2023-09-01T00:00:00"/>
    <s v="Construcciones Hernández SL"/>
    <x v="0"/>
    <s v="Mortero Cementoso Gris"/>
    <s v="MORTERO"/>
    <n v="551"/>
    <n v="7.74"/>
    <n v="4264.74"/>
    <s v="ZARAGOZA"/>
    <x v="0"/>
    <s v="DIRECTO"/>
    <n v="2955.84"/>
    <n v="30.7"/>
    <x v="1"/>
    <n v="3"/>
    <s v="September"/>
    <x v="221"/>
    <x v="0"/>
    <x v="221"/>
    <s v="Beneficio"/>
  </r>
  <r>
    <d v="2023-11-01T00:00:00"/>
    <s v="Construcciones García SL"/>
    <x v="4"/>
    <s v="Mortero Cementoso Gris"/>
    <s v="MORTERO"/>
    <n v="923"/>
    <n v="6.05"/>
    <n v="5584.15"/>
    <s v="BILBAO"/>
    <x v="3"/>
    <s v="ONLINE"/>
    <n v="4284.08"/>
    <n v="23.3"/>
    <x v="1"/>
    <n v="4"/>
    <s v="November"/>
    <x v="222"/>
    <x v="1"/>
    <x v="222"/>
    <s v="Beneficio"/>
  </r>
  <r>
    <d v="2023-01-14T00:00:00"/>
    <s v="Construcciones Torres SL"/>
    <x v="2"/>
    <s v="Perlita Expandida 40L"/>
    <s v="PERLITA"/>
    <n v="496"/>
    <n v="9.09"/>
    <n v="4508.6400000000003"/>
    <s v="BARCELONA"/>
    <x v="1"/>
    <s v="DIRECTO"/>
    <n v="3208.86"/>
    <n v="28.8"/>
    <x v="1"/>
    <n v="1"/>
    <s v="January"/>
    <x v="223"/>
    <x v="0"/>
    <x v="223"/>
    <s v="Beneficio"/>
  </r>
  <r>
    <d v="2023-02-05T00:00:00"/>
    <s v="Construcciones Hernández SL"/>
    <x v="0"/>
    <s v="Perlita Expandida 40L"/>
    <s v="PERLITA"/>
    <n v="645"/>
    <n v="5.87"/>
    <n v="3786.15"/>
    <s v="SEVILLA"/>
    <x v="4"/>
    <s v="DISTRIBUIDOR"/>
    <n v="2487.52"/>
    <n v="34.299999999999997"/>
    <x v="1"/>
    <n v="1"/>
    <s v="February"/>
    <x v="224"/>
    <x v="0"/>
    <x v="224"/>
    <s v="Beneficio"/>
  </r>
  <r>
    <d v="2024-05-06T00:00:00"/>
    <s v="Construcciones Jiménez SL"/>
    <x v="1"/>
    <s v="Mortero Cementoso Gris"/>
    <s v="MORTERO"/>
    <n v="801"/>
    <n v="4.5999999999999996"/>
    <n v="3684.6"/>
    <s v="VALENCIA"/>
    <x v="3"/>
    <s v="DIRECTO"/>
    <n v="2387.54"/>
    <n v="35.200000000000003"/>
    <x v="0"/>
    <n v="2"/>
    <s v="May"/>
    <x v="225"/>
    <x v="0"/>
    <x v="225"/>
    <s v="Beneficio"/>
  </r>
  <r>
    <d v="2023-06-06T00:00:00"/>
    <s v="Construcciones Hernández SL"/>
    <x v="0"/>
    <s v="Placa Pladur Ignífuga"/>
    <s v="PLADUR"/>
    <n v="453"/>
    <n v="8.9499999999999993"/>
    <n v="4054.35"/>
    <s v="BARCELONA"/>
    <x v="0"/>
    <s v="ONLINE"/>
    <n v="2765.07"/>
    <n v="31.8"/>
    <x v="1"/>
    <n v="2"/>
    <s v="June"/>
    <x v="226"/>
    <x v="0"/>
    <x v="226"/>
    <s v="Beneficio"/>
  </r>
  <r>
    <d v="2023-01-29T00:00:00"/>
    <s v="Construcciones García SL"/>
    <x v="4"/>
    <s v="Perlita Natural Grano Fino"/>
    <s v="PERLITA"/>
    <n v="401"/>
    <n v="10.210000000000001"/>
    <n v="4094.21"/>
    <s v="ZARAGOZA"/>
    <x v="2"/>
    <s v="ONLINE"/>
    <n v="2805.92"/>
    <n v="31.5"/>
    <x v="1"/>
    <n v="1"/>
    <s v="January"/>
    <x v="227"/>
    <x v="0"/>
    <x v="227"/>
    <s v="Beneficio"/>
  </r>
  <r>
    <d v="2023-02-25T00:00:00"/>
    <s v="Construcciones Hernández SL"/>
    <x v="0"/>
    <s v="Placa Pladur Ignífuga"/>
    <s v="PLADUR"/>
    <n v="869"/>
    <n v="7.98"/>
    <n v="6934.62"/>
    <s v="BILBAO"/>
    <x v="1"/>
    <s v="DIRECTO"/>
    <n v="5647.21"/>
    <n v="18.600000000000001"/>
    <x v="1"/>
    <n v="1"/>
    <s v="February"/>
    <x v="228"/>
    <x v="1"/>
    <x v="228"/>
    <s v="Beneficio"/>
  </r>
  <r>
    <d v="2023-10-31T00:00:00"/>
    <s v="Construcciones Jiménez SL"/>
    <x v="1"/>
    <s v="Perlita Expandida 40L"/>
    <s v="PERLITA"/>
    <n v="994"/>
    <n v="9.4600000000000009"/>
    <n v="9403.24"/>
    <s v="BILBAO"/>
    <x v="5"/>
    <s v="ONLINE"/>
    <n v="8118.92"/>
    <n v="13.7"/>
    <x v="1"/>
    <n v="4"/>
    <s v="October"/>
    <x v="229"/>
    <x v="1"/>
    <x v="229"/>
    <s v="Beneficio"/>
  </r>
  <r>
    <d v="2023-06-11T00:00:00"/>
    <s v="Construcciones Torres SL"/>
    <x v="2"/>
    <s v="Mortero Monocapa Beige"/>
    <s v="MORTERO"/>
    <n v="512"/>
    <n v="8.5"/>
    <n v="4352"/>
    <s v="MADRID"/>
    <x v="2"/>
    <s v="DISTRIBUIDOR"/>
    <n v="3068.13"/>
    <n v="29.5"/>
    <x v="1"/>
    <n v="2"/>
    <s v="June"/>
    <x v="230"/>
    <x v="0"/>
    <x v="230"/>
    <s v="Beneficio"/>
  </r>
  <r>
    <d v="2023-07-25T00:00:00"/>
    <s v="Construcciones López SL"/>
    <x v="5"/>
    <s v="Mortero Cementoso Gris"/>
    <s v="MORTERO"/>
    <n v="513"/>
    <n v="8.58"/>
    <n v="4401.54"/>
    <s v="SEVILLA"/>
    <x v="4"/>
    <s v="DISTRIBUIDOR"/>
    <n v="3117.71"/>
    <n v="29.2"/>
    <x v="1"/>
    <n v="3"/>
    <s v="July"/>
    <x v="231"/>
    <x v="0"/>
    <x v="231"/>
    <s v="Beneficio"/>
  </r>
  <r>
    <d v="2023-03-21T00:00:00"/>
    <s v="Construcciones Costa SL"/>
    <x v="3"/>
    <s v="Pladur 13mm"/>
    <s v="PLADUR"/>
    <n v="897"/>
    <n v="7.71"/>
    <n v="6915.87"/>
    <s v="BARCELONA"/>
    <x v="5"/>
    <s v="ONLINE"/>
    <n v="5633.59"/>
    <n v="18.5"/>
    <x v="1"/>
    <n v="1"/>
    <s v="March"/>
    <x v="232"/>
    <x v="1"/>
    <x v="232"/>
    <s v="Beneficio"/>
  </r>
  <r>
    <d v="2024-04-18T00:00:00"/>
    <s v="Construcciones Torres SL"/>
    <x v="2"/>
    <s v="Perlita Expandida 40L"/>
    <s v="PERLITA"/>
    <n v="505"/>
    <n v="10.93"/>
    <n v="5519.65"/>
    <s v="ZARAGOZA"/>
    <x v="4"/>
    <s v="ONLINE"/>
    <n v="4237.6099999999997"/>
    <n v="23.2"/>
    <x v="0"/>
    <n v="2"/>
    <s v="April"/>
    <x v="233"/>
    <x v="1"/>
    <x v="233"/>
    <s v="Beneficio"/>
  </r>
  <r>
    <d v="2024-05-31T00:00:00"/>
    <s v="Construcciones Jiménez SL"/>
    <x v="1"/>
    <s v="Mortero Cementoso Gris"/>
    <s v="MORTERO"/>
    <n v="571"/>
    <n v="9.8000000000000007"/>
    <n v="5595.8"/>
    <s v="BARCELONA"/>
    <x v="3"/>
    <s v="ONLINE"/>
    <n v="4314.66"/>
    <n v="22.9"/>
    <x v="0"/>
    <n v="2"/>
    <s v="May"/>
    <x v="234"/>
    <x v="1"/>
    <x v="234"/>
    <s v="Beneficio"/>
  </r>
  <r>
    <d v="2024-04-05T00:00:00"/>
    <s v="Construcciones López SL"/>
    <x v="5"/>
    <s v="Perlita Expandida 40L"/>
    <s v="PERLITA"/>
    <n v="703"/>
    <n v="5.72"/>
    <n v="4021.16"/>
    <s v="VALENCIA"/>
    <x v="4"/>
    <s v="DIRECTO"/>
    <n v="2741.87"/>
    <n v="31.8"/>
    <x v="0"/>
    <n v="2"/>
    <s v="April"/>
    <x v="235"/>
    <x v="0"/>
    <x v="235"/>
    <s v="Beneficio"/>
  </r>
  <r>
    <d v="2023-02-16T00:00:00"/>
    <s v="Construcciones García SL"/>
    <x v="4"/>
    <s v="Placa Pladur Ignífuga"/>
    <s v="PLADUR"/>
    <n v="459"/>
    <n v="10.53"/>
    <n v="4833.2700000000004"/>
    <s v="BILBAO"/>
    <x v="2"/>
    <s v="DIRECTO"/>
    <n v="3566.53"/>
    <n v="26.2"/>
    <x v="1"/>
    <n v="1"/>
    <s v="February"/>
    <x v="236"/>
    <x v="0"/>
    <x v="236"/>
    <s v="Beneficio"/>
  </r>
  <r>
    <d v="2023-01-15T00:00:00"/>
    <s v="Construcciones García SL"/>
    <x v="4"/>
    <s v="Pladur Aislante 15mm"/>
    <s v="PLADUR"/>
    <n v="569"/>
    <n v="10.029999999999999"/>
    <n v="5707.07"/>
    <s v="VALENCIA"/>
    <x v="3"/>
    <s v="ONLINE"/>
    <n v="4440.55"/>
    <n v="22.2"/>
    <x v="1"/>
    <n v="1"/>
    <s v="January"/>
    <x v="237"/>
    <x v="1"/>
    <x v="237"/>
    <s v="Beneficio"/>
  </r>
  <r>
    <d v="2023-06-24T00:00:00"/>
    <s v="Construcciones Hernández SL"/>
    <x v="0"/>
    <s v="Mortero Acrílico Blanco"/>
    <s v="MORTERO"/>
    <n v="308"/>
    <n v="10.78"/>
    <n v="3320.24"/>
    <s v="MÁLAGA"/>
    <x v="5"/>
    <s v="DISTRIBUIDOR"/>
    <n v="2056.2199999999998"/>
    <n v="38.1"/>
    <x v="1"/>
    <n v="2"/>
    <s v="June"/>
    <x v="238"/>
    <x v="0"/>
    <x v="238"/>
    <s v="Beneficio"/>
  </r>
  <r>
    <d v="2023-01-13T00:00:00"/>
    <s v="Construcciones Costa SL"/>
    <x v="3"/>
    <s v="Perlita Expandida 40L"/>
    <s v="PERLITA"/>
    <n v="823"/>
    <n v="4.83"/>
    <n v="3975.09"/>
    <s v="MADRID"/>
    <x v="0"/>
    <s v="DISTRIBUIDOR"/>
    <n v="2713.01"/>
    <n v="31.7"/>
    <x v="1"/>
    <n v="1"/>
    <s v="January"/>
    <x v="239"/>
    <x v="0"/>
    <x v="239"/>
    <s v="Beneficio"/>
  </r>
  <r>
    <d v="2023-01-28T00:00:00"/>
    <s v="Construcciones Costa SL"/>
    <x v="3"/>
    <s v="Perlita Expandida 40L"/>
    <s v="PERLITA"/>
    <n v="781"/>
    <n v="6.4"/>
    <n v="4998.3999999999996"/>
    <s v="VALENCIA"/>
    <x v="4"/>
    <s v="ONLINE"/>
    <n v="3737.43"/>
    <n v="25.2"/>
    <x v="1"/>
    <n v="1"/>
    <s v="January"/>
    <x v="240"/>
    <x v="0"/>
    <x v="240"/>
    <s v="Beneficio"/>
  </r>
  <r>
    <d v="2023-11-23T00:00:00"/>
    <s v="Construcciones Costa SL"/>
    <x v="3"/>
    <s v="Placa Pladur Ignífuga"/>
    <s v="PLADUR"/>
    <n v="884"/>
    <n v="10.9"/>
    <n v="9635.6"/>
    <s v="MÁLAGA"/>
    <x v="4"/>
    <s v="ONLINE"/>
    <n v="8379.32"/>
    <n v="13"/>
    <x v="1"/>
    <n v="4"/>
    <s v="November"/>
    <x v="241"/>
    <x v="1"/>
    <x v="241"/>
    <s v="Beneficio"/>
  </r>
  <r>
    <d v="2023-05-17T00:00:00"/>
    <s v="Construcciones Costa SL"/>
    <x v="3"/>
    <s v="Perlita Natural Grano Fino"/>
    <s v="PERLITA"/>
    <n v="623"/>
    <n v="6.62"/>
    <n v="4124.26"/>
    <s v="MÁLAGA"/>
    <x v="3"/>
    <s v="ONLINE"/>
    <n v="2871.12"/>
    <n v="30.4"/>
    <x v="1"/>
    <n v="2"/>
    <s v="May"/>
    <x v="242"/>
    <x v="0"/>
    <x v="242"/>
    <s v="Beneficio"/>
  </r>
  <r>
    <d v="2023-06-19T00:00:00"/>
    <s v="Construcciones Hernández SL"/>
    <x v="0"/>
    <s v="Placa Pladur Ignífuga"/>
    <s v="PLADUR"/>
    <n v="903"/>
    <n v="7.96"/>
    <n v="7187.88"/>
    <s v="MURCIA"/>
    <x v="5"/>
    <s v="DIRECTO"/>
    <n v="5938.28"/>
    <n v="17.399999999999999"/>
    <x v="1"/>
    <n v="2"/>
    <s v="June"/>
    <x v="243"/>
    <x v="1"/>
    <x v="243"/>
    <s v="Beneficio"/>
  </r>
  <r>
    <d v="2023-07-21T00:00:00"/>
    <s v="Construcciones Jiménez SL"/>
    <x v="1"/>
    <s v="Placa Pladur Ignífuga"/>
    <s v="PLADUR"/>
    <n v="684"/>
    <n v="5.26"/>
    <n v="3597.84"/>
    <s v="ZARAGOZA"/>
    <x v="1"/>
    <s v="DIRECTO"/>
    <n v="2356.92"/>
    <n v="34.5"/>
    <x v="1"/>
    <n v="3"/>
    <s v="July"/>
    <x v="244"/>
    <x v="0"/>
    <x v="244"/>
    <s v="Beneficio"/>
  </r>
  <r>
    <d v="2023-02-15T00:00:00"/>
    <s v="Construcciones López SL"/>
    <x v="5"/>
    <s v="Placa Pladur Ignífuga"/>
    <s v="PLADUR"/>
    <n v="953"/>
    <n v="9.1199999999999992"/>
    <n v="8691.36"/>
    <s v="BARCELONA"/>
    <x v="5"/>
    <s v="DISTRIBUIDOR"/>
    <n v="7450.64"/>
    <n v="14.3"/>
    <x v="1"/>
    <n v="1"/>
    <s v="February"/>
    <x v="245"/>
    <x v="1"/>
    <x v="245"/>
    <s v="Beneficio"/>
  </r>
  <r>
    <d v="2023-01-05T00:00:00"/>
    <s v="Construcciones López SL"/>
    <x v="5"/>
    <s v="Mortero Cementoso Gris"/>
    <s v="MORTERO"/>
    <n v="889"/>
    <n v="9.48"/>
    <n v="8427.7199999999993"/>
    <s v="BARCELONA"/>
    <x v="3"/>
    <s v="DISTRIBUIDOR"/>
    <n v="7187.3"/>
    <n v="14.7"/>
    <x v="1"/>
    <n v="1"/>
    <s v="January"/>
    <x v="246"/>
    <x v="1"/>
    <x v="246"/>
    <s v="Beneficio"/>
  </r>
  <r>
    <d v="2023-05-23T00:00:00"/>
    <s v="Construcciones Jiménez SL"/>
    <x v="1"/>
    <s v="Pladur Aislante 15mm"/>
    <s v="PLADUR"/>
    <n v="764"/>
    <n v="5.97"/>
    <n v="4561.08"/>
    <s v="BILBAO"/>
    <x v="0"/>
    <s v="ONLINE"/>
    <n v="3321.1"/>
    <n v="27.2"/>
    <x v="1"/>
    <n v="2"/>
    <s v="May"/>
    <x v="247"/>
    <x v="0"/>
    <x v="247"/>
    <s v="Beneficio"/>
  </r>
  <r>
    <d v="2023-04-18T00:00:00"/>
    <s v="Construcciones Hernández SL"/>
    <x v="0"/>
    <s v="Mortero Acrílico Blanco"/>
    <s v="MORTERO"/>
    <n v="966"/>
    <n v="4.8899999999999997"/>
    <n v="4723.74"/>
    <s v="MADRID"/>
    <x v="4"/>
    <s v="DIRECTO"/>
    <n v="3488.24"/>
    <n v="26.2"/>
    <x v="1"/>
    <n v="2"/>
    <s v="April"/>
    <x v="248"/>
    <x v="0"/>
    <x v="248"/>
    <s v="Beneficio"/>
  </r>
  <r>
    <d v="2023-02-05T00:00:00"/>
    <s v="Construcciones Costa SL"/>
    <x v="3"/>
    <s v="Pladur Aislante 15mm"/>
    <s v="PLADUR"/>
    <n v="978"/>
    <n v="7.36"/>
    <n v="7198.08"/>
    <s v="VALENCIA"/>
    <x v="0"/>
    <s v="DIRECTO"/>
    <n v="5962.74"/>
    <n v="17.2"/>
    <x v="1"/>
    <n v="1"/>
    <s v="February"/>
    <x v="249"/>
    <x v="1"/>
    <x v="249"/>
    <s v="Beneficio"/>
  </r>
  <r>
    <d v="2024-01-18T00:00:00"/>
    <s v="Construcciones Torres SL"/>
    <x v="2"/>
    <s v="Mortero Acrílico Blanco"/>
    <s v="MORTERO"/>
    <n v="555"/>
    <n v="8.24"/>
    <n v="4573.2"/>
    <s v="MÁLAGA"/>
    <x v="2"/>
    <s v="DISTRIBUIDOR"/>
    <n v="3341.63"/>
    <n v="26.9"/>
    <x v="0"/>
    <n v="1"/>
    <s v="January"/>
    <x v="250"/>
    <x v="0"/>
    <x v="250"/>
    <s v="Beneficio"/>
  </r>
  <r>
    <d v="2024-08-02T00:00:00"/>
    <s v="Construcciones Torres SL"/>
    <x v="2"/>
    <s v="Pladur Aislante 15mm"/>
    <s v="PLADUR"/>
    <n v="798"/>
    <n v="11.52"/>
    <n v="9192.9599999999991"/>
    <s v="SEVILLA"/>
    <x v="0"/>
    <s v="DIRECTO"/>
    <n v="7961.73"/>
    <n v="13.4"/>
    <x v="0"/>
    <n v="3"/>
    <s v="August"/>
    <x v="251"/>
    <x v="1"/>
    <x v="251"/>
    <s v="Beneficio"/>
  </r>
  <r>
    <d v="2023-01-14T00:00:00"/>
    <s v="Construcciones Hernández SL"/>
    <x v="0"/>
    <s v="Pladur Aislante 15mm"/>
    <s v="PLADUR"/>
    <n v="356"/>
    <n v="9.19"/>
    <n v="3271.64"/>
    <s v="SEVILLA"/>
    <x v="1"/>
    <s v="ONLINE"/>
    <n v="2041.26"/>
    <n v="37.6"/>
    <x v="1"/>
    <n v="1"/>
    <s v="January"/>
    <x v="252"/>
    <x v="0"/>
    <x v="252"/>
    <s v="Beneficio"/>
  </r>
  <r>
    <d v="2023-02-20T00:00:00"/>
    <s v="Construcciones Hernández SL"/>
    <x v="0"/>
    <s v="Mortero Cementoso Gris"/>
    <s v="MORTERO"/>
    <n v="717"/>
    <n v="11.01"/>
    <n v="7894.17"/>
    <s v="MURCIA"/>
    <x v="4"/>
    <s v="ONLINE"/>
    <n v="6666.53"/>
    <n v="15.6"/>
    <x v="1"/>
    <n v="1"/>
    <s v="February"/>
    <x v="253"/>
    <x v="1"/>
    <x v="253"/>
    <s v="Beneficio"/>
  </r>
  <r>
    <d v="2023-02-02T00:00:00"/>
    <s v="Construcciones Hernández SL"/>
    <x v="0"/>
    <s v="Placa Pladur Ignífuga"/>
    <s v="PLADUR"/>
    <n v="392"/>
    <n v="8.27"/>
    <n v="3241.84"/>
    <s v="SEVILLA"/>
    <x v="3"/>
    <s v="DIRECTO"/>
    <n v="2014.4"/>
    <n v="37.9"/>
    <x v="1"/>
    <n v="1"/>
    <s v="February"/>
    <x v="254"/>
    <x v="0"/>
    <x v="254"/>
    <s v="Beneficio"/>
  </r>
  <r>
    <d v="2024-04-11T00:00:00"/>
    <s v="Construcciones López SL"/>
    <x v="5"/>
    <s v="Pladur Aislante 15mm"/>
    <s v="PLADUR"/>
    <n v="605"/>
    <n v="5.73"/>
    <n v="3466.65"/>
    <s v="MADRID"/>
    <x v="2"/>
    <s v="ONLINE"/>
    <n v="2241.2199999999998"/>
    <n v="35.299999999999997"/>
    <x v="0"/>
    <n v="2"/>
    <s v="April"/>
    <x v="255"/>
    <x v="0"/>
    <x v="255"/>
    <s v="Beneficio"/>
  </r>
  <r>
    <d v="2023-07-30T00:00:00"/>
    <s v="Construcciones García SL"/>
    <x v="4"/>
    <s v="Pladur Aislante 15mm"/>
    <s v="PLADUR"/>
    <n v="599"/>
    <n v="10.89"/>
    <n v="6523.11"/>
    <s v="VALENCIA"/>
    <x v="3"/>
    <s v="DIRECTO"/>
    <n v="5299.67"/>
    <n v="18.8"/>
    <x v="1"/>
    <n v="3"/>
    <s v="July"/>
    <x v="256"/>
    <x v="1"/>
    <x v="256"/>
    <s v="Beneficio"/>
  </r>
  <r>
    <d v="2023-09-07T00:00:00"/>
    <s v="Construcciones Hernández SL"/>
    <x v="0"/>
    <s v="Mortero Cementoso Gris"/>
    <s v="MORTERO"/>
    <n v="996"/>
    <n v="5.1100000000000003"/>
    <n v="5089.5600000000004"/>
    <s v="MADRID"/>
    <x v="5"/>
    <s v="DISTRIBUIDOR"/>
    <n v="3867.19"/>
    <n v="24"/>
    <x v="1"/>
    <n v="3"/>
    <s v="September"/>
    <x v="257"/>
    <x v="1"/>
    <x v="257"/>
    <s v="Beneficio"/>
  </r>
  <r>
    <d v="2024-12-23T00:00:00"/>
    <s v="Construcciones López SL"/>
    <x v="5"/>
    <s v="Pladur 13mm"/>
    <s v="PLADUR"/>
    <n v="587"/>
    <n v="5.47"/>
    <n v="3210.89"/>
    <s v="BILBAO"/>
    <x v="1"/>
    <s v="DISTRIBUIDOR"/>
    <n v="1988.81"/>
    <n v="38.1"/>
    <x v="0"/>
    <n v="4"/>
    <s v="December"/>
    <x v="258"/>
    <x v="0"/>
    <x v="258"/>
    <s v="Beneficio"/>
  </r>
  <r>
    <d v="2024-05-28T00:00:00"/>
    <s v="Construcciones Jiménez SL"/>
    <x v="1"/>
    <s v="Mortero Acrílico Blanco"/>
    <s v="MORTERO"/>
    <n v="454"/>
    <n v="8.82"/>
    <n v="4004.28"/>
    <s v="BILBAO"/>
    <x v="5"/>
    <s v="DIRECTO"/>
    <n v="2783.02"/>
    <n v="30.5"/>
    <x v="0"/>
    <n v="2"/>
    <s v="May"/>
    <x v="259"/>
    <x v="0"/>
    <x v="259"/>
    <s v="Beneficio"/>
  </r>
  <r>
    <d v="2023-01-12T00:00:00"/>
    <s v="Construcciones Hernández SL"/>
    <x v="0"/>
    <s v="Mortero Acrílico Blanco"/>
    <s v="MORTERO"/>
    <n v="899"/>
    <n v="10.92"/>
    <n v="9817.08"/>
    <s v="MURCIA"/>
    <x v="1"/>
    <s v="ONLINE"/>
    <n v="8601.48"/>
    <n v="12.4"/>
    <x v="1"/>
    <n v="1"/>
    <s v="January"/>
    <x v="260"/>
    <x v="1"/>
    <x v="260"/>
    <s v="Beneficio"/>
  </r>
  <r>
    <d v="2023-02-15T00:00:00"/>
    <s v="Construcciones Torres SL"/>
    <x v="2"/>
    <s v="Mortero Monocapa Beige"/>
    <s v="MORTERO"/>
    <n v="870"/>
    <n v="8.48"/>
    <n v="7377.6"/>
    <s v="BILBAO"/>
    <x v="2"/>
    <s v="DISTRIBUIDOR"/>
    <n v="6166.59"/>
    <n v="16.399999999999999"/>
    <x v="1"/>
    <n v="1"/>
    <s v="February"/>
    <x v="261"/>
    <x v="1"/>
    <x v="261"/>
    <s v="Beneficio"/>
  </r>
  <r>
    <d v="2023-01-29T00:00:00"/>
    <s v="Construcciones Torres SL"/>
    <x v="2"/>
    <s v="Mortero Acrílico Blanco"/>
    <s v="MORTERO"/>
    <n v="865"/>
    <n v="8.15"/>
    <n v="7049.75"/>
    <s v="ZARAGOZA"/>
    <x v="4"/>
    <s v="ONLINE"/>
    <n v="5840.69"/>
    <n v="17.2"/>
    <x v="1"/>
    <n v="1"/>
    <s v="January"/>
    <x v="262"/>
    <x v="1"/>
    <x v="262"/>
    <s v="Beneficio"/>
  </r>
  <r>
    <d v="2023-07-28T00:00:00"/>
    <s v="Construcciones López SL"/>
    <x v="5"/>
    <s v="Perlita Natural Grano Fino"/>
    <s v="PERLITA"/>
    <n v="908"/>
    <n v="5.23"/>
    <n v="4748.84"/>
    <s v="SEVILLA"/>
    <x v="5"/>
    <s v="ONLINE"/>
    <n v="3541.77"/>
    <n v="25.4"/>
    <x v="1"/>
    <n v="3"/>
    <s v="July"/>
    <x v="263"/>
    <x v="0"/>
    <x v="263"/>
    <s v="Beneficio"/>
  </r>
  <r>
    <d v="2023-03-31T00:00:00"/>
    <s v="Construcciones Torres SL"/>
    <x v="2"/>
    <s v="Placa Pladur Ignífuga"/>
    <s v="PLADUR"/>
    <n v="735"/>
    <n v="11.74"/>
    <n v="8628.9"/>
    <s v="BARCELONA"/>
    <x v="5"/>
    <s v="DISTRIBUIDOR"/>
    <n v="7423.64"/>
    <n v="14"/>
    <x v="1"/>
    <n v="1"/>
    <s v="March"/>
    <x v="264"/>
    <x v="1"/>
    <x v="264"/>
    <s v="Beneficio"/>
  </r>
  <r>
    <d v="2023-02-28T00:00:00"/>
    <s v="Construcciones Hernández SL"/>
    <x v="0"/>
    <s v="Mortero Monocapa Beige"/>
    <s v="MORTERO"/>
    <n v="404"/>
    <n v="9.32"/>
    <n v="3765.28"/>
    <s v="ZARAGOZA"/>
    <x v="1"/>
    <s v="ONLINE"/>
    <n v="2562.14"/>
    <n v="32"/>
    <x v="1"/>
    <n v="1"/>
    <s v="February"/>
    <x v="265"/>
    <x v="0"/>
    <x v="265"/>
    <s v="Beneficio"/>
  </r>
  <r>
    <d v="2024-02-06T00:00:00"/>
    <s v="Construcciones López SL"/>
    <x v="5"/>
    <s v="Perlita Expandida 40L"/>
    <s v="PERLITA"/>
    <n v="547"/>
    <n v="5.75"/>
    <n v="3145.25"/>
    <s v="BARCELONA"/>
    <x v="5"/>
    <s v="ONLINE"/>
    <n v="1945.52"/>
    <n v="38.1"/>
    <x v="0"/>
    <n v="1"/>
    <s v="February"/>
    <x v="266"/>
    <x v="0"/>
    <x v="266"/>
    <s v="Beneficio"/>
  </r>
  <r>
    <d v="2023-01-17T00:00:00"/>
    <s v="Construcciones López SL"/>
    <x v="5"/>
    <s v="Perlita Natural Grano Fino"/>
    <s v="PERLITA"/>
    <n v="518"/>
    <n v="11.45"/>
    <n v="5931.1"/>
    <s v="MADRID"/>
    <x v="0"/>
    <s v="DIRECTO"/>
    <n v="4732.0200000000004"/>
    <n v="20.2"/>
    <x v="1"/>
    <n v="1"/>
    <s v="January"/>
    <x v="267"/>
    <x v="1"/>
    <x v="267"/>
    <s v="Beneficio"/>
  </r>
  <r>
    <d v="2023-04-23T00:00:00"/>
    <s v="Construcciones García SL"/>
    <x v="4"/>
    <s v="Perlita Expandida 40L"/>
    <s v="PERLITA"/>
    <n v="502"/>
    <n v="7.07"/>
    <n v="3549.14"/>
    <s v="SEVILLA"/>
    <x v="5"/>
    <s v="ONLINE"/>
    <n v="2351.58"/>
    <n v="33.700000000000003"/>
    <x v="1"/>
    <n v="2"/>
    <s v="April"/>
    <x v="268"/>
    <x v="0"/>
    <x v="268"/>
    <s v="Beneficio"/>
  </r>
  <r>
    <d v="2024-02-20T00:00:00"/>
    <s v="Construcciones López SL"/>
    <x v="5"/>
    <s v="Perlita Expandida 40L"/>
    <s v="PERLITA"/>
    <n v="978"/>
    <n v="4.25"/>
    <n v="4156.5"/>
    <s v="BILBAO"/>
    <x v="4"/>
    <s v="ONLINE"/>
    <n v="2960.34"/>
    <n v="28.8"/>
    <x v="0"/>
    <n v="1"/>
    <s v="February"/>
    <x v="269"/>
    <x v="0"/>
    <x v="269"/>
    <s v="Beneficio"/>
  </r>
  <r>
    <d v="2023-07-06T00:00:00"/>
    <s v="Construcciones Jiménez SL"/>
    <x v="1"/>
    <s v="Perlita Natural Grano Fino"/>
    <s v="PERLITA"/>
    <n v="858"/>
    <n v="7.13"/>
    <n v="6117.54"/>
    <s v="SEVILLA"/>
    <x v="0"/>
    <s v="DISTRIBUIDOR"/>
    <n v="4922.62"/>
    <n v="19.5"/>
    <x v="1"/>
    <n v="3"/>
    <s v="July"/>
    <x v="270"/>
    <x v="1"/>
    <x v="270"/>
    <s v="Beneficio"/>
  </r>
  <r>
    <d v="2023-02-07T00:00:00"/>
    <s v="Construcciones García SL"/>
    <x v="4"/>
    <s v="Mortero Acrílico Blanco"/>
    <s v="MORTERO"/>
    <n v="451"/>
    <n v="7.5"/>
    <n v="3382.5"/>
    <s v="ZARAGOZA"/>
    <x v="1"/>
    <s v="DISTRIBUIDOR"/>
    <n v="2189.08"/>
    <n v="35.299999999999997"/>
    <x v="1"/>
    <n v="1"/>
    <s v="February"/>
    <x v="271"/>
    <x v="0"/>
    <x v="271"/>
    <s v="Beneficio"/>
  </r>
  <r>
    <d v="2023-06-05T00:00:00"/>
    <s v="Construcciones López SL"/>
    <x v="5"/>
    <s v="Mortero Monocapa Beige"/>
    <s v="MORTERO"/>
    <n v="767"/>
    <n v="10.59"/>
    <n v="8122.53"/>
    <s v="SEVILLA"/>
    <x v="0"/>
    <s v="DISTRIBUIDOR"/>
    <n v="6934.04"/>
    <n v="14.6"/>
    <x v="1"/>
    <n v="2"/>
    <s v="June"/>
    <x v="272"/>
    <x v="1"/>
    <x v="272"/>
    <s v="Beneficio"/>
  </r>
  <r>
    <d v="2023-03-24T00:00:00"/>
    <s v="Construcciones Costa SL"/>
    <x v="3"/>
    <s v="Placa Pladur Ignífuga"/>
    <s v="PLADUR"/>
    <n v="707"/>
    <n v="6.86"/>
    <n v="4850.0200000000004"/>
    <s v="VALENCIA"/>
    <x v="2"/>
    <s v="DIRECTO"/>
    <n v="3665.32"/>
    <n v="24.4"/>
    <x v="1"/>
    <n v="1"/>
    <s v="March"/>
    <x v="273"/>
    <x v="1"/>
    <x v="273"/>
    <s v="Beneficio"/>
  </r>
  <r>
    <d v="2023-07-04T00:00:00"/>
    <s v="Construcciones Costa SL"/>
    <x v="3"/>
    <s v="Placa Pladur Ignífuga"/>
    <s v="PLADUR"/>
    <n v="884"/>
    <n v="3.73"/>
    <n v="3297.32"/>
    <s v="BILBAO"/>
    <x v="0"/>
    <s v="DIRECTO"/>
    <n v="2118.37"/>
    <n v="35.799999999999997"/>
    <x v="1"/>
    <n v="3"/>
    <s v="July"/>
    <x v="274"/>
    <x v="0"/>
    <x v="274"/>
    <s v="Beneficio"/>
  </r>
  <r>
    <d v="2024-01-12T00:00:00"/>
    <s v="Construcciones Costa SL"/>
    <x v="3"/>
    <s v="Mortero Cementoso Gris"/>
    <s v="MORTERO"/>
    <n v="882"/>
    <n v="8.84"/>
    <n v="7796.88"/>
    <s v="BILBAO"/>
    <x v="3"/>
    <s v="ONLINE"/>
    <n v="6628.89"/>
    <n v="15"/>
    <x v="0"/>
    <n v="1"/>
    <s v="January"/>
    <x v="275"/>
    <x v="1"/>
    <x v="275"/>
    <s v="Beneficio"/>
  </r>
  <r>
    <d v="2024-08-16T00:00:00"/>
    <s v="Construcciones Jiménez SL"/>
    <x v="1"/>
    <s v="Placa Pladur Ignífuga"/>
    <s v="PLADUR"/>
    <n v="642"/>
    <n v="8.1999999999999993"/>
    <n v="5264.4"/>
    <s v="VALENCIA"/>
    <x v="5"/>
    <s v="DISTRIBUIDOR"/>
    <n v="4101.49"/>
    <n v="22.1"/>
    <x v="0"/>
    <n v="3"/>
    <s v="August"/>
    <x v="276"/>
    <x v="1"/>
    <x v="276"/>
    <s v="Beneficio"/>
  </r>
  <r>
    <d v="2023-04-12T00:00:00"/>
    <s v="Construcciones Torres SL"/>
    <x v="2"/>
    <s v="Pladur Aislante 15mm"/>
    <s v="PLADUR"/>
    <n v="418"/>
    <n v="9.83"/>
    <n v="4108.9399999999996"/>
    <s v="MADRID"/>
    <x v="0"/>
    <s v="ONLINE"/>
    <n v="2946.17"/>
    <n v="28.3"/>
    <x v="1"/>
    <n v="2"/>
    <s v="April"/>
    <x v="277"/>
    <x v="0"/>
    <x v="277"/>
    <s v="Beneficio"/>
  </r>
  <r>
    <d v="2023-02-07T00:00:00"/>
    <s v="Construcciones Jiménez SL"/>
    <x v="1"/>
    <s v="Mortero Cementoso Gris"/>
    <s v="MORTERO"/>
    <n v="807"/>
    <n v="6.57"/>
    <n v="5301.99"/>
    <s v="MADRID"/>
    <x v="5"/>
    <s v="DIRECTO"/>
    <n v="4142.8100000000004"/>
    <n v="21.9"/>
    <x v="1"/>
    <n v="1"/>
    <s v="February"/>
    <x v="278"/>
    <x v="1"/>
    <x v="278"/>
    <s v="Beneficio"/>
  </r>
  <r>
    <d v="2023-02-08T00:00:00"/>
    <s v="Construcciones Jiménez SL"/>
    <x v="1"/>
    <s v="Placa Pladur Ignífuga"/>
    <s v="PLADUR"/>
    <n v="733"/>
    <n v="6"/>
    <n v="4398"/>
    <s v="VALENCIA"/>
    <x v="4"/>
    <s v="DISTRIBUIDOR"/>
    <n v="3241.26"/>
    <n v="26.3"/>
    <x v="1"/>
    <n v="1"/>
    <s v="February"/>
    <x v="279"/>
    <x v="0"/>
    <x v="279"/>
    <s v="Beneficio"/>
  </r>
  <r>
    <d v="2023-08-09T00:00:00"/>
    <s v="Construcciones Costa SL"/>
    <x v="3"/>
    <s v="Perlita Expandida 40L"/>
    <s v="PERLITA"/>
    <n v="330"/>
    <n v="10.99"/>
    <n v="3626.7"/>
    <s v="BARCELONA"/>
    <x v="2"/>
    <s v="DIRECTO"/>
    <n v="2472.34"/>
    <n v="31.8"/>
    <x v="1"/>
    <n v="3"/>
    <s v="August"/>
    <x v="280"/>
    <x v="0"/>
    <x v="280"/>
    <s v="Beneficio"/>
  </r>
  <r>
    <d v="2023-08-27T00:00:00"/>
    <s v="Construcciones Costa SL"/>
    <x v="3"/>
    <s v="Mortero Monocapa Beige"/>
    <s v="MORTERO"/>
    <n v="297"/>
    <n v="10.76"/>
    <n v="3195.72"/>
    <s v="MADRID"/>
    <x v="2"/>
    <s v="ONLINE"/>
    <n v="2041.88"/>
    <n v="36.1"/>
    <x v="1"/>
    <n v="3"/>
    <s v="August"/>
    <x v="281"/>
    <x v="0"/>
    <x v="281"/>
    <s v="Beneficio"/>
  </r>
  <r>
    <d v="2023-05-27T00:00:00"/>
    <s v="Construcciones García SL"/>
    <x v="4"/>
    <s v="Mortero Monocapa Beige"/>
    <s v="MORTERO"/>
    <n v="774"/>
    <n v="9.16"/>
    <n v="7089.84"/>
    <s v="BARCELONA"/>
    <x v="5"/>
    <s v="DIRECTO"/>
    <n v="5940.22"/>
    <n v="16.2"/>
    <x v="1"/>
    <n v="2"/>
    <s v="May"/>
    <x v="282"/>
    <x v="1"/>
    <x v="282"/>
    <s v="Beneficio"/>
  </r>
  <r>
    <d v="2023-08-25T00:00:00"/>
    <s v="Construcciones Torres SL"/>
    <x v="2"/>
    <s v="Mortero Monocapa Beige"/>
    <s v="MORTERO"/>
    <n v="658"/>
    <n v="7.12"/>
    <n v="4684.96"/>
    <s v="BILBAO"/>
    <x v="1"/>
    <s v="DIRECTO"/>
    <n v="3542.12"/>
    <n v="24.4"/>
    <x v="1"/>
    <n v="3"/>
    <s v="August"/>
    <x v="283"/>
    <x v="1"/>
    <x v="283"/>
    <s v="Beneficio"/>
  </r>
  <r>
    <d v="2023-01-19T00:00:00"/>
    <s v="Construcciones Jiménez SL"/>
    <x v="1"/>
    <s v="Perlita Natural Grano Fino"/>
    <s v="PERLITA"/>
    <n v="710"/>
    <n v="4.34"/>
    <n v="3081.4"/>
    <s v="MÁLAGA"/>
    <x v="5"/>
    <s v="DIRECTO"/>
    <n v="1939.2"/>
    <n v="37.1"/>
    <x v="1"/>
    <n v="1"/>
    <s v="January"/>
    <x v="284"/>
    <x v="0"/>
    <x v="284"/>
    <s v="Beneficio"/>
  </r>
  <r>
    <d v="2024-05-18T00:00:00"/>
    <s v="Construcciones Jiménez SL"/>
    <x v="1"/>
    <s v="Mortero Cementoso Gris"/>
    <s v="MORTERO"/>
    <n v="645"/>
    <n v="6.17"/>
    <n v="3979.65"/>
    <s v="BARCELONA"/>
    <x v="1"/>
    <s v="ONLINE"/>
    <n v="2839.94"/>
    <n v="28.6"/>
    <x v="0"/>
    <n v="2"/>
    <s v="May"/>
    <x v="285"/>
    <x v="0"/>
    <x v="285"/>
    <s v="Beneficio"/>
  </r>
  <r>
    <d v="2023-04-29T00:00:00"/>
    <s v="Construcciones García SL"/>
    <x v="4"/>
    <s v="Perlita Expandida 40L"/>
    <s v="PERLITA"/>
    <n v="533"/>
    <n v="11.13"/>
    <n v="5932.29"/>
    <s v="MURCIA"/>
    <x v="1"/>
    <s v="ONLINE"/>
    <n v="4793.7700000000004"/>
    <n v="19.2"/>
    <x v="1"/>
    <n v="2"/>
    <s v="April"/>
    <x v="286"/>
    <x v="1"/>
    <x v="286"/>
    <s v="Beneficio"/>
  </r>
  <r>
    <d v="2023-01-19T00:00:00"/>
    <s v="Construcciones Costa SL"/>
    <x v="3"/>
    <s v="Placa Pladur Ignífuga"/>
    <s v="PLADUR"/>
    <n v="903"/>
    <n v="3.65"/>
    <n v="3295.95"/>
    <s v="MADRID"/>
    <x v="5"/>
    <s v="DIRECTO"/>
    <n v="2162.9699999999998"/>
    <n v="34.4"/>
    <x v="1"/>
    <n v="1"/>
    <s v="January"/>
    <x v="287"/>
    <x v="0"/>
    <x v="287"/>
    <s v="Beneficio"/>
  </r>
  <r>
    <d v="2023-04-21T00:00:00"/>
    <s v="Construcciones García SL"/>
    <x v="4"/>
    <s v="Mortero Monocapa Beige"/>
    <s v="MORTERO"/>
    <n v="629"/>
    <n v="4.55"/>
    <n v="2861.95"/>
    <s v="SEVILLA"/>
    <x v="3"/>
    <s v="DIRECTO"/>
    <n v="1729.48"/>
    <n v="39.6"/>
    <x v="1"/>
    <n v="2"/>
    <s v="April"/>
    <x v="288"/>
    <x v="0"/>
    <x v="288"/>
    <s v="Beneficio"/>
  </r>
  <r>
    <d v="2023-01-07T00:00:00"/>
    <s v="Construcciones García SL"/>
    <x v="4"/>
    <s v="Mortero Cementoso Gris"/>
    <s v="MORTERO"/>
    <n v="413"/>
    <n v="8.34"/>
    <n v="3444.42"/>
    <s v="MÁLAGA"/>
    <x v="2"/>
    <s v="ONLINE"/>
    <n v="2318.25"/>
    <n v="32.700000000000003"/>
    <x v="1"/>
    <n v="1"/>
    <s v="January"/>
    <x v="289"/>
    <x v="0"/>
    <x v="289"/>
    <s v="Beneficio"/>
  </r>
  <r>
    <d v="2025-05-05T00:00:00"/>
    <s v="Construcciones Hernández SL"/>
    <x v="0"/>
    <s v="Mortero Monocapa Beige"/>
    <s v="MORTERO"/>
    <n v="699"/>
    <n v="7.62"/>
    <n v="5326.38"/>
    <s v="BILBAO"/>
    <x v="2"/>
    <s v="DIRECTO"/>
    <n v="4203.4399999999996"/>
    <n v="21.1"/>
    <x v="2"/>
    <n v="2"/>
    <s v="May"/>
    <x v="290"/>
    <x v="1"/>
    <x v="290"/>
    <s v="Beneficio"/>
  </r>
  <r>
    <d v="2023-01-10T00:00:00"/>
    <s v="Construcciones Costa SL"/>
    <x v="3"/>
    <s v="Mortero Monocapa Beige"/>
    <s v="MORTERO"/>
    <n v="818"/>
    <n v="3.71"/>
    <n v="3034.78"/>
    <s v="MADRID"/>
    <x v="4"/>
    <s v="DIRECTO"/>
    <n v="1912.3"/>
    <n v="37"/>
    <x v="1"/>
    <n v="1"/>
    <s v="January"/>
    <x v="291"/>
    <x v="0"/>
    <x v="291"/>
    <s v="Beneficio"/>
  </r>
  <r>
    <d v="2023-01-23T00:00:00"/>
    <s v="Construcciones Hernández SL"/>
    <x v="0"/>
    <s v="Mortero Monocapa Beige"/>
    <s v="MORTERO"/>
    <n v="706"/>
    <n v="6.12"/>
    <n v="4320.72"/>
    <s v="BILBAO"/>
    <x v="2"/>
    <s v="ONLINE"/>
    <n v="3199.04"/>
    <n v="26"/>
    <x v="1"/>
    <n v="1"/>
    <s v="January"/>
    <x v="292"/>
    <x v="0"/>
    <x v="292"/>
    <s v="Beneficio"/>
  </r>
  <r>
    <d v="2023-03-05T00:00:00"/>
    <s v="Construcciones Costa SL"/>
    <x v="3"/>
    <s v="Mortero Monocapa Beige"/>
    <s v="MORTERO"/>
    <n v="536"/>
    <n v="11.08"/>
    <n v="5938.88"/>
    <s v="ZARAGOZA"/>
    <x v="3"/>
    <s v="DIRECTO"/>
    <n v="4819.95"/>
    <n v="18.8"/>
    <x v="1"/>
    <n v="1"/>
    <s v="March"/>
    <x v="293"/>
    <x v="1"/>
    <x v="293"/>
    <s v="Beneficio"/>
  </r>
  <r>
    <d v="2023-03-12T00:00:00"/>
    <s v="Construcciones Hernández SL"/>
    <x v="0"/>
    <s v="Mortero Acrílico Blanco"/>
    <s v="MORTERO"/>
    <n v="570"/>
    <n v="6.98"/>
    <n v="3978.6"/>
    <s v="BILBAO"/>
    <x v="5"/>
    <s v="DISTRIBUIDOR"/>
    <n v="2864.01"/>
    <n v="28"/>
    <x v="1"/>
    <n v="1"/>
    <s v="March"/>
    <x v="294"/>
    <x v="0"/>
    <x v="294"/>
    <s v="Beneficio"/>
  </r>
  <r>
    <d v="2023-07-18T00:00:00"/>
    <s v="Construcciones Costa SL"/>
    <x v="3"/>
    <s v="Mortero Cementoso Gris"/>
    <s v="MORTERO"/>
    <n v="675"/>
    <n v="6.34"/>
    <n v="4279.5"/>
    <s v="ZARAGOZA"/>
    <x v="5"/>
    <s v="DISTRIBUIDOR"/>
    <n v="3167.16"/>
    <n v="26"/>
    <x v="1"/>
    <n v="3"/>
    <s v="July"/>
    <x v="295"/>
    <x v="0"/>
    <x v="295"/>
    <s v="Beneficio"/>
  </r>
  <r>
    <d v="2023-02-13T00:00:00"/>
    <s v="Construcciones Jiménez SL"/>
    <x v="1"/>
    <s v="Placa Pladur Ignífuga"/>
    <s v="PLADUR"/>
    <n v="769"/>
    <n v="4.45"/>
    <n v="3422.05"/>
    <s v="ZARAGOZA"/>
    <x v="2"/>
    <s v="DIRECTO"/>
    <n v="2310.54"/>
    <n v="32.5"/>
    <x v="1"/>
    <n v="1"/>
    <s v="February"/>
    <x v="296"/>
    <x v="0"/>
    <x v="296"/>
    <s v="Beneficio"/>
  </r>
  <r>
    <d v="2024-01-14T00:00:00"/>
    <s v="Construcciones Hernández SL"/>
    <x v="0"/>
    <s v="Pladur Aislante 15mm"/>
    <s v="PLADUR"/>
    <n v="442"/>
    <n v="11.26"/>
    <n v="4976.92"/>
    <s v="ZARAGOZA"/>
    <x v="4"/>
    <s v="DISTRIBUIDOR"/>
    <n v="3866.2"/>
    <n v="22.3"/>
    <x v="0"/>
    <n v="1"/>
    <s v="January"/>
    <x v="297"/>
    <x v="1"/>
    <x v="297"/>
    <s v="Beneficio"/>
  </r>
  <r>
    <d v="2023-09-09T00:00:00"/>
    <s v="Construcciones García SL"/>
    <x v="4"/>
    <s v="Pladur 13mm"/>
    <s v="PLADUR"/>
    <n v="603"/>
    <n v="5.22"/>
    <n v="3147.66"/>
    <s v="BARCELONA"/>
    <x v="2"/>
    <s v="ONLINE"/>
    <n v="2037.19"/>
    <n v="35.299999999999997"/>
    <x v="1"/>
    <n v="3"/>
    <s v="September"/>
    <x v="298"/>
    <x v="0"/>
    <x v="298"/>
    <s v="Beneficio"/>
  </r>
  <r>
    <d v="2023-04-11T00:00:00"/>
    <s v="Construcciones Costa SL"/>
    <x v="3"/>
    <s v="Mortero Monocapa Beige"/>
    <s v="MORTERO"/>
    <n v="756"/>
    <n v="5.85"/>
    <n v="4422.6000000000004"/>
    <s v="MURCIA"/>
    <x v="5"/>
    <s v="DIRECTO"/>
    <n v="3318.82"/>
    <n v="25"/>
    <x v="1"/>
    <n v="2"/>
    <s v="April"/>
    <x v="299"/>
    <x v="1"/>
    <x v="299"/>
    <s v="Beneficio"/>
  </r>
  <r>
    <d v="2023-07-07T00:00:00"/>
    <s v="Construcciones López SL"/>
    <x v="5"/>
    <s v="Pladur Aislante 15mm"/>
    <s v="PLADUR"/>
    <n v="402"/>
    <n v="7.43"/>
    <n v="2986.86"/>
    <s v="MÁLAGA"/>
    <x v="5"/>
    <s v="ONLINE"/>
    <n v="1889.58"/>
    <n v="36.700000000000003"/>
    <x v="1"/>
    <n v="3"/>
    <s v="July"/>
    <x v="300"/>
    <x v="0"/>
    <x v="300"/>
    <s v="Beneficio"/>
  </r>
  <r>
    <d v="2024-03-26T00:00:00"/>
    <s v="Construcciones García SL"/>
    <x v="4"/>
    <s v="Mortero Monocapa Beige"/>
    <s v="MORTERO"/>
    <n v="742"/>
    <n v="8.36"/>
    <n v="6203.12"/>
    <s v="MADRID"/>
    <x v="5"/>
    <s v="DISTRIBUIDOR"/>
    <n v="5105.8500000000004"/>
    <n v="17.7"/>
    <x v="0"/>
    <n v="1"/>
    <s v="March"/>
    <x v="301"/>
    <x v="1"/>
    <x v="301"/>
    <s v="Beneficio"/>
  </r>
  <r>
    <d v="2024-03-02T00:00:00"/>
    <s v="Construcciones Torres SL"/>
    <x v="2"/>
    <s v="Mortero Acrílico Blanco"/>
    <s v="MORTERO"/>
    <n v="616"/>
    <n v="5.52"/>
    <n v="3400.32"/>
    <s v="MURCIA"/>
    <x v="1"/>
    <s v="DISTRIBUIDOR"/>
    <n v="2304.5100000000002"/>
    <n v="32.200000000000003"/>
    <x v="0"/>
    <n v="1"/>
    <s v="March"/>
    <x v="302"/>
    <x v="0"/>
    <x v="302"/>
    <s v="Beneficio"/>
  </r>
  <r>
    <d v="2025-02-25T00:00:00"/>
    <s v="Construcciones López SL"/>
    <x v="5"/>
    <s v="Pladur Aislante 15mm"/>
    <s v="PLADUR"/>
    <n v="754"/>
    <n v="4.24"/>
    <n v="3196.96"/>
    <s v="MURCIA"/>
    <x v="4"/>
    <s v="ONLINE"/>
    <n v="2106.9299999999998"/>
    <n v="34.1"/>
    <x v="2"/>
    <n v="1"/>
    <s v="February"/>
    <x v="303"/>
    <x v="0"/>
    <x v="303"/>
    <s v="Beneficio"/>
  </r>
  <r>
    <d v="2023-03-28T00:00:00"/>
    <s v="Construcciones Hernández SL"/>
    <x v="0"/>
    <s v="Mortero Cementoso Gris"/>
    <s v="MORTERO"/>
    <n v="731"/>
    <n v="11.05"/>
    <n v="8077.55"/>
    <s v="MÁLAGA"/>
    <x v="2"/>
    <s v="ONLINE"/>
    <n v="6987.53"/>
    <n v="13.5"/>
    <x v="1"/>
    <n v="1"/>
    <s v="March"/>
    <x v="304"/>
    <x v="1"/>
    <x v="304"/>
    <s v="Beneficio"/>
  </r>
  <r>
    <d v="2023-06-17T00:00:00"/>
    <s v="Construcciones Torres SL"/>
    <x v="2"/>
    <s v="Placa Pladur Ignífuga"/>
    <s v="PLADUR"/>
    <n v="406"/>
    <n v="11.72"/>
    <n v="4758.32"/>
    <s v="ZARAGOZA"/>
    <x v="3"/>
    <s v="DIRECTO"/>
    <n v="3674.17"/>
    <n v="22.8"/>
    <x v="1"/>
    <n v="2"/>
    <s v="June"/>
    <x v="305"/>
    <x v="1"/>
    <x v="305"/>
    <s v="Beneficio"/>
  </r>
  <r>
    <d v="2023-06-23T00:00:00"/>
    <s v="Construcciones López SL"/>
    <x v="5"/>
    <s v="Mortero Cementoso Gris"/>
    <s v="MORTERO"/>
    <n v="585"/>
    <n v="7.41"/>
    <n v="4334.8500000000004"/>
    <s v="BARCELONA"/>
    <x v="1"/>
    <s v="DIRECTO"/>
    <n v="3254.21"/>
    <n v="24.9"/>
    <x v="1"/>
    <n v="2"/>
    <s v="June"/>
    <x v="306"/>
    <x v="1"/>
    <x v="306"/>
    <s v="Beneficio"/>
  </r>
  <r>
    <d v="2023-10-12T00:00:00"/>
    <s v="Construcciones Jiménez SL"/>
    <x v="1"/>
    <s v="Mortero Cementoso Gris"/>
    <s v="MORTERO"/>
    <n v="661"/>
    <n v="10.19"/>
    <n v="6735.59"/>
    <s v="MADRID"/>
    <x v="1"/>
    <s v="DISTRIBUIDOR"/>
    <n v="5659.92"/>
    <n v="16"/>
    <x v="1"/>
    <n v="4"/>
    <s v="October"/>
    <x v="307"/>
    <x v="1"/>
    <x v="307"/>
    <s v="Beneficio"/>
  </r>
  <r>
    <d v="2023-09-13T00:00:00"/>
    <s v="Construcciones Jiménez SL"/>
    <x v="1"/>
    <s v="Perlita Natural Grano Fino"/>
    <s v="PERLITA"/>
    <n v="891"/>
    <n v="9.77"/>
    <n v="8705.07"/>
    <s v="SEVILLA"/>
    <x v="4"/>
    <s v="DISTRIBUIDOR"/>
    <n v="7633.56"/>
    <n v="12.3"/>
    <x v="1"/>
    <n v="3"/>
    <s v="September"/>
    <x v="308"/>
    <x v="1"/>
    <x v="308"/>
    <s v="Beneficio"/>
  </r>
  <r>
    <d v="2023-04-21T00:00:00"/>
    <s v="Construcciones Torres SL"/>
    <x v="2"/>
    <s v="Perlita Natural Grano Fino"/>
    <s v="PERLITA"/>
    <n v="477"/>
    <n v="5.77"/>
    <n v="2752.29"/>
    <s v="BILBAO"/>
    <x v="2"/>
    <s v="DIRECTO"/>
    <n v="1680.8"/>
    <n v="38.9"/>
    <x v="1"/>
    <n v="2"/>
    <s v="April"/>
    <x v="309"/>
    <x v="0"/>
    <x v="309"/>
    <s v="Beneficio"/>
  </r>
  <r>
    <d v="2023-03-19T00:00:00"/>
    <s v="Construcciones Torres SL"/>
    <x v="2"/>
    <s v="Mortero Monocapa Beige"/>
    <s v="MORTERO"/>
    <n v="448"/>
    <n v="6.81"/>
    <n v="3050.88"/>
    <s v="MURCIA"/>
    <x v="5"/>
    <s v="ONLINE"/>
    <n v="1982.63"/>
    <n v="35"/>
    <x v="1"/>
    <n v="1"/>
    <s v="March"/>
    <x v="310"/>
    <x v="0"/>
    <x v="310"/>
    <s v="Beneficio"/>
  </r>
  <r>
    <d v="2024-07-31T00:00:00"/>
    <s v="Construcciones Hernández SL"/>
    <x v="0"/>
    <s v="Mortero Monocapa Beige"/>
    <s v="MORTERO"/>
    <n v="833"/>
    <n v="5.44"/>
    <n v="4531.5200000000004"/>
    <s v="MURCIA"/>
    <x v="5"/>
    <s v="DIRECTO"/>
    <n v="3464.01"/>
    <n v="23.6"/>
    <x v="0"/>
    <n v="3"/>
    <s v="July"/>
    <x v="311"/>
    <x v="1"/>
    <x v="311"/>
    <s v="Beneficio"/>
  </r>
  <r>
    <d v="2023-04-10T00:00:00"/>
    <s v="Construcciones Torres SL"/>
    <x v="2"/>
    <s v="Pladur 13mm"/>
    <s v="PLADUR"/>
    <n v="588"/>
    <n v="10.24"/>
    <n v="6021.12"/>
    <s v="VALENCIA"/>
    <x v="2"/>
    <s v="DISTRIBUIDOR"/>
    <n v="4956.1499999999996"/>
    <n v="17.7"/>
    <x v="1"/>
    <n v="2"/>
    <s v="April"/>
    <x v="312"/>
    <x v="1"/>
    <x v="312"/>
    <s v="Beneficio"/>
  </r>
  <r>
    <d v="2023-02-03T00:00:00"/>
    <s v="Construcciones García SL"/>
    <x v="4"/>
    <s v="Pladur 13mm"/>
    <s v="PLADUR"/>
    <n v="848"/>
    <n v="11.73"/>
    <n v="9947.0400000000009"/>
    <s v="SEVILLA"/>
    <x v="2"/>
    <s v="DIRECTO"/>
    <n v="8883.86"/>
    <n v="10.7"/>
    <x v="1"/>
    <n v="1"/>
    <s v="February"/>
    <x v="313"/>
    <x v="1"/>
    <x v="313"/>
    <s v="Beneficio"/>
  </r>
  <r>
    <d v="2023-02-28T00:00:00"/>
    <s v="Construcciones García SL"/>
    <x v="4"/>
    <s v="Mortero Acrílico Blanco"/>
    <s v="MORTERO"/>
    <n v="465"/>
    <n v="9.57"/>
    <n v="4450.05"/>
    <s v="SEVILLA"/>
    <x v="5"/>
    <s v="DIRECTO"/>
    <n v="3387.72"/>
    <n v="23.9"/>
    <x v="1"/>
    <n v="1"/>
    <s v="February"/>
    <x v="314"/>
    <x v="1"/>
    <x v="314"/>
    <s v="Beneficio"/>
  </r>
  <r>
    <d v="2024-01-01T00:00:00"/>
    <s v="Construcciones Hernández SL"/>
    <x v="0"/>
    <s v="Mortero Cementoso Gris"/>
    <s v="MORTERO"/>
    <n v="653"/>
    <n v="7.08"/>
    <n v="4623.24"/>
    <s v="MÁLAGA"/>
    <x v="1"/>
    <s v="ONLINE"/>
    <n v="3561.79"/>
    <n v="23"/>
    <x v="0"/>
    <n v="1"/>
    <s v="January"/>
    <x v="315"/>
    <x v="1"/>
    <x v="315"/>
    <s v="Beneficio"/>
  </r>
  <r>
    <d v="2023-06-13T00:00:00"/>
    <s v="Construcciones Costa SL"/>
    <x v="3"/>
    <s v="Pladur Aislante 15mm"/>
    <s v="PLADUR"/>
    <n v="528"/>
    <n v="9.66"/>
    <n v="5100.4799999999996"/>
    <s v="SEVILLA"/>
    <x v="5"/>
    <s v="ONLINE"/>
    <n v="4039.08"/>
    <n v="20.8"/>
    <x v="1"/>
    <n v="2"/>
    <s v="June"/>
    <x v="316"/>
    <x v="1"/>
    <x v="316"/>
    <s v="Beneficio"/>
  </r>
  <r>
    <d v="2023-05-10T00:00:00"/>
    <s v="Construcciones Hernández SL"/>
    <x v="0"/>
    <s v="Pladur Aislante 15mm"/>
    <s v="PLADUR"/>
    <n v="733"/>
    <n v="4.01"/>
    <n v="2939.33"/>
    <s v="BARCELONA"/>
    <x v="3"/>
    <s v="DIRECTO"/>
    <n v="1878.74"/>
    <n v="36.1"/>
    <x v="1"/>
    <n v="2"/>
    <s v="May"/>
    <x v="317"/>
    <x v="0"/>
    <x v="317"/>
    <s v="Beneficio"/>
  </r>
  <r>
    <d v="2023-07-20T00:00:00"/>
    <s v="Construcciones López SL"/>
    <x v="5"/>
    <s v="Mortero Monocapa Beige"/>
    <s v="MORTERO"/>
    <n v="423"/>
    <n v="7.59"/>
    <n v="3210.57"/>
    <s v="BARCELONA"/>
    <x v="4"/>
    <s v="ONLINE"/>
    <n v="2155.37"/>
    <n v="32.9"/>
    <x v="1"/>
    <n v="3"/>
    <s v="July"/>
    <x v="318"/>
    <x v="0"/>
    <x v="318"/>
    <s v="Beneficio"/>
  </r>
  <r>
    <d v="2024-07-14T00:00:00"/>
    <s v="Construcciones Hernández SL"/>
    <x v="0"/>
    <s v="Pladur 13mm"/>
    <s v="PLADUR"/>
    <n v="383"/>
    <n v="10.68"/>
    <n v="4090.44"/>
    <s v="BARCELONA"/>
    <x v="3"/>
    <s v="DIRECTO"/>
    <n v="3035.26"/>
    <n v="25.8"/>
    <x v="0"/>
    <n v="3"/>
    <s v="July"/>
    <x v="319"/>
    <x v="0"/>
    <x v="319"/>
    <s v="Beneficio"/>
  </r>
  <r>
    <d v="2023-10-06T00:00:00"/>
    <s v="Construcciones López SL"/>
    <x v="5"/>
    <s v="Perlita Natural Grano Fino"/>
    <s v="PERLITA"/>
    <n v="374"/>
    <n v="7.64"/>
    <n v="2857.36"/>
    <s v="SEVILLA"/>
    <x v="4"/>
    <s v="DISTRIBUIDOR"/>
    <n v="1803.74"/>
    <n v="36.9"/>
    <x v="1"/>
    <n v="4"/>
    <s v="October"/>
    <x v="320"/>
    <x v="0"/>
    <x v="320"/>
    <s v="Beneficio"/>
  </r>
  <r>
    <d v="2023-03-24T00:00:00"/>
    <s v="Construcciones Hernández SL"/>
    <x v="0"/>
    <s v="Mortero Cementoso Gris"/>
    <s v="MORTERO"/>
    <n v="980"/>
    <n v="3.42"/>
    <n v="3351.6"/>
    <s v="BARCELONA"/>
    <x v="0"/>
    <s v="DIRECTO"/>
    <n v="2301.19"/>
    <n v="31.3"/>
    <x v="1"/>
    <n v="1"/>
    <s v="March"/>
    <x v="321"/>
    <x v="0"/>
    <x v="321"/>
    <s v="Beneficio"/>
  </r>
  <r>
    <d v="2023-08-24T00:00:00"/>
    <s v="Construcciones Costa SL"/>
    <x v="3"/>
    <s v="Mortero Acrílico Blanco"/>
    <s v="MORTERO"/>
    <n v="956"/>
    <n v="5.43"/>
    <n v="5191.08"/>
    <s v="VALENCIA"/>
    <x v="3"/>
    <s v="DIRECTO"/>
    <n v="4143.6400000000003"/>
    <n v="20.2"/>
    <x v="1"/>
    <n v="3"/>
    <s v="August"/>
    <x v="322"/>
    <x v="1"/>
    <x v="322"/>
    <s v="Beneficio"/>
  </r>
  <r>
    <d v="2023-08-09T00:00:00"/>
    <s v="Construcciones Jiménez SL"/>
    <x v="1"/>
    <s v="Mortero Acrílico Blanco"/>
    <s v="MORTERO"/>
    <n v="946"/>
    <n v="7.23"/>
    <n v="6839.58"/>
    <s v="BARCELONA"/>
    <x v="0"/>
    <s v="DIRECTO"/>
    <n v="5792.84"/>
    <n v="15.3"/>
    <x v="1"/>
    <n v="3"/>
    <s v="August"/>
    <x v="323"/>
    <x v="1"/>
    <x v="323"/>
    <s v="Beneficio"/>
  </r>
  <r>
    <d v="2023-05-21T00:00:00"/>
    <s v="Construcciones García SL"/>
    <x v="4"/>
    <s v="Placa Pladur Ignífuga"/>
    <s v="PLADUR"/>
    <n v="886"/>
    <n v="4.33"/>
    <n v="3836.38"/>
    <s v="MURCIA"/>
    <x v="2"/>
    <s v="DIRECTO"/>
    <n v="2789.85"/>
    <n v="27.3"/>
    <x v="1"/>
    <n v="2"/>
    <s v="May"/>
    <x v="324"/>
    <x v="0"/>
    <x v="324"/>
    <s v="Beneficio"/>
  </r>
  <r>
    <d v="2023-06-16T00:00:00"/>
    <s v="Construcciones Jiménez SL"/>
    <x v="1"/>
    <s v="Mortero Cementoso Gris"/>
    <s v="MORTERO"/>
    <n v="739"/>
    <n v="4.8099999999999996"/>
    <n v="3554.59"/>
    <s v="SEVILLA"/>
    <x v="5"/>
    <s v="ONLINE"/>
    <n v="2510.17"/>
    <n v="29.4"/>
    <x v="1"/>
    <n v="2"/>
    <s v="June"/>
    <x v="325"/>
    <x v="0"/>
    <x v="325"/>
    <s v="Beneficio"/>
  </r>
  <r>
    <d v="2023-03-03T00:00:00"/>
    <s v="Construcciones Costa SL"/>
    <x v="3"/>
    <s v="Pladur Aislante 15mm"/>
    <s v="PLADUR"/>
    <n v="470"/>
    <n v="8.5500000000000007"/>
    <n v="4018.5"/>
    <s v="BILBAO"/>
    <x v="2"/>
    <s v="DIRECTO"/>
    <n v="2975.53"/>
    <n v="26"/>
    <x v="1"/>
    <n v="1"/>
    <s v="March"/>
    <x v="326"/>
    <x v="0"/>
    <x v="326"/>
    <s v="Beneficio"/>
  </r>
  <r>
    <d v="2023-11-23T00:00:00"/>
    <s v="Construcciones Hernández SL"/>
    <x v="0"/>
    <s v="Mortero Cementoso Gris"/>
    <s v="MORTERO"/>
    <n v="446"/>
    <n v="5.84"/>
    <n v="2604.64"/>
    <s v="MURCIA"/>
    <x v="0"/>
    <s v="ONLINE"/>
    <n v="1564.3"/>
    <n v="39.9"/>
    <x v="1"/>
    <n v="4"/>
    <s v="November"/>
    <x v="327"/>
    <x v="0"/>
    <x v="327"/>
    <s v="Beneficio"/>
  </r>
  <r>
    <d v="2023-10-04T00:00:00"/>
    <s v="Construcciones Jiménez SL"/>
    <x v="1"/>
    <s v="Pladur 13mm"/>
    <s v="PLADUR"/>
    <n v="849"/>
    <n v="7.8"/>
    <n v="6622.2"/>
    <s v="MADRID"/>
    <x v="5"/>
    <s v="DISTRIBUIDOR"/>
    <n v="5584.73"/>
    <n v="15.7"/>
    <x v="1"/>
    <n v="4"/>
    <s v="October"/>
    <x v="328"/>
    <x v="1"/>
    <x v="328"/>
    <s v="Beneficio"/>
  </r>
  <r>
    <d v="2023-10-26T00:00:00"/>
    <s v="Construcciones López SL"/>
    <x v="5"/>
    <s v="Pladur Aislante 15mm"/>
    <s v="PLADUR"/>
    <n v="707"/>
    <n v="7.28"/>
    <n v="5146.96"/>
    <s v="MÁLAGA"/>
    <x v="0"/>
    <s v="DIRECTO"/>
    <n v="4110.75"/>
    <n v="20.100000000000001"/>
    <x v="1"/>
    <n v="4"/>
    <s v="October"/>
    <x v="329"/>
    <x v="1"/>
    <x v="329"/>
    <s v="Beneficio"/>
  </r>
  <r>
    <d v="2023-03-01T00:00:00"/>
    <s v="Construcciones López SL"/>
    <x v="5"/>
    <s v="Mortero Monocapa Beige"/>
    <s v="MORTERO"/>
    <n v="801"/>
    <n v="4.1100000000000003"/>
    <n v="3292.11"/>
    <s v="MÁLAGA"/>
    <x v="3"/>
    <s v="ONLINE"/>
    <n v="2257.8000000000002"/>
    <n v="31.4"/>
    <x v="1"/>
    <n v="1"/>
    <s v="March"/>
    <x v="330"/>
    <x v="0"/>
    <x v="330"/>
    <s v="Beneficio"/>
  </r>
  <r>
    <d v="2023-03-02T00:00:00"/>
    <s v="Construcciones García SL"/>
    <x v="4"/>
    <s v="Pladur 13mm"/>
    <s v="PLADUR"/>
    <n v="759"/>
    <n v="6.39"/>
    <n v="4850.01"/>
    <s v="SEVILLA"/>
    <x v="3"/>
    <s v="DIRECTO"/>
    <n v="3818.31"/>
    <n v="21.3"/>
    <x v="1"/>
    <n v="1"/>
    <s v="March"/>
    <x v="331"/>
    <x v="1"/>
    <x v="331"/>
    <s v="Beneficio"/>
  </r>
  <r>
    <d v="2023-09-10T00:00:00"/>
    <s v="Construcciones García SL"/>
    <x v="4"/>
    <s v="Pladur Aislante 15mm"/>
    <s v="PLADUR"/>
    <n v="696"/>
    <n v="7.79"/>
    <n v="5421.84"/>
    <s v="BILBAO"/>
    <x v="5"/>
    <s v="ONLINE"/>
    <n v="4393.6099999999997"/>
    <n v="19"/>
    <x v="1"/>
    <n v="3"/>
    <s v="September"/>
    <x v="332"/>
    <x v="1"/>
    <x v="332"/>
    <s v="Beneficio"/>
  </r>
  <r>
    <d v="2023-08-23T00:00:00"/>
    <s v="Construcciones López SL"/>
    <x v="5"/>
    <s v="Pladur Aislante 15mm"/>
    <s v="PLADUR"/>
    <n v="747"/>
    <n v="5.0199999999999996"/>
    <n v="3749.94"/>
    <s v="MADRID"/>
    <x v="5"/>
    <s v="ONLINE"/>
    <n v="2721.8"/>
    <n v="27.4"/>
    <x v="1"/>
    <n v="3"/>
    <s v="August"/>
    <x v="333"/>
    <x v="0"/>
    <x v="333"/>
    <s v="Beneficio"/>
  </r>
  <r>
    <d v="2023-11-30T00:00:00"/>
    <s v="Construcciones Jiménez SL"/>
    <x v="1"/>
    <s v="Perlita Expandida 40L"/>
    <s v="PERLITA"/>
    <n v="313"/>
    <n v="8.33"/>
    <n v="2607.29"/>
    <s v="BARCELONA"/>
    <x v="0"/>
    <s v="ONLINE"/>
    <n v="1579.36"/>
    <n v="39.4"/>
    <x v="1"/>
    <n v="4"/>
    <s v="November"/>
    <x v="334"/>
    <x v="0"/>
    <x v="334"/>
    <s v="Beneficio"/>
  </r>
  <r>
    <d v="2023-03-31T00:00:00"/>
    <s v="Construcciones López SL"/>
    <x v="5"/>
    <s v="Placa Pladur Ignífuga"/>
    <s v="PLADUR"/>
    <n v="834"/>
    <n v="3.99"/>
    <n v="3327.66"/>
    <s v="MADRID"/>
    <x v="2"/>
    <s v="DIRECTO"/>
    <n v="2308.02"/>
    <n v="30.6"/>
    <x v="1"/>
    <n v="1"/>
    <s v="March"/>
    <x v="335"/>
    <x v="0"/>
    <x v="335"/>
    <s v="Beneficio"/>
  </r>
  <r>
    <d v="2023-07-10T00:00:00"/>
    <s v="Construcciones Costa SL"/>
    <x v="3"/>
    <s v="Pladur 13mm"/>
    <s v="PLADUR"/>
    <n v="628"/>
    <n v="11.58"/>
    <n v="7272.24"/>
    <s v="MÁLAGA"/>
    <x v="5"/>
    <s v="DIRECTO"/>
    <n v="6254.21"/>
    <n v="14"/>
    <x v="1"/>
    <n v="3"/>
    <s v="July"/>
    <x v="336"/>
    <x v="1"/>
    <x v="336"/>
    <s v="Beneficio"/>
  </r>
  <r>
    <d v="2023-04-11T00:00:00"/>
    <s v="Construcciones García SL"/>
    <x v="4"/>
    <s v="Mortero Acrílico Blanco"/>
    <s v="MORTERO"/>
    <n v="975"/>
    <n v="3.81"/>
    <n v="3714.75"/>
    <s v="VALENCIA"/>
    <x v="4"/>
    <s v="DISTRIBUIDOR"/>
    <n v="2701.66"/>
    <n v="27.3"/>
    <x v="1"/>
    <n v="2"/>
    <s v="April"/>
    <x v="337"/>
    <x v="0"/>
    <x v="337"/>
    <s v="Beneficio"/>
  </r>
  <r>
    <d v="2023-05-05T00:00:00"/>
    <s v="Construcciones Jiménez SL"/>
    <x v="1"/>
    <s v="Mortero Acrílico Blanco"/>
    <s v="MORTERO"/>
    <n v="421"/>
    <n v="7.21"/>
    <n v="3035.41"/>
    <s v="MADRID"/>
    <x v="5"/>
    <s v="ONLINE"/>
    <n v="2028.45"/>
    <n v="33.200000000000003"/>
    <x v="1"/>
    <n v="2"/>
    <s v="May"/>
    <x v="338"/>
    <x v="0"/>
    <x v="338"/>
    <s v="Beneficio"/>
  </r>
  <r>
    <d v="2023-05-12T00:00:00"/>
    <s v="Construcciones García SL"/>
    <x v="4"/>
    <s v="Mortero Monocapa Beige"/>
    <s v="MORTERO"/>
    <n v="558"/>
    <n v="9.4700000000000006"/>
    <n v="5284.26"/>
    <s v="MURCIA"/>
    <x v="3"/>
    <s v="DISTRIBUIDOR"/>
    <n v="4278"/>
    <n v="19"/>
    <x v="1"/>
    <n v="2"/>
    <s v="May"/>
    <x v="339"/>
    <x v="1"/>
    <x v="339"/>
    <s v="Beneficio"/>
  </r>
  <r>
    <d v="2023-05-27T00:00:00"/>
    <s v="Construcciones Hernández SL"/>
    <x v="0"/>
    <s v="Pladur 13mm"/>
    <s v="PLADUR"/>
    <n v="571"/>
    <n v="6.5"/>
    <n v="3711.5"/>
    <s v="ZARAGOZA"/>
    <x v="5"/>
    <s v="ONLINE"/>
    <n v="2706.17"/>
    <n v="27.1"/>
    <x v="1"/>
    <n v="2"/>
    <s v="May"/>
    <x v="340"/>
    <x v="0"/>
    <x v="340"/>
    <s v="Beneficio"/>
  </r>
  <r>
    <d v="2024-06-04T00:00:00"/>
    <s v="Construcciones Jiménez SL"/>
    <x v="1"/>
    <s v="Pladur 13mm"/>
    <s v="PLADUR"/>
    <n v="949"/>
    <n v="6.58"/>
    <n v="6244.42"/>
    <s v="VALENCIA"/>
    <x v="4"/>
    <s v="ONLINE"/>
    <n v="5241.4399999999996"/>
    <n v="16.100000000000001"/>
    <x v="0"/>
    <n v="2"/>
    <s v="June"/>
    <x v="341"/>
    <x v="1"/>
    <x v="341"/>
    <s v="Beneficio"/>
  </r>
  <r>
    <d v="2024-06-12T00:00:00"/>
    <s v="Construcciones Costa SL"/>
    <x v="3"/>
    <s v="Perlita Natural Grano Fino"/>
    <s v="PERLITA"/>
    <n v="382"/>
    <n v="9.89"/>
    <n v="3777.98"/>
    <s v="MÁLAGA"/>
    <x v="0"/>
    <s v="ONLINE"/>
    <n v="2777.31"/>
    <n v="26.5"/>
    <x v="0"/>
    <n v="2"/>
    <s v="June"/>
    <x v="342"/>
    <x v="0"/>
    <x v="342"/>
    <s v="Beneficio"/>
  </r>
  <r>
    <d v="2023-12-29T00:00:00"/>
    <s v="Construcciones García SL"/>
    <x v="4"/>
    <s v="Mortero Acrílico Blanco"/>
    <s v="MORTERO"/>
    <n v="753"/>
    <n v="4.3499999999999996"/>
    <n v="3275.55"/>
    <s v="MURCIA"/>
    <x v="2"/>
    <s v="DISTRIBUIDOR"/>
    <n v="2277.5700000000002"/>
    <n v="30.5"/>
    <x v="1"/>
    <n v="4"/>
    <s v="December"/>
    <x v="343"/>
    <x v="0"/>
    <x v="343"/>
    <s v="Beneficio"/>
  </r>
  <r>
    <d v="2023-02-03T00:00:00"/>
    <s v="Construcciones Torres SL"/>
    <x v="2"/>
    <s v="Mortero Monocapa Beige"/>
    <s v="MORTERO"/>
    <n v="504"/>
    <n v="5.46"/>
    <n v="2751.84"/>
    <s v="BILBAO"/>
    <x v="2"/>
    <s v="ONLINE"/>
    <n v="1755.51"/>
    <n v="36.200000000000003"/>
    <x v="1"/>
    <n v="1"/>
    <s v="February"/>
    <x v="344"/>
    <x v="0"/>
    <x v="344"/>
    <s v="Beneficio"/>
  </r>
  <r>
    <d v="2024-02-23T00:00:00"/>
    <s v="Construcciones López SL"/>
    <x v="5"/>
    <s v="Pladur Aislante 15mm"/>
    <s v="PLADUR"/>
    <n v="970"/>
    <n v="9.4499999999999993"/>
    <n v="9166.5"/>
    <s v="BARCELONA"/>
    <x v="0"/>
    <s v="DIRECTO"/>
    <n v="8172.3"/>
    <n v="10.8"/>
    <x v="0"/>
    <n v="1"/>
    <s v="February"/>
    <x v="345"/>
    <x v="1"/>
    <x v="345"/>
    <s v="Beneficio"/>
  </r>
  <r>
    <d v="2023-01-06T00:00:00"/>
    <s v="Construcciones Costa SL"/>
    <x v="3"/>
    <s v="Perlita Natural Grano Fino"/>
    <s v="PERLITA"/>
    <n v="596"/>
    <n v="6.25"/>
    <n v="3725"/>
    <s v="BARCELONA"/>
    <x v="2"/>
    <s v="DISTRIBUIDOR"/>
    <n v="2734.89"/>
    <n v="26.6"/>
    <x v="1"/>
    <n v="1"/>
    <s v="January"/>
    <x v="346"/>
    <x v="0"/>
    <x v="346"/>
    <s v="Beneficio"/>
  </r>
  <r>
    <d v="2023-06-06T00:00:00"/>
    <s v="Construcciones Torres SL"/>
    <x v="2"/>
    <s v="Mortero Cementoso Gris"/>
    <s v="MORTERO"/>
    <n v="328"/>
    <n v="8.74"/>
    <n v="2866.72"/>
    <s v="MÁLAGA"/>
    <x v="1"/>
    <s v="DIRECTO"/>
    <n v="1878.03"/>
    <n v="34.5"/>
    <x v="1"/>
    <n v="2"/>
    <s v="June"/>
    <x v="347"/>
    <x v="0"/>
    <x v="347"/>
    <s v="Beneficio"/>
  </r>
  <r>
    <d v="2023-06-30T00:00:00"/>
    <s v="Construcciones Costa SL"/>
    <x v="3"/>
    <s v="Pladur 13mm"/>
    <s v="PLADUR"/>
    <n v="469"/>
    <n v="10.28"/>
    <n v="4821.32"/>
    <s v="ZARAGOZA"/>
    <x v="1"/>
    <s v="DISTRIBUIDOR"/>
    <n v="3832.87"/>
    <n v="20.5"/>
    <x v="1"/>
    <n v="2"/>
    <s v="June"/>
    <x v="348"/>
    <x v="1"/>
    <x v="348"/>
    <s v="Beneficio"/>
  </r>
  <r>
    <d v="2023-04-19T00:00:00"/>
    <s v="Construcciones López SL"/>
    <x v="5"/>
    <s v="Perlita Natural Grano Fino"/>
    <s v="PERLITA"/>
    <n v="463"/>
    <n v="5.65"/>
    <n v="2615.9499999999998"/>
    <s v="MADRID"/>
    <x v="4"/>
    <s v="DIRECTO"/>
    <n v="1628.08"/>
    <n v="37.799999999999997"/>
    <x v="1"/>
    <n v="2"/>
    <s v="April"/>
    <x v="349"/>
    <x v="0"/>
    <x v="349"/>
    <s v="Beneficio"/>
  </r>
  <r>
    <d v="2023-03-18T00:00:00"/>
    <s v="Construcciones Hernández SL"/>
    <x v="0"/>
    <s v="Pladur 13mm"/>
    <s v="PLADUR"/>
    <n v="426"/>
    <n v="5.98"/>
    <n v="2547.48"/>
    <s v="MÁLAGA"/>
    <x v="4"/>
    <s v="DIRECTO"/>
    <n v="1562.69"/>
    <n v="38.700000000000003"/>
    <x v="1"/>
    <n v="1"/>
    <s v="March"/>
    <x v="350"/>
    <x v="0"/>
    <x v="350"/>
    <s v="Beneficio"/>
  </r>
  <r>
    <d v="2023-08-04T00:00:00"/>
    <s v="Construcciones Costa SL"/>
    <x v="3"/>
    <s v="Mortero Cementoso Gris"/>
    <s v="MORTERO"/>
    <n v="491"/>
    <n v="6.19"/>
    <n v="3039.29"/>
    <s v="MURCIA"/>
    <x v="3"/>
    <s v="DIRECTO"/>
    <n v="2055.62"/>
    <n v="32.4"/>
    <x v="1"/>
    <n v="3"/>
    <s v="August"/>
    <x v="351"/>
    <x v="0"/>
    <x v="351"/>
    <s v="Beneficio"/>
  </r>
  <r>
    <d v="2023-10-29T00:00:00"/>
    <s v="Construcciones Jiménez SL"/>
    <x v="1"/>
    <s v="Perlita Natural Grano Fino"/>
    <s v="PERLITA"/>
    <n v="511"/>
    <n v="11.38"/>
    <n v="5815.18"/>
    <s v="SEVILLA"/>
    <x v="1"/>
    <s v="DISTRIBUIDOR"/>
    <n v="4831.82"/>
    <n v="16.899999999999999"/>
    <x v="1"/>
    <n v="4"/>
    <s v="October"/>
    <x v="352"/>
    <x v="1"/>
    <x v="352"/>
    <s v="Beneficio"/>
  </r>
  <r>
    <d v="2024-01-07T00:00:00"/>
    <s v="Construcciones López SL"/>
    <x v="5"/>
    <s v="Pladur 13mm"/>
    <s v="PLADUR"/>
    <n v="348"/>
    <n v="9.26"/>
    <n v="3222.48"/>
    <s v="ZARAGOZA"/>
    <x v="0"/>
    <s v="DISTRIBUIDOR"/>
    <n v="2244.12"/>
    <n v="30.4"/>
    <x v="0"/>
    <n v="1"/>
    <s v="January"/>
    <x v="353"/>
    <x v="0"/>
    <x v="353"/>
    <s v="Beneficio"/>
  </r>
  <r>
    <d v="2023-08-08T00:00:00"/>
    <s v="Construcciones Torres SL"/>
    <x v="2"/>
    <s v="Pladur Aislante 15mm"/>
    <s v="PLADUR"/>
    <n v="660"/>
    <n v="5.28"/>
    <n v="3484.8"/>
    <s v="MÁLAGA"/>
    <x v="3"/>
    <s v="ONLINE"/>
    <n v="2507.59"/>
    <n v="28"/>
    <x v="1"/>
    <n v="3"/>
    <s v="August"/>
    <x v="354"/>
    <x v="0"/>
    <x v="354"/>
    <s v="Beneficio"/>
  </r>
  <r>
    <d v="2023-05-09T00:00:00"/>
    <s v="Construcciones Hernández SL"/>
    <x v="0"/>
    <s v="Perlita Expandida 40L"/>
    <s v="PERLITA"/>
    <n v="372"/>
    <n v="10.29"/>
    <n v="3827.88"/>
    <s v="MÁLAGA"/>
    <x v="2"/>
    <s v="DIRECTO"/>
    <n v="2851.42"/>
    <n v="25.5"/>
    <x v="1"/>
    <n v="2"/>
    <s v="May"/>
    <x v="355"/>
    <x v="0"/>
    <x v="355"/>
    <s v="Beneficio"/>
  </r>
  <r>
    <d v="2023-05-18T00:00:00"/>
    <s v="Construcciones Jiménez SL"/>
    <x v="1"/>
    <s v="Pladur Aislante 15mm"/>
    <s v="PLADUR"/>
    <n v="600"/>
    <n v="10.11"/>
    <n v="6066"/>
    <s v="SEVILLA"/>
    <x v="3"/>
    <s v="ONLINE"/>
    <n v="5092.08"/>
    <n v="16.100000000000001"/>
    <x v="1"/>
    <n v="2"/>
    <s v="May"/>
    <x v="356"/>
    <x v="1"/>
    <x v="356"/>
    <s v="Beneficio"/>
  </r>
  <r>
    <d v="2023-01-16T00:00:00"/>
    <s v="Construcciones Costa SL"/>
    <x v="3"/>
    <s v="Pladur Aislante 15mm"/>
    <s v="PLADUR"/>
    <n v="700"/>
    <n v="7.18"/>
    <n v="5026"/>
    <s v="MURCIA"/>
    <x v="2"/>
    <s v="DIRECTO"/>
    <n v="4053.1"/>
    <n v="19.399999999999999"/>
    <x v="1"/>
    <n v="1"/>
    <s v="January"/>
    <x v="357"/>
    <x v="1"/>
    <x v="357"/>
    <s v="Beneficio"/>
  </r>
  <r>
    <d v="2023-04-23T00:00:00"/>
    <s v="Construcciones Torres SL"/>
    <x v="2"/>
    <s v="Perlita Expandida 40L"/>
    <s v="PERLITA"/>
    <n v="571"/>
    <n v="4.95"/>
    <n v="2826.45"/>
    <s v="MÁLAGA"/>
    <x v="5"/>
    <s v="ONLINE"/>
    <n v="1859.88"/>
    <n v="34.200000000000003"/>
    <x v="1"/>
    <n v="2"/>
    <s v="April"/>
    <x v="358"/>
    <x v="0"/>
    <x v="358"/>
    <s v="Beneficio"/>
  </r>
  <r>
    <d v="2023-04-30T00:00:00"/>
    <s v="Construcciones López SL"/>
    <x v="5"/>
    <s v="Perlita Natural Grano Fino"/>
    <s v="PERLITA"/>
    <n v="702"/>
    <n v="11.79"/>
    <n v="8276.58"/>
    <s v="MADRID"/>
    <x v="5"/>
    <s v="DISTRIBUIDOR"/>
    <n v="7310.19"/>
    <n v="11.7"/>
    <x v="1"/>
    <n v="2"/>
    <s v="April"/>
    <x v="359"/>
    <x v="1"/>
    <x v="359"/>
    <s v="Beneficio"/>
  </r>
  <r>
    <d v="2023-01-13T00:00:00"/>
    <s v="Construcciones Jiménez SL"/>
    <x v="1"/>
    <s v="Mortero Cementoso Gris"/>
    <s v="MORTERO"/>
    <n v="379"/>
    <n v="8.59"/>
    <n v="3255.61"/>
    <s v="MÁLAGA"/>
    <x v="3"/>
    <s v="DIRECTO"/>
    <n v="2291.33"/>
    <n v="29.6"/>
    <x v="1"/>
    <n v="1"/>
    <s v="January"/>
    <x v="360"/>
    <x v="0"/>
    <x v="360"/>
    <s v="Beneficio"/>
  </r>
  <r>
    <d v="2023-05-10T00:00:00"/>
    <s v="Construcciones Torres SL"/>
    <x v="2"/>
    <s v="Mortero Monocapa Beige"/>
    <s v="MORTERO"/>
    <n v="915"/>
    <n v="5.38"/>
    <n v="4922.7"/>
    <s v="BARCELONA"/>
    <x v="2"/>
    <s v="DISTRIBUIDOR"/>
    <n v="3958.78"/>
    <n v="19.600000000000001"/>
    <x v="1"/>
    <n v="2"/>
    <s v="May"/>
    <x v="361"/>
    <x v="1"/>
    <x v="361"/>
    <s v="Beneficio"/>
  </r>
  <r>
    <d v="2023-07-25T00:00:00"/>
    <s v="Construcciones García SL"/>
    <x v="4"/>
    <s v="Perlita Expandida 40L"/>
    <s v="PERLITA"/>
    <n v="730"/>
    <n v="6.28"/>
    <n v="4584.3999999999996"/>
    <s v="MURCIA"/>
    <x v="4"/>
    <s v="DISTRIBUIDOR"/>
    <n v="3622.66"/>
    <n v="21"/>
    <x v="1"/>
    <n v="3"/>
    <s v="July"/>
    <x v="362"/>
    <x v="1"/>
    <x v="362"/>
    <s v="Beneficio"/>
  </r>
  <r>
    <d v="2023-11-14T00:00:00"/>
    <s v="Construcciones Hernández SL"/>
    <x v="0"/>
    <s v="Placa Pladur Ignífuga"/>
    <s v="PLADUR"/>
    <n v="442"/>
    <n v="8.7899999999999991"/>
    <n v="3885.18"/>
    <s v="SEVILLA"/>
    <x v="1"/>
    <s v="ONLINE"/>
    <n v="2928.21"/>
    <n v="24.6"/>
    <x v="1"/>
    <n v="4"/>
    <s v="November"/>
    <x v="363"/>
    <x v="1"/>
    <x v="363"/>
    <s v="Beneficio"/>
  </r>
  <r>
    <d v="2023-01-28T00:00:00"/>
    <s v="Construcciones García SL"/>
    <x v="4"/>
    <s v="Pladur 13mm"/>
    <s v="PLADUR"/>
    <n v="850"/>
    <n v="5.83"/>
    <n v="4955.5"/>
    <s v="VALENCIA"/>
    <x v="3"/>
    <s v="ONLINE"/>
    <n v="3999.01"/>
    <n v="19.3"/>
    <x v="1"/>
    <n v="1"/>
    <s v="January"/>
    <x v="364"/>
    <x v="1"/>
    <x v="364"/>
    <s v="Beneficio"/>
  </r>
  <r>
    <d v="2023-02-07T00:00:00"/>
    <s v="Construcciones Jiménez SL"/>
    <x v="1"/>
    <s v="Pladur Aislante 15mm"/>
    <s v="PLADUR"/>
    <n v="671"/>
    <n v="10.88"/>
    <n v="7300.48"/>
    <s v="BILBAO"/>
    <x v="0"/>
    <s v="ONLINE"/>
    <n v="6347.37"/>
    <n v="13.1"/>
    <x v="1"/>
    <n v="1"/>
    <s v="February"/>
    <x v="365"/>
    <x v="1"/>
    <x v="365"/>
    <s v="Beneficio"/>
  </r>
  <r>
    <d v="2023-01-03T00:00:00"/>
    <s v="Construcciones Hernández SL"/>
    <x v="0"/>
    <s v="Pladur Aislante 15mm"/>
    <s v="PLADUR"/>
    <n v="889"/>
    <n v="6.26"/>
    <n v="5565.14"/>
    <s v="MURCIA"/>
    <x v="4"/>
    <s v="ONLINE"/>
    <n v="4612.24"/>
    <n v="17.100000000000001"/>
    <x v="1"/>
    <n v="1"/>
    <s v="January"/>
    <x v="366"/>
    <x v="1"/>
    <x v="366"/>
    <s v="Beneficio"/>
  </r>
  <r>
    <d v="2023-05-23T00:00:00"/>
    <s v="Construcciones Costa SL"/>
    <x v="3"/>
    <s v="Placa Pladur Ignífuga"/>
    <s v="PLADUR"/>
    <n v="847"/>
    <n v="3.56"/>
    <n v="3015.32"/>
    <s v="VALENCIA"/>
    <x v="0"/>
    <s v="DISTRIBUIDOR"/>
    <n v="2062.65"/>
    <n v="31.6"/>
    <x v="1"/>
    <n v="2"/>
    <s v="May"/>
    <x v="367"/>
    <x v="0"/>
    <x v="367"/>
    <s v="Beneficio"/>
  </r>
  <r>
    <d v="2023-01-17T00:00:00"/>
    <s v="Construcciones López SL"/>
    <x v="5"/>
    <s v="Perlita Expandida 40L"/>
    <s v="PERLITA"/>
    <n v="685"/>
    <n v="6.56"/>
    <n v="4493.6000000000004"/>
    <s v="MÁLAGA"/>
    <x v="2"/>
    <s v="DISTRIBUIDOR"/>
    <n v="3546.29"/>
    <n v="21.1"/>
    <x v="1"/>
    <n v="1"/>
    <s v="January"/>
    <x v="368"/>
    <x v="1"/>
    <x v="368"/>
    <s v="Beneficio"/>
  </r>
  <r>
    <d v="2023-04-23T00:00:00"/>
    <s v="Construcciones Jiménez SL"/>
    <x v="1"/>
    <s v="Mortero Monocapa Beige"/>
    <s v="MORTERO"/>
    <n v="346"/>
    <n v="7.58"/>
    <n v="2622.68"/>
    <s v="BARCELONA"/>
    <x v="0"/>
    <s v="ONLINE"/>
    <n v="1676.57"/>
    <n v="36.1"/>
    <x v="1"/>
    <n v="2"/>
    <s v="April"/>
    <x v="369"/>
    <x v="0"/>
    <x v="369"/>
    <s v="Beneficio"/>
  </r>
  <r>
    <d v="2023-11-23T00:00:00"/>
    <s v="Construcciones Torres SL"/>
    <x v="2"/>
    <s v="Pladur Aislante 15mm"/>
    <s v="PLADUR"/>
    <n v="564"/>
    <n v="9.3699999999999992"/>
    <n v="5284.68"/>
    <s v="MADRID"/>
    <x v="5"/>
    <s v="DIRECTO"/>
    <n v="4341.97"/>
    <n v="17.8"/>
    <x v="1"/>
    <n v="4"/>
    <s v="November"/>
    <x v="370"/>
    <x v="1"/>
    <x v="370"/>
    <s v="Beneficio"/>
  </r>
  <r>
    <d v="2025-02-10T00:00:00"/>
    <s v="Construcciones Torres SL"/>
    <x v="2"/>
    <s v="Mortero Cementoso Gris"/>
    <s v="MORTERO"/>
    <n v="569"/>
    <n v="6.67"/>
    <n v="3795.23"/>
    <s v="MADRID"/>
    <x v="2"/>
    <s v="ONLINE"/>
    <n v="2853.9"/>
    <n v="24.8"/>
    <x v="2"/>
    <n v="1"/>
    <s v="February"/>
    <x v="371"/>
    <x v="1"/>
    <x v="371"/>
    <s v="Beneficio"/>
  </r>
  <r>
    <d v="2023-02-08T00:00:00"/>
    <s v="Construcciones Jiménez SL"/>
    <x v="1"/>
    <s v="Perlita Expandida 40L"/>
    <s v="PERLITA"/>
    <n v="633"/>
    <n v="4.0999999999999996"/>
    <n v="2595.3000000000002"/>
    <s v="MÁLAGA"/>
    <x v="4"/>
    <s v="DISTRIBUIDOR"/>
    <n v="1655.82"/>
    <n v="36.200000000000003"/>
    <x v="1"/>
    <n v="1"/>
    <s v="February"/>
    <x v="372"/>
    <x v="0"/>
    <x v="372"/>
    <s v="Beneficio"/>
  </r>
  <r>
    <d v="2023-01-27T00:00:00"/>
    <s v="Construcciones Hernández SL"/>
    <x v="0"/>
    <s v="Mortero Monocapa Beige"/>
    <s v="MORTERO"/>
    <n v="431"/>
    <n v="8.06"/>
    <n v="3473.86"/>
    <s v="MÁLAGA"/>
    <x v="0"/>
    <s v="ONLINE"/>
    <n v="2535.63"/>
    <n v="27"/>
    <x v="1"/>
    <n v="1"/>
    <s v="January"/>
    <x v="373"/>
    <x v="0"/>
    <x v="373"/>
    <s v="Beneficio"/>
  </r>
  <r>
    <d v="2023-04-08T00:00:00"/>
    <s v="Construcciones Hernández SL"/>
    <x v="0"/>
    <s v="Perlita Expandida 40L"/>
    <s v="PERLITA"/>
    <n v="659"/>
    <n v="9.0399999999999991"/>
    <n v="5957.36"/>
    <s v="ZARAGOZA"/>
    <x v="3"/>
    <s v="DISTRIBUIDOR"/>
    <n v="5020.5600000000004"/>
    <n v="15.7"/>
    <x v="1"/>
    <n v="2"/>
    <s v="April"/>
    <x v="374"/>
    <x v="1"/>
    <x v="374"/>
    <s v="Beneficio"/>
  </r>
  <r>
    <d v="2024-08-30T00:00:00"/>
    <s v="Construcciones López SL"/>
    <x v="5"/>
    <s v="Mortero Acrílico Blanco"/>
    <s v="MORTERO"/>
    <n v="563"/>
    <n v="11.91"/>
    <n v="6705.33"/>
    <s v="BARCELONA"/>
    <x v="1"/>
    <s v="DISTRIBUIDOR"/>
    <n v="5772.85"/>
    <n v="13.9"/>
    <x v="0"/>
    <n v="3"/>
    <s v="August"/>
    <x v="375"/>
    <x v="1"/>
    <x v="375"/>
    <s v="Beneficio"/>
  </r>
  <r>
    <d v="2025-10-08T00:00:00"/>
    <s v="Construcciones López SL"/>
    <x v="5"/>
    <s v="Mortero Acrílico Blanco"/>
    <s v="MORTERO"/>
    <n v="278"/>
    <n v="8.39"/>
    <n v="2332.42"/>
    <s v="BILBAO"/>
    <x v="1"/>
    <s v="DIRECTO"/>
    <n v="1400.05"/>
    <n v="40"/>
    <x v="2"/>
    <n v="4"/>
    <s v="October"/>
    <x v="376"/>
    <x v="0"/>
    <x v="376"/>
    <s v="Beneficio"/>
  </r>
  <r>
    <d v="2024-01-25T00:00:00"/>
    <s v="Construcciones García SL"/>
    <x v="4"/>
    <s v="Mortero Cementoso Gris"/>
    <s v="MORTERO"/>
    <n v="390"/>
    <n v="11.89"/>
    <n v="4637.1000000000004"/>
    <s v="BILBAO"/>
    <x v="2"/>
    <s v="ONLINE"/>
    <n v="3705.14"/>
    <n v="20.100000000000001"/>
    <x v="0"/>
    <n v="1"/>
    <s v="January"/>
    <x v="377"/>
    <x v="1"/>
    <x v="377"/>
    <s v="Beneficio"/>
  </r>
  <r>
    <d v="2023-02-27T00:00:00"/>
    <s v="Construcciones Hernández SL"/>
    <x v="0"/>
    <s v="Placa Pladur Ignífuga"/>
    <s v="PLADUR"/>
    <n v="809"/>
    <n v="3.62"/>
    <n v="2928.58"/>
    <s v="ZARAGOZA"/>
    <x v="0"/>
    <s v="ONLINE"/>
    <n v="1999.74"/>
    <n v="31.7"/>
    <x v="1"/>
    <n v="1"/>
    <s v="February"/>
    <x v="378"/>
    <x v="0"/>
    <x v="378"/>
    <s v="Beneficio"/>
  </r>
  <r>
    <d v="2023-02-14T00:00:00"/>
    <s v="Construcciones Hernández SL"/>
    <x v="0"/>
    <s v="Pladur 13mm"/>
    <s v="PLADUR"/>
    <n v="882"/>
    <n v="8.81"/>
    <n v="7770.42"/>
    <s v="VALENCIA"/>
    <x v="5"/>
    <s v="ONLINE"/>
    <n v="6843.18"/>
    <n v="11.9"/>
    <x v="1"/>
    <n v="1"/>
    <s v="February"/>
    <x v="379"/>
    <x v="1"/>
    <x v="379"/>
    <s v="Beneficio"/>
  </r>
  <r>
    <d v="2023-06-29T00:00:00"/>
    <s v="Construcciones Costa SL"/>
    <x v="3"/>
    <s v="Mortero Acrílico Blanco"/>
    <s v="MORTERO"/>
    <n v="311"/>
    <n v="7.94"/>
    <n v="2469.34"/>
    <s v="MÁLAGA"/>
    <x v="5"/>
    <s v="ONLINE"/>
    <n v="1547.72"/>
    <n v="37.299999999999997"/>
    <x v="1"/>
    <n v="2"/>
    <s v="June"/>
    <x v="380"/>
    <x v="0"/>
    <x v="380"/>
    <s v="Beneficio"/>
  </r>
  <r>
    <d v="2023-12-16T00:00:00"/>
    <s v="Construcciones Costa SL"/>
    <x v="3"/>
    <s v="Perlita Expandida 40L"/>
    <s v="PERLITA"/>
    <n v="474"/>
    <n v="10.43"/>
    <n v="4943.82"/>
    <s v="BARCELONA"/>
    <x v="2"/>
    <s v="DIRECTO"/>
    <n v="4023.22"/>
    <n v="18.600000000000001"/>
    <x v="1"/>
    <n v="4"/>
    <s v="December"/>
    <x v="381"/>
    <x v="1"/>
    <x v="381"/>
    <s v="Beneficio"/>
  </r>
  <r>
    <d v="2023-01-05T00:00:00"/>
    <s v="Construcciones Jiménez SL"/>
    <x v="1"/>
    <s v="Pladur Aislante 15mm"/>
    <s v="PLADUR"/>
    <n v="942"/>
    <n v="2.96"/>
    <n v="2788.32"/>
    <s v="BILBAO"/>
    <x v="4"/>
    <s v="DISTRIBUIDOR"/>
    <n v="1872.65"/>
    <n v="32.799999999999997"/>
    <x v="1"/>
    <n v="1"/>
    <s v="January"/>
    <x v="382"/>
    <x v="0"/>
    <x v="382"/>
    <s v="Beneficio"/>
  </r>
  <r>
    <d v="2023-08-05T00:00:00"/>
    <s v="Construcciones Costa SL"/>
    <x v="3"/>
    <s v="Placa Pladur Ignífuga"/>
    <s v="PLADUR"/>
    <n v="600"/>
    <n v="7.05"/>
    <n v="4230"/>
    <s v="BARCELONA"/>
    <x v="4"/>
    <s v="ONLINE"/>
    <n v="3318.36"/>
    <n v="21.6"/>
    <x v="1"/>
    <n v="3"/>
    <s v="August"/>
    <x v="383"/>
    <x v="1"/>
    <x v="383"/>
    <s v="Beneficio"/>
  </r>
  <r>
    <d v="2023-01-10T00:00:00"/>
    <s v="Construcciones Torres SL"/>
    <x v="2"/>
    <s v="Mortero Acrílico Blanco"/>
    <s v="MORTERO"/>
    <n v="829"/>
    <n v="9.42"/>
    <n v="7809.18"/>
    <s v="MADRID"/>
    <x v="1"/>
    <s v="ONLINE"/>
    <n v="6898.98"/>
    <n v="11.7"/>
    <x v="1"/>
    <n v="1"/>
    <s v="January"/>
    <x v="384"/>
    <x v="1"/>
    <x v="384"/>
    <s v="Beneficio"/>
  </r>
  <r>
    <d v="2023-04-05T00:00:00"/>
    <s v="Construcciones López SL"/>
    <x v="5"/>
    <s v="Pladur Aislante 15mm"/>
    <s v="PLADUR"/>
    <n v="296"/>
    <n v="11.71"/>
    <n v="3466.16"/>
    <s v="MÁLAGA"/>
    <x v="0"/>
    <s v="DISTRIBUIDOR"/>
    <n v="2556.5300000000002"/>
    <n v="26.2"/>
    <x v="1"/>
    <n v="2"/>
    <s v="April"/>
    <x v="385"/>
    <x v="0"/>
    <x v="385"/>
    <s v="Beneficio"/>
  </r>
  <r>
    <d v="2023-03-28T00:00:00"/>
    <s v="Construcciones Torres SL"/>
    <x v="2"/>
    <s v="Mortero Cementoso Gris"/>
    <s v="MORTERO"/>
    <n v="256"/>
    <n v="11.76"/>
    <n v="3010.56"/>
    <s v="SEVILLA"/>
    <x v="0"/>
    <s v="DIRECTO"/>
    <n v="2102.31"/>
    <n v="30.2"/>
    <x v="1"/>
    <n v="1"/>
    <s v="March"/>
    <x v="386"/>
    <x v="0"/>
    <x v="386"/>
    <s v="Beneficio"/>
  </r>
  <r>
    <d v="2023-10-27T00:00:00"/>
    <s v="Construcciones Costa SL"/>
    <x v="3"/>
    <s v="Pladur 13mm"/>
    <s v="PLADUR"/>
    <n v="623"/>
    <n v="6.61"/>
    <n v="4118.03"/>
    <s v="MÁLAGA"/>
    <x v="1"/>
    <s v="ONLINE"/>
    <n v="3213.25"/>
    <n v="22"/>
    <x v="1"/>
    <n v="4"/>
    <s v="October"/>
    <x v="387"/>
    <x v="1"/>
    <x v="387"/>
    <s v="Beneficio"/>
  </r>
  <r>
    <d v="2023-05-20T00:00:00"/>
    <s v="Construcciones Costa SL"/>
    <x v="3"/>
    <s v="Perlita Expandida 40L"/>
    <s v="PERLITA"/>
    <n v="777"/>
    <n v="4.82"/>
    <n v="3745.14"/>
    <s v="MÁLAGA"/>
    <x v="4"/>
    <s v="ONLINE"/>
    <n v="2845.24"/>
    <n v="24"/>
    <x v="1"/>
    <n v="2"/>
    <s v="May"/>
    <x v="388"/>
    <x v="1"/>
    <x v="388"/>
    <s v="Beneficio"/>
  </r>
  <r>
    <d v="2023-06-14T00:00:00"/>
    <s v="Construcciones García SL"/>
    <x v="4"/>
    <s v="Mortero Cementoso Gris"/>
    <s v="MORTERO"/>
    <n v="552"/>
    <n v="7.14"/>
    <n v="3941.28"/>
    <s v="BILBAO"/>
    <x v="0"/>
    <s v="ONLINE"/>
    <n v="3041.72"/>
    <n v="22.8"/>
    <x v="1"/>
    <n v="2"/>
    <s v="June"/>
    <x v="389"/>
    <x v="1"/>
    <x v="389"/>
    <s v="Beneficio"/>
  </r>
  <r>
    <d v="2023-04-02T00:00:00"/>
    <s v="Construcciones López SL"/>
    <x v="5"/>
    <s v="Mortero Cementoso Gris"/>
    <s v="MORTERO"/>
    <n v="968"/>
    <n v="4.9000000000000004"/>
    <n v="4743.2"/>
    <s v="MURCIA"/>
    <x v="0"/>
    <s v="ONLINE"/>
    <n v="3843.8"/>
    <n v="19"/>
    <x v="1"/>
    <n v="2"/>
    <s v="April"/>
    <x v="390"/>
    <x v="1"/>
    <x v="390"/>
    <s v="Beneficio"/>
  </r>
  <r>
    <d v="2024-08-27T00:00:00"/>
    <s v="Construcciones Jiménez SL"/>
    <x v="1"/>
    <s v="Placa Pladur Ignífuga"/>
    <s v="PLADUR"/>
    <n v="515"/>
    <n v="10.5"/>
    <n v="5407.5"/>
    <s v="BARCELONA"/>
    <x v="0"/>
    <s v="DISTRIBUIDOR"/>
    <n v="4512.71"/>
    <n v="16.5"/>
    <x v="0"/>
    <n v="3"/>
    <s v="August"/>
    <x v="391"/>
    <x v="1"/>
    <x v="391"/>
    <s v="Beneficio"/>
  </r>
  <r>
    <d v="2023-03-14T00:00:00"/>
    <s v="Construcciones Costa SL"/>
    <x v="3"/>
    <s v="Mortero Monocapa Beige"/>
    <s v="MORTERO"/>
    <n v="927"/>
    <n v="8.42"/>
    <n v="7805.34"/>
    <s v="BILBAO"/>
    <x v="0"/>
    <s v="ONLINE"/>
    <n v="6917.14"/>
    <n v="11.4"/>
    <x v="1"/>
    <n v="1"/>
    <s v="March"/>
    <x v="392"/>
    <x v="1"/>
    <x v="392"/>
    <s v="Beneficio"/>
  </r>
  <r>
    <d v="2023-01-06T00:00:00"/>
    <s v="Construcciones Hernández SL"/>
    <x v="0"/>
    <s v="Pladur 13mm"/>
    <s v="PLADUR"/>
    <n v="680"/>
    <n v="11.34"/>
    <n v="7711.2"/>
    <s v="ZARAGOZA"/>
    <x v="2"/>
    <s v="DIRECTO"/>
    <n v="6825.4"/>
    <n v="11.5"/>
    <x v="1"/>
    <n v="1"/>
    <s v="January"/>
    <x v="393"/>
    <x v="1"/>
    <x v="393"/>
    <s v="Beneficio"/>
  </r>
  <r>
    <d v="2023-09-04T00:00:00"/>
    <s v="Construcciones García SL"/>
    <x v="4"/>
    <s v="Perlita Natural Grano Fino"/>
    <s v="PERLITA"/>
    <n v="663"/>
    <n v="8.7200000000000006"/>
    <n v="5781.36"/>
    <s v="BILBAO"/>
    <x v="5"/>
    <s v="ONLINE"/>
    <n v="4897.1899999999996"/>
    <n v="15.3"/>
    <x v="1"/>
    <n v="3"/>
    <s v="September"/>
    <x v="394"/>
    <x v="1"/>
    <x v="394"/>
    <s v="Beneficio"/>
  </r>
  <r>
    <d v="2024-05-03T00:00:00"/>
    <s v="Construcciones García SL"/>
    <x v="4"/>
    <s v="Pladur 13mm"/>
    <s v="PLADUR"/>
    <n v="639"/>
    <n v="4.17"/>
    <n v="2664.63"/>
    <s v="MÁLAGA"/>
    <x v="4"/>
    <s v="DIRECTO"/>
    <n v="1782.03"/>
    <n v="33.1"/>
    <x v="0"/>
    <n v="2"/>
    <s v="May"/>
    <x v="395"/>
    <x v="0"/>
    <x v="395"/>
    <s v="Beneficio"/>
  </r>
  <r>
    <d v="2024-09-11T00:00:00"/>
    <s v="Construcciones Hernández SL"/>
    <x v="0"/>
    <s v="Mortero Monocapa Beige"/>
    <s v="MORTERO"/>
    <n v="390"/>
    <n v="7.69"/>
    <n v="2999.1"/>
    <s v="ZARAGOZA"/>
    <x v="4"/>
    <s v="DIRECTO"/>
    <n v="2116.5300000000002"/>
    <n v="29.4"/>
    <x v="0"/>
    <n v="3"/>
    <s v="September"/>
    <x v="396"/>
    <x v="0"/>
    <x v="396"/>
    <s v="Beneficio"/>
  </r>
  <r>
    <d v="2024-01-13T00:00:00"/>
    <s v="Construcciones López SL"/>
    <x v="5"/>
    <s v="Pladur 13mm"/>
    <s v="PLADUR"/>
    <n v="551"/>
    <n v="6.87"/>
    <n v="3785.37"/>
    <s v="BARCELONA"/>
    <x v="2"/>
    <s v="DIRECTO"/>
    <n v="2911.45"/>
    <n v="23.1"/>
    <x v="0"/>
    <n v="1"/>
    <s v="January"/>
    <x v="397"/>
    <x v="1"/>
    <x v="397"/>
    <s v="Beneficio"/>
  </r>
  <r>
    <d v="2023-07-13T00:00:00"/>
    <s v="Construcciones Jiménez SL"/>
    <x v="1"/>
    <s v="Perlita Expandida 40L"/>
    <s v="PERLITA"/>
    <n v="970"/>
    <n v="2.35"/>
    <n v="2279.5"/>
    <s v="BARCELONA"/>
    <x v="4"/>
    <s v="DIRECTO"/>
    <n v="1407.46"/>
    <n v="38.299999999999997"/>
    <x v="1"/>
    <n v="3"/>
    <s v="July"/>
    <x v="398"/>
    <x v="0"/>
    <x v="398"/>
    <s v="Beneficio"/>
  </r>
  <r>
    <d v="2023-01-10T00:00:00"/>
    <s v="Construcciones Hernández SL"/>
    <x v="0"/>
    <s v="Pladur Aislante 15mm"/>
    <s v="PLADUR"/>
    <n v="932"/>
    <n v="7.99"/>
    <n v="7446.68"/>
    <s v="MURCIA"/>
    <x v="3"/>
    <s v="DIRECTO"/>
    <n v="6575.09"/>
    <n v="11.7"/>
    <x v="1"/>
    <n v="1"/>
    <s v="January"/>
    <x v="399"/>
    <x v="1"/>
    <x v="399"/>
    <s v="Beneficio"/>
  </r>
  <r>
    <d v="2023-12-20T00:00:00"/>
    <s v="Construcciones Torres SL"/>
    <x v="2"/>
    <s v="Mortero Acrílico Blanco"/>
    <s v="MORTERO"/>
    <n v="701"/>
    <n v="10.35"/>
    <n v="7255.35"/>
    <s v="VALENCIA"/>
    <x v="4"/>
    <s v="DIRECTO"/>
    <n v="6383.78"/>
    <n v="12"/>
    <x v="1"/>
    <n v="4"/>
    <s v="December"/>
    <x v="400"/>
    <x v="1"/>
    <x v="400"/>
    <s v="Beneficio"/>
  </r>
  <r>
    <d v="2023-04-15T00:00:00"/>
    <s v="Construcciones Hernández SL"/>
    <x v="0"/>
    <s v="Pladur Aislante 15mm"/>
    <s v="PLADUR"/>
    <n v="747"/>
    <n v="8.3800000000000008"/>
    <n v="6259.86"/>
    <s v="SEVILLA"/>
    <x v="1"/>
    <s v="ONLINE"/>
    <n v="5388.39"/>
    <n v="13.9"/>
    <x v="1"/>
    <n v="2"/>
    <s v="April"/>
    <x v="401"/>
    <x v="1"/>
    <x v="401"/>
    <s v="Beneficio"/>
  </r>
  <r>
    <d v="2024-06-27T00:00:00"/>
    <s v="Construcciones García SL"/>
    <x v="4"/>
    <s v="Pladur Aislante 15mm"/>
    <s v="PLADUR"/>
    <n v="716"/>
    <n v="6.8"/>
    <n v="4868.8"/>
    <s v="ZARAGOZA"/>
    <x v="3"/>
    <s v="DISTRIBUIDOR"/>
    <n v="3998.77"/>
    <n v="17.899999999999999"/>
    <x v="0"/>
    <n v="2"/>
    <s v="June"/>
    <x v="402"/>
    <x v="1"/>
    <x v="402"/>
    <s v="Beneficio"/>
  </r>
  <r>
    <d v="2023-01-22T00:00:00"/>
    <s v="Construcciones Jiménez SL"/>
    <x v="1"/>
    <s v="Mortero Monocapa Beige"/>
    <s v="MORTERO"/>
    <n v="605"/>
    <n v="4.53"/>
    <n v="2740.65"/>
    <s v="BARCELONA"/>
    <x v="2"/>
    <s v="ONLINE"/>
    <n v="1871.49"/>
    <n v="31.7"/>
    <x v="1"/>
    <n v="1"/>
    <s v="January"/>
    <x v="403"/>
    <x v="0"/>
    <x v="403"/>
    <s v="Beneficio"/>
  </r>
  <r>
    <d v="2025-01-09T00:00:00"/>
    <s v="Construcciones Hernández SL"/>
    <x v="0"/>
    <s v="Perlita Expandida 40L"/>
    <s v="PERLITA"/>
    <n v="911"/>
    <n v="3.11"/>
    <n v="2833.21"/>
    <s v="BILBAO"/>
    <x v="5"/>
    <s v="DISTRIBUIDOR"/>
    <n v="1965.56"/>
    <n v="30.6"/>
    <x v="2"/>
    <n v="1"/>
    <s v="January"/>
    <x v="404"/>
    <x v="0"/>
    <x v="404"/>
    <s v="Beneficio"/>
  </r>
  <r>
    <d v="2023-10-12T00:00:00"/>
    <s v="Construcciones García SL"/>
    <x v="4"/>
    <s v="Mortero Acrílico Blanco"/>
    <s v="MORTERO"/>
    <n v="433"/>
    <n v="7.47"/>
    <n v="3234.51"/>
    <s v="MADRID"/>
    <x v="1"/>
    <s v="DISTRIBUIDOR"/>
    <n v="2367.29"/>
    <n v="26.8"/>
    <x v="1"/>
    <n v="4"/>
    <s v="October"/>
    <x v="405"/>
    <x v="0"/>
    <x v="405"/>
    <s v="Beneficio"/>
  </r>
  <r>
    <d v="2023-10-21T00:00:00"/>
    <s v="Construcciones García SL"/>
    <x v="4"/>
    <s v="Pladur 13mm"/>
    <s v="PLADUR"/>
    <n v="590"/>
    <n v="6.33"/>
    <n v="3734.7"/>
    <s v="MADRID"/>
    <x v="1"/>
    <s v="ONLINE"/>
    <n v="2868.98"/>
    <n v="23.2"/>
    <x v="1"/>
    <n v="4"/>
    <s v="October"/>
    <x v="406"/>
    <x v="1"/>
    <x v="406"/>
    <s v="Beneficio"/>
  </r>
  <r>
    <d v="2023-11-14T00:00:00"/>
    <s v="Construcciones Jiménez SL"/>
    <x v="1"/>
    <s v="Perlita Expandida 40L"/>
    <s v="PERLITA"/>
    <n v="360"/>
    <n v="9.39"/>
    <n v="3380.4"/>
    <s v="BARCELONA"/>
    <x v="5"/>
    <s v="DISTRIBUIDOR"/>
    <n v="2518.5300000000002"/>
    <n v="25.5"/>
    <x v="1"/>
    <n v="4"/>
    <s v="November"/>
    <x v="407"/>
    <x v="0"/>
    <x v="407"/>
    <s v="Beneficio"/>
  </r>
  <r>
    <d v="2023-03-31T00:00:00"/>
    <s v="Construcciones Torres SL"/>
    <x v="2"/>
    <s v="Perlita Expandida 40L"/>
    <s v="PERLITA"/>
    <n v="980"/>
    <n v="5.05"/>
    <n v="4949"/>
    <s v="MURCIA"/>
    <x v="4"/>
    <s v="ONLINE"/>
    <n v="4088.8"/>
    <n v="17.399999999999999"/>
    <x v="1"/>
    <n v="1"/>
    <s v="March"/>
    <x v="408"/>
    <x v="1"/>
    <x v="408"/>
    <s v="Beneficio"/>
  </r>
  <r>
    <d v="2023-07-14T00:00:00"/>
    <s v="Construcciones López SL"/>
    <x v="5"/>
    <s v="Perlita Natural Grano Fino"/>
    <s v="PERLITA"/>
    <n v="799"/>
    <n v="4.6500000000000004"/>
    <n v="3715.35"/>
    <s v="VALENCIA"/>
    <x v="3"/>
    <s v="DIRECTO"/>
    <n v="2857.91"/>
    <n v="23.1"/>
    <x v="1"/>
    <n v="3"/>
    <s v="July"/>
    <x v="409"/>
    <x v="1"/>
    <x v="409"/>
    <s v="Beneficio"/>
  </r>
  <r>
    <d v="2024-06-02T00:00:00"/>
    <s v="Construcciones Hernández SL"/>
    <x v="0"/>
    <s v="Mortero Acrílico Blanco"/>
    <s v="MORTERO"/>
    <n v="213"/>
    <n v="10.34"/>
    <n v="2202.42"/>
    <s v="BARCELONA"/>
    <x v="3"/>
    <s v="ONLINE"/>
    <n v="1345.27"/>
    <n v="38.9"/>
    <x v="0"/>
    <n v="2"/>
    <s v="June"/>
    <x v="410"/>
    <x v="0"/>
    <x v="410"/>
    <s v="Beneficio"/>
  </r>
  <r>
    <d v="2023-01-07T00:00:00"/>
    <s v="Construcciones López SL"/>
    <x v="5"/>
    <s v="Mortero Acrílico Blanco"/>
    <s v="MORTERO"/>
    <n v="701"/>
    <n v="10.1"/>
    <n v="7080.1"/>
    <s v="MADRID"/>
    <x v="0"/>
    <s v="ONLINE"/>
    <n v="6224.04"/>
    <n v="12.1"/>
    <x v="1"/>
    <n v="1"/>
    <s v="January"/>
    <x v="411"/>
    <x v="1"/>
    <x v="411"/>
    <s v="Beneficio"/>
  </r>
  <r>
    <d v="2023-04-06T00:00:00"/>
    <s v="Construcciones Torres SL"/>
    <x v="2"/>
    <s v="Mortero Acrílico Blanco"/>
    <s v="MORTERO"/>
    <n v="976"/>
    <n v="2.64"/>
    <n v="2576.64"/>
    <s v="ZARAGOZA"/>
    <x v="0"/>
    <s v="DISTRIBUIDOR"/>
    <n v="1724.63"/>
    <n v="33.1"/>
    <x v="1"/>
    <n v="2"/>
    <s v="April"/>
    <x v="412"/>
    <x v="0"/>
    <x v="412"/>
    <s v="Beneficio"/>
  </r>
  <r>
    <d v="2023-03-17T00:00:00"/>
    <s v="Construcciones Hernández SL"/>
    <x v="0"/>
    <s v="Mortero Acrílico Blanco"/>
    <s v="MORTERO"/>
    <n v="817"/>
    <n v="3.76"/>
    <n v="3071.92"/>
    <s v="MADRID"/>
    <x v="3"/>
    <s v="DISTRIBUIDOR"/>
    <n v="2223.79"/>
    <n v="27.6"/>
    <x v="1"/>
    <n v="1"/>
    <s v="March"/>
    <x v="413"/>
    <x v="0"/>
    <x v="413"/>
    <s v="Beneficio"/>
  </r>
  <r>
    <d v="2023-04-26T00:00:00"/>
    <s v="Construcciones Hernández SL"/>
    <x v="0"/>
    <s v="Perlita Natural Grano Fino"/>
    <s v="PERLITA"/>
    <n v="774"/>
    <n v="9.9700000000000006"/>
    <n v="7716.78"/>
    <s v="MÁLAGA"/>
    <x v="4"/>
    <s v="DIRECTO"/>
    <n v="6869.19"/>
    <n v="11"/>
    <x v="1"/>
    <n v="2"/>
    <s v="April"/>
    <x v="414"/>
    <x v="1"/>
    <x v="414"/>
    <s v="Beneficio"/>
  </r>
  <r>
    <d v="2023-06-05T00:00:00"/>
    <s v="Construcciones Hernández SL"/>
    <x v="0"/>
    <s v="Perlita Expandida 40L"/>
    <s v="PERLITA"/>
    <n v="243"/>
    <n v="8.89"/>
    <n v="2160.27"/>
    <s v="SEVILLA"/>
    <x v="1"/>
    <s v="DISTRIBUIDOR"/>
    <n v="1314.4"/>
    <n v="39.200000000000003"/>
    <x v="1"/>
    <n v="2"/>
    <s v="June"/>
    <x v="415"/>
    <x v="0"/>
    <x v="415"/>
    <s v="Beneficio"/>
  </r>
  <r>
    <d v="2023-03-20T00:00:00"/>
    <s v="Construcciones López SL"/>
    <x v="5"/>
    <s v="Mortero Monocapa Beige"/>
    <s v="MORTERO"/>
    <n v="231"/>
    <n v="11.49"/>
    <n v="2654.19"/>
    <s v="ZARAGOZA"/>
    <x v="5"/>
    <s v="DISTRIBUIDOR"/>
    <n v="1809.1"/>
    <n v="31.8"/>
    <x v="1"/>
    <n v="1"/>
    <s v="March"/>
    <x v="416"/>
    <x v="0"/>
    <x v="416"/>
    <s v="Beneficio"/>
  </r>
  <r>
    <d v="2023-07-13T00:00:00"/>
    <s v="Construcciones García SL"/>
    <x v="4"/>
    <s v="Mortero Cementoso Gris"/>
    <s v="MORTERO"/>
    <n v="706"/>
    <n v="10"/>
    <n v="7060"/>
    <s v="BARCELONA"/>
    <x v="4"/>
    <s v="ONLINE"/>
    <n v="6215.9"/>
    <n v="12"/>
    <x v="1"/>
    <n v="3"/>
    <s v="July"/>
    <x v="417"/>
    <x v="1"/>
    <x v="417"/>
    <s v="Beneficio"/>
  </r>
  <r>
    <d v="2023-01-03T00:00:00"/>
    <s v="Construcciones Jiménez SL"/>
    <x v="1"/>
    <s v="Placa Pladur Ignífuga"/>
    <s v="PLADUR"/>
    <n v="198"/>
    <n v="11.86"/>
    <n v="2348.2800000000002"/>
    <s v="ZARAGOZA"/>
    <x v="1"/>
    <s v="DIRECTO"/>
    <n v="1504.58"/>
    <n v="35.9"/>
    <x v="1"/>
    <n v="1"/>
    <s v="January"/>
    <x v="418"/>
    <x v="0"/>
    <x v="418"/>
    <s v="Beneficio"/>
  </r>
  <r>
    <d v="2023-02-01T00:00:00"/>
    <s v="Construcciones Torres SL"/>
    <x v="2"/>
    <s v="Perlita Expandida 40L"/>
    <s v="PERLITA"/>
    <n v="840"/>
    <n v="4.3099999999999996"/>
    <n v="3620.4"/>
    <s v="BILBAO"/>
    <x v="0"/>
    <s v="ONLINE"/>
    <n v="2776.99"/>
    <n v="23.3"/>
    <x v="1"/>
    <n v="1"/>
    <s v="February"/>
    <x v="419"/>
    <x v="1"/>
    <x v="419"/>
    <s v="Beneficio"/>
  </r>
  <r>
    <d v="2023-04-25T00:00:00"/>
    <s v="Construcciones Costa SL"/>
    <x v="3"/>
    <s v="Perlita Expandida 40L"/>
    <s v="PERLITA"/>
    <n v="930"/>
    <n v="3.26"/>
    <n v="3031.8"/>
    <s v="ZARAGOZA"/>
    <x v="1"/>
    <s v="DIRECTO"/>
    <n v="2188.61"/>
    <n v="27.8"/>
    <x v="1"/>
    <n v="2"/>
    <s v="April"/>
    <x v="420"/>
    <x v="0"/>
    <x v="420"/>
    <s v="Beneficio"/>
  </r>
  <r>
    <d v="2023-04-09T00:00:00"/>
    <s v="Construcciones Torres SL"/>
    <x v="2"/>
    <s v="Pladur Aislante 15mm"/>
    <s v="PLADUR"/>
    <n v="510"/>
    <n v="4.5199999999999996"/>
    <n v="2305.1999999999998"/>
    <s v="SEVILLA"/>
    <x v="5"/>
    <s v="ONLINE"/>
    <n v="1462.44"/>
    <n v="36.6"/>
    <x v="1"/>
    <n v="2"/>
    <s v="April"/>
    <x v="421"/>
    <x v="0"/>
    <x v="421"/>
    <s v="Beneficio"/>
  </r>
  <r>
    <d v="2023-08-30T00:00:00"/>
    <s v="Construcciones García SL"/>
    <x v="4"/>
    <s v="Perlita Natural Grano Fino"/>
    <s v="PERLITA"/>
    <n v="655"/>
    <n v="6.82"/>
    <n v="4467.1000000000004"/>
    <s v="SEVILLA"/>
    <x v="3"/>
    <s v="ONLINE"/>
    <n v="3629.67"/>
    <n v="18.7"/>
    <x v="1"/>
    <n v="3"/>
    <s v="August"/>
    <x v="422"/>
    <x v="1"/>
    <x v="422"/>
    <s v="Beneficio"/>
  </r>
  <r>
    <d v="2023-05-02T00:00:00"/>
    <s v="Construcciones Torres SL"/>
    <x v="2"/>
    <s v="Mortero Acrílico Blanco"/>
    <s v="MORTERO"/>
    <n v="270"/>
    <n v="10.6"/>
    <n v="2862"/>
    <s v="VALENCIA"/>
    <x v="3"/>
    <s v="ONLINE"/>
    <n v="2026.53"/>
    <n v="29.2"/>
    <x v="1"/>
    <n v="2"/>
    <s v="May"/>
    <x v="423"/>
    <x v="0"/>
    <x v="423"/>
    <s v="Beneficio"/>
  </r>
  <r>
    <d v="2023-09-07T00:00:00"/>
    <s v="Construcciones López SL"/>
    <x v="5"/>
    <s v="Perlita Expandida 40L"/>
    <s v="PERLITA"/>
    <n v="651"/>
    <n v="9.25"/>
    <n v="6021.75"/>
    <s v="ZARAGOZA"/>
    <x v="3"/>
    <s v="DISTRIBUIDOR"/>
    <n v="5186.8599999999997"/>
    <n v="13.9"/>
    <x v="1"/>
    <n v="3"/>
    <s v="September"/>
    <x v="424"/>
    <x v="1"/>
    <x v="424"/>
    <s v="Beneficio"/>
  </r>
  <r>
    <d v="2023-03-13T00:00:00"/>
    <s v="Construcciones Jiménez SL"/>
    <x v="1"/>
    <s v="Pladur Aislante 15mm"/>
    <s v="PLADUR"/>
    <n v="333"/>
    <n v="10.26"/>
    <n v="3416.58"/>
    <s v="VALENCIA"/>
    <x v="2"/>
    <s v="DISTRIBUIDOR"/>
    <n v="2582.0100000000002"/>
    <n v="24.4"/>
    <x v="1"/>
    <n v="1"/>
    <s v="March"/>
    <x v="425"/>
    <x v="1"/>
    <x v="425"/>
    <s v="Beneficio"/>
  </r>
  <r>
    <d v="2023-10-10T00:00:00"/>
    <s v="Construcciones Hernández SL"/>
    <x v="0"/>
    <s v="Mortero Acrílico Blanco"/>
    <s v="MORTERO"/>
    <n v="741"/>
    <n v="3.45"/>
    <n v="2556.4499999999998"/>
    <s v="BARCELONA"/>
    <x v="5"/>
    <s v="DIRECTO"/>
    <n v="1723.56"/>
    <n v="32.6"/>
    <x v="1"/>
    <n v="4"/>
    <s v="October"/>
    <x v="426"/>
    <x v="0"/>
    <x v="426"/>
    <s v="Beneficio"/>
  </r>
  <r>
    <d v="2023-07-02T00:00:00"/>
    <s v="Construcciones López SL"/>
    <x v="5"/>
    <s v="Pladur 13mm"/>
    <s v="PLADUR"/>
    <n v="397"/>
    <n v="5.93"/>
    <n v="2354.21"/>
    <s v="SEVILLA"/>
    <x v="4"/>
    <s v="ONLINE"/>
    <n v="1522.74"/>
    <n v="35.299999999999997"/>
    <x v="1"/>
    <n v="3"/>
    <s v="July"/>
    <x v="427"/>
    <x v="0"/>
    <x v="427"/>
    <s v="Beneficio"/>
  </r>
  <r>
    <d v="2023-10-22T00:00:00"/>
    <s v="Construcciones Hernández SL"/>
    <x v="0"/>
    <s v="Perlita Expandida 40L"/>
    <s v="PERLITA"/>
    <n v="808"/>
    <n v="9.02"/>
    <n v="7288.16"/>
    <s v="BARCELONA"/>
    <x v="4"/>
    <s v="ONLINE"/>
    <n v="6458.92"/>
    <n v="11.4"/>
    <x v="1"/>
    <n v="4"/>
    <s v="October"/>
    <x v="428"/>
    <x v="1"/>
    <x v="428"/>
    <s v="Beneficio"/>
  </r>
  <r>
    <d v="2024-01-16T00:00:00"/>
    <s v="Construcciones Hernández SL"/>
    <x v="0"/>
    <s v="Mortero Monocapa Beige"/>
    <s v="MORTERO"/>
    <n v="428"/>
    <n v="10.15"/>
    <n v="4344.2"/>
    <s v="VALENCIA"/>
    <x v="2"/>
    <s v="DIRECTO"/>
    <n v="3515.17"/>
    <n v="19.100000000000001"/>
    <x v="0"/>
    <n v="1"/>
    <s v="January"/>
    <x v="429"/>
    <x v="1"/>
    <x v="429"/>
    <s v="Beneficio"/>
  </r>
  <r>
    <d v="2023-09-30T00:00:00"/>
    <s v="Construcciones Torres SL"/>
    <x v="2"/>
    <s v="Placa Pladur Ignífuga"/>
    <s v="PLADUR"/>
    <n v="765"/>
    <n v="5.4"/>
    <n v="4131"/>
    <s v="BARCELONA"/>
    <x v="2"/>
    <s v="DISTRIBUIDOR"/>
    <n v="3312.61"/>
    <n v="19.8"/>
    <x v="1"/>
    <n v="3"/>
    <s v="September"/>
    <x v="430"/>
    <x v="1"/>
    <x v="430"/>
    <s v="Beneficio"/>
  </r>
  <r>
    <d v="2024-07-16T00:00:00"/>
    <s v="Construcciones Torres SL"/>
    <x v="2"/>
    <s v="Mortero Monocapa Beige"/>
    <s v="MORTERO"/>
    <n v="380"/>
    <n v="8.02"/>
    <n v="3047.6"/>
    <s v="MADRID"/>
    <x v="1"/>
    <s v="DIRECTO"/>
    <n v="2231.7600000000002"/>
    <n v="26.8"/>
    <x v="0"/>
    <n v="3"/>
    <s v="July"/>
    <x v="431"/>
    <x v="0"/>
    <x v="431"/>
    <s v="Beneficio"/>
  </r>
  <r>
    <d v="2023-01-29T00:00:00"/>
    <s v="Construcciones Costa SL"/>
    <x v="3"/>
    <s v="Placa Pladur Ignífuga"/>
    <s v="PLADUR"/>
    <n v="347"/>
    <n v="10.32"/>
    <n v="3581.04"/>
    <s v="ZARAGOZA"/>
    <x v="4"/>
    <s v="DIRECTO"/>
    <n v="2766.11"/>
    <n v="22.8"/>
    <x v="1"/>
    <n v="1"/>
    <s v="January"/>
    <x v="432"/>
    <x v="1"/>
    <x v="432"/>
    <s v="Beneficio"/>
  </r>
  <r>
    <d v="2023-04-09T00:00:00"/>
    <s v="Construcciones Costa SL"/>
    <x v="3"/>
    <s v="Perlita Expandida 40L"/>
    <s v="PERLITA"/>
    <n v="416"/>
    <n v="5.21"/>
    <n v="2167.36"/>
    <s v="SEVILLA"/>
    <x v="1"/>
    <s v="DISTRIBUIDOR"/>
    <n v="1353.34"/>
    <n v="37.6"/>
    <x v="1"/>
    <n v="2"/>
    <s v="April"/>
    <x v="433"/>
    <x v="0"/>
    <x v="433"/>
    <s v="Beneficio"/>
  </r>
  <r>
    <d v="2023-04-14T00:00:00"/>
    <s v="Construcciones Hernández SL"/>
    <x v="0"/>
    <s v="Pladur Aislante 15mm"/>
    <s v="PLADUR"/>
    <n v="685"/>
    <n v="5.76"/>
    <n v="3945.6"/>
    <s v="SEVILLA"/>
    <x v="4"/>
    <s v="ONLINE"/>
    <n v="3132.67"/>
    <n v="20.6"/>
    <x v="1"/>
    <n v="2"/>
    <s v="April"/>
    <x v="434"/>
    <x v="1"/>
    <x v="434"/>
    <s v="Beneficio"/>
  </r>
  <r>
    <d v="2023-02-09T00:00:00"/>
    <s v="Construcciones García SL"/>
    <x v="4"/>
    <s v="Mortero Monocapa Beige"/>
    <s v="MORTERO"/>
    <n v="392"/>
    <n v="10.02"/>
    <n v="3927.84"/>
    <s v="BILBAO"/>
    <x v="0"/>
    <s v="DISTRIBUIDOR"/>
    <n v="3114.93"/>
    <n v="20.7"/>
    <x v="1"/>
    <n v="1"/>
    <s v="February"/>
    <x v="435"/>
    <x v="1"/>
    <x v="435"/>
    <s v="Beneficio"/>
  </r>
  <r>
    <d v="2023-01-11T00:00:00"/>
    <s v="Construcciones Hernández SL"/>
    <x v="0"/>
    <s v="Mortero Acrílico Blanco"/>
    <s v="MORTERO"/>
    <n v="565"/>
    <n v="8.6199999999999992"/>
    <n v="4870.3"/>
    <s v="VALENCIA"/>
    <x v="2"/>
    <s v="DISTRIBUIDOR"/>
    <n v="4058.41"/>
    <n v="16.7"/>
    <x v="1"/>
    <n v="1"/>
    <s v="January"/>
    <x v="436"/>
    <x v="1"/>
    <x v="436"/>
    <s v="Beneficio"/>
  </r>
  <r>
    <d v="2023-07-25T00:00:00"/>
    <s v="Construcciones Hernández SL"/>
    <x v="0"/>
    <s v="Pladur Aislante 15mm"/>
    <s v="PLADUR"/>
    <n v="876"/>
    <n v="4.6399999999999997"/>
    <n v="4064.64"/>
    <s v="MÁLAGA"/>
    <x v="5"/>
    <s v="ONLINE"/>
    <n v="3253.23"/>
    <n v="20"/>
    <x v="1"/>
    <n v="3"/>
    <s v="July"/>
    <x v="437"/>
    <x v="1"/>
    <x v="437"/>
    <s v="Beneficio"/>
  </r>
  <r>
    <d v="2023-04-05T00:00:00"/>
    <s v="Construcciones Hernández SL"/>
    <x v="0"/>
    <s v="Pladur Aislante 15mm"/>
    <s v="PLADUR"/>
    <n v="521"/>
    <n v="9.7799999999999994"/>
    <n v="5095.38"/>
    <s v="VALENCIA"/>
    <x v="1"/>
    <s v="DIRECTO"/>
    <n v="4285.18"/>
    <n v="15.9"/>
    <x v="1"/>
    <n v="2"/>
    <s v="April"/>
    <x v="438"/>
    <x v="1"/>
    <x v="438"/>
    <s v="Beneficio"/>
  </r>
  <r>
    <d v="2023-06-05T00:00:00"/>
    <s v="Construcciones Torres SL"/>
    <x v="2"/>
    <s v="Pladur 13mm"/>
    <s v="PLADUR"/>
    <n v="284"/>
    <n v="7.65"/>
    <n v="2172.6"/>
    <s v="BARCELONA"/>
    <x v="5"/>
    <s v="DIRECTO"/>
    <n v="1364.91"/>
    <n v="37.200000000000003"/>
    <x v="1"/>
    <n v="2"/>
    <s v="June"/>
    <x v="439"/>
    <x v="0"/>
    <x v="439"/>
    <s v="Beneficio"/>
  </r>
  <r>
    <d v="2023-01-01T00:00:00"/>
    <s v="Construcciones Hernández SL"/>
    <x v="0"/>
    <s v="Mortero Acrílico Blanco"/>
    <s v="MORTERO"/>
    <n v="427"/>
    <n v="7.54"/>
    <n v="3219.58"/>
    <s v="ZARAGOZA"/>
    <x v="4"/>
    <s v="DIRECTO"/>
    <n v="2412.17"/>
    <n v="25.1"/>
    <x v="1"/>
    <n v="1"/>
    <s v="January"/>
    <x v="440"/>
    <x v="0"/>
    <x v="440"/>
    <s v="Beneficio"/>
  </r>
  <r>
    <d v="2023-08-12T00:00:00"/>
    <s v="Construcciones López SL"/>
    <x v="5"/>
    <s v="Mortero Acrílico Blanco"/>
    <s v="MORTERO"/>
    <n v="630"/>
    <n v="11.48"/>
    <n v="7232.4"/>
    <s v="SEVILLA"/>
    <x v="3"/>
    <s v="DIRECTO"/>
    <n v="6425.25"/>
    <n v="11.2"/>
    <x v="1"/>
    <n v="3"/>
    <s v="August"/>
    <x v="441"/>
    <x v="1"/>
    <x v="441"/>
    <s v="Beneficio"/>
  </r>
  <r>
    <d v="2023-02-27T00:00:00"/>
    <s v="Construcciones Hernández SL"/>
    <x v="0"/>
    <s v="Perlita Expandida 40L"/>
    <s v="PERLITA"/>
    <n v="411"/>
    <n v="8.3699999999999992"/>
    <n v="3440.07"/>
    <s v="VALENCIA"/>
    <x v="0"/>
    <s v="ONLINE"/>
    <n v="2638.16"/>
    <n v="23.3"/>
    <x v="1"/>
    <n v="1"/>
    <s v="February"/>
    <x v="442"/>
    <x v="1"/>
    <x v="442"/>
    <s v="Beneficio"/>
  </r>
  <r>
    <d v="2023-01-14T00:00:00"/>
    <s v="Construcciones Hernández SL"/>
    <x v="0"/>
    <s v="Pladur Aislante 15mm"/>
    <s v="PLADUR"/>
    <n v="316"/>
    <n v="7.04"/>
    <n v="2224.64"/>
    <s v="VALENCIA"/>
    <x v="4"/>
    <s v="ONLINE"/>
    <n v="1426.99"/>
    <n v="35.9"/>
    <x v="1"/>
    <n v="1"/>
    <s v="January"/>
    <x v="443"/>
    <x v="0"/>
    <x v="443"/>
    <s v="Beneficio"/>
  </r>
  <r>
    <d v="2024-01-26T00:00:00"/>
    <s v="Construcciones Jiménez SL"/>
    <x v="1"/>
    <s v="Pladur 13mm"/>
    <s v="PLADUR"/>
    <n v="682"/>
    <n v="9.74"/>
    <n v="6642.68"/>
    <s v="ZARAGOZA"/>
    <x v="1"/>
    <s v="DIRECTO"/>
    <n v="5845.22"/>
    <n v="12"/>
    <x v="0"/>
    <n v="1"/>
    <s v="January"/>
    <x v="444"/>
    <x v="1"/>
    <x v="444"/>
    <s v="Beneficio"/>
  </r>
  <r>
    <d v="2023-09-30T00:00:00"/>
    <s v="Construcciones Jiménez SL"/>
    <x v="1"/>
    <s v="Perlita Natural Grano Fino"/>
    <s v="PERLITA"/>
    <n v="264"/>
    <n v="10.18"/>
    <n v="2687.52"/>
    <s v="MURCIA"/>
    <x v="4"/>
    <s v="ONLINE"/>
    <n v="1890.3"/>
    <n v="29.7"/>
    <x v="1"/>
    <n v="3"/>
    <s v="September"/>
    <x v="445"/>
    <x v="0"/>
    <x v="445"/>
    <s v="Beneficio"/>
  </r>
  <r>
    <d v="2023-03-20T00:00:00"/>
    <s v="Construcciones Torres SL"/>
    <x v="2"/>
    <s v="Pladur Aislante 15mm"/>
    <s v="PLADUR"/>
    <n v="963"/>
    <n v="6.49"/>
    <n v="6249.87"/>
    <s v="MADRID"/>
    <x v="2"/>
    <s v="DISTRIBUIDOR"/>
    <n v="5457.48"/>
    <n v="12.7"/>
    <x v="1"/>
    <n v="1"/>
    <s v="March"/>
    <x v="446"/>
    <x v="1"/>
    <x v="446"/>
    <s v="Beneficio"/>
  </r>
  <r>
    <d v="2023-07-13T00:00:00"/>
    <s v="Construcciones López SL"/>
    <x v="5"/>
    <s v="Pladur 13mm"/>
    <s v="PLADUR"/>
    <n v="445"/>
    <n v="6.09"/>
    <n v="2710.05"/>
    <s v="MÁLAGA"/>
    <x v="3"/>
    <s v="ONLINE"/>
    <n v="1917.84"/>
    <n v="29.2"/>
    <x v="1"/>
    <n v="3"/>
    <s v="July"/>
    <x v="447"/>
    <x v="0"/>
    <x v="447"/>
    <s v="Beneficio"/>
  </r>
  <r>
    <d v="2023-05-04T00:00:00"/>
    <s v="Construcciones Hernández SL"/>
    <x v="0"/>
    <s v="Pladur 13mm"/>
    <s v="PLADUR"/>
    <n v="873"/>
    <n v="2.7"/>
    <n v="2357.1"/>
    <s v="BARCELONA"/>
    <x v="0"/>
    <s v="DISTRIBUIDOR"/>
    <n v="1568.41"/>
    <n v="33.5"/>
    <x v="1"/>
    <n v="2"/>
    <s v="May"/>
    <x v="448"/>
    <x v="0"/>
    <x v="448"/>
    <s v="Beneficio"/>
  </r>
  <r>
    <d v="2023-02-04T00:00:00"/>
    <s v="Construcciones Hernández SL"/>
    <x v="0"/>
    <s v="Placa Pladur Ignífuga"/>
    <s v="PLADUR"/>
    <n v="262"/>
    <n v="10.39"/>
    <n v="2722.18"/>
    <s v="MADRID"/>
    <x v="1"/>
    <s v="ONLINE"/>
    <n v="1934.44"/>
    <n v="28.9"/>
    <x v="1"/>
    <n v="1"/>
    <s v="February"/>
    <x v="449"/>
    <x v="0"/>
    <x v="449"/>
    <s v="Beneficio"/>
  </r>
  <r>
    <d v="2023-08-15T00:00:00"/>
    <s v="Construcciones Hernández SL"/>
    <x v="0"/>
    <s v="Mortero Cementoso Gris"/>
    <s v="MORTERO"/>
    <n v="438"/>
    <n v="9.17"/>
    <n v="4016.46"/>
    <s v="MURCIA"/>
    <x v="3"/>
    <s v="ONLINE"/>
    <n v="3228.75"/>
    <n v="19.600000000000001"/>
    <x v="1"/>
    <n v="3"/>
    <s v="August"/>
    <x v="450"/>
    <x v="1"/>
    <x v="450"/>
    <s v="Beneficio"/>
  </r>
  <r>
    <d v="2023-04-24T00:00:00"/>
    <s v="Construcciones Costa SL"/>
    <x v="3"/>
    <s v="Mortero Monocapa Beige"/>
    <s v="MORTERO"/>
    <n v="740"/>
    <n v="2.98"/>
    <n v="2205.1999999999998"/>
    <s v="MURCIA"/>
    <x v="0"/>
    <s v="DIRECTO"/>
    <n v="1420.06"/>
    <n v="35.6"/>
    <x v="1"/>
    <n v="2"/>
    <s v="April"/>
    <x v="451"/>
    <x v="0"/>
    <x v="451"/>
    <s v="Beneficio"/>
  </r>
  <r>
    <d v="2023-07-10T00:00:00"/>
    <s v="Construcciones García SL"/>
    <x v="4"/>
    <s v="Pladur 13mm"/>
    <s v="PLADUR"/>
    <n v="233"/>
    <n v="11.11"/>
    <n v="2588.63"/>
    <s v="BARCELONA"/>
    <x v="4"/>
    <s v="ONLINE"/>
    <n v="1804.97"/>
    <n v="30.3"/>
    <x v="1"/>
    <n v="3"/>
    <s v="July"/>
    <x v="452"/>
    <x v="0"/>
    <x v="452"/>
    <s v="Beneficio"/>
  </r>
  <r>
    <d v="2023-03-14T00:00:00"/>
    <s v="Construcciones García SL"/>
    <x v="4"/>
    <s v="Mortero Cementoso Gris"/>
    <s v="MORTERO"/>
    <n v="531"/>
    <n v="5.53"/>
    <n v="2936.43"/>
    <s v="MURCIA"/>
    <x v="1"/>
    <s v="DIRECTO"/>
    <n v="2159.34"/>
    <n v="26.5"/>
    <x v="1"/>
    <n v="1"/>
    <s v="March"/>
    <x v="453"/>
    <x v="0"/>
    <x v="453"/>
    <s v="Beneficio"/>
  </r>
  <r>
    <d v="2023-03-10T00:00:00"/>
    <s v="Construcciones Jiménez SL"/>
    <x v="1"/>
    <s v="Pladur 13mm"/>
    <s v="PLADUR"/>
    <n v="406"/>
    <n v="6.73"/>
    <n v="2732.38"/>
    <s v="MADRID"/>
    <x v="0"/>
    <s v="DIRECTO"/>
    <n v="1958.75"/>
    <n v="28.3"/>
    <x v="1"/>
    <n v="1"/>
    <s v="March"/>
    <x v="454"/>
    <x v="0"/>
    <x v="454"/>
    <s v="Beneficio"/>
  </r>
  <r>
    <d v="2023-11-14T00:00:00"/>
    <s v="Construcciones Costa SL"/>
    <x v="3"/>
    <s v="Perlita Expandida 40L"/>
    <s v="PERLITA"/>
    <n v="724"/>
    <n v="2.93"/>
    <n v="2121.3200000000002"/>
    <s v="BARCELONA"/>
    <x v="0"/>
    <s v="DISTRIBUIDOR"/>
    <n v="1350.14"/>
    <n v="36.4"/>
    <x v="1"/>
    <n v="4"/>
    <s v="November"/>
    <x v="455"/>
    <x v="0"/>
    <x v="455"/>
    <s v="Beneficio"/>
  </r>
  <r>
    <d v="2023-03-06T00:00:00"/>
    <s v="Construcciones López SL"/>
    <x v="5"/>
    <s v="Mortero Monocapa Beige"/>
    <s v="MORTERO"/>
    <n v="712"/>
    <n v="8.8699999999999992"/>
    <n v="6315.44"/>
    <s v="MÁLAGA"/>
    <x v="1"/>
    <s v="ONLINE"/>
    <n v="5551.24"/>
    <n v="12.1"/>
    <x v="1"/>
    <n v="1"/>
    <s v="March"/>
    <x v="456"/>
    <x v="1"/>
    <x v="456"/>
    <s v="Beneficio"/>
  </r>
  <r>
    <d v="2023-03-28T00:00:00"/>
    <s v="Construcciones García SL"/>
    <x v="4"/>
    <s v="Perlita Natural Grano Fino"/>
    <s v="PERLITA"/>
    <n v="483"/>
    <n v="7.86"/>
    <n v="3796.38"/>
    <s v="MADRID"/>
    <x v="4"/>
    <s v="DISTRIBUIDOR"/>
    <n v="3032.34"/>
    <n v="20.100000000000001"/>
    <x v="1"/>
    <n v="1"/>
    <s v="March"/>
    <x v="457"/>
    <x v="1"/>
    <x v="457"/>
    <s v="Beneficio"/>
  </r>
  <r>
    <d v="2023-03-06T00:00:00"/>
    <s v="Construcciones Torres SL"/>
    <x v="2"/>
    <s v="Placa Pladur Ignífuga"/>
    <s v="PLADUR"/>
    <n v="985"/>
    <n v="3.04"/>
    <n v="2994.4"/>
    <s v="MADRID"/>
    <x v="1"/>
    <s v="ONLINE"/>
    <n v="2232.35"/>
    <n v="25.4"/>
    <x v="1"/>
    <n v="1"/>
    <s v="March"/>
    <x v="458"/>
    <x v="0"/>
    <x v="458"/>
    <s v="Beneficio"/>
  </r>
  <r>
    <d v="2023-04-24T00:00:00"/>
    <s v="Construcciones Costa SL"/>
    <x v="3"/>
    <s v="Pladur 13mm"/>
    <s v="PLADUR"/>
    <n v="441"/>
    <n v="5.5"/>
    <n v="2425.5"/>
    <s v="BILBAO"/>
    <x v="0"/>
    <s v="ONLINE"/>
    <n v="1663.55"/>
    <n v="31.4"/>
    <x v="1"/>
    <n v="2"/>
    <s v="April"/>
    <x v="459"/>
    <x v="0"/>
    <x v="459"/>
    <s v="Beneficio"/>
  </r>
  <r>
    <d v="2023-03-19T00:00:00"/>
    <s v="Construcciones Torres SL"/>
    <x v="2"/>
    <s v="Mortero Acrílico Blanco"/>
    <s v="MORTERO"/>
    <n v="270"/>
    <n v="8.32"/>
    <n v="2246.4"/>
    <s v="MURCIA"/>
    <x v="5"/>
    <s v="DISTRIBUIDOR"/>
    <n v="1485.17"/>
    <n v="33.9"/>
    <x v="1"/>
    <n v="1"/>
    <s v="March"/>
    <x v="460"/>
    <x v="0"/>
    <x v="460"/>
    <s v="Beneficio"/>
  </r>
  <r>
    <d v="2023-01-26T00:00:00"/>
    <s v="Construcciones López SL"/>
    <x v="5"/>
    <s v="Mortero Acrílico Blanco"/>
    <s v="MORTERO"/>
    <n v="761"/>
    <n v="4"/>
    <n v="3044"/>
    <s v="VALENCIA"/>
    <x v="3"/>
    <s v="DISTRIBUIDOR"/>
    <n v="2283.06"/>
    <n v="25"/>
    <x v="1"/>
    <n v="1"/>
    <s v="January"/>
    <x v="461"/>
    <x v="1"/>
    <x v="461"/>
    <s v="Beneficio"/>
  </r>
  <r>
    <d v="2023-03-24T00:00:00"/>
    <s v="Construcciones Hernández SL"/>
    <x v="0"/>
    <s v="Mortero Cementoso Gris"/>
    <s v="MORTERO"/>
    <n v="358"/>
    <n v="5.7"/>
    <n v="2040.6"/>
    <s v="MADRID"/>
    <x v="0"/>
    <s v="ONLINE"/>
    <n v="1280.71"/>
    <n v="37.200000000000003"/>
    <x v="1"/>
    <n v="1"/>
    <s v="March"/>
    <x v="462"/>
    <x v="0"/>
    <x v="462"/>
    <s v="Beneficio"/>
  </r>
  <r>
    <d v="2023-07-17T00:00:00"/>
    <s v="Construcciones Jiménez SL"/>
    <x v="1"/>
    <s v="Pladur 13mm"/>
    <s v="PLADUR"/>
    <n v="633"/>
    <n v="5.71"/>
    <n v="3614.43"/>
    <s v="MÁLAGA"/>
    <x v="3"/>
    <s v="DIRECTO"/>
    <n v="2856.06"/>
    <n v="21"/>
    <x v="1"/>
    <n v="3"/>
    <s v="July"/>
    <x v="463"/>
    <x v="1"/>
    <x v="463"/>
    <s v="Beneficio"/>
  </r>
  <r>
    <d v="2023-07-31T00:00:00"/>
    <s v="Construcciones García SL"/>
    <x v="4"/>
    <s v="Perlita Expandida 40L"/>
    <s v="PERLITA"/>
    <n v="614"/>
    <n v="10.83"/>
    <n v="6649.62"/>
    <s v="SEVILLA"/>
    <x v="1"/>
    <s v="DIRECTO"/>
    <n v="5891.42"/>
    <n v="11.4"/>
    <x v="1"/>
    <n v="3"/>
    <s v="July"/>
    <x v="464"/>
    <x v="1"/>
    <x v="464"/>
    <s v="Beneficio"/>
  </r>
  <r>
    <d v="2024-02-01T00:00:00"/>
    <s v="Construcciones García SL"/>
    <x v="4"/>
    <s v="Placa Pladur Ignífuga"/>
    <s v="PLADUR"/>
    <n v="736"/>
    <n v="8.91"/>
    <n v="6557.76"/>
    <s v="ZARAGOZA"/>
    <x v="4"/>
    <s v="DIRECTO"/>
    <n v="5803.75"/>
    <n v="11.5"/>
    <x v="0"/>
    <n v="1"/>
    <s v="February"/>
    <x v="465"/>
    <x v="1"/>
    <x v="465"/>
    <s v="Beneficio"/>
  </r>
  <r>
    <d v="2023-07-02T00:00:00"/>
    <s v="Construcciones García SL"/>
    <x v="4"/>
    <s v="Mortero Acrílico Blanco"/>
    <s v="MORTERO"/>
    <n v="229"/>
    <n v="11"/>
    <n v="2519"/>
    <s v="MÁLAGA"/>
    <x v="2"/>
    <s v="DISTRIBUIDOR"/>
    <n v="1766.3"/>
    <n v="29.9"/>
    <x v="1"/>
    <n v="3"/>
    <s v="July"/>
    <x v="466"/>
    <x v="0"/>
    <x v="466"/>
    <s v="Beneficio"/>
  </r>
  <r>
    <d v="2024-05-02T00:00:00"/>
    <s v="Construcciones Hernández SL"/>
    <x v="0"/>
    <s v="Mortero Acrílico Blanco"/>
    <s v="MORTERO"/>
    <n v="865"/>
    <n v="3.25"/>
    <n v="2811.25"/>
    <s v="MURCIA"/>
    <x v="5"/>
    <s v="ONLINE"/>
    <n v="2058.91"/>
    <n v="26.8"/>
    <x v="0"/>
    <n v="2"/>
    <s v="May"/>
    <x v="467"/>
    <x v="0"/>
    <x v="467"/>
    <s v="Beneficio"/>
  </r>
  <r>
    <d v="2023-07-21T00:00:00"/>
    <s v="Construcciones Torres SL"/>
    <x v="2"/>
    <s v="Pladur 13mm"/>
    <s v="PLADUR"/>
    <n v="737"/>
    <n v="3.44"/>
    <n v="2535.2800000000002"/>
    <s v="ZARAGOZA"/>
    <x v="2"/>
    <s v="DISTRIBUIDOR"/>
    <n v="1784.1"/>
    <n v="29.6"/>
    <x v="1"/>
    <n v="3"/>
    <s v="July"/>
    <x v="468"/>
    <x v="0"/>
    <x v="468"/>
    <s v="Beneficio"/>
  </r>
  <r>
    <d v="2023-01-10T00:00:00"/>
    <s v="Construcciones Jiménez SL"/>
    <x v="1"/>
    <s v="Pladur 13mm"/>
    <s v="PLADUR"/>
    <n v="920"/>
    <n v="5.03"/>
    <n v="4627.6000000000004"/>
    <s v="MÁLAGA"/>
    <x v="4"/>
    <s v="DISTRIBUIDOR"/>
    <n v="3881.28"/>
    <n v="16.100000000000001"/>
    <x v="1"/>
    <n v="1"/>
    <s v="January"/>
    <x v="469"/>
    <x v="1"/>
    <x v="469"/>
    <s v="Beneficio"/>
  </r>
  <r>
    <d v="2024-05-13T00:00:00"/>
    <s v="Construcciones García SL"/>
    <x v="4"/>
    <s v="Mortero Acrílico Blanco"/>
    <s v="MORTERO"/>
    <n v="493"/>
    <n v="6.1"/>
    <n v="3007.3"/>
    <s v="BARCELONA"/>
    <x v="1"/>
    <s v="DIRECTO"/>
    <n v="2261.0700000000002"/>
    <n v="24.8"/>
    <x v="0"/>
    <n v="2"/>
    <s v="May"/>
    <x v="470"/>
    <x v="1"/>
    <x v="470"/>
    <s v="Beneficio"/>
  </r>
  <r>
    <d v="2023-09-24T00:00:00"/>
    <s v="Construcciones López SL"/>
    <x v="5"/>
    <s v="Pladur Aislante 15mm"/>
    <s v="PLADUR"/>
    <n v="585"/>
    <n v="10.51"/>
    <n v="6148.35"/>
    <s v="ZARAGOZA"/>
    <x v="4"/>
    <s v="DIRECTO"/>
    <n v="5402.17"/>
    <n v="12.1"/>
    <x v="1"/>
    <n v="3"/>
    <s v="September"/>
    <x v="471"/>
    <x v="1"/>
    <x v="471"/>
    <s v="Beneficio"/>
  </r>
  <r>
    <d v="2023-12-25T00:00:00"/>
    <s v="Construcciones Jiménez SL"/>
    <x v="1"/>
    <s v="Mortero Monocapa Beige"/>
    <s v="MORTERO"/>
    <n v="550"/>
    <n v="3.92"/>
    <n v="2156"/>
    <s v="BARCELONA"/>
    <x v="1"/>
    <s v="DISTRIBUIDOR"/>
    <n v="1412.37"/>
    <n v="34.5"/>
    <x v="1"/>
    <n v="4"/>
    <s v="December"/>
    <x v="472"/>
    <x v="0"/>
    <x v="472"/>
    <s v="Beneficio"/>
  </r>
  <r>
    <d v="2023-02-23T00:00:00"/>
    <s v="Construcciones Jiménez SL"/>
    <x v="1"/>
    <s v="Mortero Cementoso Gris"/>
    <s v="MORTERO"/>
    <n v="237"/>
    <n v="8.69"/>
    <n v="2059.5300000000002"/>
    <s v="SEVILLA"/>
    <x v="3"/>
    <s v="ONLINE"/>
    <n v="1317.05"/>
    <n v="36.1"/>
    <x v="1"/>
    <n v="1"/>
    <s v="February"/>
    <x v="473"/>
    <x v="0"/>
    <x v="473"/>
    <s v="Beneficio"/>
  </r>
  <r>
    <d v="2023-04-07T00:00:00"/>
    <s v="Construcciones García SL"/>
    <x v="4"/>
    <s v="Mortero Cementoso Gris"/>
    <s v="MORTERO"/>
    <n v="860"/>
    <n v="3.2"/>
    <n v="2752"/>
    <s v="BILBAO"/>
    <x v="3"/>
    <s v="ONLINE"/>
    <n v="2011.84"/>
    <n v="26.9"/>
    <x v="1"/>
    <n v="2"/>
    <s v="April"/>
    <x v="474"/>
    <x v="0"/>
    <x v="474"/>
    <s v="Beneficio"/>
  </r>
  <r>
    <d v="2023-08-02T00:00:00"/>
    <s v="Construcciones Torres SL"/>
    <x v="2"/>
    <s v="Mortero Acrílico Blanco"/>
    <s v="MORTERO"/>
    <n v="686"/>
    <n v="4.84"/>
    <n v="3320.24"/>
    <s v="BARCELONA"/>
    <x v="2"/>
    <s v="DIRECTO"/>
    <n v="2581.7600000000002"/>
    <n v="22.2"/>
    <x v="1"/>
    <n v="3"/>
    <s v="August"/>
    <x v="475"/>
    <x v="1"/>
    <x v="475"/>
    <s v="Beneficio"/>
  </r>
  <r>
    <d v="2024-07-12T00:00:00"/>
    <s v="Construcciones López SL"/>
    <x v="5"/>
    <s v="Mortero Acrílico Blanco"/>
    <s v="MORTERO"/>
    <n v="550"/>
    <n v="6.35"/>
    <n v="3492.5"/>
    <s v="VALENCIA"/>
    <x v="1"/>
    <s v="DIRECTO"/>
    <n v="2754.1"/>
    <n v="21.1"/>
    <x v="0"/>
    <n v="3"/>
    <s v="July"/>
    <x v="476"/>
    <x v="1"/>
    <x v="476"/>
    <s v="Beneficio"/>
  </r>
  <r>
    <d v="2023-06-22T00:00:00"/>
    <s v="Construcciones Hernández SL"/>
    <x v="0"/>
    <s v="Mortero Monocapa Beige"/>
    <s v="MORTERO"/>
    <n v="374"/>
    <n v="8.8000000000000007"/>
    <n v="3291.2"/>
    <s v="BARCELONA"/>
    <x v="0"/>
    <s v="ONLINE"/>
    <n v="2560.04"/>
    <n v="22.2"/>
    <x v="1"/>
    <n v="2"/>
    <s v="June"/>
    <x v="477"/>
    <x v="1"/>
    <x v="477"/>
    <s v="Beneficio"/>
  </r>
  <r>
    <d v="2023-05-21T00:00:00"/>
    <s v="Construcciones Jiménez SL"/>
    <x v="1"/>
    <s v="Placa Pladur Ignífuga"/>
    <s v="PLADUR"/>
    <n v="713"/>
    <n v="10.130000000000001"/>
    <n v="7222.69"/>
    <s v="BILBAO"/>
    <x v="5"/>
    <s v="DISTRIBUIDOR"/>
    <n v="6491.57"/>
    <n v="10.1"/>
    <x v="1"/>
    <n v="2"/>
    <s v="May"/>
    <x v="478"/>
    <x v="1"/>
    <x v="478"/>
    <s v="Beneficio"/>
  </r>
  <r>
    <d v="2023-02-14T00:00:00"/>
    <s v="Construcciones Hernández SL"/>
    <x v="0"/>
    <s v="Mortero Monocapa Beige"/>
    <s v="MORTERO"/>
    <n v="841"/>
    <n v="3.14"/>
    <n v="2640.74"/>
    <s v="BILBAO"/>
    <x v="4"/>
    <s v="ONLINE"/>
    <n v="1912.05"/>
    <n v="27.6"/>
    <x v="1"/>
    <n v="1"/>
    <s v="February"/>
    <x v="479"/>
    <x v="0"/>
    <x v="479"/>
    <s v="Beneficio"/>
  </r>
  <r>
    <d v="2023-03-28T00:00:00"/>
    <s v="Construcciones Jiménez SL"/>
    <x v="1"/>
    <s v="Placa Pladur Ignífuga"/>
    <s v="PLADUR"/>
    <n v="637"/>
    <n v="3.91"/>
    <n v="2490.67"/>
    <s v="BARCELONA"/>
    <x v="0"/>
    <s v="ONLINE"/>
    <n v="1766.14"/>
    <n v="29.1"/>
    <x v="1"/>
    <n v="1"/>
    <s v="March"/>
    <x v="480"/>
    <x v="0"/>
    <x v="480"/>
    <s v="Beneficio"/>
  </r>
  <r>
    <d v="2023-05-09T00:00:00"/>
    <s v="Construcciones López SL"/>
    <x v="5"/>
    <s v="Perlita Natural Grano Fino"/>
    <s v="PERLITA"/>
    <n v="794"/>
    <n v="8.44"/>
    <n v="6701.36"/>
    <s v="MURCIA"/>
    <x v="1"/>
    <s v="DISTRIBUIDOR"/>
    <n v="5979.2"/>
    <n v="10.8"/>
    <x v="1"/>
    <n v="2"/>
    <s v="May"/>
    <x v="481"/>
    <x v="1"/>
    <x v="481"/>
    <s v="Beneficio"/>
  </r>
  <r>
    <d v="2023-04-27T00:00:00"/>
    <s v="Construcciones Hernández SL"/>
    <x v="0"/>
    <s v="Mortero Cementoso Gris"/>
    <s v="MORTERO"/>
    <n v="528"/>
    <n v="9.1"/>
    <n v="4804.8"/>
    <s v="MADRID"/>
    <x v="0"/>
    <s v="DISTRIBUIDOR"/>
    <n v="4084.35"/>
    <n v="15"/>
    <x v="1"/>
    <n v="2"/>
    <s v="April"/>
    <x v="482"/>
    <x v="1"/>
    <x v="482"/>
    <s v="Beneficio"/>
  </r>
  <r>
    <d v="2023-08-26T00:00:00"/>
    <s v="Construcciones Costa SL"/>
    <x v="3"/>
    <s v="Placa Pladur Ignífuga"/>
    <s v="PLADUR"/>
    <n v="582"/>
    <n v="11.2"/>
    <n v="6518.4"/>
    <s v="ZARAGOZA"/>
    <x v="2"/>
    <s v="DIRECTO"/>
    <n v="5804.33"/>
    <n v="11"/>
    <x v="1"/>
    <n v="3"/>
    <s v="August"/>
    <x v="483"/>
    <x v="1"/>
    <x v="483"/>
    <s v="Beneficio"/>
  </r>
  <r>
    <d v="2024-01-16T00:00:00"/>
    <s v="Construcciones López SL"/>
    <x v="5"/>
    <s v="Perlita Natural Grano Fino"/>
    <s v="PERLITA"/>
    <n v="411"/>
    <n v="11.18"/>
    <n v="4594.9799999999996"/>
    <s v="MURCIA"/>
    <x v="3"/>
    <s v="ONLINE"/>
    <n v="3883.36"/>
    <n v="15.5"/>
    <x v="0"/>
    <n v="1"/>
    <s v="January"/>
    <x v="484"/>
    <x v="1"/>
    <x v="484"/>
    <s v="Beneficio"/>
  </r>
  <r>
    <d v="2023-05-28T00:00:00"/>
    <s v="Construcciones Jiménez SL"/>
    <x v="1"/>
    <s v="Pladur 13mm"/>
    <s v="PLADUR"/>
    <n v="876"/>
    <n v="6.99"/>
    <n v="6123.24"/>
    <s v="BILBAO"/>
    <x v="4"/>
    <s v="DISTRIBUIDOR"/>
    <n v="5412.74"/>
    <n v="11.6"/>
    <x v="1"/>
    <n v="2"/>
    <s v="May"/>
    <x v="485"/>
    <x v="1"/>
    <x v="485"/>
    <s v="Beneficio"/>
  </r>
  <r>
    <d v="2023-05-06T00:00:00"/>
    <s v="Construcciones García SL"/>
    <x v="4"/>
    <s v="Perlita Natural Grano Fino"/>
    <s v="PERLITA"/>
    <n v="579"/>
    <n v="5.29"/>
    <n v="3062.91"/>
    <s v="ZARAGOZA"/>
    <x v="1"/>
    <s v="DISTRIBUIDOR"/>
    <n v="2354.59"/>
    <n v="23.1"/>
    <x v="1"/>
    <n v="2"/>
    <s v="May"/>
    <x v="486"/>
    <x v="1"/>
    <x v="486"/>
    <s v="Beneficio"/>
  </r>
  <r>
    <d v="2023-07-07T00:00:00"/>
    <s v="Construcciones Hernández SL"/>
    <x v="0"/>
    <s v="Mortero Monocapa Beige"/>
    <s v="MORTERO"/>
    <n v="574"/>
    <n v="11.07"/>
    <n v="6354.18"/>
    <s v="MADRID"/>
    <x v="2"/>
    <s v="ONLINE"/>
    <n v="5645.93"/>
    <n v="11.1"/>
    <x v="1"/>
    <n v="3"/>
    <s v="July"/>
    <x v="487"/>
    <x v="1"/>
    <x v="487"/>
    <s v="Beneficio"/>
  </r>
  <r>
    <d v="2023-11-26T00:00:00"/>
    <s v="Construcciones Jiménez SL"/>
    <x v="1"/>
    <s v="Mortero Acrílico Blanco"/>
    <s v="MORTERO"/>
    <n v="572"/>
    <n v="6.93"/>
    <n v="3963.96"/>
    <s v="MADRID"/>
    <x v="5"/>
    <s v="DIRECTO"/>
    <n v="3255.8"/>
    <n v="17.899999999999999"/>
    <x v="1"/>
    <n v="4"/>
    <s v="November"/>
    <x v="488"/>
    <x v="1"/>
    <x v="488"/>
    <s v="Beneficio"/>
  </r>
  <r>
    <d v="2023-03-10T00:00:00"/>
    <s v="Construcciones Torres SL"/>
    <x v="2"/>
    <s v="Pladur 13mm"/>
    <s v="PLADUR"/>
    <n v="305"/>
    <n v="8.18"/>
    <n v="2494.9"/>
    <s v="MÁLAGA"/>
    <x v="2"/>
    <s v="ONLINE"/>
    <n v="1788.34"/>
    <n v="28.3"/>
    <x v="1"/>
    <n v="1"/>
    <s v="March"/>
    <x v="489"/>
    <x v="0"/>
    <x v="489"/>
    <s v="Beneficio"/>
  </r>
  <r>
    <d v="2023-03-28T00:00:00"/>
    <s v="Construcciones García SL"/>
    <x v="4"/>
    <s v="Placa Pladur Ignífuga"/>
    <s v="PLADUR"/>
    <n v="677"/>
    <n v="6.41"/>
    <n v="4339.57"/>
    <s v="BILBAO"/>
    <x v="0"/>
    <s v="DIRECTO"/>
    <n v="3634.69"/>
    <n v="16.2"/>
    <x v="1"/>
    <n v="1"/>
    <s v="March"/>
    <x v="490"/>
    <x v="1"/>
    <x v="490"/>
    <s v="Beneficio"/>
  </r>
  <r>
    <d v="2023-07-31T00:00:00"/>
    <s v="Construcciones López SL"/>
    <x v="5"/>
    <s v="Perlita Natural Grano Fino"/>
    <s v="PERLITA"/>
    <n v="203"/>
    <n v="9.5399999999999991"/>
    <n v="1936.62"/>
    <s v="MADRID"/>
    <x v="0"/>
    <s v="ONLINE"/>
    <n v="1231.81"/>
    <n v="36.4"/>
    <x v="1"/>
    <n v="3"/>
    <s v="July"/>
    <x v="491"/>
    <x v="0"/>
    <x v="491"/>
    <s v="Beneficio"/>
  </r>
  <r>
    <d v="2023-01-21T00:00:00"/>
    <s v="Construcciones García SL"/>
    <x v="4"/>
    <s v="Pladur Aislante 15mm"/>
    <s v="PLADUR"/>
    <n v="904"/>
    <n v="3.07"/>
    <n v="2775.28"/>
    <s v="MÁLAGA"/>
    <x v="2"/>
    <s v="DIRECTO"/>
    <n v="2071.0300000000002"/>
    <n v="25.4"/>
    <x v="1"/>
    <n v="1"/>
    <s v="January"/>
    <x v="492"/>
    <x v="0"/>
    <x v="492"/>
    <s v="Beneficio"/>
  </r>
  <r>
    <d v="2023-10-15T00:00:00"/>
    <s v="Construcciones Jiménez SL"/>
    <x v="1"/>
    <s v="Mortero Monocapa Beige"/>
    <s v="MORTERO"/>
    <n v="563"/>
    <n v="3.32"/>
    <n v="1869.16"/>
    <s v="VALENCIA"/>
    <x v="1"/>
    <s v="DISTRIBUIDOR"/>
    <n v="1166.83"/>
    <n v="37.6"/>
    <x v="1"/>
    <n v="4"/>
    <s v="October"/>
    <x v="493"/>
    <x v="0"/>
    <x v="493"/>
    <s v="Beneficio"/>
  </r>
  <r>
    <d v="2025-06-03T00:00:00"/>
    <s v="Construcciones Hernández SL"/>
    <x v="0"/>
    <s v="Mortero Cementoso Gris"/>
    <s v="MORTERO"/>
    <n v="459"/>
    <n v="6.66"/>
    <n v="3056.94"/>
    <s v="BILBAO"/>
    <x v="5"/>
    <s v="DIRECTO"/>
    <n v="2355.52"/>
    <n v="22.9"/>
    <x v="2"/>
    <n v="2"/>
    <s v="June"/>
    <x v="494"/>
    <x v="1"/>
    <x v="494"/>
    <s v="Beneficio"/>
  </r>
  <r>
    <d v="2023-07-21T00:00:00"/>
    <s v="Construcciones Hernández SL"/>
    <x v="0"/>
    <s v="Mortero Acrílico Blanco"/>
    <s v="MORTERO"/>
    <n v="731"/>
    <n v="2.6"/>
    <n v="1900.6"/>
    <s v="SEVILLA"/>
    <x v="2"/>
    <s v="ONLINE"/>
    <n v="1199.3900000000001"/>
    <n v="36.9"/>
    <x v="1"/>
    <n v="3"/>
    <s v="July"/>
    <x v="495"/>
    <x v="0"/>
    <x v="495"/>
    <s v="Beneficio"/>
  </r>
  <r>
    <d v="2024-12-29T00:00:00"/>
    <s v="Construcciones López SL"/>
    <x v="5"/>
    <s v="Pladur Aislante 15mm"/>
    <s v="PLADUR"/>
    <n v="187"/>
    <n v="11.9"/>
    <n v="2225.3000000000002"/>
    <s v="ZARAGOZA"/>
    <x v="5"/>
    <s v="ONLINE"/>
    <n v="1524.5"/>
    <n v="31.5"/>
    <x v="0"/>
    <n v="4"/>
    <s v="December"/>
    <x v="496"/>
    <x v="0"/>
    <x v="496"/>
    <s v="Beneficio"/>
  </r>
  <r>
    <d v="2023-02-05T00:00:00"/>
    <s v="Construcciones Jiménez SL"/>
    <x v="1"/>
    <s v="Mortero Acrílico Blanco"/>
    <s v="MORTERO"/>
    <n v="275"/>
    <n v="8.5399999999999991"/>
    <n v="2348.5"/>
    <s v="BARCELONA"/>
    <x v="0"/>
    <s v="ONLINE"/>
    <n v="1648.96"/>
    <n v="29.8"/>
    <x v="1"/>
    <n v="1"/>
    <s v="February"/>
    <x v="497"/>
    <x v="0"/>
    <x v="497"/>
    <s v="Beneficio"/>
  </r>
  <r>
    <d v="2023-01-18T00:00:00"/>
    <s v="Construcciones Costa SL"/>
    <x v="3"/>
    <s v="Perlita Expandida 40L"/>
    <s v="PERLITA"/>
    <n v="853"/>
    <n v="2.2400000000000002"/>
    <n v="1910.72"/>
    <s v="ZARAGOZA"/>
    <x v="3"/>
    <s v="ONLINE"/>
    <n v="1213.22"/>
    <n v="36.5"/>
    <x v="1"/>
    <n v="1"/>
    <s v="January"/>
    <x v="498"/>
    <x v="0"/>
    <x v="498"/>
    <s v="Beneficio"/>
  </r>
  <r>
    <d v="2023-05-14T00:00:00"/>
    <s v="Construcciones Jiménez SL"/>
    <x v="1"/>
    <s v="Perlita Expandida 40L"/>
    <s v="PERLITA"/>
    <n v="752"/>
    <n v="2.65"/>
    <n v="1992.8"/>
    <s v="ZARAGOZA"/>
    <x v="3"/>
    <s v="ONLINE"/>
    <n v="1295.5999999999999"/>
    <n v="35"/>
    <x v="1"/>
    <n v="2"/>
    <s v="May"/>
    <x v="499"/>
    <x v="0"/>
    <x v="499"/>
    <s v="Beneficio"/>
  </r>
  <r>
    <d v="2023-04-29T00:00:00"/>
    <s v="Construcciones Jiménez SL"/>
    <x v="1"/>
    <s v="Perlita Natural Grano Fino"/>
    <s v="PERLITA"/>
    <n v="355"/>
    <n v="9.98"/>
    <n v="3542.9"/>
    <s v="ZARAGOZA"/>
    <x v="5"/>
    <s v="DISTRIBUIDOR"/>
    <n v="2846.29"/>
    <n v="19.7"/>
    <x v="1"/>
    <n v="2"/>
    <s v="April"/>
    <x v="500"/>
    <x v="1"/>
    <x v="500"/>
    <s v="Beneficio"/>
  </r>
  <r>
    <d v="2023-01-23T00:00:00"/>
    <s v="Construcciones García SL"/>
    <x v="4"/>
    <s v="Perlita Natural Grano Fino"/>
    <s v="PERLITA"/>
    <n v="424"/>
    <n v="11.06"/>
    <n v="4689.4399999999996"/>
    <s v="MADRID"/>
    <x v="0"/>
    <s v="ONLINE"/>
    <n v="3993.34"/>
    <n v="14.8"/>
    <x v="1"/>
    <n v="1"/>
    <s v="January"/>
    <x v="501"/>
    <x v="1"/>
    <x v="501"/>
    <s v="Beneficio"/>
  </r>
  <r>
    <d v="2023-01-02T00:00:00"/>
    <s v="Construcciones Jiménez SL"/>
    <x v="1"/>
    <s v="Mortero Cementoso Gris"/>
    <s v="MORTERO"/>
    <n v="436"/>
    <n v="6.47"/>
    <n v="2820.92"/>
    <s v="MURCIA"/>
    <x v="0"/>
    <s v="ONLINE"/>
    <n v="2126.98"/>
    <n v="24.6"/>
    <x v="1"/>
    <n v="1"/>
    <s v="January"/>
    <x v="502"/>
    <x v="1"/>
    <x v="502"/>
    <s v="Beneficio"/>
  </r>
  <r>
    <d v="2024-01-26T00:00:00"/>
    <s v="Construcciones López SL"/>
    <x v="5"/>
    <s v="Mortero Cementoso Gris"/>
    <s v="MORTERO"/>
    <n v="503"/>
    <n v="3.87"/>
    <n v="1946.61"/>
    <s v="MADRID"/>
    <x v="2"/>
    <s v="DIRECTO"/>
    <n v="1255.74"/>
    <n v="35.5"/>
    <x v="0"/>
    <n v="1"/>
    <s v="January"/>
    <x v="503"/>
    <x v="0"/>
    <x v="503"/>
    <s v="Beneficio"/>
  </r>
  <r>
    <d v="2025-03-25T00:00:00"/>
    <s v="Construcciones García SL"/>
    <x v="4"/>
    <s v="Perlita Natural Grano Fino"/>
    <s v="PERLITA"/>
    <n v="827"/>
    <n v="4.76"/>
    <n v="3936.52"/>
    <s v="BILBAO"/>
    <x v="0"/>
    <s v="ONLINE"/>
    <n v="3247.26"/>
    <n v="17.5"/>
    <x v="2"/>
    <n v="1"/>
    <s v="March"/>
    <x v="504"/>
    <x v="1"/>
    <x v="504"/>
    <s v="Beneficio"/>
  </r>
  <r>
    <d v="2023-02-17T00:00:00"/>
    <s v="Construcciones Jiménez SL"/>
    <x v="1"/>
    <s v="Perlita Natural Grano Fino"/>
    <s v="PERLITA"/>
    <n v="231"/>
    <n v="9.73"/>
    <n v="2247.63"/>
    <s v="VALENCIA"/>
    <x v="2"/>
    <s v="DISTRIBUIDOR"/>
    <n v="1561.5"/>
    <n v="30.5"/>
    <x v="1"/>
    <n v="1"/>
    <s v="February"/>
    <x v="505"/>
    <x v="0"/>
    <x v="505"/>
    <s v="Beneficio"/>
  </r>
  <r>
    <d v="2024-01-07T00:00:00"/>
    <s v="Construcciones Torres SL"/>
    <x v="2"/>
    <s v="Pladur Aislante 15mm"/>
    <s v="PLADUR"/>
    <n v="400"/>
    <n v="4.97"/>
    <n v="1988"/>
    <s v="MURCIA"/>
    <x v="0"/>
    <s v="DISTRIBUIDOR"/>
    <n v="1303.0899999999999"/>
    <n v="34.5"/>
    <x v="0"/>
    <n v="1"/>
    <s v="January"/>
    <x v="506"/>
    <x v="0"/>
    <x v="506"/>
    <s v="Beneficio"/>
  </r>
  <r>
    <d v="2023-01-23T00:00:00"/>
    <s v="Construcciones Torres SL"/>
    <x v="2"/>
    <s v="Mortero Cementoso Gris"/>
    <s v="MORTERO"/>
    <n v="439"/>
    <n v="5.81"/>
    <n v="2550.59"/>
    <s v="VALENCIA"/>
    <x v="2"/>
    <s v="DISTRIBUIDOR"/>
    <n v="1866.21"/>
    <n v="26.8"/>
    <x v="1"/>
    <n v="1"/>
    <s v="January"/>
    <x v="507"/>
    <x v="0"/>
    <x v="507"/>
    <s v="Beneficio"/>
  </r>
  <r>
    <d v="2024-07-31T00:00:00"/>
    <s v="Construcciones García SL"/>
    <x v="4"/>
    <s v="Mortero Cementoso Gris"/>
    <s v="MORTERO"/>
    <n v="289"/>
    <n v="9.6"/>
    <n v="2774.4"/>
    <s v="SEVILLA"/>
    <x v="2"/>
    <s v="DIRECTO"/>
    <n v="2092.89"/>
    <n v="24.6"/>
    <x v="0"/>
    <n v="3"/>
    <s v="July"/>
    <x v="508"/>
    <x v="1"/>
    <x v="508"/>
    <s v="Beneficio"/>
  </r>
  <r>
    <d v="2023-01-19T00:00:00"/>
    <s v="Construcciones Torres SL"/>
    <x v="2"/>
    <s v="Placa Pladur Ignífuga"/>
    <s v="PLADUR"/>
    <n v="302"/>
    <n v="6.29"/>
    <n v="1899.58"/>
    <s v="MURCIA"/>
    <x v="3"/>
    <s v="DIRECTO"/>
    <n v="1220.92"/>
    <n v="35.700000000000003"/>
    <x v="1"/>
    <n v="1"/>
    <s v="January"/>
    <x v="509"/>
    <x v="0"/>
    <x v="509"/>
    <s v="Beneficio"/>
  </r>
  <r>
    <d v="2023-03-14T00:00:00"/>
    <s v="Construcciones López SL"/>
    <x v="5"/>
    <s v="Pladur 13mm"/>
    <s v="PLADUR"/>
    <n v="246"/>
    <n v="10.06"/>
    <n v="2474.7600000000002"/>
    <s v="SEVILLA"/>
    <x v="5"/>
    <s v="DIRECTO"/>
    <n v="1798.61"/>
    <n v="27.3"/>
    <x v="1"/>
    <n v="1"/>
    <s v="March"/>
    <x v="510"/>
    <x v="0"/>
    <x v="510"/>
    <s v="Beneficio"/>
  </r>
  <r>
    <d v="2023-04-17T00:00:00"/>
    <s v="Construcciones Costa SL"/>
    <x v="3"/>
    <s v="Mortero Acrílico Blanco"/>
    <s v="MORTERO"/>
    <n v="717"/>
    <n v="3.53"/>
    <n v="2531.0100000000002"/>
    <s v="MÁLAGA"/>
    <x v="5"/>
    <s v="ONLINE"/>
    <n v="1860.84"/>
    <n v="26.5"/>
    <x v="1"/>
    <n v="2"/>
    <s v="April"/>
    <x v="511"/>
    <x v="0"/>
    <x v="511"/>
    <s v="Beneficio"/>
  </r>
  <r>
    <d v="2024-05-07T00:00:00"/>
    <s v="Construcciones Jiménez SL"/>
    <x v="1"/>
    <s v="Mortero Acrílico Blanco"/>
    <s v="MORTERO"/>
    <n v="918"/>
    <n v="3.52"/>
    <n v="3231.36"/>
    <s v="MURCIA"/>
    <x v="4"/>
    <s v="DIRECTO"/>
    <n v="2564.34"/>
    <n v="20.6"/>
    <x v="0"/>
    <n v="2"/>
    <s v="May"/>
    <x v="512"/>
    <x v="1"/>
    <x v="512"/>
    <s v="Beneficio"/>
  </r>
  <r>
    <d v="2024-04-17T00:00:00"/>
    <s v="Construcciones Torres SL"/>
    <x v="2"/>
    <s v="Pladur Aislante 15mm"/>
    <s v="PLADUR"/>
    <n v="286"/>
    <n v="12"/>
    <n v="3432"/>
    <s v="MURCIA"/>
    <x v="5"/>
    <s v="DISTRIBUIDOR"/>
    <n v="2765.1"/>
    <n v="19.399999999999999"/>
    <x v="0"/>
    <n v="2"/>
    <s v="April"/>
    <x v="513"/>
    <x v="1"/>
    <x v="513"/>
    <s v="Beneficio"/>
  </r>
  <r>
    <d v="2023-02-05T00:00:00"/>
    <s v="Construcciones García SL"/>
    <x v="4"/>
    <s v="Mortero Cementoso Gris"/>
    <s v="MORTERO"/>
    <n v="278"/>
    <n v="7.44"/>
    <n v="2068.3200000000002"/>
    <s v="VALENCIA"/>
    <x v="4"/>
    <s v="DISTRIBUIDOR"/>
    <n v="1404.03"/>
    <n v="32.1"/>
    <x v="1"/>
    <n v="1"/>
    <s v="February"/>
    <x v="514"/>
    <x v="0"/>
    <x v="514"/>
    <s v="Beneficio"/>
  </r>
  <r>
    <d v="2023-02-24T00:00:00"/>
    <s v="Construcciones Costa SL"/>
    <x v="3"/>
    <s v="Mortero Acrílico Blanco"/>
    <s v="MORTERO"/>
    <n v="508"/>
    <n v="3.29"/>
    <n v="1671.32"/>
    <s v="VALENCIA"/>
    <x v="0"/>
    <s v="ONLINE"/>
    <n v="1007.94"/>
    <n v="39.700000000000003"/>
    <x v="1"/>
    <n v="1"/>
    <s v="February"/>
    <x v="515"/>
    <x v="0"/>
    <x v="515"/>
    <s v="Beneficio"/>
  </r>
  <r>
    <d v="2023-02-10T00:00:00"/>
    <s v="Construcciones Jiménez SL"/>
    <x v="1"/>
    <s v="Perlita Expandida 40L"/>
    <s v="PERLITA"/>
    <n v="213"/>
    <n v="10.85"/>
    <n v="2311.0500000000002"/>
    <s v="MADRID"/>
    <x v="2"/>
    <s v="DISTRIBUIDOR"/>
    <n v="1649.21"/>
    <n v="28.6"/>
    <x v="1"/>
    <n v="1"/>
    <s v="February"/>
    <x v="516"/>
    <x v="0"/>
    <x v="516"/>
    <s v="Beneficio"/>
  </r>
  <r>
    <d v="2023-01-26T00:00:00"/>
    <s v="Construcciones Jiménez SL"/>
    <x v="1"/>
    <s v="Pladur 13mm"/>
    <s v="PLADUR"/>
    <n v="966"/>
    <n v="6.13"/>
    <n v="5921.58"/>
    <s v="SEVILLA"/>
    <x v="5"/>
    <s v="DIRECTO"/>
    <n v="5260.66"/>
    <n v="11.2"/>
    <x v="1"/>
    <n v="1"/>
    <s v="January"/>
    <x v="517"/>
    <x v="1"/>
    <x v="517"/>
    <s v="Beneficio"/>
  </r>
  <r>
    <d v="2023-03-26T00:00:00"/>
    <s v="Construcciones López SL"/>
    <x v="5"/>
    <s v="Mortero Cementoso Gris"/>
    <s v="MORTERO"/>
    <n v="154"/>
    <n v="11.51"/>
    <n v="1772.54"/>
    <s v="MURCIA"/>
    <x v="2"/>
    <s v="ONLINE"/>
    <n v="1115.67"/>
    <n v="37.1"/>
    <x v="1"/>
    <n v="1"/>
    <s v="March"/>
    <x v="518"/>
    <x v="0"/>
    <x v="518"/>
    <s v="Beneficio"/>
  </r>
  <r>
    <d v="2024-04-29T00:00:00"/>
    <s v="Construcciones Torres SL"/>
    <x v="2"/>
    <s v="Mortero Monocapa Beige"/>
    <s v="MORTERO"/>
    <n v="923"/>
    <n v="5.25"/>
    <n v="4845.75"/>
    <s v="MÁLAGA"/>
    <x v="2"/>
    <s v="DISTRIBUIDOR"/>
    <n v="4191.05"/>
    <n v="13.5"/>
    <x v="0"/>
    <n v="2"/>
    <s v="April"/>
    <x v="519"/>
    <x v="1"/>
    <x v="519"/>
    <s v="Beneficio"/>
  </r>
  <r>
    <d v="2023-08-30T00:00:00"/>
    <s v="Construcciones López SL"/>
    <x v="5"/>
    <s v="Pladur 13mm"/>
    <s v="PLADUR"/>
    <n v="320"/>
    <n v="8.9"/>
    <n v="2848"/>
    <s v="SEVILLA"/>
    <x v="3"/>
    <s v="ONLINE"/>
    <n v="2197.7800000000002"/>
    <n v="22.8"/>
    <x v="1"/>
    <n v="3"/>
    <s v="August"/>
    <x v="520"/>
    <x v="1"/>
    <x v="520"/>
    <s v="Beneficio"/>
  </r>
  <r>
    <d v="2023-05-02T00:00:00"/>
    <s v="Construcciones López SL"/>
    <x v="5"/>
    <s v="Pladur 13mm"/>
    <s v="PLADUR"/>
    <n v="669"/>
    <n v="2.86"/>
    <n v="1913.34"/>
    <s v="VALENCIA"/>
    <x v="0"/>
    <s v="DISTRIBUIDOR"/>
    <n v="1263.95"/>
    <n v="33.9"/>
    <x v="1"/>
    <n v="2"/>
    <s v="May"/>
    <x v="521"/>
    <x v="0"/>
    <x v="521"/>
    <s v="Beneficio"/>
  </r>
  <r>
    <d v="2023-10-18T00:00:00"/>
    <s v="Construcciones Hernández SL"/>
    <x v="0"/>
    <s v="Perlita Expandida 40L"/>
    <s v="PERLITA"/>
    <n v="346"/>
    <n v="5.31"/>
    <n v="1837.26"/>
    <s v="MÁLAGA"/>
    <x v="3"/>
    <s v="ONLINE"/>
    <n v="1188.2"/>
    <n v="35.299999999999997"/>
    <x v="1"/>
    <n v="4"/>
    <s v="October"/>
    <x v="522"/>
    <x v="0"/>
    <x v="522"/>
    <s v="Beneficio"/>
  </r>
  <r>
    <d v="2023-06-11T00:00:00"/>
    <s v="Construcciones Jiménez SL"/>
    <x v="1"/>
    <s v="Mortero Acrílico Blanco"/>
    <s v="MORTERO"/>
    <n v="957"/>
    <n v="6.44"/>
    <n v="6163.08"/>
    <s v="BARCELONA"/>
    <x v="3"/>
    <s v="DISTRIBUIDOR"/>
    <n v="5515.04"/>
    <n v="10.5"/>
    <x v="1"/>
    <n v="2"/>
    <s v="June"/>
    <x v="523"/>
    <x v="1"/>
    <x v="523"/>
    <s v="Beneficio"/>
  </r>
  <r>
    <d v="2023-02-08T00:00:00"/>
    <s v="Construcciones García SL"/>
    <x v="4"/>
    <s v="Mortero Cementoso Gris"/>
    <s v="MORTERO"/>
    <n v="815"/>
    <n v="3.05"/>
    <n v="2485.75"/>
    <s v="ZARAGOZA"/>
    <x v="4"/>
    <s v="DISTRIBUIDOR"/>
    <n v="1838.29"/>
    <n v="26"/>
    <x v="1"/>
    <n v="1"/>
    <s v="February"/>
    <x v="524"/>
    <x v="0"/>
    <x v="524"/>
    <s v="Beneficio"/>
  </r>
  <r>
    <d v="2023-03-25T00:00:00"/>
    <s v="Construcciones Costa SL"/>
    <x v="3"/>
    <s v="Mortero Cementoso Gris"/>
    <s v="MORTERO"/>
    <n v="682"/>
    <n v="8.83"/>
    <n v="6022.06"/>
    <s v="SEVILLA"/>
    <x v="0"/>
    <s v="DISTRIBUIDOR"/>
    <n v="5376.82"/>
    <n v="10.7"/>
    <x v="1"/>
    <n v="1"/>
    <s v="March"/>
    <x v="525"/>
    <x v="1"/>
    <x v="525"/>
    <s v="Beneficio"/>
  </r>
  <r>
    <d v="2024-04-07T00:00:00"/>
    <s v="Construcciones Costa SL"/>
    <x v="3"/>
    <s v="Mortero Cementoso Gris"/>
    <s v="MORTERO"/>
    <n v="332"/>
    <n v="8.73"/>
    <n v="2898.36"/>
    <s v="BARCELONA"/>
    <x v="0"/>
    <s v="DISTRIBUIDOR"/>
    <n v="2255.4699999999998"/>
    <n v="22.2"/>
    <x v="0"/>
    <n v="2"/>
    <s v="April"/>
    <x v="526"/>
    <x v="1"/>
    <x v="526"/>
    <s v="Beneficio"/>
  </r>
  <r>
    <d v="2023-07-06T00:00:00"/>
    <s v="Construcciones López SL"/>
    <x v="5"/>
    <s v="Pladur 13mm"/>
    <s v="PLADUR"/>
    <n v="630"/>
    <n v="4.22"/>
    <n v="2658.6"/>
    <s v="MÁLAGA"/>
    <x v="1"/>
    <s v="DISTRIBUIDOR"/>
    <n v="2015.79"/>
    <n v="24.2"/>
    <x v="1"/>
    <n v="3"/>
    <s v="July"/>
    <x v="527"/>
    <x v="1"/>
    <x v="527"/>
    <s v="Beneficio"/>
  </r>
  <r>
    <d v="2023-07-06T00:00:00"/>
    <s v="Construcciones Torres SL"/>
    <x v="2"/>
    <s v="Placa Pladur Ignífuga"/>
    <s v="PLADUR"/>
    <n v="664"/>
    <n v="6.7"/>
    <n v="4448.8"/>
    <s v="ZARAGOZA"/>
    <x v="2"/>
    <s v="DIRECTO"/>
    <n v="3806.69"/>
    <n v="14.4"/>
    <x v="1"/>
    <n v="3"/>
    <s v="July"/>
    <x v="528"/>
    <x v="1"/>
    <x v="528"/>
    <s v="Beneficio"/>
  </r>
  <r>
    <d v="2023-02-06T00:00:00"/>
    <s v="Construcciones Hernández SL"/>
    <x v="0"/>
    <s v="Mortero Acrílico Blanco"/>
    <s v="MORTERO"/>
    <n v="931"/>
    <n v="2.54"/>
    <n v="2364.7399999999998"/>
    <s v="BILBAO"/>
    <x v="0"/>
    <s v="ONLINE"/>
    <n v="1733.38"/>
    <n v="26.7"/>
    <x v="1"/>
    <n v="1"/>
    <s v="February"/>
    <x v="529"/>
    <x v="0"/>
    <x v="529"/>
    <s v="Beneficio"/>
  </r>
  <r>
    <d v="2023-07-25T00:00:00"/>
    <s v="Construcciones Costa SL"/>
    <x v="3"/>
    <s v="Mortero Acrílico Blanco"/>
    <s v="MORTERO"/>
    <n v="563"/>
    <n v="2.87"/>
    <n v="1615.81"/>
    <s v="ZARAGOZA"/>
    <x v="4"/>
    <s v="DIRECTO"/>
    <n v="987.47"/>
    <n v="38.9"/>
    <x v="1"/>
    <n v="3"/>
    <s v="July"/>
    <x v="530"/>
    <x v="0"/>
    <x v="530"/>
    <s v="Beneficio"/>
  </r>
  <r>
    <d v="2023-12-12T00:00:00"/>
    <s v="Construcciones Jiménez SL"/>
    <x v="1"/>
    <s v="Pladur Aislante 15mm"/>
    <s v="PLADUR"/>
    <n v="978"/>
    <n v="4.08"/>
    <n v="3990.24"/>
    <s v="ZARAGOZA"/>
    <x v="3"/>
    <s v="DIRECTO"/>
    <n v="3363.78"/>
    <n v="15.7"/>
    <x v="1"/>
    <n v="4"/>
    <s v="December"/>
    <x v="531"/>
    <x v="1"/>
    <x v="531"/>
    <s v="Beneficio"/>
  </r>
  <r>
    <d v="2023-02-11T00:00:00"/>
    <s v="Construcciones Costa SL"/>
    <x v="3"/>
    <s v="Placa Pladur Ignífuga"/>
    <s v="PLADUR"/>
    <n v="650"/>
    <n v="2.44"/>
    <n v="1586"/>
    <s v="ZARAGOZA"/>
    <x v="0"/>
    <s v="DISTRIBUIDOR"/>
    <n v="961"/>
    <n v="39.4"/>
    <x v="1"/>
    <n v="1"/>
    <s v="February"/>
    <x v="532"/>
    <x v="0"/>
    <x v="532"/>
    <s v="Beneficio"/>
  </r>
  <r>
    <d v="2023-05-10T00:00:00"/>
    <s v="Construcciones Jiménez SL"/>
    <x v="1"/>
    <s v="Placa Pladur Ignífuga"/>
    <s v="PLADUR"/>
    <n v="417"/>
    <n v="7.09"/>
    <n v="2956.53"/>
    <s v="BARCELONA"/>
    <x v="0"/>
    <s v="DISTRIBUIDOR"/>
    <n v="2331.65"/>
    <n v="21.1"/>
    <x v="1"/>
    <n v="2"/>
    <s v="May"/>
    <x v="533"/>
    <x v="1"/>
    <x v="533"/>
    <s v="Beneficio"/>
  </r>
  <r>
    <d v="2023-08-27T00:00:00"/>
    <s v="Construcciones Costa SL"/>
    <x v="3"/>
    <s v="Pladur 13mm"/>
    <s v="PLADUR"/>
    <n v="837"/>
    <n v="2.19"/>
    <n v="1833.03"/>
    <s v="MÁLAGA"/>
    <x v="4"/>
    <s v="ONLINE"/>
    <n v="1209.6400000000001"/>
    <n v="34"/>
    <x v="1"/>
    <n v="3"/>
    <s v="August"/>
    <x v="534"/>
    <x v="0"/>
    <x v="534"/>
    <s v="Beneficio"/>
  </r>
  <r>
    <d v="2023-02-19T00:00:00"/>
    <s v="Construcciones Hernández SL"/>
    <x v="0"/>
    <s v="Mortero Acrílico Blanco"/>
    <s v="MORTERO"/>
    <n v="299"/>
    <n v="7.85"/>
    <n v="2347.15"/>
    <s v="VALENCIA"/>
    <x v="0"/>
    <s v="DISTRIBUIDOR"/>
    <n v="1724.48"/>
    <n v="26.5"/>
    <x v="1"/>
    <n v="1"/>
    <s v="February"/>
    <x v="535"/>
    <x v="0"/>
    <x v="535"/>
    <s v="Beneficio"/>
  </r>
  <r>
    <d v="2023-04-17T00:00:00"/>
    <s v="Construcciones López SL"/>
    <x v="5"/>
    <s v="Mortero Monocapa Beige"/>
    <s v="MORTERO"/>
    <n v="214"/>
    <n v="11.96"/>
    <n v="2559.44"/>
    <s v="MADRID"/>
    <x v="0"/>
    <s v="DIRECTO"/>
    <n v="1938.98"/>
    <n v="24.2"/>
    <x v="1"/>
    <n v="2"/>
    <s v="April"/>
    <x v="536"/>
    <x v="1"/>
    <x v="536"/>
    <s v="Beneficio"/>
  </r>
  <r>
    <d v="2023-02-03T00:00:00"/>
    <s v="Construcciones Torres SL"/>
    <x v="2"/>
    <s v="Mortero Cementoso Gris"/>
    <s v="MORTERO"/>
    <n v="526"/>
    <n v="5.16"/>
    <n v="2714.16"/>
    <s v="MÁLAGA"/>
    <x v="2"/>
    <s v="ONLINE"/>
    <n v="2097.3200000000002"/>
    <n v="22.7"/>
    <x v="1"/>
    <n v="1"/>
    <s v="February"/>
    <x v="537"/>
    <x v="1"/>
    <x v="537"/>
    <s v="Beneficio"/>
  </r>
  <r>
    <d v="2023-03-24T00:00:00"/>
    <s v="Construcciones Torres SL"/>
    <x v="2"/>
    <s v="Mortero Monocapa Beige"/>
    <s v="MORTERO"/>
    <n v="559"/>
    <n v="4.1399999999999997"/>
    <n v="2314.2600000000002"/>
    <s v="BARCELONA"/>
    <x v="5"/>
    <s v="DIRECTO"/>
    <n v="1698.18"/>
    <n v="26.6"/>
    <x v="1"/>
    <n v="1"/>
    <s v="March"/>
    <x v="538"/>
    <x v="0"/>
    <x v="538"/>
    <s v="Beneficio"/>
  </r>
  <r>
    <d v="2023-02-18T00:00:00"/>
    <s v="Construcciones García SL"/>
    <x v="4"/>
    <s v="Perlita Expandida 40L"/>
    <s v="PERLITA"/>
    <n v="308"/>
    <n v="7.97"/>
    <n v="2454.7600000000002"/>
    <s v="ZARAGOZA"/>
    <x v="2"/>
    <s v="DISTRIBUIDOR"/>
    <n v="1839.79"/>
    <n v="25.1"/>
    <x v="1"/>
    <n v="1"/>
    <s v="February"/>
    <x v="539"/>
    <x v="0"/>
    <x v="539"/>
    <s v="Beneficio"/>
  </r>
  <r>
    <d v="2023-07-02T00:00:00"/>
    <s v="Construcciones Torres SL"/>
    <x v="2"/>
    <s v="Perlita Expandida 40L"/>
    <s v="PERLITA"/>
    <n v="819"/>
    <n v="6.85"/>
    <n v="5610.15"/>
    <s v="BARCELONA"/>
    <x v="3"/>
    <s v="DIRECTO"/>
    <n v="4997.42"/>
    <n v="10.9"/>
    <x v="1"/>
    <n v="3"/>
    <s v="July"/>
    <x v="540"/>
    <x v="1"/>
    <x v="540"/>
    <s v="Beneficio"/>
  </r>
  <r>
    <d v="2023-02-10T00:00:00"/>
    <s v="Construcciones Costa SL"/>
    <x v="3"/>
    <s v="Placa Pladur Ignífuga"/>
    <s v="PLADUR"/>
    <n v="210"/>
    <n v="7.77"/>
    <n v="1631.7"/>
    <s v="MADRID"/>
    <x v="2"/>
    <s v="ONLINE"/>
    <n v="1021.01"/>
    <n v="37.4"/>
    <x v="1"/>
    <n v="1"/>
    <s v="February"/>
    <x v="541"/>
    <x v="0"/>
    <x v="541"/>
    <s v="Beneficio"/>
  </r>
  <r>
    <d v="2023-09-06T00:00:00"/>
    <s v="Construcciones López SL"/>
    <x v="5"/>
    <s v="Placa Pladur Ignífuga"/>
    <s v="PLADUR"/>
    <n v="560"/>
    <n v="5.2"/>
    <n v="2912"/>
    <s v="MURCIA"/>
    <x v="3"/>
    <s v="DISTRIBUIDOR"/>
    <n v="2303.2399999999998"/>
    <n v="20.9"/>
    <x v="1"/>
    <n v="3"/>
    <s v="September"/>
    <x v="542"/>
    <x v="1"/>
    <x v="542"/>
    <s v="Beneficio"/>
  </r>
  <r>
    <d v="2023-04-18T00:00:00"/>
    <s v="Construcciones López SL"/>
    <x v="5"/>
    <s v="Mortero Monocapa Beige"/>
    <s v="MORTERO"/>
    <n v="452"/>
    <n v="7.2"/>
    <n v="3254.4"/>
    <s v="SEVILLA"/>
    <x v="1"/>
    <s v="DIRECTO"/>
    <n v="2649.17"/>
    <n v="18.600000000000001"/>
    <x v="1"/>
    <n v="2"/>
    <s v="April"/>
    <x v="543"/>
    <x v="1"/>
    <x v="543"/>
    <s v="Beneficio"/>
  </r>
  <r>
    <d v="2023-06-14T00:00:00"/>
    <s v="Construcciones Torres SL"/>
    <x v="2"/>
    <s v="Mortero Acrílico Blanco"/>
    <s v="MORTERO"/>
    <n v="535"/>
    <n v="6.69"/>
    <n v="3579.15"/>
    <s v="BILBAO"/>
    <x v="4"/>
    <s v="DIRECTO"/>
    <n v="2974.37"/>
    <n v="16.899999999999999"/>
    <x v="1"/>
    <n v="2"/>
    <s v="June"/>
    <x v="544"/>
    <x v="1"/>
    <x v="544"/>
    <s v="Beneficio"/>
  </r>
  <r>
    <d v="2023-01-13T00:00:00"/>
    <s v="Construcciones Hernández SL"/>
    <x v="0"/>
    <s v="Pladur Aislante 15mm"/>
    <s v="PLADUR"/>
    <n v="686"/>
    <n v="3.03"/>
    <n v="2078.58"/>
    <s v="BARCELONA"/>
    <x v="0"/>
    <s v="DIRECTO"/>
    <n v="1477.79"/>
    <n v="28.9"/>
    <x v="1"/>
    <n v="1"/>
    <s v="January"/>
    <x v="545"/>
    <x v="0"/>
    <x v="545"/>
    <s v="Beneficio"/>
  </r>
  <r>
    <d v="2023-06-01T00:00:00"/>
    <s v="Construcciones Hernández SL"/>
    <x v="0"/>
    <s v="Mortero Acrílico Blanco"/>
    <s v="MORTERO"/>
    <n v="211"/>
    <n v="7.72"/>
    <n v="1628.92"/>
    <s v="BARCELONA"/>
    <x v="5"/>
    <s v="ONLINE"/>
    <n v="1031.04"/>
    <n v="36.700000000000003"/>
    <x v="1"/>
    <n v="2"/>
    <s v="June"/>
    <x v="546"/>
    <x v="0"/>
    <x v="546"/>
    <s v="Beneficio"/>
  </r>
  <r>
    <d v="2024-03-20T00:00:00"/>
    <s v="Construcciones Jiménez SL"/>
    <x v="1"/>
    <s v="Placa Pladur Ignífuga"/>
    <s v="PLADUR"/>
    <n v="320"/>
    <n v="7.02"/>
    <n v="2246.4"/>
    <s v="MÁLAGA"/>
    <x v="3"/>
    <s v="DIRECTO"/>
    <n v="1648.8"/>
    <n v="26.6"/>
    <x v="0"/>
    <n v="1"/>
    <s v="March"/>
    <x v="547"/>
    <x v="0"/>
    <x v="547"/>
    <s v="Beneficio"/>
  </r>
  <r>
    <d v="2023-01-29T00:00:00"/>
    <s v="Construcciones García SL"/>
    <x v="4"/>
    <s v="Mortero Acrílico Blanco"/>
    <s v="MORTERO"/>
    <n v="805"/>
    <n v="6.65"/>
    <n v="5353.25"/>
    <s v="BILBAO"/>
    <x v="1"/>
    <s v="DISTRIBUIDOR"/>
    <n v="4756.49"/>
    <n v="11.1"/>
    <x v="1"/>
    <n v="1"/>
    <s v="January"/>
    <x v="548"/>
    <x v="1"/>
    <x v="548"/>
    <s v="Beneficio"/>
  </r>
  <r>
    <d v="2024-04-24T00:00:00"/>
    <s v="Construcciones Hernández SL"/>
    <x v="0"/>
    <s v="Pladur Aislante 15mm"/>
    <s v="PLADUR"/>
    <n v="511"/>
    <n v="3.66"/>
    <n v="1870.26"/>
    <s v="VALENCIA"/>
    <x v="2"/>
    <s v="DISTRIBUIDOR"/>
    <n v="1276.3"/>
    <n v="31.8"/>
    <x v="0"/>
    <n v="2"/>
    <s v="April"/>
    <x v="549"/>
    <x v="0"/>
    <x v="549"/>
    <s v="Beneficio"/>
  </r>
  <r>
    <d v="2023-09-26T00:00:00"/>
    <s v="Construcciones Hernández SL"/>
    <x v="0"/>
    <s v="Pladur Aislante 15mm"/>
    <s v="PLADUR"/>
    <n v="292"/>
    <n v="7.92"/>
    <n v="2312.64"/>
    <s v="MADRID"/>
    <x v="4"/>
    <s v="ONLINE"/>
    <n v="1720.86"/>
    <n v="25.6"/>
    <x v="1"/>
    <n v="3"/>
    <s v="September"/>
    <x v="550"/>
    <x v="0"/>
    <x v="550"/>
    <s v="Beneficio"/>
  </r>
  <r>
    <d v="2023-02-10T00:00:00"/>
    <s v="Construcciones Hernández SL"/>
    <x v="0"/>
    <s v="Pladur 13mm"/>
    <s v="PLADUR"/>
    <n v="992"/>
    <n v="4.21"/>
    <n v="4176.32"/>
    <s v="MURCIA"/>
    <x v="0"/>
    <s v="ONLINE"/>
    <n v="3584.93"/>
    <n v="14.2"/>
    <x v="1"/>
    <n v="1"/>
    <s v="February"/>
    <x v="551"/>
    <x v="1"/>
    <x v="551"/>
    <s v="Beneficio"/>
  </r>
  <r>
    <d v="2023-03-14T00:00:00"/>
    <s v="Construcciones López SL"/>
    <x v="5"/>
    <s v="Mortero Cementoso Gris"/>
    <s v="MORTERO"/>
    <n v="414"/>
    <n v="4.71"/>
    <n v="1949.94"/>
    <s v="MÁLAGA"/>
    <x v="4"/>
    <s v="DIRECTO"/>
    <n v="1358.72"/>
    <n v="30.3"/>
    <x v="1"/>
    <n v="1"/>
    <s v="March"/>
    <x v="552"/>
    <x v="0"/>
    <x v="552"/>
    <s v="Beneficio"/>
  </r>
  <r>
    <d v="2023-01-10T00:00:00"/>
    <s v="Construcciones López SL"/>
    <x v="5"/>
    <s v="Mortero Acrílico Blanco"/>
    <s v="MORTERO"/>
    <n v="784"/>
    <n v="6.63"/>
    <n v="5197.92"/>
    <s v="SEVILLA"/>
    <x v="1"/>
    <s v="DISTRIBUIDOR"/>
    <n v="4609.59"/>
    <n v="11.3"/>
    <x v="1"/>
    <n v="1"/>
    <s v="January"/>
    <x v="553"/>
    <x v="1"/>
    <x v="553"/>
    <s v="Beneficio"/>
  </r>
  <r>
    <d v="2025-05-26T00:00:00"/>
    <s v="Construcciones García SL"/>
    <x v="4"/>
    <s v="Mortero Acrílico Blanco"/>
    <s v="MORTERO"/>
    <n v="188"/>
    <n v="8.75"/>
    <n v="1645"/>
    <s v="BILBAO"/>
    <x v="1"/>
    <s v="ONLINE"/>
    <n v="1059.5"/>
    <n v="35.6"/>
    <x v="2"/>
    <n v="2"/>
    <s v="May"/>
    <x v="554"/>
    <x v="0"/>
    <x v="554"/>
    <s v="Beneficio"/>
  </r>
  <r>
    <d v="2023-06-11T00:00:00"/>
    <s v="Construcciones Hernández SL"/>
    <x v="0"/>
    <s v="Perlita Natural Grano Fino"/>
    <s v="PERLITA"/>
    <n v="635"/>
    <n v="2.85"/>
    <n v="1809.75"/>
    <s v="ZARAGOZA"/>
    <x v="2"/>
    <s v="DISTRIBUIDOR"/>
    <n v="1224.3800000000001"/>
    <n v="32.299999999999997"/>
    <x v="1"/>
    <n v="2"/>
    <s v="June"/>
    <x v="555"/>
    <x v="0"/>
    <x v="555"/>
    <s v="Beneficio"/>
  </r>
  <r>
    <d v="2023-11-16T00:00:00"/>
    <s v="Construcciones Torres SL"/>
    <x v="2"/>
    <s v="Pladur 13mm"/>
    <s v="PLADUR"/>
    <n v="494"/>
    <n v="11.46"/>
    <n v="5661.24"/>
    <s v="MÁLAGA"/>
    <x v="4"/>
    <s v="DISTRIBUIDOR"/>
    <n v="5076.58"/>
    <n v="10.3"/>
    <x v="1"/>
    <n v="4"/>
    <s v="November"/>
    <x v="556"/>
    <x v="1"/>
    <x v="556"/>
    <s v="Beneficio"/>
  </r>
  <r>
    <d v="2023-01-30T00:00:00"/>
    <s v="Construcciones García SL"/>
    <x v="4"/>
    <s v="Pladur Aislante 15mm"/>
    <s v="PLADUR"/>
    <n v="795"/>
    <n v="4.96"/>
    <n v="3943.2"/>
    <s v="BILBAO"/>
    <x v="0"/>
    <s v="ONLINE"/>
    <n v="3358.7"/>
    <n v="14.8"/>
    <x v="1"/>
    <n v="1"/>
    <s v="January"/>
    <x v="557"/>
    <x v="1"/>
    <x v="557"/>
    <s v="Beneficio"/>
  </r>
  <r>
    <d v="2024-06-20T00:00:00"/>
    <s v="Construcciones Costa SL"/>
    <x v="3"/>
    <s v="Pladur Aislante 15mm"/>
    <s v="PLADUR"/>
    <n v="412"/>
    <n v="4.67"/>
    <n v="1924.04"/>
    <s v="MÁLAGA"/>
    <x v="3"/>
    <s v="ONLINE"/>
    <n v="1339.79"/>
    <n v="30.4"/>
    <x v="0"/>
    <n v="2"/>
    <s v="June"/>
    <x v="558"/>
    <x v="0"/>
    <x v="558"/>
    <s v="Beneficio"/>
  </r>
  <r>
    <d v="2024-03-15T00:00:00"/>
    <s v="Construcciones Jiménez SL"/>
    <x v="1"/>
    <s v="Pladur 13mm"/>
    <s v="PLADUR"/>
    <n v="516"/>
    <n v="3.47"/>
    <n v="1790.52"/>
    <s v="BILBAO"/>
    <x v="5"/>
    <s v="ONLINE"/>
    <n v="1211.3800000000001"/>
    <n v="32.299999999999997"/>
    <x v="0"/>
    <n v="1"/>
    <s v="March"/>
    <x v="559"/>
    <x v="0"/>
    <x v="559"/>
    <s v="Beneficio"/>
  </r>
  <r>
    <d v="2024-12-30T00:00:00"/>
    <s v="Construcciones Torres SL"/>
    <x v="2"/>
    <s v="Pladur 13mm"/>
    <s v="PLADUR"/>
    <n v="445"/>
    <n v="8.08"/>
    <n v="3595.6"/>
    <s v="VALENCIA"/>
    <x v="2"/>
    <s v="ONLINE"/>
    <n v="3017.63"/>
    <n v="16.100000000000001"/>
    <x v="0"/>
    <n v="4"/>
    <s v="December"/>
    <x v="560"/>
    <x v="1"/>
    <x v="560"/>
    <s v="Beneficio"/>
  </r>
  <r>
    <d v="2024-04-16T00:00:00"/>
    <s v="Construcciones García SL"/>
    <x v="4"/>
    <s v="Mortero Acrílico Blanco"/>
    <s v="MORTERO"/>
    <n v="667"/>
    <n v="2.92"/>
    <n v="1947.64"/>
    <s v="ZARAGOZA"/>
    <x v="0"/>
    <s v="DIRECTO"/>
    <n v="1370.58"/>
    <n v="29.6"/>
    <x v="0"/>
    <n v="2"/>
    <s v="April"/>
    <x v="561"/>
    <x v="0"/>
    <x v="561"/>
    <s v="Beneficio"/>
  </r>
  <r>
    <d v="2023-06-24T00:00:00"/>
    <s v="Construcciones García SL"/>
    <x v="4"/>
    <s v="Mortero Cementoso Gris"/>
    <s v="MORTERO"/>
    <n v="532"/>
    <n v="6.71"/>
    <n v="3569.72"/>
    <s v="MÁLAGA"/>
    <x v="0"/>
    <s v="DIRECTO"/>
    <n v="2994.51"/>
    <n v="16.100000000000001"/>
    <x v="1"/>
    <n v="2"/>
    <s v="June"/>
    <x v="562"/>
    <x v="1"/>
    <x v="562"/>
    <s v="Beneficio"/>
  </r>
  <r>
    <d v="2023-02-10T00:00:00"/>
    <s v="Construcciones Costa SL"/>
    <x v="3"/>
    <s v="Mortero Monocapa Beige"/>
    <s v="MORTERO"/>
    <n v="574"/>
    <n v="4.6900000000000004"/>
    <n v="2692.06"/>
    <s v="MADRID"/>
    <x v="0"/>
    <s v="DIRECTO"/>
    <n v="2117.3000000000002"/>
    <n v="21.4"/>
    <x v="1"/>
    <n v="1"/>
    <s v="February"/>
    <x v="563"/>
    <x v="1"/>
    <x v="563"/>
    <s v="Beneficio"/>
  </r>
  <r>
    <d v="2023-02-25T00:00:00"/>
    <s v="Construcciones Jiménez SL"/>
    <x v="1"/>
    <s v="Perlita Expandida 40L"/>
    <s v="PERLITA"/>
    <n v="415"/>
    <n v="6.2"/>
    <n v="2573"/>
    <s v="SEVILLA"/>
    <x v="4"/>
    <s v="ONLINE"/>
    <n v="1999.13"/>
    <n v="22.3"/>
    <x v="1"/>
    <n v="1"/>
    <s v="February"/>
    <x v="564"/>
    <x v="1"/>
    <x v="564"/>
    <s v="Beneficio"/>
  </r>
  <r>
    <d v="2024-06-01T00:00:00"/>
    <s v="Construcciones Jiménez SL"/>
    <x v="1"/>
    <s v="Mortero Acrílico Blanco"/>
    <s v="MORTERO"/>
    <n v="738"/>
    <n v="2.5299999999999998"/>
    <n v="1867.14"/>
    <s v="BILBAO"/>
    <x v="5"/>
    <s v="DISTRIBUIDOR"/>
    <n v="1293.73"/>
    <n v="30.7"/>
    <x v="0"/>
    <n v="2"/>
    <s v="June"/>
    <x v="565"/>
    <x v="0"/>
    <x v="565"/>
    <s v="Beneficio"/>
  </r>
  <r>
    <d v="2023-05-29T00:00:00"/>
    <s v="Construcciones García SL"/>
    <x v="4"/>
    <s v="Perlita Expandida 40L"/>
    <s v="PERLITA"/>
    <n v="929"/>
    <n v="2.04"/>
    <n v="1895.16"/>
    <s v="ZARAGOZA"/>
    <x v="1"/>
    <s v="ONLINE"/>
    <n v="1322.03"/>
    <n v="30.2"/>
    <x v="1"/>
    <n v="2"/>
    <s v="May"/>
    <x v="566"/>
    <x v="0"/>
    <x v="566"/>
    <s v="Beneficio"/>
  </r>
  <r>
    <d v="2023-05-28T00:00:00"/>
    <s v="Construcciones Costa SL"/>
    <x v="3"/>
    <s v="Pladur Aislante 15mm"/>
    <s v="PLADUR"/>
    <n v="428"/>
    <n v="11.57"/>
    <n v="4951.96"/>
    <s v="BARCELONA"/>
    <x v="0"/>
    <s v="DIRECTO"/>
    <n v="4379.59"/>
    <n v="11.6"/>
    <x v="1"/>
    <n v="2"/>
    <s v="May"/>
    <x v="567"/>
    <x v="1"/>
    <x v="567"/>
    <s v="Beneficio"/>
  </r>
  <r>
    <d v="2023-01-28T00:00:00"/>
    <s v="Construcciones Jiménez SL"/>
    <x v="1"/>
    <s v="Pladur Aislante 15mm"/>
    <s v="PLADUR"/>
    <n v="874"/>
    <n v="2.67"/>
    <n v="2333.58"/>
    <s v="VALENCIA"/>
    <x v="0"/>
    <s v="ONLINE"/>
    <n v="1764.71"/>
    <n v="24.4"/>
    <x v="1"/>
    <n v="1"/>
    <s v="January"/>
    <x v="568"/>
    <x v="1"/>
    <x v="568"/>
    <s v="Beneficio"/>
  </r>
  <r>
    <d v="2024-10-06T00:00:00"/>
    <s v="Construcciones García SL"/>
    <x v="4"/>
    <s v="Pladur Aislante 15mm"/>
    <s v="PLADUR"/>
    <n v="425"/>
    <n v="8.31"/>
    <n v="3531.75"/>
    <s v="BARCELONA"/>
    <x v="5"/>
    <s v="DIRECTO"/>
    <n v="2964.57"/>
    <n v="16.100000000000001"/>
    <x v="0"/>
    <n v="4"/>
    <s v="October"/>
    <x v="569"/>
    <x v="1"/>
    <x v="569"/>
    <s v="Beneficio"/>
  </r>
  <r>
    <d v="2024-03-13T00:00:00"/>
    <s v="Construcciones García SL"/>
    <x v="4"/>
    <s v="Perlita Natural Grano Fino"/>
    <s v="PERLITA"/>
    <n v="889"/>
    <n v="4.43"/>
    <n v="3938.27"/>
    <s v="ZARAGOZA"/>
    <x v="3"/>
    <s v="DIRECTO"/>
    <n v="3373.24"/>
    <n v="14.3"/>
    <x v="0"/>
    <n v="1"/>
    <s v="March"/>
    <x v="570"/>
    <x v="1"/>
    <x v="570"/>
    <s v="Beneficio"/>
  </r>
  <r>
    <d v="2023-05-07T00:00:00"/>
    <s v="Construcciones Torres SL"/>
    <x v="2"/>
    <s v="Mortero Cementoso Gris"/>
    <s v="MORTERO"/>
    <n v="654"/>
    <n v="2.1800000000000002"/>
    <n v="1425.72"/>
    <s v="SEVILLA"/>
    <x v="0"/>
    <s v="ONLINE"/>
    <n v="862.11"/>
    <n v="39.5"/>
    <x v="1"/>
    <n v="2"/>
    <s v="May"/>
    <x v="571"/>
    <x v="0"/>
    <x v="571"/>
    <s v="Beneficio"/>
  </r>
  <r>
    <d v="2023-03-15T00:00:00"/>
    <s v="Construcciones Jiménez SL"/>
    <x v="1"/>
    <s v="Mortero Cementoso Gris"/>
    <s v="MORTERO"/>
    <n v="124"/>
    <n v="11.8"/>
    <n v="1463.2"/>
    <s v="VALENCIA"/>
    <x v="4"/>
    <s v="DISTRIBUIDOR"/>
    <n v="901.38"/>
    <n v="38.4"/>
    <x v="1"/>
    <n v="1"/>
    <s v="March"/>
    <x v="572"/>
    <x v="0"/>
    <x v="572"/>
    <s v="Beneficio"/>
  </r>
  <r>
    <d v="2023-01-07T00:00:00"/>
    <s v="Construcciones Jiménez SL"/>
    <x v="1"/>
    <s v="Mortero Acrílico Blanco"/>
    <s v="MORTERO"/>
    <n v="855"/>
    <n v="2.88"/>
    <n v="2462.4"/>
    <s v="SEVILLA"/>
    <x v="0"/>
    <s v="DISTRIBUIDOR"/>
    <n v="1901.38"/>
    <n v="22.8"/>
    <x v="1"/>
    <n v="1"/>
    <s v="January"/>
    <x v="573"/>
    <x v="1"/>
    <x v="573"/>
    <s v="Beneficio"/>
  </r>
  <r>
    <d v="2023-03-09T00:00:00"/>
    <s v="Construcciones Jiménez SL"/>
    <x v="1"/>
    <s v="Perlita Expandida 40L"/>
    <s v="PERLITA"/>
    <n v="720"/>
    <n v="2.4"/>
    <n v="1728"/>
    <s v="MÁLAGA"/>
    <x v="0"/>
    <s v="DIRECTO"/>
    <n v="1167.08"/>
    <n v="32.5"/>
    <x v="1"/>
    <n v="1"/>
    <s v="March"/>
    <x v="574"/>
    <x v="0"/>
    <x v="574"/>
    <s v="Beneficio"/>
  </r>
  <r>
    <d v="2023-03-16T00:00:00"/>
    <s v="Construcciones López SL"/>
    <x v="5"/>
    <s v="Placa Pladur Ignífuga"/>
    <s v="PLADUR"/>
    <n v="594"/>
    <n v="3.01"/>
    <n v="1787.94"/>
    <s v="BARCELONA"/>
    <x v="0"/>
    <s v="ONLINE"/>
    <n v="1227.8900000000001"/>
    <n v="31.3"/>
    <x v="1"/>
    <n v="1"/>
    <s v="March"/>
    <x v="575"/>
    <x v="0"/>
    <x v="575"/>
    <s v="Beneficio"/>
  </r>
  <r>
    <d v="2023-10-03T00:00:00"/>
    <s v="Construcciones Costa SL"/>
    <x v="3"/>
    <s v="Perlita Natural Grano Fino"/>
    <s v="PERLITA"/>
    <n v="678"/>
    <n v="7.78"/>
    <n v="5274.84"/>
    <s v="MÁLAGA"/>
    <x v="5"/>
    <s v="DISTRIBUIDOR"/>
    <n v="4716.5600000000004"/>
    <n v="10.6"/>
    <x v="1"/>
    <n v="4"/>
    <s v="October"/>
    <x v="576"/>
    <x v="1"/>
    <x v="576"/>
    <s v="Beneficio"/>
  </r>
  <r>
    <d v="2023-07-01T00:00:00"/>
    <s v="Construcciones Jiménez SL"/>
    <x v="1"/>
    <s v="Perlita Expandida 40L"/>
    <s v="PERLITA"/>
    <n v="404"/>
    <n v="8.56"/>
    <n v="3458.24"/>
    <s v="MURCIA"/>
    <x v="5"/>
    <s v="DISTRIBUIDOR"/>
    <n v="2900.35"/>
    <n v="16.100000000000001"/>
    <x v="1"/>
    <n v="3"/>
    <s v="July"/>
    <x v="577"/>
    <x v="1"/>
    <x v="577"/>
    <s v="Beneficio"/>
  </r>
  <r>
    <d v="2023-02-22T00:00:00"/>
    <s v="Construcciones López SL"/>
    <x v="5"/>
    <s v="Perlita Natural Grano Fino"/>
    <s v="PERLITA"/>
    <n v="331"/>
    <n v="4.79"/>
    <n v="1585.49"/>
    <s v="SEVILLA"/>
    <x v="0"/>
    <s v="ONLINE"/>
    <n v="1027.9000000000001"/>
    <n v="35.200000000000003"/>
    <x v="1"/>
    <n v="1"/>
    <s v="February"/>
    <x v="578"/>
    <x v="0"/>
    <x v="578"/>
    <s v="Beneficio"/>
  </r>
  <r>
    <d v="2023-02-02T00:00:00"/>
    <s v="Construcciones López SL"/>
    <x v="5"/>
    <s v="Perlita Natural Grano Fino"/>
    <s v="PERLITA"/>
    <n v="943"/>
    <n v="2.09"/>
    <n v="1970.87"/>
    <s v="BILBAO"/>
    <x v="4"/>
    <s v="DIRECTO"/>
    <n v="1413.35"/>
    <n v="28.3"/>
    <x v="1"/>
    <n v="1"/>
    <s v="February"/>
    <x v="579"/>
    <x v="0"/>
    <x v="579"/>
    <s v="Beneficio"/>
  </r>
  <r>
    <d v="2023-07-03T00:00:00"/>
    <s v="Construcciones Jiménez SL"/>
    <x v="1"/>
    <s v="Mortero Acrílico Blanco"/>
    <s v="MORTERO"/>
    <n v="488"/>
    <n v="8.7799999999999994"/>
    <n v="4284.6400000000003"/>
    <s v="VALENCIA"/>
    <x v="2"/>
    <s v="DISTRIBUIDOR"/>
    <n v="3728.79"/>
    <n v="13"/>
    <x v="1"/>
    <n v="3"/>
    <s v="July"/>
    <x v="580"/>
    <x v="1"/>
    <x v="580"/>
    <s v="Beneficio"/>
  </r>
  <r>
    <d v="2023-01-29T00:00:00"/>
    <s v="Construcciones García SL"/>
    <x v="4"/>
    <s v="Perlita Expandida 40L"/>
    <s v="PERLITA"/>
    <n v="635"/>
    <n v="3.18"/>
    <n v="2019.3"/>
    <s v="BILBAO"/>
    <x v="4"/>
    <s v="DIRECTO"/>
    <n v="1464.69"/>
    <n v="27.5"/>
    <x v="1"/>
    <n v="1"/>
    <s v="January"/>
    <x v="581"/>
    <x v="0"/>
    <x v="581"/>
    <s v="Beneficio"/>
  </r>
  <r>
    <d v="2023-01-15T00:00:00"/>
    <s v="Construcciones Hernández SL"/>
    <x v="0"/>
    <s v="Mortero Cementoso Gris"/>
    <s v="MORTERO"/>
    <n v="890"/>
    <n v="2.2599999999999998"/>
    <n v="2011.4"/>
    <s v="VALENCIA"/>
    <x v="0"/>
    <s v="DIRECTO"/>
    <n v="1459.07"/>
    <n v="27.5"/>
    <x v="1"/>
    <n v="1"/>
    <s v="January"/>
    <x v="582"/>
    <x v="0"/>
    <x v="582"/>
    <s v="Beneficio"/>
  </r>
  <r>
    <d v="2023-01-22T00:00:00"/>
    <s v="Construcciones Costa SL"/>
    <x v="3"/>
    <s v="Mortero Acrílico Blanco"/>
    <s v="MORTERO"/>
    <n v="750"/>
    <n v="6.32"/>
    <n v="4740"/>
    <s v="BARCELONA"/>
    <x v="5"/>
    <s v="ONLINE"/>
    <n v="4190.1400000000003"/>
    <n v="11.6"/>
    <x v="1"/>
    <n v="1"/>
    <s v="January"/>
    <x v="583"/>
    <x v="1"/>
    <x v="583"/>
    <s v="Beneficio"/>
  </r>
  <r>
    <d v="2023-05-11T00:00:00"/>
    <s v="Construcciones Hernández SL"/>
    <x v="0"/>
    <s v="Mortero Cementoso Gris"/>
    <s v="MORTERO"/>
    <n v="546"/>
    <n v="8.0500000000000007"/>
    <n v="4395.3"/>
    <s v="VALENCIA"/>
    <x v="0"/>
    <s v="DISTRIBUIDOR"/>
    <n v="3846.36"/>
    <n v="12.5"/>
    <x v="1"/>
    <n v="2"/>
    <s v="May"/>
    <x v="584"/>
    <x v="1"/>
    <x v="584"/>
    <s v="Beneficio"/>
  </r>
  <r>
    <d v="2024-02-09T00:00:00"/>
    <s v="Construcciones Hernández SL"/>
    <x v="0"/>
    <s v="Mortero Acrílico Blanco"/>
    <s v="MORTERO"/>
    <n v="329"/>
    <n v="9"/>
    <n v="2961"/>
    <s v="MURCIA"/>
    <x v="4"/>
    <s v="ONLINE"/>
    <n v="2413.8200000000002"/>
    <n v="18.5"/>
    <x v="0"/>
    <n v="1"/>
    <s v="February"/>
    <x v="585"/>
    <x v="1"/>
    <x v="585"/>
    <s v="Beneficio"/>
  </r>
  <r>
    <d v="2023-01-19T00:00:00"/>
    <s v="Construcciones López SL"/>
    <x v="5"/>
    <s v="Mortero Monocapa Beige"/>
    <s v="MORTERO"/>
    <n v="526"/>
    <n v="7.81"/>
    <n v="4108.0600000000004"/>
    <s v="BARCELONA"/>
    <x v="5"/>
    <s v="DISTRIBUIDOR"/>
    <n v="3561.21"/>
    <n v="13.3"/>
    <x v="1"/>
    <n v="1"/>
    <s v="January"/>
    <x v="586"/>
    <x v="1"/>
    <x v="586"/>
    <s v="Beneficio"/>
  </r>
  <r>
    <d v="2023-06-05T00:00:00"/>
    <s v="Construcciones Torres SL"/>
    <x v="2"/>
    <s v="Pladur Aislante 15mm"/>
    <s v="PLADUR"/>
    <n v="461"/>
    <n v="6.16"/>
    <n v="2839.76"/>
    <s v="MURCIA"/>
    <x v="1"/>
    <s v="DIRECTO"/>
    <n v="2293.4899999999998"/>
    <n v="19.2"/>
    <x v="1"/>
    <n v="2"/>
    <s v="June"/>
    <x v="587"/>
    <x v="1"/>
    <x v="587"/>
    <s v="Beneficio"/>
  </r>
  <r>
    <d v="2023-01-21T00:00:00"/>
    <s v="Construcciones García SL"/>
    <x v="4"/>
    <s v="Mortero Acrílico Blanco"/>
    <s v="MORTERO"/>
    <n v="527"/>
    <n v="3.23"/>
    <n v="1702.21"/>
    <s v="MÁLAGA"/>
    <x v="4"/>
    <s v="ONLINE"/>
    <n v="1157.21"/>
    <n v="32"/>
    <x v="1"/>
    <n v="1"/>
    <s v="January"/>
    <x v="588"/>
    <x v="0"/>
    <x v="588"/>
    <s v="Beneficio"/>
  </r>
  <r>
    <d v="2024-11-04T00:00:00"/>
    <s v="Construcciones García SL"/>
    <x v="4"/>
    <s v="Perlita Expandida 40L"/>
    <s v="PERLITA"/>
    <n v="619"/>
    <n v="2.77"/>
    <n v="1714.63"/>
    <s v="BARCELONA"/>
    <x v="0"/>
    <s v="DIRECTO"/>
    <n v="1169.94"/>
    <n v="31.8"/>
    <x v="0"/>
    <n v="4"/>
    <s v="November"/>
    <x v="589"/>
    <x v="0"/>
    <x v="589"/>
    <s v="Beneficio"/>
  </r>
  <r>
    <d v="2023-05-24T00:00:00"/>
    <s v="Construcciones Costa SL"/>
    <x v="3"/>
    <s v="Placa Pladur Ignífuga"/>
    <s v="PLADUR"/>
    <n v="314"/>
    <n v="7.15"/>
    <n v="2245.1"/>
    <s v="VALENCIA"/>
    <x v="0"/>
    <s v="DISTRIBUIDOR"/>
    <n v="1700.7"/>
    <n v="24.2"/>
    <x v="1"/>
    <n v="2"/>
    <s v="May"/>
    <x v="590"/>
    <x v="1"/>
    <x v="590"/>
    <s v="Beneficio"/>
  </r>
  <r>
    <d v="2023-10-18T00:00:00"/>
    <s v="Construcciones García SL"/>
    <x v="4"/>
    <s v="Mortero Monocapa Beige"/>
    <s v="MORTERO"/>
    <n v="996"/>
    <n v="4.05"/>
    <n v="4033.8"/>
    <s v="BARCELONA"/>
    <x v="3"/>
    <s v="ONLINE"/>
    <n v="3489.86"/>
    <n v="13.5"/>
    <x v="1"/>
    <n v="4"/>
    <s v="October"/>
    <x v="591"/>
    <x v="1"/>
    <x v="591"/>
    <s v="Beneficio"/>
  </r>
  <r>
    <d v="2024-01-25T00:00:00"/>
    <s v="Construcciones Costa SL"/>
    <x v="3"/>
    <s v="Pladur 13mm"/>
    <s v="PLADUR"/>
    <n v="990"/>
    <n v="2.94"/>
    <n v="2910.6"/>
    <s v="SEVILLA"/>
    <x v="3"/>
    <s v="DIRECTO"/>
    <n v="2367.73"/>
    <n v="18.7"/>
    <x v="0"/>
    <n v="1"/>
    <s v="January"/>
    <x v="592"/>
    <x v="1"/>
    <x v="592"/>
    <s v="Beneficio"/>
  </r>
  <r>
    <d v="2023-02-22T00:00:00"/>
    <s v="Construcciones Costa SL"/>
    <x v="3"/>
    <s v="Perlita Expandida 40L"/>
    <s v="PERLITA"/>
    <n v="137"/>
    <n v="11.5"/>
    <n v="1575.5"/>
    <s v="ZARAGOZA"/>
    <x v="2"/>
    <s v="DIRECTO"/>
    <n v="1033.75"/>
    <n v="34.4"/>
    <x v="1"/>
    <n v="1"/>
    <s v="February"/>
    <x v="593"/>
    <x v="0"/>
    <x v="593"/>
    <s v="Beneficio"/>
  </r>
  <r>
    <d v="2023-02-12T00:00:00"/>
    <s v="Construcciones Torres SL"/>
    <x v="2"/>
    <s v="Pladur Aislante 15mm"/>
    <s v="PLADUR"/>
    <n v="259"/>
    <n v="5.95"/>
    <n v="1541.05"/>
    <s v="ZARAGOZA"/>
    <x v="2"/>
    <s v="DIRECTO"/>
    <n v="999.47"/>
    <n v="35.1"/>
    <x v="1"/>
    <n v="1"/>
    <s v="February"/>
    <x v="594"/>
    <x v="0"/>
    <x v="594"/>
    <s v="Beneficio"/>
  </r>
  <r>
    <d v="2024-10-27T00:00:00"/>
    <s v="Construcciones Jiménez SL"/>
    <x v="1"/>
    <s v="Mortero Cementoso Gris"/>
    <s v="MORTERO"/>
    <n v="214"/>
    <n v="8"/>
    <n v="1712"/>
    <s v="MÁLAGA"/>
    <x v="2"/>
    <s v="ONLINE"/>
    <n v="1171.0899999999999"/>
    <n v="31.6"/>
    <x v="0"/>
    <n v="4"/>
    <s v="October"/>
    <x v="595"/>
    <x v="0"/>
    <x v="595"/>
    <s v="Beneficio"/>
  </r>
  <r>
    <d v="2023-02-19T00:00:00"/>
    <s v="Construcciones López SL"/>
    <x v="5"/>
    <s v="Pladur 13mm"/>
    <s v="PLADUR"/>
    <n v="637"/>
    <n v="6.75"/>
    <n v="4299.75"/>
    <s v="ZARAGOZA"/>
    <x v="2"/>
    <s v="ONLINE"/>
    <n v="3759.79"/>
    <n v="12.6"/>
    <x v="1"/>
    <n v="1"/>
    <s v="February"/>
    <x v="596"/>
    <x v="1"/>
    <x v="596"/>
    <s v="Beneficio"/>
  </r>
  <r>
    <d v="2023-03-04T00:00:00"/>
    <s v="Construcciones Hernández SL"/>
    <x v="0"/>
    <s v="Placa Pladur Ignífuga"/>
    <s v="PLADUR"/>
    <n v="286"/>
    <n v="4.7300000000000004"/>
    <n v="1352.78"/>
    <s v="BARCELONA"/>
    <x v="5"/>
    <s v="ONLINE"/>
    <n v="813.3"/>
    <n v="39.9"/>
    <x v="1"/>
    <n v="1"/>
    <s v="March"/>
    <x v="597"/>
    <x v="0"/>
    <x v="597"/>
    <s v="Beneficio"/>
  </r>
  <r>
    <d v="2023-04-06T00:00:00"/>
    <s v="Construcciones López SL"/>
    <x v="5"/>
    <s v="Mortero Monocapa Beige"/>
    <s v="MORTERO"/>
    <n v="217"/>
    <n v="11.64"/>
    <n v="2525.88"/>
    <s v="MÁLAGA"/>
    <x v="4"/>
    <s v="DIRECTO"/>
    <n v="1987.1"/>
    <n v="21.3"/>
    <x v="1"/>
    <n v="2"/>
    <s v="April"/>
    <x v="598"/>
    <x v="1"/>
    <x v="598"/>
    <s v="Beneficio"/>
  </r>
  <r>
    <d v="2023-11-21T00:00:00"/>
    <s v="Construcciones López SL"/>
    <x v="5"/>
    <s v="Pladur Aislante 15mm"/>
    <s v="PLADUR"/>
    <n v="816"/>
    <n v="4.66"/>
    <n v="3802.56"/>
    <s v="VALENCIA"/>
    <x v="5"/>
    <s v="ONLINE"/>
    <n v="3265.56"/>
    <n v="14.1"/>
    <x v="1"/>
    <n v="4"/>
    <s v="November"/>
    <x v="599"/>
    <x v="1"/>
    <x v="599"/>
    <s v="Beneficio"/>
  </r>
  <r>
    <d v="2025-04-07T00:00:00"/>
    <s v="Construcciones Costa SL"/>
    <x v="3"/>
    <s v="Mortero Monocapa Beige"/>
    <s v="MORTERO"/>
    <n v="803"/>
    <n v="2.17"/>
    <n v="1742.51"/>
    <s v="BARCELONA"/>
    <x v="0"/>
    <s v="DISTRIBUIDOR"/>
    <n v="1206.97"/>
    <n v="30.7"/>
    <x v="2"/>
    <n v="2"/>
    <s v="April"/>
    <x v="600"/>
    <x v="0"/>
    <x v="600"/>
    <s v="Beneficio"/>
  </r>
  <r>
    <d v="2023-03-31T00:00:00"/>
    <s v="Construcciones Jiménez SL"/>
    <x v="1"/>
    <s v="Pladur Aislante 15mm"/>
    <s v="PLADUR"/>
    <n v="219"/>
    <n v="8.6300000000000008"/>
    <n v="1889.97"/>
    <s v="MADRID"/>
    <x v="4"/>
    <s v="ONLINE"/>
    <n v="1355.9"/>
    <n v="28.3"/>
    <x v="1"/>
    <n v="1"/>
    <s v="March"/>
    <x v="601"/>
    <x v="0"/>
    <x v="601"/>
    <s v="Beneficio"/>
  </r>
  <r>
    <d v="2023-11-14T00:00:00"/>
    <s v="Construcciones Hernández SL"/>
    <x v="0"/>
    <s v="Pladur Aislante 15mm"/>
    <s v="PLADUR"/>
    <n v="349"/>
    <n v="10.37"/>
    <n v="3619.13"/>
    <s v="MÁLAGA"/>
    <x v="3"/>
    <s v="DIRECTO"/>
    <n v="3085.67"/>
    <n v="14.7"/>
    <x v="1"/>
    <n v="4"/>
    <s v="November"/>
    <x v="602"/>
    <x v="1"/>
    <x v="602"/>
    <s v="Beneficio"/>
  </r>
  <r>
    <d v="2023-04-03T00:00:00"/>
    <s v="Construcciones Hernández SL"/>
    <x v="0"/>
    <s v="Mortero Acrílico Blanco"/>
    <s v="MORTERO"/>
    <n v="885"/>
    <n v="2"/>
    <n v="1770"/>
    <s v="BARCELONA"/>
    <x v="2"/>
    <s v="ONLINE"/>
    <n v="1236.8499999999999"/>
    <n v="30.1"/>
    <x v="1"/>
    <n v="2"/>
    <s v="April"/>
    <x v="603"/>
    <x v="0"/>
    <x v="603"/>
    <s v="Beneficio"/>
  </r>
  <r>
    <d v="2024-05-06T00:00:00"/>
    <s v="Construcciones Jiménez SL"/>
    <x v="1"/>
    <s v="Placa Pladur Ignífuga"/>
    <s v="PLADUR"/>
    <n v="767"/>
    <n v="4.4000000000000004"/>
    <n v="3374.8"/>
    <s v="VALENCIA"/>
    <x v="3"/>
    <s v="ONLINE"/>
    <n v="2842.66"/>
    <n v="15.8"/>
    <x v="0"/>
    <n v="2"/>
    <s v="May"/>
    <x v="604"/>
    <x v="1"/>
    <x v="604"/>
    <s v="Beneficio"/>
  </r>
  <r>
    <d v="2023-03-23T00:00:00"/>
    <s v="Construcciones López SL"/>
    <x v="5"/>
    <s v="Mortero Monocapa Beige"/>
    <s v="MORTERO"/>
    <n v="264"/>
    <n v="9.33"/>
    <n v="2463.12"/>
    <s v="MADRID"/>
    <x v="1"/>
    <s v="DIRECTO"/>
    <n v="1932.94"/>
    <n v="21.5"/>
    <x v="1"/>
    <n v="1"/>
    <s v="March"/>
    <x v="605"/>
    <x v="1"/>
    <x v="605"/>
    <s v="Beneficio"/>
  </r>
  <r>
    <d v="2024-04-20T00:00:00"/>
    <s v="Construcciones Jiménez SL"/>
    <x v="1"/>
    <s v="Perlita Natural Grano Fino"/>
    <s v="PERLITA"/>
    <n v="152"/>
    <n v="10.75"/>
    <n v="1634"/>
    <s v="MURCIA"/>
    <x v="1"/>
    <s v="DIRECTO"/>
    <n v="1106.8800000000001"/>
    <n v="32.299999999999997"/>
    <x v="0"/>
    <n v="2"/>
    <s v="April"/>
    <x v="606"/>
    <x v="0"/>
    <x v="606"/>
    <s v="Beneficio"/>
  </r>
  <r>
    <d v="2023-05-12T00:00:00"/>
    <s v="Construcciones López SL"/>
    <x v="5"/>
    <s v="Perlita Natural Grano Fino"/>
    <s v="PERLITA"/>
    <n v="371"/>
    <n v="10.58"/>
    <n v="3925.18"/>
    <s v="MADRID"/>
    <x v="5"/>
    <s v="ONLINE"/>
    <n v="3399.32"/>
    <n v="13.4"/>
    <x v="1"/>
    <n v="2"/>
    <s v="May"/>
    <x v="607"/>
    <x v="1"/>
    <x v="607"/>
    <s v="Beneficio"/>
  </r>
  <r>
    <d v="2025-02-15T00:00:00"/>
    <s v="Construcciones Jiménez SL"/>
    <x v="1"/>
    <s v="Placa Pladur Ignífuga"/>
    <s v="PLADUR"/>
    <n v="544"/>
    <n v="8.5299999999999994"/>
    <n v="4640.32"/>
    <s v="SEVILLA"/>
    <x v="0"/>
    <s v="DISTRIBUIDOR"/>
    <n v="4116.79"/>
    <n v="11.3"/>
    <x v="2"/>
    <n v="1"/>
    <s v="February"/>
    <x v="608"/>
    <x v="1"/>
    <x v="608"/>
    <s v="Beneficio"/>
  </r>
  <r>
    <d v="2025-09-13T00:00:00"/>
    <s v="Construcciones García SL"/>
    <x v="4"/>
    <s v="Perlita Expandida 40L"/>
    <s v="PERLITA"/>
    <n v="327"/>
    <n v="4.13"/>
    <n v="1350.51"/>
    <s v="MÁLAGA"/>
    <x v="2"/>
    <s v="ONLINE"/>
    <n v="827.7"/>
    <n v="38.700000000000003"/>
    <x v="2"/>
    <n v="3"/>
    <s v="September"/>
    <x v="609"/>
    <x v="0"/>
    <x v="609"/>
    <s v="Beneficio"/>
  </r>
  <r>
    <d v="2023-04-02T00:00:00"/>
    <s v="Construcciones Jiménez SL"/>
    <x v="1"/>
    <s v="Pladur 13mm"/>
    <s v="PLADUR"/>
    <n v="610"/>
    <n v="4.42"/>
    <n v="2696.2"/>
    <s v="ZARAGOZA"/>
    <x v="0"/>
    <s v="DIRECTO"/>
    <n v="2173.85"/>
    <n v="19.399999999999999"/>
    <x v="1"/>
    <n v="2"/>
    <s v="April"/>
    <x v="610"/>
    <x v="1"/>
    <x v="610"/>
    <s v="Beneficio"/>
  </r>
  <r>
    <d v="2023-08-15T00:00:00"/>
    <s v="Construcciones López SL"/>
    <x v="5"/>
    <s v="Perlita Natural Grano Fino"/>
    <s v="PERLITA"/>
    <n v="544"/>
    <n v="8.68"/>
    <n v="4721.92"/>
    <s v="VALENCIA"/>
    <x v="2"/>
    <s v="ONLINE"/>
    <n v="4199.79"/>
    <n v="11.1"/>
    <x v="1"/>
    <n v="3"/>
    <s v="August"/>
    <x v="611"/>
    <x v="1"/>
    <x v="611"/>
    <s v="Beneficio"/>
  </r>
  <r>
    <d v="2023-12-26T00:00:00"/>
    <s v="Construcciones Torres SL"/>
    <x v="2"/>
    <s v="Pladur Aislante 15mm"/>
    <s v="PLADUR"/>
    <n v="744"/>
    <n v="2.5"/>
    <n v="1860"/>
    <s v="VALENCIA"/>
    <x v="5"/>
    <s v="DIRECTO"/>
    <n v="1339.55"/>
    <n v="28"/>
    <x v="1"/>
    <n v="4"/>
    <s v="December"/>
    <x v="612"/>
    <x v="0"/>
    <x v="612"/>
    <s v="Beneficio"/>
  </r>
  <r>
    <d v="2023-01-09T00:00:00"/>
    <s v="Construcciones Hernández SL"/>
    <x v="0"/>
    <s v="Mortero Acrílico Blanco"/>
    <s v="MORTERO"/>
    <n v="706"/>
    <n v="5.01"/>
    <n v="3537.06"/>
    <s v="SEVILLA"/>
    <x v="1"/>
    <s v="DIRECTO"/>
    <n v="3018.46"/>
    <n v="14.7"/>
    <x v="1"/>
    <n v="1"/>
    <s v="January"/>
    <x v="613"/>
    <x v="1"/>
    <x v="613"/>
    <s v="Beneficio"/>
  </r>
  <r>
    <d v="2023-02-17T00:00:00"/>
    <s v="Construcciones García SL"/>
    <x v="4"/>
    <s v="Pladur Aislante 15mm"/>
    <s v="PLADUR"/>
    <n v="388"/>
    <n v="10.220000000000001"/>
    <n v="3965.36"/>
    <s v="MÁLAGA"/>
    <x v="5"/>
    <s v="DISTRIBUIDOR"/>
    <n v="3446.96"/>
    <n v="13.1"/>
    <x v="1"/>
    <n v="1"/>
    <s v="February"/>
    <x v="614"/>
    <x v="1"/>
    <x v="614"/>
    <s v="Beneficio"/>
  </r>
  <r>
    <d v="2023-01-23T00:00:00"/>
    <s v="Construcciones García SL"/>
    <x v="4"/>
    <s v="Perlita Expandida 40L"/>
    <s v="PERLITA"/>
    <n v="427"/>
    <n v="5.54"/>
    <n v="2365.58"/>
    <s v="SEVILLA"/>
    <x v="3"/>
    <s v="DIRECTO"/>
    <n v="1849.13"/>
    <n v="21.8"/>
    <x v="1"/>
    <n v="1"/>
    <s v="January"/>
    <x v="615"/>
    <x v="1"/>
    <x v="615"/>
    <s v="Beneficio"/>
  </r>
  <r>
    <d v="2023-06-23T00:00:00"/>
    <s v="Construcciones Torres SL"/>
    <x v="2"/>
    <s v="Mortero Cementoso Gris"/>
    <s v="MORTERO"/>
    <n v="326"/>
    <n v="9.8699999999999992"/>
    <n v="3217.62"/>
    <s v="SEVILLA"/>
    <x v="4"/>
    <s v="ONLINE"/>
    <n v="2702.87"/>
    <n v="16"/>
    <x v="1"/>
    <n v="2"/>
    <s v="June"/>
    <x v="616"/>
    <x v="1"/>
    <x v="616"/>
    <s v="Beneficio"/>
  </r>
  <r>
    <d v="2023-07-20T00:00:00"/>
    <s v="Construcciones Torres SL"/>
    <x v="2"/>
    <s v="Placa Pladur Ignífuga"/>
    <s v="PLADUR"/>
    <n v="854"/>
    <n v="3.77"/>
    <n v="3219.58"/>
    <s v="BILBAO"/>
    <x v="3"/>
    <s v="ONLINE"/>
    <n v="2705.8"/>
    <n v="16"/>
    <x v="1"/>
    <n v="3"/>
    <s v="July"/>
    <x v="617"/>
    <x v="1"/>
    <x v="617"/>
    <s v="Beneficio"/>
  </r>
  <r>
    <d v="2024-03-10T00:00:00"/>
    <s v="Construcciones López SL"/>
    <x v="5"/>
    <s v="Pladur 13mm"/>
    <s v="PLADUR"/>
    <n v="387"/>
    <n v="5.07"/>
    <n v="1962.09"/>
    <s v="SEVILLA"/>
    <x v="1"/>
    <s v="ONLINE"/>
    <n v="1449.52"/>
    <n v="26.1"/>
    <x v="0"/>
    <n v="1"/>
    <s v="March"/>
    <x v="618"/>
    <x v="0"/>
    <x v="618"/>
    <s v="Beneficio"/>
  </r>
  <r>
    <d v="2023-10-10T00:00:00"/>
    <s v="Construcciones Costa SL"/>
    <x v="3"/>
    <s v="Mortero Acrílico Blanco"/>
    <s v="MORTERO"/>
    <n v="341"/>
    <n v="4.12"/>
    <n v="1404.92"/>
    <s v="BILBAO"/>
    <x v="3"/>
    <s v="DIRECTO"/>
    <n v="893.56"/>
    <n v="36.4"/>
    <x v="1"/>
    <n v="4"/>
    <s v="October"/>
    <x v="619"/>
    <x v="0"/>
    <x v="619"/>
    <s v="Beneficio"/>
  </r>
  <r>
    <d v="2023-04-05T00:00:00"/>
    <s v="Construcciones Hernández SL"/>
    <x v="0"/>
    <s v="Mortero Cementoso Gris"/>
    <s v="MORTERO"/>
    <n v="431"/>
    <n v="5.74"/>
    <n v="2473.94"/>
    <s v="VALENCIA"/>
    <x v="3"/>
    <s v="DISTRIBUIDOR"/>
    <n v="1964.13"/>
    <n v="20.6"/>
    <x v="1"/>
    <n v="2"/>
    <s v="April"/>
    <x v="620"/>
    <x v="1"/>
    <x v="620"/>
    <s v="Beneficio"/>
  </r>
  <r>
    <d v="2023-07-03T00:00:00"/>
    <s v="Construcciones Hernández SL"/>
    <x v="0"/>
    <s v="Perlita Natural Grano Fino"/>
    <s v="PERLITA"/>
    <n v="416"/>
    <n v="10.61"/>
    <n v="4413.76"/>
    <s v="VALENCIA"/>
    <x v="1"/>
    <s v="ONLINE"/>
    <n v="3904.27"/>
    <n v="11.5"/>
    <x v="1"/>
    <n v="3"/>
    <s v="July"/>
    <x v="621"/>
    <x v="1"/>
    <x v="621"/>
    <s v="Beneficio"/>
  </r>
  <r>
    <d v="2023-11-04T00:00:00"/>
    <s v="Construcciones Costa SL"/>
    <x v="3"/>
    <s v="Pladur Aislante 15mm"/>
    <s v="PLADUR"/>
    <n v="510"/>
    <n v="6.97"/>
    <n v="3554.7"/>
    <s v="BILBAO"/>
    <x v="1"/>
    <s v="DIRECTO"/>
    <n v="3045.53"/>
    <n v="14.3"/>
    <x v="1"/>
    <n v="4"/>
    <s v="November"/>
    <x v="622"/>
    <x v="1"/>
    <x v="622"/>
    <s v="Beneficio"/>
  </r>
  <r>
    <d v="2023-04-12T00:00:00"/>
    <s v="Construcciones Jiménez SL"/>
    <x v="1"/>
    <s v="Mortero Acrílico Blanco"/>
    <s v="MORTERO"/>
    <n v="263"/>
    <n v="6.02"/>
    <n v="1583.26"/>
    <s v="MADRID"/>
    <x v="1"/>
    <s v="DIRECTO"/>
    <n v="1078.06"/>
    <n v="31.9"/>
    <x v="1"/>
    <n v="2"/>
    <s v="April"/>
    <x v="623"/>
    <x v="0"/>
    <x v="623"/>
    <s v="Beneficio"/>
  </r>
  <r>
    <d v="2023-12-17T00:00:00"/>
    <s v="Construcciones Jiménez SL"/>
    <x v="1"/>
    <s v="Pladur Aislante 15mm"/>
    <s v="PLADUR"/>
    <n v="235"/>
    <n v="10.56"/>
    <n v="2481.6"/>
    <s v="SEVILLA"/>
    <x v="2"/>
    <s v="DIRECTO"/>
    <n v="1976.44"/>
    <n v="20.399999999999999"/>
    <x v="1"/>
    <n v="4"/>
    <s v="December"/>
    <x v="624"/>
    <x v="1"/>
    <x v="624"/>
    <s v="Beneficio"/>
  </r>
  <r>
    <d v="2023-01-13T00:00:00"/>
    <s v="Construcciones Costa SL"/>
    <x v="3"/>
    <s v="Placa Pladur Ignífuga"/>
    <s v="PLADUR"/>
    <n v="441"/>
    <n v="5.78"/>
    <n v="2548.98"/>
    <s v="VALENCIA"/>
    <x v="2"/>
    <s v="DISTRIBUIDOR"/>
    <n v="2044.12"/>
    <n v="19.8"/>
    <x v="1"/>
    <n v="1"/>
    <s v="January"/>
    <x v="625"/>
    <x v="1"/>
    <x v="625"/>
    <s v="Beneficio"/>
  </r>
  <r>
    <d v="2023-01-12T00:00:00"/>
    <s v="Construcciones Jiménez SL"/>
    <x v="1"/>
    <s v="Placa Pladur Ignífuga"/>
    <s v="PLADUR"/>
    <n v="181"/>
    <n v="10.82"/>
    <n v="1958.42"/>
    <s v="BARCELONA"/>
    <x v="3"/>
    <s v="DISTRIBUIDOR"/>
    <n v="1454.83"/>
    <n v="25.7"/>
    <x v="1"/>
    <n v="1"/>
    <s v="January"/>
    <x v="626"/>
    <x v="0"/>
    <x v="626"/>
    <s v="Beneficio"/>
  </r>
  <r>
    <d v="2023-12-02T00:00:00"/>
    <s v="Construcciones García SL"/>
    <x v="4"/>
    <s v="Pladur 13mm"/>
    <s v="PLADUR"/>
    <n v="330"/>
    <n v="7.22"/>
    <n v="2382.6"/>
    <s v="MÁLAGA"/>
    <x v="3"/>
    <s v="DISTRIBUIDOR"/>
    <n v="1880.05"/>
    <n v="21.1"/>
    <x v="1"/>
    <n v="4"/>
    <s v="December"/>
    <x v="627"/>
    <x v="1"/>
    <x v="627"/>
    <s v="Beneficio"/>
  </r>
  <r>
    <d v="2023-01-08T00:00:00"/>
    <s v="Construcciones Costa SL"/>
    <x v="3"/>
    <s v="Mortero Cementoso Gris"/>
    <s v="MORTERO"/>
    <n v="168"/>
    <n v="11.15"/>
    <n v="1873.2"/>
    <s v="MURCIA"/>
    <x v="4"/>
    <s v="ONLINE"/>
    <n v="1371.44"/>
    <n v="26.8"/>
    <x v="1"/>
    <n v="1"/>
    <s v="January"/>
    <x v="628"/>
    <x v="0"/>
    <x v="628"/>
    <s v="Beneficio"/>
  </r>
  <r>
    <d v="2023-01-01T00:00:00"/>
    <s v="Construcciones Hernández SL"/>
    <x v="0"/>
    <s v="Mortero Cementoso Gris"/>
    <s v="MORTERO"/>
    <n v="572"/>
    <n v="8.4499999999999993"/>
    <n v="4833.3999999999996"/>
    <s v="BARCELONA"/>
    <x v="2"/>
    <s v="DISTRIBUIDOR"/>
    <n v="4338.91"/>
    <n v="10.199999999999999"/>
    <x v="1"/>
    <n v="1"/>
    <s v="January"/>
    <x v="629"/>
    <x v="1"/>
    <x v="629"/>
    <s v="Beneficio"/>
  </r>
  <r>
    <d v="2023-05-09T00:00:00"/>
    <s v="Construcciones López SL"/>
    <x v="5"/>
    <s v="Pladur Aislante 15mm"/>
    <s v="PLADUR"/>
    <n v="688"/>
    <n v="4.59"/>
    <n v="3157.92"/>
    <s v="BARCELONA"/>
    <x v="1"/>
    <s v="ONLINE"/>
    <n v="2664.12"/>
    <n v="15.6"/>
    <x v="1"/>
    <n v="2"/>
    <s v="May"/>
    <x v="630"/>
    <x v="1"/>
    <x v="630"/>
    <s v="Beneficio"/>
  </r>
  <r>
    <d v="2023-07-05T00:00:00"/>
    <s v="Construcciones López SL"/>
    <x v="5"/>
    <s v="Mortero Acrílico Blanco"/>
    <s v="MORTERO"/>
    <n v="445"/>
    <n v="9.68"/>
    <n v="4307.6000000000004"/>
    <s v="MADRID"/>
    <x v="0"/>
    <s v="ONLINE"/>
    <n v="3814.6"/>
    <n v="11.4"/>
    <x v="1"/>
    <n v="3"/>
    <s v="July"/>
    <x v="631"/>
    <x v="1"/>
    <x v="631"/>
    <s v="Beneficio"/>
  </r>
  <r>
    <d v="2024-05-09T00:00:00"/>
    <s v="Construcciones López SL"/>
    <x v="5"/>
    <s v="Pladur Aislante 15mm"/>
    <s v="PLADUR"/>
    <n v="270"/>
    <n v="4.92"/>
    <n v="1328.4"/>
    <s v="VALENCIA"/>
    <x v="5"/>
    <s v="DIRECTO"/>
    <n v="836.92"/>
    <n v="37"/>
    <x v="0"/>
    <n v="2"/>
    <s v="May"/>
    <x v="632"/>
    <x v="0"/>
    <x v="632"/>
    <s v="Beneficio"/>
  </r>
  <r>
    <d v="2023-01-25T00:00:00"/>
    <s v="Construcciones García SL"/>
    <x v="4"/>
    <s v="Perlita Natural Grano Fino"/>
    <s v="PERLITA"/>
    <n v="612"/>
    <n v="5.36"/>
    <n v="3280.32"/>
    <s v="SEVILLA"/>
    <x v="0"/>
    <s v="ONLINE"/>
    <n v="2789.92"/>
    <n v="14.9"/>
    <x v="1"/>
    <n v="1"/>
    <s v="January"/>
    <x v="633"/>
    <x v="1"/>
    <x v="633"/>
    <s v="Beneficio"/>
  </r>
  <r>
    <d v="2023-08-13T00:00:00"/>
    <s v="Construcciones Hernández SL"/>
    <x v="0"/>
    <s v="Mortero Cementoso Gris"/>
    <s v="MORTERO"/>
    <n v="279"/>
    <n v="5.39"/>
    <n v="1503.81"/>
    <s v="MADRID"/>
    <x v="3"/>
    <s v="DISTRIBUIDOR"/>
    <n v="1014.58"/>
    <n v="32.5"/>
    <x v="1"/>
    <n v="3"/>
    <s v="August"/>
    <x v="634"/>
    <x v="0"/>
    <x v="634"/>
    <s v="Beneficio"/>
  </r>
  <r>
    <d v="2023-11-25T00:00:00"/>
    <s v="Construcciones Torres SL"/>
    <x v="2"/>
    <s v="Placa Pladur Ignífuga"/>
    <s v="PLADUR"/>
    <n v="533"/>
    <n v="8.99"/>
    <n v="4791.67"/>
    <s v="MÁLAGA"/>
    <x v="0"/>
    <s v="ONLINE"/>
    <n v="4303.45"/>
    <n v="10.199999999999999"/>
    <x v="1"/>
    <n v="4"/>
    <s v="November"/>
    <x v="635"/>
    <x v="1"/>
    <x v="635"/>
    <s v="Beneficio"/>
  </r>
  <r>
    <d v="2023-03-16T00:00:00"/>
    <s v="Construcciones Jiménez SL"/>
    <x v="1"/>
    <s v="Mortero Monocapa Beige"/>
    <s v="MORTERO"/>
    <n v="230"/>
    <n v="6.51"/>
    <n v="1497.3"/>
    <s v="MADRID"/>
    <x v="5"/>
    <s v="DISTRIBUIDOR"/>
    <n v="1011.37"/>
    <n v="32.5"/>
    <x v="1"/>
    <n v="1"/>
    <s v="March"/>
    <x v="636"/>
    <x v="0"/>
    <x v="636"/>
    <s v="Beneficio"/>
  </r>
  <r>
    <d v="2024-01-11T00:00:00"/>
    <s v="Construcciones López SL"/>
    <x v="5"/>
    <s v="Perlita Expandida 40L"/>
    <s v="PERLITA"/>
    <n v="281"/>
    <n v="8.26"/>
    <n v="2321.06"/>
    <s v="VALENCIA"/>
    <x v="4"/>
    <s v="DIRECTO"/>
    <n v="1835.14"/>
    <n v="20.9"/>
    <x v="0"/>
    <n v="1"/>
    <s v="January"/>
    <x v="637"/>
    <x v="1"/>
    <x v="637"/>
    <s v="Beneficio"/>
  </r>
  <r>
    <d v="2023-10-21T00:00:00"/>
    <s v="Construcciones López SL"/>
    <x v="5"/>
    <s v="Perlita Natural Grano Fino"/>
    <s v="PERLITA"/>
    <n v="319"/>
    <n v="6.88"/>
    <n v="2194.7199999999998"/>
    <s v="MADRID"/>
    <x v="4"/>
    <s v="DIRECTO"/>
    <n v="1709.19"/>
    <n v="22.1"/>
    <x v="1"/>
    <n v="4"/>
    <s v="October"/>
    <x v="638"/>
    <x v="1"/>
    <x v="638"/>
    <s v="Beneficio"/>
  </r>
  <r>
    <d v="2023-02-09T00:00:00"/>
    <s v="Construcciones Jiménez SL"/>
    <x v="1"/>
    <s v="Mortero Acrílico Blanco"/>
    <s v="MORTERO"/>
    <n v="226"/>
    <n v="6.91"/>
    <n v="1561.66"/>
    <s v="VALENCIA"/>
    <x v="4"/>
    <s v="DISTRIBUIDOR"/>
    <n v="1077.53"/>
    <n v="31"/>
    <x v="1"/>
    <n v="1"/>
    <s v="February"/>
    <x v="639"/>
    <x v="0"/>
    <x v="639"/>
    <s v="Beneficio"/>
  </r>
  <r>
    <d v="2023-03-14T00:00:00"/>
    <s v="Construcciones Hernández SL"/>
    <x v="0"/>
    <s v="Perlita Natural Grano Fino"/>
    <s v="PERLITA"/>
    <n v="894"/>
    <n v="3.09"/>
    <n v="2762.46"/>
    <s v="VALENCIA"/>
    <x v="5"/>
    <s v="DIRECTO"/>
    <n v="2278.9499999999998"/>
    <n v="17.5"/>
    <x v="1"/>
    <n v="1"/>
    <s v="March"/>
    <x v="640"/>
    <x v="1"/>
    <x v="640"/>
    <s v="Beneficio"/>
  </r>
  <r>
    <d v="2023-01-02T00:00:00"/>
    <s v="Construcciones Hernández SL"/>
    <x v="0"/>
    <s v="Mortero Acrílico Blanco"/>
    <s v="MORTERO"/>
    <n v="320"/>
    <n v="4.37"/>
    <n v="1398.4"/>
    <s v="VALENCIA"/>
    <x v="1"/>
    <s v="DISTRIBUIDOR"/>
    <n v="917.37"/>
    <n v="34.4"/>
    <x v="1"/>
    <n v="1"/>
    <s v="January"/>
    <x v="641"/>
    <x v="0"/>
    <x v="641"/>
    <s v="Beneficio"/>
  </r>
  <r>
    <d v="2023-06-15T00:00:00"/>
    <s v="Construcciones Jiménez SL"/>
    <x v="1"/>
    <s v="Pladur Aislante 15mm"/>
    <s v="PLADUR"/>
    <n v="228"/>
    <n v="11.78"/>
    <n v="2685.84"/>
    <s v="MURCIA"/>
    <x v="2"/>
    <s v="DIRECTO"/>
    <n v="2205.6799999999998"/>
    <n v="17.899999999999999"/>
    <x v="1"/>
    <n v="2"/>
    <s v="June"/>
    <x v="642"/>
    <x v="1"/>
    <x v="642"/>
    <s v="Beneficio"/>
  </r>
  <r>
    <d v="2023-06-08T00:00:00"/>
    <s v="Construcciones Costa SL"/>
    <x v="3"/>
    <s v="Placa Pladur Ignífuga"/>
    <s v="PLADUR"/>
    <n v="512"/>
    <n v="5.82"/>
    <n v="2979.84"/>
    <s v="SEVILLA"/>
    <x v="0"/>
    <s v="ONLINE"/>
    <n v="2500.6799999999998"/>
    <n v="16.100000000000001"/>
    <x v="1"/>
    <n v="2"/>
    <s v="June"/>
    <x v="643"/>
    <x v="1"/>
    <x v="643"/>
    <s v="Beneficio"/>
  </r>
  <r>
    <d v="2024-01-21T00:00:00"/>
    <s v="Construcciones Jiménez SL"/>
    <x v="1"/>
    <s v="Perlita Natural Grano Fino"/>
    <s v="PERLITA"/>
    <n v="726"/>
    <n v="3.6"/>
    <n v="2613.6"/>
    <s v="MÁLAGA"/>
    <x v="3"/>
    <s v="DIRECTO"/>
    <n v="2134.77"/>
    <n v="18.3"/>
    <x v="0"/>
    <n v="1"/>
    <s v="January"/>
    <x v="644"/>
    <x v="1"/>
    <x v="644"/>
    <s v="Beneficio"/>
  </r>
  <r>
    <d v="2023-10-21T00:00:00"/>
    <s v="Construcciones López SL"/>
    <x v="5"/>
    <s v="Placa Pladur Ignífuga"/>
    <s v="PLADUR"/>
    <n v="189"/>
    <n v="8.1199999999999992"/>
    <n v="1534.68"/>
    <s v="VALENCIA"/>
    <x v="5"/>
    <s v="ONLINE"/>
    <n v="1057.18"/>
    <n v="31.1"/>
    <x v="1"/>
    <n v="4"/>
    <s v="October"/>
    <x v="645"/>
    <x v="0"/>
    <x v="645"/>
    <s v="Beneficio"/>
  </r>
  <r>
    <d v="2023-02-20T00:00:00"/>
    <s v="Construcciones Costa SL"/>
    <x v="3"/>
    <s v="Mortero Acrílico Blanco"/>
    <s v="MORTERO"/>
    <n v="157"/>
    <n v="8.41"/>
    <n v="1320.37"/>
    <s v="MÁLAGA"/>
    <x v="5"/>
    <s v="DIRECTO"/>
    <n v="845.62"/>
    <n v="36"/>
    <x v="1"/>
    <n v="1"/>
    <s v="February"/>
    <x v="646"/>
    <x v="0"/>
    <x v="646"/>
    <s v="Beneficio"/>
  </r>
  <r>
    <d v="2023-07-13T00:00:00"/>
    <s v="Construcciones Hernández SL"/>
    <x v="0"/>
    <s v="Placa Pladur Ignífuga"/>
    <s v="PLADUR"/>
    <n v="444"/>
    <n v="8.07"/>
    <n v="3583.08"/>
    <s v="BARCELONA"/>
    <x v="4"/>
    <s v="DISTRIBUIDOR"/>
    <n v="3108.85"/>
    <n v="13.2"/>
    <x v="1"/>
    <n v="3"/>
    <s v="July"/>
    <x v="647"/>
    <x v="1"/>
    <x v="647"/>
    <s v="Beneficio"/>
  </r>
  <r>
    <d v="2023-12-09T00:00:00"/>
    <s v="Construcciones Jiménez SL"/>
    <x v="1"/>
    <s v="Mortero Acrílico Blanco"/>
    <s v="MORTERO"/>
    <n v="461"/>
    <n v="5.68"/>
    <n v="2618.48"/>
    <s v="VALENCIA"/>
    <x v="3"/>
    <s v="ONLINE"/>
    <n v="2146.0100000000002"/>
    <n v="18"/>
    <x v="1"/>
    <n v="4"/>
    <s v="December"/>
    <x v="648"/>
    <x v="1"/>
    <x v="648"/>
    <s v="Beneficio"/>
  </r>
  <r>
    <d v="2024-04-01T00:00:00"/>
    <s v="Construcciones Torres SL"/>
    <x v="2"/>
    <s v="Pladur Aislante 15mm"/>
    <s v="PLADUR"/>
    <n v="275"/>
    <n v="5.32"/>
    <n v="1463"/>
    <s v="VALENCIA"/>
    <x v="0"/>
    <s v="ONLINE"/>
    <n v="990.94"/>
    <n v="32.299999999999997"/>
    <x v="0"/>
    <n v="2"/>
    <s v="April"/>
    <x v="649"/>
    <x v="0"/>
    <x v="649"/>
    <s v="Beneficio"/>
  </r>
  <r>
    <d v="2024-01-21T00:00:00"/>
    <s v="Construcciones López SL"/>
    <x v="5"/>
    <s v="Pladur 13mm"/>
    <s v="PLADUR"/>
    <n v="472"/>
    <n v="2.89"/>
    <n v="1364.08"/>
    <s v="VALENCIA"/>
    <x v="3"/>
    <s v="DIRECTO"/>
    <n v="893.7"/>
    <n v="34.5"/>
    <x v="0"/>
    <n v="1"/>
    <s v="January"/>
    <x v="650"/>
    <x v="0"/>
    <x v="650"/>
    <s v="Beneficio"/>
  </r>
  <r>
    <d v="2025-03-13T00:00:00"/>
    <s v="Construcciones López SL"/>
    <x v="5"/>
    <s v="Mortero Cementoso Gris"/>
    <s v="MORTERO"/>
    <n v="232"/>
    <n v="9.56"/>
    <n v="2217.92"/>
    <s v="SEVILLA"/>
    <x v="5"/>
    <s v="ONLINE"/>
    <n v="1748.05"/>
    <n v="21.2"/>
    <x v="2"/>
    <n v="1"/>
    <s v="March"/>
    <x v="651"/>
    <x v="1"/>
    <x v="651"/>
    <s v="Beneficio"/>
  </r>
  <r>
    <d v="2023-02-26T00:00:00"/>
    <s v="Construcciones Jiménez SL"/>
    <x v="1"/>
    <s v="Perlita Natural Grano Fino"/>
    <s v="PERLITA"/>
    <n v="227"/>
    <n v="10.95"/>
    <n v="2485.65"/>
    <s v="VALENCIA"/>
    <x v="4"/>
    <s v="ONLINE"/>
    <n v="2016.32"/>
    <n v="18.899999999999999"/>
    <x v="1"/>
    <n v="1"/>
    <s v="February"/>
    <x v="652"/>
    <x v="1"/>
    <x v="652"/>
    <s v="Beneficio"/>
  </r>
  <r>
    <d v="2023-11-08T00:00:00"/>
    <s v="Construcciones García SL"/>
    <x v="4"/>
    <s v="Perlita Expandida 40L"/>
    <s v="PERLITA"/>
    <n v="283"/>
    <n v="4.8600000000000003"/>
    <n v="1375.38"/>
    <s v="MADRID"/>
    <x v="5"/>
    <s v="DIRECTO"/>
    <n v="907.31"/>
    <n v="34"/>
    <x v="1"/>
    <n v="4"/>
    <s v="November"/>
    <x v="653"/>
    <x v="0"/>
    <x v="653"/>
    <s v="Beneficio"/>
  </r>
  <r>
    <d v="2023-02-10T00:00:00"/>
    <s v="Construcciones Hernández SL"/>
    <x v="0"/>
    <s v="Perlita Expandida 40L"/>
    <s v="PERLITA"/>
    <n v="267"/>
    <n v="4.58"/>
    <n v="1222.8599999999999"/>
    <s v="BARCELONA"/>
    <x v="0"/>
    <s v="ONLINE"/>
    <n v="756.58"/>
    <n v="38.1"/>
    <x v="1"/>
    <n v="1"/>
    <s v="February"/>
    <x v="654"/>
    <x v="0"/>
    <x v="654"/>
    <s v="Beneficio"/>
  </r>
  <r>
    <d v="2023-07-11T00:00:00"/>
    <s v="Construcciones Hernández SL"/>
    <x v="0"/>
    <s v="Mortero Acrílico Blanco"/>
    <s v="MORTERO"/>
    <n v="119"/>
    <n v="10.48"/>
    <n v="1247.1199999999999"/>
    <s v="MÁLAGA"/>
    <x v="2"/>
    <s v="DISTRIBUIDOR"/>
    <n v="782.61"/>
    <n v="37.200000000000003"/>
    <x v="1"/>
    <n v="3"/>
    <s v="July"/>
    <x v="655"/>
    <x v="0"/>
    <x v="655"/>
    <s v="Beneficio"/>
  </r>
  <r>
    <d v="2023-02-24T00:00:00"/>
    <s v="Construcciones López SL"/>
    <x v="5"/>
    <s v="Mortero Cementoso Gris"/>
    <s v="MORTERO"/>
    <n v="379"/>
    <n v="6.68"/>
    <n v="2531.7199999999998"/>
    <s v="ZARAGOZA"/>
    <x v="2"/>
    <s v="DIRECTO"/>
    <n v="2067.36"/>
    <n v="18.3"/>
    <x v="1"/>
    <n v="1"/>
    <s v="February"/>
    <x v="656"/>
    <x v="1"/>
    <x v="656"/>
    <s v="Beneficio"/>
  </r>
  <r>
    <d v="2023-12-02T00:00:00"/>
    <s v="Construcciones Hernández SL"/>
    <x v="0"/>
    <s v="Mortero Monocapa Beige"/>
    <s v="MORTERO"/>
    <n v="537"/>
    <n v="5.0999999999999996"/>
    <n v="2738.7"/>
    <s v="ZARAGOZA"/>
    <x v="4"/>
    <s v="ONLINE"/>
    <n v="2274.73"/>
    <n v="16.899999999999999"/>
    <x v="1"/>
    <n v="4"/>
    <s v="December"/>
    <x v="657"/>
    <x v="1"/>
    <x v="657"/>
    <s v="Beneficio"/>
  </r>
  <r>
    <d v="2023-01-05T00:00:00"/>
    <s v="Construcciones García SL"/>
    <x v="4"/>
    <s v="Mortero Cementoso Gris"/>
    <s v="MORTERO"/>
    <n v="521"/>
    <n v="3.4"/>
    <n v="1771.4"/>
    <s v="MÁLAGA"/>
    <x v="2"/>
    <s v="DIRECTO"/>
    <n v="1308.04"/>
    <n v="26.2"/>
    <x v="1"/>
    <n v="1"/>
    <s v="January"/>
    <x v="658"/>
    <x v="0"/>
    <x v="658"/>
    <s v="Beneficio"/>
  </r>
  <r>
    <d v="2023-03-24T00:00:00"/>
    <s v="Construcciones Torres SL"/>
    <x v="2"/>
    <s v="Placa Pladur Ignífuga"/>
    <s v="PLADUR"/>
    <n v="570"/>
    <n v="8.1"/>
    <n v="4617"/>
    <s v="ZARAGOZA"/>
    <x v="1"/>
    <s v="ONLINE"/>
    <n v="4154.63"/>
    <n v="10"/>
    <x v="1"/>
    <n v="1"/>
    <s v="March"/>
    <x v="659"/>
    <x v="1"/>
    <x v="659"/>
    <s v="Beneficio"/>
  </r>
  <r>
    <d v="2024-10-21T00:00:00"/>
    <s v="Construcciones Costa SL"/>
    <x v="3"/>
    <s v="Placa Pladur Ignífuga"/>
    <s v="PLADUR"/>
    <n v="302"/>
    <n v="7.75"/>
    <n v="2340.5"/>
    <s v="MADRID"/>
    <x v="1"/>
    <s v="DIRECTO"/>
    <n v="1878.63"/>
    <n v="19.7"/>
    <x v="0"/>
    <n v="4"/>
    <s v="October"/>
    <x v="660"/>
    <x v="1"/>
    <x v="660"/>
    <s v="Beneficio"/>
  </r>
  <r>
    <d v="2023-10-23T00:00:00"/>
    <s v="Construcciones García SL"/>
    <x v="4"/>
    <s v="Mortero Monocapa Beige"/>
    <s v="MORTERO"/>
    <n v="862"/>
    <n v="4.91"/>
    <n v="4232.42"/>
    <s v="MÁLAGA"/>
    <x v="2"/>
    <s v="ONLINE"/>
    <n v="3774.25"/>
    <n v="10.8"/>
    <x v="1"/>
    <n v="4"/>
    <s v="October"/>
    <x v="661"/>
    <x v="1"/>
    <x v="661"/>
    <s v="Beneficio"/>
  </r>
  <r>
    <d v="2023-04-24T00:00:00"/>
    <s v="Construcciones García SL"/>
    <x v="4"/>
    <s v="Pladur 13mm"/>
    <s v="PLADUR"/>
    <n v="653"/>
    <n v="5.6"/>
    <n v="3656.8"/>
    <s v="SEVILLA"/>
    <x v="4"/>
    <s v="ONLINE"/>
    <n v="3198.71"/>
    <n v="12.5"/>
    <x v="1"/>
    <n v="2"/>
    <s v="April"/>
    <x v="662"/>
    <x v="1"/>
    <x v="662"/>
    <s v="Beneficio"/>
  </r>
  <r>
    <d v="2023-07-11T00:00:00"/>
    <s v="Construcciones Hernández SL"/>
    <x v="0"/>
    <s v="Mortero Monocapa Beige"/>
    <s v="MORTERO"/>
    <n v="636"/>
    <n v="3.61"/>
    <n v="2295.96"/>
    <s v="MURCIA"/>
    <x v="2"/>
    <s v="ONLINE"/>
    <n v="1839.27"/>
    <n v="19.899999999999999"/>
    <x v="1"/>
    <n v="3"/>
    <s v="July"/>
    <x v="663"/>
    <x v="1"/>
    <x v="663"/>
    <s v="Beneficio"/>
  </r>
  <r>
    <d v="2023-11-02T00:00:00"/>
    <s v="Construcciones García SL"/>
    <x v="4"/>
    <s v="Pladur Aislante 15mm"/>
    <s v="PLADUR"/>
    <n v="478"/>
    <n v="7.11"/>
    <n v="3398.58"/>
    <s v="BARCELONA"/>
    <x v="2"/>
    <s v="DIRECTO"/>
    <n v="2946.19"/>
    <n v="13.3"/>
    <x v="1"/>
    <n v="4"/>
    <s v="November"/>
    <x v="664"/>
    <x v="1"/>
    <x v="664"/>
    <s v="Beneficio"/>
  </r>
  <r>
    <d v="2023-01-19T00:00:00"/>
    <s v="Construcciones Costa SL"/>
    <x v="3"/>
    <s v="Placa Pladur Ignífuga"/>
    <s v="PLADUR"/>
    <n v="509"/>
    <n v="4.1900000000000004"/>
    <n v="2132.71"/>
    <s v="MURCIA"/>
    <x v="4"/>
    <s v="DIRECTO"/>
    <n v="1682.09"/>
    <n v="21.1"/>
    <x v="1"/>
    <n v="1"/>
    <s v="January"/>
    <x v="665"/>
    <x v="1"/>
    <x v="665"/>
    <s v="Beneficio"/>
  </r>
  <r>
    <d v="2023-02-09T00:00:00"/>
    <s v="Construcciones Torres SL"/>
    <x v="2"/>
    <s v="Mortero Cementoso Gris"/>
    <s v="MORTERO"/>
    <n v="188"/>
    <n v="10.49"/>
    <n v="1972.12"/>
    <s v="MÁLAGA"/>
    <x v="5"/>
    <s v="DISTRIBUIDOR"/>
    <n v="1525.91"/>
    <n v="22.6"/>
    <x v="1"/>
    <n v="1"/>
    <s v="February"/>
    <x v="666"/>
    <x v="1"/>
    <x v="666"/>
    <s v="Beneficio"/>
  </r>
  <r>
    <d v="2023-08-04T00:00:00"/>
    <s v="Construcciones Jiménez SL"/>
    <x v="1"/>
    <s v="Mortero Cementoso Gris"/>
    <s v="MORTERO"/>
    <n v="113"/>
    <n v="11.82"/>
    <n v="1335.66"/>
    <s v="BARCELONA"/>
    <x v="1"/>
    <s v="DIRECTO"/>
    <n v="889.92"/>
    <n v="33.4"/>
    <x v="1"/>
    <n v="3"/>
    <s v="August"/>
    <x v="667"/>
    <x v="0"/>
    <x v="667"/>
    <s v="Beneficio"/>
  </r>
  <r>
    <d v="2023-07-26T00:00:00"/>
    <s v="Construcciones Torres SL"/>
    <x v="2"/>
    <s v="Pladur Aislante 15mm"/>
    <s v="PLADUR"/>
    <n v="424"/>
    <n v="7.19"/>
    <n v="3048.56"/>
    <s v="MADRID"/>
    <x v="4"/>
    <s v="ONLINE"/>
    <n v="2603.5500000000002"/>
    <n v="14.6"/>
    <x v="1"/>
    <n v="3"/>
    <s v="July"/>
    <x v="668"/>
    <x v="1"/>
    <x v="668"/>
    <s v="Beneficio"/>
  </r>
  <r>
    <d v="2023-03-08T00:00:00"/>
    <s v="Construcciones Jiménez SL"/>
    <x v="1"/>
    <s v="Placa Pladur Ignífuga"/>
    <s v="PLADUR"/>
    <n v="385"/>
    <n v="8.94"/>
    <n v="3441.9"/>
    <s v="ZARAGOZA"/>
    <x v="4"/>
    <s v="DIRECTO"/>
    <n v="2998.87"/>
    <n v="12.9"/>
    <x v="1"/>
    <n v="1"/>
    <s v="March"/>
    <x v="669"/>
    <x v="1"/>
    <x v="669"/>
    <s v="Beneficio"/>
  </r>
  <r>
    <d v="2023-03-05T00:00:00"/>
    <s v="Construcciones Hernández SL"/>
    <x v="0"/>
    <s v="Pladur Aislante 15mm"/>
    <s v="PLADUR"/>
    <n v="268"/>
    <n v="6.55"/>
    <n v="1755.4"/>
    <s v="MURCIA"/>
    <x v="0"/>
    <s v="DIRECTO"/>
    <n v="1314.54"/>
    <n v="25.1"/>
    <x v="1"/>
    <n v="1"/>
    <s v="March"/>
    <x v="670"/>
    <x v="0"/>
    <x v="670"/>
    <s v="Beneficio"/>
  </r>
  <r>
    <d v="2023-06-01T00:00:00"/>
    <s v="Construcciones García SL"/>
    <x v="4"/>
    <s v="Perlita Expandida 40L"/>
    <s v="PERLITA"/>
    <n v="888"/>
    <n v="4.54"/>
    <n v="4031.52"/>
    <s v="MÁLAGA"/>
    <x v="2"/>
    <s v="DIRECTO"/>
    <n v="3591.05"/>
    <n v="10.9"/>
    <x v="1"/>
    <n v="2"/>
    <s v="June"/>
    <x v="671"/>
    <x v="1"/>
    <x v="671"/>
    <s v="Beneficio"/>
  </r>
  <r>
    <d v="2023-01-29T00:00:00"/>
    <s v="Construcciones Jiménez SL"/>
    <x v="1"/>
    <s v="Pladur 13mm"/>
    <s v="PLADUR"/>
    <n v="332"/>
    <n v="6.94"/>
    <n v="2304.08"/>
    <s v="VALENCIA"/>
    <x v="3"/>
    <s v="DISTRIBUIDOR"/>
    <n v="1866.86"/>
    <n v="19"/>
    <x v="1"/>
    <n v="1"/>
    <s v="January"/>
    <x v="672"/>
    <x v="1"/>
    <x v="672"/>
    <s v="Beneficio"/>
  </r>
  <r>
    <d v="2023-06-20T00:00:00"/>
    <s v="Construcciones López SL"/>
    <x v="5"/>
    <s v="Perlita Expandida 40L"/>
    <s v="PERLITA"/>
    <n v="737"/>
    <n v="5.19"/>
    <n v="3825.03"/>
    <s v="VALENCIA"/>
    <x v="1"/>
    <s v="ONLINE"/>
    <n v="3390.18"/>
    <n v="11.4"/>
    <x v="1"/>
    <n v="2"/>
    <s v="June"/>
    <x v="673"/>
    <x v="1"/>
    <x v="673"/>
    <s v="Beneficio"/>
  </r>
  <r>
    <d v="2023-04-26T00:00:00"/>
    <s v="Construcciones Hernández SL"/>
    <x v="0"/>
    <s v="Perlita Expandida 40L"/>
    <s v="PERLITA"/>
    <n v="826"/>
    <n v="2.97"/>
    <n v="2453.2199999999998"/>
    <s v="ZARAGOZA"/>
    <x v="3"/>
    <s v="ONLINE"/>
    <n v="2024.46"/>
    <n v="17.5"/>
    <x v="1"/>
    <n v="2"/>
    <s v="April"/>
    <x v="674"/>
    <x v="1"/>
    <x v="674"/>
    <s v="Beneficio"/>
  </r>
  <r>
    <d v="2023-06-15T00:00:00"/>
    <s v="Construcciones Torres SL"/>
    <x v="2"/>
    <s v="Mortero Acrílico Blanco"/>
    <s v="MORTERO"/>
    <n v="94"/>
    <n v="11.39"/>
    <n v="1070.6600000000001"/>
    <s v="MURCIA"/>
    <x v="2"/>
    <s v="DISTRIBUIDOR"/>
    <n v="644.1"/>
    <n v="39.799999999999997"/>
    <x v="1"/>
    <n v="2"/>
    <s v="June"/>
    <x v="675"/>
    <x v="0"/>
    <x v="675"/>
    <s v="Beneficio"/>
  </r>
  <r>
    <d v="2023-08-16T00:00:00"/>
    <s v="Construcciones García SL"/>
    <x v="4"/>
    <s v="Mortero Monocapa Beige"/>
    <s v="MORTERO"/>
    <n v="395"/>
    <n v="3.37"/>
    <n v="1331.15"/>
    <s v="ZARAGOZA"/>
    <x v="4"/>
    <s v="DISTRIBUIDOR"/>
    <n v="906.19"/>
    <n v="31.9"/>
    <x v="1"/>
    <n v="3"/>
    <s v="August"/>
    <x v="676"/>
    <x v="0"/>
    <x v="676"/>
    <s v="Beneficio"/>
  </r>
  <r>
    <d v="2023-03-23T00:00:00"/>
    <s v="Construcciones Costa SL"/>
    <x v="3"/>
    <s v="Perlita Expandida 40L"/>
    <s v="PERLITA"/>
    <n v="330"/>
    <n v="6.15"/>
    <n v="2029.5"/>
    <s v="BARCELONA"/>
    <x v="3"/>
    <s v="ONLINE"/>
    <n v="1605.8"/>
    <n v="20.9"/>
    <x v="1"/>
    <n v="1"/>
    <s v="March"/>
    <x v="677"/>
    <x v="1"/>
    <x v="677"/>
    <s v="Beneficio"/>
  </r>
  <r>
    <d v="2023-03-02T00:00:00"/>
    <s v="Construcciones Jiménez SL"/>
    <x v="1"/>
    <s v="Mortero Acrílico Blanco"/>
    <s v="MORTERO"/>
    <n v="902"/>
    <n v="4.2"/>
    <n v="3788.4"/>
    <s v="MADRID"/>
    <x v="5"/>
    <s v="DIRECTO"/>
    <n v="3368.55"/>
    <n v="11.1"/>
    <x v="1"/>
    <n v="1"/>
    <s v="March"/>
    <x v="678"/>
    <x v="1"/>
    <x v="678"/>
    <s v="Beneficio"/>
  </r>
  <r>
    <d v="2023-03-27T00:00:00"/>
    <s v="Construcciones Torres SL"/>
    <x v="2"/>
    <s v="Pladur Aislante 15mm"/>
    <s v="PLADUR"/>
    <n v="478"/>
    <n v="6.43"/>
    <n v="3073.54"/>
    <s v="BARCELONA"/>
    <x v="0"/>
    <s v="DIRECTO"/>
    <n v="2654.27"/>
    <n v="13.6"/>
    <x v="1"/>
    <n v="1"/>
    <s v="March"/>
    <x v="679"/>
    <x v="1"/>
    <x v="679"/>
    <s v="Beneficio"/>
  </r>
  <r>
    <d v="2023-09-03T00:00:00"/>
    <s v="Construcciones Costa SL"/>
    <x v="3"/>
    <s v="Mortero Monocapa Beige"/>
    <s v="MORTERO"/>
    <n v="142"/>
    <n v="11.17"/>
    <n v="1586.14"/>
    <s v="MURCIA"/>
    <x v="2"/>
    <s v="DISTRIBUIDOR"/>
    <n v="1167.0899999999999"/>
    <n v="26.4"/>
    <x v="1"/>
    <n v="3"/>
    <s v="September"/>
    <x v="680"/>
    <x v="0"/>
    <x v="680"/>
    <s v="Beneficio"/>
  </r>
  <r>
    <d v="2023-04-19T00:00:00"/>
    <s v="Construcciones García SL"/>
    <x v="4"/>
    <s v="Perlita Expandida 40L"/>
    <s v="PERLITA"/>
    <n v="255"/>
    <n v="5.35"/>
    <n v="1364.25"/>
    <s v="BARCELONA"/>
    <x v="4"/>
    <s v="DIRECTO"/>
    <n v="945.44"/>
    <n v="30.7"/>
    <x v="1"/>
    <n v="2"/>
    <s v="April"/>
    <x v="681"/>
    <x v="0"/>
    <x v="681"/>
    <s v="Beneficio"/>
  </r>
  <r>
    <d v="2024-01-01T00:00:00"/>
    <s v="Construcciones García SL"/>
    <x v="4"/>
    <s v="Mortero Cementoso Gris"/>
    <s v="MORTERO"/>
    <n v="573"/>
    <n v="3.1"/>
    <n v="1776.3"/>
    <s v="BILBAO"/>
    <x v="4"/>
    <s v="DISTRIBUIDOR"/>
    <n v="1359.65"/>
    <n v="23.5"/>
    <x v="0"/>
    <n v="1"/>
    <s v="January"/>
    <x v="682"/>
    <x v="1"/>
    <x v="682"/>
    <s v="Beneficio"/>
  </r>
  <r>
    <d v="2023-03-31T00:00:00"/>
    <s v="Construcciones Hernández SL"/>
    <x v="0"/>
    <s v="Perlita Expandida 40L"/>
    <s v="PERLITA"/>
    <n v="417"/>
    <n v="6.95"/>
    <n v="2898.15"/>
    <s v="SEVILLA"/>
    <x v="5"/>
    <s v="ONLINE"/>
    <n v="2483.0500000000002"/>
    <n v="14.3"/>
    <x v="1"/>
    <n v="1"/>
    <s v="March"/>
    <x v="683"/>
    <x v="1"/>
    <x v="683"/>
    <s v="Beneficio"/>
  </r>
  <r>
    <d v="2023-08-29T00:00:00"/>
    <s v="Construcciones Jiménez SL"/>
    <x v="1"/>
    <s v="Mortero Acrílico Blanco"/>
    <s v="MORTERO"/>
    <n v="107"/>
    <n v="11.33"/>
    <n v="1212.31"/>
    <s v="MÁLAGA"/>
    <x v="0"/>
    <s v="DISTRIBUIDOR"/>
    <n v="798.19"/>
    <n v="34.200000000000003"/>
    <x v="1"/>
    <n v="3"/>
    <s v="August"/>
    <x v="684"/>
    <x v="0"/>
    <x v="684"/>
    <s v="Beneficio"/>
  </r>
  <r>
    <d v="2023-05-23T00:00:00"/>
    <s v="Construcciones García SL"/>
    <x v="4"/>
    <s v="Pladur Aislante 15mm"/>
    <s v="PLADUR"/>
    <n v="258"/>
    <n v="5.88"/>
    <n v="1517.04"/>
    <s v="MURCIA"/>
    <x v="1"/>
    <s v="DISTRIBUIDOR"/>
    <n v="1103.94"/>
    <n v="27.2"/>
    <x v="1"/>
    <n v="2"/>
    <s v="May"/>
    <x v="685"/>
    <x v="0"/>
    <x v="685"/>
    <s v="Beneficio"/>
  </r>
  <r>
    <d v="2023-03-14T00:00:00"/>
    <s v="Construcciones Costa SL"/>
    <x v="3"/>
    <s v="Placa Pladur Ignífuga"/>
    <s v="PLADUR"/>
    <n v="148"/>
    <n v="7.24"/>
    <n v="1071.52"/>
    <s v="MURCIA"/>
    <x v="2"/>
    <s v="DISTRIBUIDOR"/>
    <n v="661.05"/>
    <n v="38.299999999999997"/>
    <x v="1"/>
    <n v="1"/>
    <s v="March"/>
    <x v="686"/>
    <x v="0"/>
    <x v="686"/>
    <s v="Beneficio"/>
  </r>
  <r>
    <d v="2023-06-19T00:00:00"/>
    <s v="Construcciones Jiménez SL"/>
    <x v="1"/>
    <s v="Pladur 13mm"/>
    <s v="PLADUR"/>
    <n v="123"/>
    <n v="11.16"/>
    <n v="1372.68"/>
    <s v="BILBAO"/>
    <x v="5"/>
    <s v="DISTRIBUIDOR"/>
    <n v="965.87"/>
    <n v="29.6"/>
    <x v="1"/>
    <n v="2"/>
    <s v="June"/>
    <x v="687"/>
    <x v="0"/>
    <x v="687"/>
    <s v="Beneficio"/>
  </r>
  <r>
    <d v="2023-02-08T00:00:00"/>
    <s v="Construcciones Jiménez SL"/>
    <x v="1"/>
    <s v="Mortero Acrílico Blanco"/>
    <s v="MORTERO"/>
    <n v="137"/>
    <n v="10.23"/>
    <n v="1401.51"/>
    <s v="BILBAO"/>
    <x v="0"/>
    <s v="DIRECTO"/>
    <n v="995.01"/>
    <n v="29"/>
    <x v="1"/>
    <n v="1"/>
    <s v="February"/>
    <x v="688"/>
    <x v="0"/>
    <x v="688"/>
    <s v="Beneficio"/>
  </r>
  <r>
    <d v="2023-07-07T00:00:00"/>
    <s v="Construcciones López SL"/>
    <x v="5"/>
    <s v="Pladur 13mm"/>
    <s v="PLADUR"/>
    <n v="317"/>
    <n v="6.03"/>
    <n v="1911.51"/>
    <s v="BARCELONA"/>
    <x v="0"/>
    <s v="DISTRIBUIDOR"/>
    <n v="1505.37"/>
    <n v="21.2"/>
    <x v="1"/>
    <n v="3"/>
    <s v="July"/>
    <x v="689"/>
    <x v="1"/>
    <x v="689"/>
    <s v="Beneficio"/>
  </r>
  <r>
    <d v="2023-01-04T00:00:00"/>
    <s v="Construcciones López SL"/>
    <x v="5"/>
    <s v="Pladur 13mm"/>
    <s v="PLADUR"/>
    <n v="316"/>
    <n v="11.31"/>
    <n v="3573.96"/>
    <s v="ZARAGOZA"/>
    <x v="3"/>
    <s v="DIRECTO"/>
    <n v="3168.79"/>
    <n v="11.3"/>
    <x v="1"/>
    <n v="1"/>
    <s v="January"/>
    <x v="690"/>
    <x v="1"/>
    <x v="690"/>
    <s v="Beneficio"/>
  </r>
  <r>
    <d v="2023-05-23T00:00:00"/>
    <s v="Construcciones López SL"/>
    <x v="5"/>
    <s v="Perlita Expandida 40L"/>
    <s v="PERLITA"/>
    <n v="393"/>
    <n v="6.37"/>
    <n v="2503.41"/>
    <s v="MURCIA"/>
    <x v="1"/>
    <s v="DISTRIBUIDOR"/>
    <n v="2100.84"/>
    <n v="16.100000000000001"/>
    <x v="1"/>
    <n v="2"/>
    <s v="May"/>
    <x v="691"/>
    <x v="1"/>
    <x v="691"/>
    <s v="Beneficio"/>
  </r>
  <r>
    <d v="2023-12-19T00:00:00"/>
    <s v="Construcciones Hernández SL"/>
    <x v="0"/>
    <s v="Perlita Expandida 40L"/>
    <s v="PERLITA"/>
    <n v="823"/>
    <n v="4.0199999999999996"/>
    <n v="3308.46"/>
    <s v="VALENCIA"/>
    <x v="4"/>
    <s v="ONLINE"/>
    <n v="2905.97"/>
    <n v="12.2"/>
    <x v="1"/>
    <n v="4"/>
    <s v="December"/>
    <x v="692"/>
    <x v="1"/>
    <x v="692"/>
    <s v="Beneficio"/>
  </r>
  <r>
    <d v="2023-10-30T00:00:00"/>
    <s v="Construcciones Costa SL"/>
    <x v="3"/>
    <s v="Mortero Cementoso Gris"/>
    <s v="MORTERO"/>
    <n v="309"/>
    <n v="8.01"/>
    <n v="2475.09"/>
    <s v="ZARAGOZA"/>
    <x v="2"/>
    <s v="ONLINE"/>
    <n v="2074.92"/>
    <n v="16.2"/>
    <x v="1"/>
    <n v="4"/>
    <s v="October"/>
    <x v="693"/>
    <x v="1"/>
    <x v="693"/>
    <s v="Beneficio"/>
  </r>
  <r>
    <d v="2023-05-09T00:00:00"/>
    <s v="Construcciones García SL"/>
    <x v="4"/>
    <s v="Mortero Monocapa Beige"/>
    <s v="MORTERO"/>
    <n v="202"/>
    <n v="9.8800000000000008"/>
    <n v="1995.76"/>
    <s v="MURCIA"/>
    <x v="5"/>
    <s v="ONLINE"/>
    <n v="1598.34"/>
    <n v="19.899999999999999"/>
    <x v="1"/>
    <n v="2"/>
    <s v="May"/>
    <x v="694"/>
    <x v="1"/>
    <x v="694"/>
    <s v="Beneficio"/>
  </r>
  <r>
    <d v="2024-06-16T00:00:00"/>
    <s v="Construcciones López SL"/>
    <x v="5"/>
    <s v="Pladur Aislante 15mm"/>
    <s v="PLADUR"/>
    <n v="272"/>
    <n v="11.65"/>
    <n v="3168.8"/>
    <s v="SEVILLA"/>
    <x v="1"/>
    <s v="DIRECTO"/>
    <n v="2771.94"/>
    <n v="12.5"/>
    <x v="0"/>
    <n v="2"/>
    <s v="June"/>
    <x v="695"/>
    <x v="1"/>
    <x v="695"/>
    <s v="Beneficio"/>
  </r>
  <r>
    <d v="2023-01-01T00:00:00"/>
    <s v="Construcciones López SL"/>
    <x v="5"/>
    <s v="Placa Pladur Ignífuga"/>
    <s v="PLADUR"/>
    <n v="436"/>
    <n v="2.31"/>
    <n v="1007.16"/>
    <s v="BARCELONA"/>
    <x v="1"/>
    <s v="DISTRIBUIDOR"/>
    <n v="612.05999999999995"/>
    <n v="39.200000000000003"/>
    <x v="1"/>
    <n v="1"/>
    <s v="January"/>
    <x v="696"/>
    <x v="0"/>
    <x v="696"/>
    <s v="Beneficio"/>
  </r>
  <r>
    <d v="2023-11-28T00:00:00"/>
    <s v="Construcciones García SL"/>
    <x v="4"/>
    <s v="Mortero Monocapa Beige"/>
    <s v="MORTERO"/>
    <n v="742"/>
    <n v="5.27"/>
    <n v="3910.34"/>
    <s v="ZARAGOZA"/>
    <x v="4"/>
    <s v="ONLINE"/>
    <n v="3515.43"/>
    <n v="10.1"/>
    <x v="1"/>
    <n v="4"/>
    <s v="November"/>
    <x v="697"/>
    <x v="1"/>
    <x v="697"/>
    <s v="Beneficio"/>
  </r>
  <r>
    <d v="2023-01-07T00:00:00"/>
    <s v="Construcciones Torres SL"/>
    <x v="2"/>
    <s v="Perlita Natural Grano Fino"/>
    <s v="PERLITA"/>
    <n v="827"/>
    <n v="2.0099999999999998"/>
    <n v="1662.27"/>
    <s v="BILBAO"/>
    <x v="5"/>
    <s v="DIRECTO"/>
    <n v="1272.55"/>
    <n v="23.4"/>
    <x v="1"/>
    <n v="1"/>
    <s v="January"/>
    <x v="698"/>
    <x v="1"/>
    <x v="698"/>
    <s v="Beneficio"/>
  </r>
  <r>
    <d v="2023-09-27T00:00:00"/>
    <s v="Construcciones López SL"/>
    <x v="5"/>
    <s v="Mortero Cementoso Gris"/>
    <s v="MORTERO"/>
    <n v="320"/>
    <n v="3.16"/>
    <n v="1011.2"/>
    <s v="BILBAO"/>
    <x v="1"/>
    <s v="ONLINE"/>
    <n v="621.53"/>
    <n v="38.5"/>
    <x v="1"/>
    <n v="3"/>
    <s v="September"/>
    <x v="699"/>
    <x v="0"/>
    <x v="699"/>
    <s v="Beneficio"/>
  </r>
  <r>
    <d v="2023-01-04T00:00:00"/>
    <s v="Construcciones López SL"/>
    <x v="5"/>
    <s v="Perlita Natural Grano Fino"/>
    <s v="PERLITA"/>
    <n v="471"/>
    <n v="2.0499999999999998"/>
    <n v="965.55"/>
    <s v="MÁLAGA"/>
    <x v="2"/>
    <s v="ONLINE"/>
    <n v="579.69000000000005"/>
    <n v="40"/>
    <x v="1"/>
    <n v="1"/>
    <s v="January"/>
    <x v="700"/>
    <x v="0"/>
    <x v="700"/>
    <s v="Beneficio"/>
  </r>
  <r>
    <d v="2023-02-09T00:00:00"/>
    <s v="Construcciones Torres SL"/>
    <x v="2"/>
    <s v="Pladur Aislante 15mm"/>
    <s v="PLADUR"/>
    <n v="485"/>
    <n v="6.42"/>
    <n v="3113.7"/>
    <s v="VALENCIA"/>
    <x v="5"/>
    <s v="ONLINE"/>
    <n v="2729.02"/>
    <n v="12.4"/>
    <x v="1"/>
    <n v="1"/>
    <s v="February"/>
    <x v="701"/>
    <x v="1"/>
    <x v="701"/>
    <s v="Beneficio"/>
  </r>
  <r>
    <d v="2023-07-25T00:00:00"/>
    <s v="Construcciones López SL"/>
    <x v="5"/>
    <s v="Perlita Expandida 40L"/>
    <s v="PERLITA"/>
    <n v="958"/>
    <n v="3.88"/>
    <n v="3717.04"/>
    <s v="MADRID"/>
    <x v="0"/>
    <s v="DIRECTO"/>
    <n v="3332.5"/>
    <n v="10.3"/>
    <x v="1"/>
    <n v="3"/>
    <s v="July"/>
    <x v="702"/>
    <x v="1"/>
    <x v="702"/>
    <s v="Beneficio"/>
  </r>
  <r>
    <d v="2023-03-03T00:00:00"/>
    <s v="Construcciones García SL"/>
    <x v="4"/>
    <s v="Mortero Acrílico Blanco"/>
    <s v="MORTERO"/>
    <n v="712"/>
    <n v="4.28"/>
    <n v="3047.36"/>
    <s v="MADRID"/>
    <x v="2"/>
    <s v="DISTRIBUIDOR"/>
    <n v="2662.97"/>
    <n v="12.6"/>
    <x v="1"/>
    <n v="1"/>
    <s v="March"/>
    <x v="703"/>
    <x v="1"/>
    <x v="703"/>
    <s v="Beneficio"/>
  </r>
  <r>
    <d v="2023-04-30T00:00:00"/>
    <s v="Construcciones Jiménez SL"/>
    <x v="1"/>
    <s v="Mortero Cementoso Gris"/>
    <s v="MORTERO"/>
    <n v="895"/>
    <n v="2.11"/>
    <n v="1888.45"/>
    <s v="BILBAO"/>
    <x v="3"/>
    <s v="DISTRIBUIDOR"/>
    <n v="1506.31"/>
    <n v="20.2"/>
    <x v="1"/>
    <n v="2"/>
    <s v="April"/>
    <x v="704"/>
    <x v="1"/>
    <x v="704"/>
    <s v="Beneficio"/>
  </r>
  <r>
    <d v="2023-05-08T00:00:00"/>
    <s v="Construcciones García SL"/>
    <x v="4"/>
    <s v="Pladur Aislante 15mm"/>
    <s v="PLADUR"/>
    <n v="436"/>
    <n v="3.89"/>
    <n v="1696.04"/>
    <s v="SEVILLA"/>
    <x v="4"/>
    <s v="DIRECTO"/>
    <n v="1315.81"/>
    <n v="22.4"/>
    <x v="1"/>
    <n v="2"/>
    <s v="May"/>
    <x v="705"/>
    <x v="1"/>
    <x v="705"/>
    <s v="Beneficio"/>
  </r>
  <r>
    <d v="2023-02-08T00:00:00"/>
    <s v="Construcciones García SL"/>
    <x v="4"/>
    <s v="Pladur 13mm"/>
    <s v="PLADUR"/>
    <n v="591"/>
    <n v="5.17"/>
    <n v="3055.47"/>
    <s v="BILBAO"/>
    <x v="0"/>
    <s v="DISTRIBUIDOR"/>
    <n v="2676.92"/>
    <n v="12.4"/>
    <x v="1"/>
    <n v="1"/>
    <s v="February"/>
    <x v="706"/>
    <x v="1"/>
    <x v="706"/>
    <s v="Beneficio"/>
  </r>
  <r>
    <d v="2023-02-25T00:00:00"/>
    <s v="Construcciones Hernández SL"/>
    <x v="0"/>
    <s v="Perlita Natural Grano Fino"/>
    <s v="PERLITA"/>
    <n v="218"/>
    <n v="4.75"/>
    <n v="1035.5"/>
    <s v="MURCIA"/>
    <x v="2"/>
    <s v="DIRECTO"/>
    <n v="660.54"/>
    <n v="36.200000000000003"/>
    <x v="1"/>
    <n v="1"/>
    <s v="February"/>
    <x v="707"/>
    <x v="0"/>
    <x v="707"/>
    <s v="Beneficio"/>
  </r>
  <r>
    <d v="2023-05-02T00:00:00"/>
    <s v="Construcciones Hernández SL"/>
    <x v="0"/>
    <s v="Perlita Expandida 40L"/>
    <s v="PERLITA"/>
    <n v="144"/>
    <n v="9.58"/>
    <n v="1379.52"/>
    <s v="MÁLAGA"/>
    <x v="5"/>
    <s v="DISTRIBUIDOR"/>
    <n v="1004.73"/>
    <n v="27.2"/>
    <x v="1"/>
    <n v="2"/>
    <s v="May"/>
    <x v="708"/>
    <x v="0"/>
    <x v="708"/>
    <s v="Beneficio"/>
  </r>
  <r>
    <d v="2024-08-20T00:00:00"/>
    <s v="Construcciones García SL"/>
    <x v="4"/>
    <s v="Mortero Monocapa Beige"/>
    <s v="MORTERO"/>
    <n v="373"/>
    <n v="6.79"/>
    <n v="2532.67"/>
    <s v="VALENCIA"/>
    <x v="3"/>
    <s v="DISTRIBUIDOR"/>
    <n v="2158.09"/>
    <n v="14.8"/>
    <x v="0"/>
    <n v="3"/>
    <s v="August"/>
    <x v="709"/>
    <x v="1"/>
    <x v="709"/>
    <s v="Beneficio"/>
  </r>
  <r>
    <d v="2023-07-04T00:00:00"/>
    <s v="Construcciones Hernández SL"/>
    <x v="0"/>
    <s v="Pladur 13mm"/>
    <s v="PLADUR"/>
    <n v="276"/>
    <n v="5.45"/>
    <n v="1504.2"/>
    <s v="MURCIA"/>
    <x v="4"/>
    <s v="DISTRIBUIDOR"/>
    <n v="1131.6099999999999"/>
    <n v="24.8"/>
    <x v="1"/>
    <n v="3"/>
    <s v="July"/>
    <x v="710"/>
    <x v="1"/>
    <x v="710"/>
    <s v="Beneficio"/>
  </r>
  <r>
    <d v="2024-07-26T00:00:00"/>
    <s v="Construcciones López SL"/>
    <x v="5"/>
    <s v="Placa Pladur Ignífuga"/>
    <s v="PLADUR"/>
    <n v="428"/>
    <n v="2.82"/>
    <n v="1206.96"/>
    <s v="BARCELONA"/>
    <x v="4"/>
    <s v="DISTRIBUIDOR"/>
    <n v="837.74"/>
    <n v="30.6"/>
    <x v="0"/>
    <n v="3"/>
    <s v="July"/>
    <x v="711"/>
    <x v="0"/>
    <x v="711"/>
    <s v="Beneficio"/>
  </r>
  <r>
    <d v="2024-10-27T00:00:00"/>
    <s v="Construcciones Hernández SL"/>
    <x v="0"/>
    <s v="Placa Pladur Ignífuga"/>
    <s v="PLADUR"/>
    <n v="536"/>
    <n v="2.81"/>
    <n v="1506.16"/>
    <s v="ZARAGOZA"/>
    <x v="5"/>
    <s v="DIRECTO"/>
    <n v="1137.46"/>
    <n v="24.5"/>
    <x v="0"/>
    <n v="4"/>
    <s v="October"/>
    <x v="712"/>
    <x v="1"/>
    <x v="712"/>
    <s v="Beneficio"/>
  </r>
  <r>
    <d v="2023-05-22T00:00:00"/>
    <s v="Construcciones López SL"/>
    <x v="5"/>
    <s v="Placa Pladur Ignífuga"/>
    <s v="PLADUR"/>
    <n v="578"/>
    <n v="3.13"/>
    <n v="1809.14"/>
    <s v="MADRID"/>
    <x v="3"/>
    <s v="ONLINE"/>
    <n v="1440.9"/>
    <n v="20.399999999999999"/>
    <x v="1"/>
    <n v="2"/>
    <s v="May"/>
    <x v="713"/>
    <x v="1"/>
    <x v="713"/>
    <s v="Beneficio"/>
  </r>
  <r>
    <d v="2023-01-09T00:00:00"/>
    <s v="Construcciones López SL"/>
    <x v="5"/>
    <s v="Mortero Monocapa Beige"/>
    <s v="MORTERO"/>
    <n v="683"/>
    <n v="3.64"/>
    <n v="2486.12"/>
    <s v="MADRID"/>
    <x v="3"/>
    <s v="DIRECTO"/>
    <n v="2119.85"/>
    <n v="14.7"/>
    <x v="1"/>
    <n v="1"/>
    <s v="January"/>
    <x v="714"/>
    <x v="1"/>
    <x v="714"/>
    <s v="Beneficio"/>
  </r>
  <r>
    <d v="2023-04-09T00:00:00"/>
    <s v="Construcciones Jiménez SL"/>
    <x v="1"/>
    <s v="Mortero Acrílico Blanco"/>
    <s v="MORTERO"/>
    <n v="523"/>
    <n v="2.2200000000000002"/>
    <n v="1161.06"/>
    <s v="BARCELONA"/>
    <x v="0"/>
    <s v="ONLINE"/>
    <n v="795.4"/>
    <n v="31.5"/>
    <x v="1"/>
    <n v="2"/>
    <s v="April"/>
    <x v="715"/>
    <x v="0"/>
    <x v="715"/>
    <s v="Beneficio"/>
  </r>
  <r>
    <d v="2023-07-07T00:00:00"/>
    <s v="Construcciones Hernández SL"/>
    <x v="0"/>
    <s v="Mortero Monocapa Beige"/>
    <s v="MORTERO"/>
    <n v="542"/>
    <n v="2.1"/>
    <n v="1138.2"/>
    <s v="MURCIA"/>
    <x v="3"/>
    <s v="DISTRIBUIDOR"/>
    <n v="777.68"/>
    <n v="31.7"/>
    <x v="1"/>
    <n v="3"/>
    <s v="July"/>
    <x v="716"/>
    <x v="0"/>
    <x v="716"/>
    <s v="Beneficio"/>
  </r>
  <r>
    <d v="2023-04-26T00:00:00"/>
    <s v="Construcciones Jiménez SL"/>
    <x v="1"/>
    <s v="Perlita Natural Grano Fino"/>
    <s v="PERLITA"/>
    <n v="194"/>
    <n v="7.48"/>
    <n v="1451.12"/>
    <s v="BILBAO"/>
    <x v="4"/>
    <s v="ONLINE"/>
    <n v="1090.8599999999999"/>
    <n v="24.8"/>
    <x v="1"/>
    <n v="2"/>
    <s v="April"/>
    <x v="717"/>
    <x v="1"/>
    <x v="717"/>
    <s v="Beneficio"/>
  </r>
  <r>
    <d v="2023-05-17T00:00:00"/>
    <s v="Construcciones Jiménez SL"/>
    <x v="1"/>
    <s v="Mortero Cementoso Gris"/>
    <s v="MORTERO"/>
    <n v="422"/>
    <n v="3.8"/>
    <n v="1603.6"/>
    <s v="BARCELONA"/>
    <x v="3"/>
    <s v="ONLINE"/>
    <n v="1244.5"/>
    <n v="22.4"/>
    <x v="1"/>
    <n v="2"/>
    <s v="May"/>
    <x v="718"/>
    <x v="1"/>
    <x v="718"/>
    <s v="Beneficio"/>
  </r>
  <r>
    <d v="2023-09-07T00:00:00"/>
    <s v="Construcciones García SL"/>
    <x v="4"/>
    <s v="Pladur Aislante 15mm"/>
    <s v="PLADUR"/>
    <n v="866"/>
    <n v="3"/>
    <n v="2598"/>
    <s v="BILBAO"/>
    <x v="3"/>
    <s v="DIRECTO"/>
    <n v="2239.06"/>
    <n v="13.8"/>
    <x v="1"/>
    <n v="3"/>
    <s v="September"/>
    <x v="719"/>
    <x v="1"/>
    <x v="719"/>
    <s v="Beneficio"/>
  </r>
  <r>
    <d v="2023-07-08T00:00:00"/>
    <s v="Construcciones Jiménez SL"/>
    <x v="1"/>
    <s v="Mortero Acrílico Blanco"/>
    <s v="MORTERO"/>
    <n v="308"/>
    <n v="3.55"/>
    <n v="1093.4000000000001"/>
    <s v="BILBAO"/>
    <x v="0"/>
    <s v="DISTRIBUIDOR"/>
    <n v="736.13"/>
    <n v="32.700000000000003"/>
    <x v="1"/>
    <n v="3"/>
    <s v="July"/>
    <x v="720"/>
    <x v="0"/>
    <x v="720"/>
    <s v="Beneficio"/>
  </r>
  <r>
    <d v="2023-03-26T00:00:00"/>
    <s v="Construcciones Jiménez SL"/>
    <x v="1"/>
    <s v="Mortero Cementoso Gris"/>
    <s v="MORTERO"/>
    <n v="910"/>
    <n v="2.52"/>
    <n v="2293.1999999999998"/>
    <s v="VALENCIA"/>
    <x v="4"/>
    <s v="DISTRIBUIDOR"/>
    <n v="1938.06"/>
    <n v="15.5"/>
    <x v="1"/>
    <n v="1"/>
    <s v="March"/>
    <x v="721"/>
    <x v="1"/>
    <x v="721"/>
    <s v="Beneficio"/>
  </r>
  <r>
    <d v="2023-03-06T00:00:00"/>
    <s v="Construcciones García SL"/>
    <x v="4"/>
    <s v="Pladur Aislante 15mm"/>
    <s v="PLADUR"/>
    <n v="193"/>
    <n v="11.23"/>
    <n v="2167.39"/>
    <s v="SEVILLA"/>
    <x v="0"/>
    <s v="ONLINE"/>
    <n v="1812.95"/>
    <n v="16.399999999999999"/>
    <x v="1"/>
    <n v="1"/>
    <s v="March"/>
    <x v="722"/>
    <x v="1"/>
    <x v="722"/>
    <s v="Beneficio"/>
  </r>
  <r>
    <d v="2023-04-28T00:00:00"/>
    <s v="Construcciones García SL"/>
    <x v="4"/>
    <s v="Pladur Aislante 15mm"/>
    <s v="PLADUR"/>
    <n v="196"/>
    <n v="7.91"/>
    <n v="1550.36"/>
    <s v="BILBAO"/>
    <x v="0"/>
    <s v="DIRECTO"/>
    <n v="1197.24"/>
    <n v="22.8"/>
    <x v="1"/>
    <n v="2"/>
    <s v="April"/>
    <x v="723"/>
    <x v="1"/>
    <x v="723"/>
    <s v="Beneficio"/>
  </r>
  <r>
    <d v="2024-05-25T00:00:00"/>
    <s v="Construcciones López SL"/>
    <x v="5"/>
    <s v="Mortero Cementoso Gris"/>
    <s v="MORTERO"/>
    <n v="322"/>
    <n v="8.1300000000000008"/>
    <n v="2617.86"/>
    <s v="VALENCIA"/>
    <x v="2"/>
    <s v="DISTRIBUIDOR"/>
    <n v="2265.34"/>
    <n v="13.5"/>
    <x v="0"/>
    <n v="2"/>
    <s v="May"/>
    <x v="724"/>
    <x v="1"/>
    <x v="724"/>
    <s v="Beneficio"/>
  </r>
  <r>
    <d v="2023-02-16T00:00:00"/>
    <s v="Construcciones García SL"/>
    <x v="4"/>
    <s v="Perlita Natural Grano Fino"/>
    <s v="PERLITA"/>
    <n v="579"/>
    <n v="3.78"/>
    <n v="2188.62"/>
    <s v="MÁLAGA"/>
    <x v="3"/>
    <s v="DISTRIBUIDOR"/>
    <n v="1838.61"/>
    <n v="16"/>
    <x v="1"/>
    <n v="1"/>
    <s v="February"/>
    <x v="725"/>
    <x v="1"/>
    <x v="725"/>
    <s v="Beneficio"/>
  </r>
  <r>
    <d v="2023-01-22T00:00:00"/>
    <s v="Construcciones López SL"/>
    <x v="5"/>
    <s v="Mortero Acrílico Blanco"/>
    <s v="MORTERO"/>
    <n v="605"/>
    <n v="4.3"/>
    <n v="2601.5"/>
    <s v="BILBAO"/>
    <x v="0"/>
    <s v="DIRECTO"/>
    <n v="2253.9299999999998"/>
    <n v="13.4"/>
    <x v="1"/>
    <n v="1"/>
    <s v="January"/>
    <x v="726"/>
    <x v="1"/>
    <x v="726"/>
    <s v="Beneficio"/>
  </r>
  <r>
    <d v="2023-12-08T00:00:00"/>
    <s v="Construcciones Jiménez SL"/>
    <x v="1"/>
    <s v="Perlita Natural Grano Fino"/>
    <s v="PERLITA"/>
    <n v="331"/>
    <n v="5.51"/>
    <n v="1823.81"/>
    <s v="BILBAO"/>
    <x v="2"/>
    <s v="DISTRIBUIDOR"/>
    <n v="1481.86"/>
    <n v="18.7"/>
    <x v="1"/>
    <n v="4"/>
    <s v="December"/>
    <x v="727"/>
    <x v="1"/>
    <x v="727"/>
    <s v="Beneficio"/>
  </r>
  <r>
    <d v="2023-04-17T00:00:00"/>
    <s v="Construcciones Hernández SL"/>
    <x v="0"/>
    <s v="Pladur 13mm"/>
    <s v="PLADUR"/>
    <n v="577"/>
    <n v="2.69"/>
    <n v="1552.13"/>
    <s v="SEVILLA"/>
    <x v="1"/>
    <s v="DISTRIBUIDOR"/>
    <n v="1210.58"/>
    <n v="22"/>
    <x v="1"/>
    <n v="2"/>
    <s v="April"/>
    <x v="728"/>
    <x v="1"/>
    <x v="728"/>
    <s v="Beneficio"/>
  </r>
  <r>
    <d v="2023-04-15T00:00:00"/>
    <s v="Construcciones Costa SL"/>
    <x v="3"/>
    <s v="Pladur 13mm"/>
    <s v="PLADUR"/>
    <n v="464"/>
    <n v="4.9800000000000004"/>
    <n v="2310.7199999999998"/>
    <s v="ZARAGOZA"/>
    <x v="2"/>
    <s v="DISTRIBUIDOR"/>
    <n v="1969.18"/>
    <n v="14.8"/>
    <x v="1"/>
    <n v="2"/>
    <s v="April"/>
    <x v="729"/>
    <x v="1"/>
    <x v="729"/>
    <s v="Beneficio"/>
  </r>
  <r>
    <d v="2024-04-08T00:00:00"/>
    <s v="Construcciones López SL"/>
    <x v="5"/>
    <s v="Mortero Acrílico Blanco"/>
    <s v="MORTERO"/>
    <n v="278"/>
    <n v="3.84"/>
    <n v="1067.52"/>
    <s v="MÁLAGA"/>
    <x v="0"/>
    <s v="DISTRIBUIDOR"/>
    <n v="726.76"/>
    <n v="31.9"/>
    <x v="0"/>
    <n v="2"/>
    <s v="April"/>
    <x v="730"/>
    <x v="0"/>
    <x v="730"/>
    <s v="Beneficio"/>
  </r>
  <r>
    <d v="2025-01-07T00:00:00"/>
    <s v="Construcciones García SL"/>
    <x v="4"/>
    <s v="Mortero Monocapa Beige"/>
    <s v="MORTERO"/>
    <n v="272"/>
    <n v="6.01"/>
    <n v="1634.72"/>
    <s v="BARCELONA"/>
    <x v="2"/>
    <s v="DIRECTO"/>
    <n v="1294.55"/>
    <n v="20.8"/>
    <x v="2"/>
    <n v="1"/>
    <s v="January"/>
    <x v="731"/>
    <x v="1"/>
    <x v="731"/>
    <s v="Beneficio"/>
  </r>
  <r>
    <d v="2023-04-02T00:00:00"/>
    <s v="Construcciones García SL"/>
    <x v="4"/>
    <s v="Pladur Aislante 15mm"/>
    <s v="PLADUR"/>
    <n v="199"/>
    <n v="8.2899999999999991"/>
    <n v="1649.71"/>
    <s v="SEVILLA"/>
    <x v="2"/>
    <s v="DISTRIBUIDOR"/>
    <n v="1309.68"/>
    <n v="20.6"/>
    <x v="1"/>
    <n v="2"/>
    <s v="April"/>
    <x v="732"/>
    <x v="1"/>
    <x v="732"/>
    <s v="Beneficio"/>
  </r>
  <r>
    <d v="2023-10-20T00:00:00"/>
    <s v="Construcciones Hernández SL"/>
    <x v="0"/>
    <s v="Pladur Aislante 15mm"/>
    <s v="PLADUR"/>
    <n v="278"/>
    <n v="3.38"/>
    <n v="939.64"/>
    <s v="MADRID"/>
    <x v="0"/>
    <s v="DIRECTO"/>
    <n v="601.25"/>
    <n v="36"/>
    <x v="1"/>
    <n v="4"/>
    <s v="October"/>
    <x v="733"/>
    <x v="0"/>
    <x v="733"/>
    <s v="Beneficio"/>
  </r>
  <r>
    <d v="2023-07-03T00:00:00"/>
    <s v="Construcciones Costa SL"/>
    <x v="3"/>
    <s v="Placa Pladur Ignífuga"/>
    <s v="PLADUR"/>
    <n v="523"/>
    <n v="4.87"/>
    <n v="2547.0100000000002"/>
    <s v="MÁLAGA"/>
    <x v="1"/>
    <s v="DIRECTO"/>
    <n v="2209.6999999999998"/>
    <n v="13.2"/>
    <x v="1"/>
    <n v="3"/>
    <s v="July"/>
    <x v="734"/>
    <x v="1"/>
    <x v="734"/>
    <s v="Beneficio"/>
  </r>
  <r>
    <d v="2023-11-01T00:00:00"/>
    <s v="Construcciones López SL"/>
    <x v="5"/>
    <s v="Pladur Aislante 15mm"/>
    <s v="PLADUR"/>
    <n v="111"/>
    <n v="8.17"/>
    <n v="906.87"/>
    <s v="MÁLAGA"/>
    <x v="1"/>
    <s v="DIRECTO"/>
    <n v="570.24"/>
    <n v="37.1"/>
    <x v="1"/>
    <n v="4"/>
    <s v="November"/>
    <x v="735"/>
    <x v="0"/>
    <x v="735"/>
    <s v="Beneficio"/>
  </r>
  <r>
    <d v="2023-01-13T00:00:00"/>
    <s v="Construcciones López SL"/>
    <x v="5"/>
    <s v="Perlita Expandida 40L"/>
    <s v="PERLITA"/>
    <n v="130"/>
    <n v="9.1300000000000008"/>
    <n v="1186.9000000000001"/>
    <s v="MURCIA"/>
    <x v="5"/>
    <s v="DIRECTO"/>
    <n v="851.54"/>
    <n v="28.3"/>
    <x v="1"/>
    <n v="1"/>
    <s v="January"/>
    <x v="736"/>
    <x v="0"/>
    <x v="736"/>
    <s v="Beneficio"/>
  </r>
  <r>
    <d v="2023-03-17T00:00:00"/>
    <s v="Construcciones Jiménez SL"/>
    <x v="1"/>
    <s v="Pladur Aislante 15mm"/>
    <s v="PLADUR"/>
    <n v="249"/>
    <n v="3.39"/>
    <n v="844.11"/>
    <s v="MÁLAGA"/>
    <x v="3"/>
    <s v="DIRECTO"/>
    <n v="509.96"/>
    <n v="39.6"/>
    <x v="1"/>
    <n v="1"/>
    <s v="March"/>
    <x v="737"/>
    <x v="0"/>
    <x v="737"/>
    <s v="Beneficio"/>
  </r>
  <r>
    <d v="2023-03-29T00:00:00"/>
    <s v="Construcciones Costa SL"/>
    <x v="3"/>
    <s v="Placa Pladur Ignífuga"/>
    <s v="PLADUR"/>
    <n v="562"/>
    <n v="5.89"/>
    <n v="3310.18"/>
    <s v="ZARAGOZA"/>
    <x v="2"/>
    <s v="DIRECTO"/>
    <n v="2976.32"/>
    <n v="10.1"/>
    <x v="1"/>
    <n v="1"/>
    <s v="March"/>
    <x v="738"/>
    <x v="1"/>
    <x v="738"/>
    <s v="Beneficio"/>
  </r>
  <r>
    <d v="2023-07-06T00:00:00"/>
    <s v="Construcciones Torres SL"/>
    <x v="2"/>
    <s v="Pladur 13mm"/>
    <s v="PLADUR"/>
    <n v="133"/>
    <n v="6.64"/>
    <n v="883.12"/>
    <s v="MURCIA"/>
    <x v="1"/>
    <s v="DISTRIBUIDOR"/>
    <n v="549.86"/>
    <n v="37.700000000000003"/>
    <x v="1"/>
    <n v="3"/>
    <s v="July"/>
    <x v="739"/>
    <x v="0"/>
    <x v="739"/>
    <s v="Beneficio"/>
  </r>
  <r>
    <d v="2023-01-08T00:00:00"/>
    <s v="Construcciones Hernández SL"/>
    <x v="0"/>
    <s v="Pladur Aislante 15mm"/>
    <s v="PLADUR"/>
    <n v="287"/>
    <n v="4.09"/>
    <n v="1173.83"/>
    <s v="BARCELONA"/>
    <x v="4"/>
    <s v="DISTRIBUIDOR"/>
    <n v="841.78"/>
    <n v="28.3"/>
    <x v="1"/>
    <n v="1"/>
    <s v="January"/>
    <x v="740"/>
    <x v="0"/>
    <x v="740"/>
    <s v="Beneficio"/>
  </r>
  <r>
    <d v="2023-03-14T00:00:00"/>
    <s v="Construcciones García SL"/>
    <x v="4"/>
    <s v="Perlita Expandida 40L"/>
    <s v="PERLITA"/>
    <n v="667"/>
    <n v="2.99"/>
    <n v="1994.33"/>
    <s v="VALENCIA"/>
    <x v="4"/>
    <s v="DISTRIBUIDOR"/>
    <n v="1662.86"/>
    <n v="16.600000000000001"/>
    <x v="1"/>
    <n v="1"/>
    <s v="March"/>
    <x v="741"/>
    <x v="1"/>
    <x v="741"/>
    <s v="Beneficio"/>
  </r>
  <r>
    <d v="2023-06-13T00:00:00"/>
    <s v="Construcciones Hernández SL"/>
    <x v="0"/>
    <s v="Mortero Monocapa Beige"/>
    <s v="MORTERO"/>
    <n v="301"/>
    <n v="2.91"/>
    <n v="875.91"/>
    <s v="VALENCIA"/>
    <x v="1"/>
    <s v="ONLINE"/>
    <n v="545.53"/>
    <n v="37.700000000000003"/>
    <x v="1"/>
    <n v="2"/>
    <s v="June"/>
    <x v="742"/>
    <x v="0"/>
    <x v="742"/>
    <s v="Beneficio"/>
  </r>
  <r>
    <d v="2023-04-02T00:00:00"/>
    <s v="Construcciones Hernández SL"/>
    <x v="0"/>
    <s v="Perlita Natural Grano Fino"/>
    <s v="PERLITA"/>
    <n v="495"/>
    <n v="3.72"/>
    <n v="1841.4"/>
    <s v="SEVILLA"/>
    <x v="4"/>
    <s v="ONLINE"/>
    <n v="1512.09"/>
    <n v="17.899999999999999"/>
    <x v="1"/>
    <n v="2"/>
    <s v="April"/>
    <x v="743"/>
    <x v="1"/>
    <x v="743"/>
    <s v="Beneficio"/>
  </r>
  <r>
    <d v="2025-10-30T00:00:00"/>
    <s v="Construcciones Costa SL"/>
    <x v="3"/>
    <s v="Mortero Monocapa Beige"/>
    <s v="MORTERO"/>
    <n v="530"/>
    <n v="3.51"/>
    <n v="1860.3"/>
    <s v="MÁLAGA"/>
    <x v="0"/>
    <s v="ONLINE"/>
    <n v="1532.81"/>
    <n v="17.600000000000001"/>
    <x v="2"/>
    <n v="4"/>
    <s v="October"/>
    <x v="744"/>
    <x v="1"/>
    <x v="744"/>
    <s v="Beneficio"/>
  </r>
  <r>
    <d v="2023-04-23T00:00:00"/>
    <s v="Construcciones Hernández SL"/>
    <x v="0"/>
    <s v="Pladur Aislante 15mm"/>
    <s v="PLADUR"/>
    <n v="443"/>
    <n v="5.13"/>
    <n v="2272.59"/>
    <s v="MADRID"/>
    <x v="2"/>
    <s v="DISTRIBUIDOR"/>
    <n v="1947.48"/>
    <n v="14.3"/>
    <x v="1"/>
    <n v="2"/>
    <s v="April"/>
    <x v="745"/>
    <x v="1"/>
    <x v="745"/>
    <s v="Beneficio"/>
  </r>
  <r>
    <d v="2024-04-04T00:00:00"/>
    <s v="Construcciones López SL"/>
    <x v="5"/>
    <s v="Pladur 13mm"/>
    <s v="PLADUR"/>
    <n v="448"/>
    <n v="3.75"/>
    <n v="1680"/>
    <s v="MADRID"/>
    <x v="1"/>
    <s v="ONLINE"/>
    <n v="1356.23"/>
    <n v="19.3"/>
    <x v="0"/>
    <n v="2"/>
    <s v="April"/>
    <x v="746"/>
    <x v="1"/>
    <x v="746"/>
    <s v="Beneficio"/>
  </r>
  <r>
    <d v="2023-01-11T00:00:00"/>
    <s v="Construcciones Jiménez SL"/>
    <x v="1"/>
    <s v="Perlita Natural Grano Fino"/>
    <s v="PERLITA"/>
    <n v="915"/>
    <n v="3.28"/>
    <n v="3001.2"/>
    <s v="BARCELONA"/>
    <x v="3"/>
    <s v="ONLINE"/>
    <n v="2678.72"/>
    <n v="10.7"/>
    <x v="1"/>
    <n v="1"/>
    <s v="January"/>
    <x v="747"/>
    <x v="1"/>
    <x v="747"/>
    <s v="Beneficio"/>
  </r>
  <r>
    <d v="2023-06-02T00:00:00"/>
    <s v="Construcciones Torres SL"/>
    <x v="2"/>
    <s v="Placa Pladur Ignífuga"/>
    <s v="PLADUR"/>
    <n v="451"/>
    <n v="2.12"/>
    <n v="956.12"/>
    <s v="SEVILLA"/>
    <x v="3"/>
    <s v="DIRECTO"/>
    <n v="636.89"/>
    <n v="33.4"/>
    <x v="1"/>
    <n v="2"/>
    <s v="June"/>
    <x v="748"/>
    <x v="0"/>
    <x v="748"/>
    <s v="Beneficio"/>
  </r>
  <r>
    <d v="2023-01-27T00:00:00"/>
    <s v="Construcciones García SL"/>
    <x v="4"/>
    <s v="Mortero Monocapa Beige"/>
    <s v="MORTERO"/>
    <n v="119"/>
    <n v="10.77"/>
    <n v="1281.6300000000001"/>
    <s v="MADRID"/>
    <x v="3"/>
    <s v="DIRECTO"/>
    <n v="962.59"/>
    <n v="24.9"/>
    <x v="1"/>
    <n v="1"/>
    <s v="January"/>
    <x v="749"/>
    <x v="1"/>
    <x v="749"/>
    <s v="Beneficio"/>
  </r>
  <r>
    <d v="2023-06-12T00:00:00"/>
    <s v="Construcciones Torres SL"/>
    <x v="2"/>
    <s v="Mortero Cementoso Gris"/>
    <s v="MORTERO"/>
    <n v="245"/>
    <n v="4.4800000000000004"/>
    <n v="1097.5999999999999"/>
    <s v="ZARAGOZA"/>
    <x v="5"/>
    <s v="ONLINE"/>
    <n v="779.24"/>
    <n v="29"/>
    <x v="1"/>
    <n v="2"/>
    <s v="June"/>
    <x v="750"/>
    <x v="0"/>
    <x v="750"/>
    <s v="Beneficio"/>
  </r>
  <r>
    <d v="2023-02-19T00:00:00"/>
    <s v="Construcciones Costa SL"/>
    <x v="3"/>
    <s v="Pladur 13mm"/>
    <s v="PLADUR"/>
    <n v="940"/>
    <n v="3.22"/>
    <n v="3026.8"/>
    <s v="MADRID"/>
    <x v="5"/>
    <s v="DIRECTO"/>
    <n v="2709.3"/>
    <n v="10.5"/>
    <x v="1"/>
    <n v="1"/>
    <s v="February"/>
    <x v="751"/>
    <x v="1"/>
    <x v="751"/>
    <s v="Beneficio"/>
  </r>
  <r>
    <d v="2024-09-12T00:00:00"/>
    <s v="Construcciones Hernández SL"/>
    <x v="0"/>
    <s v="Mortero Monocapa Beige"/>
    <s v="MORTERO"/>
    <n v="252"/>
    <n v="6.46"/>
    <n v="1627.92"/>
    <s v="MÁLAGA"/>
    <x v="5"/>
    <s v="ONLINE"/>
    <n v="1310.74"/>
    <n v="19.5"/>
    <x v="0"/>
    <n v="3"/>
    <s v="September"/>
    <x v="752"/>
    <x v="1"/>
    <x v="752"/>
    <s v="Beneficio"/>
  </r>
  <r>
    <d v="2023-01-26T00:00:00"/>
    <s v="Construcciones Costa SL"/>
    <x v="3"/>
    <s v="Perlita Expandida 40L"/>
    <s v="PERLITA"/>
    <n v="297"/>
    <n v="4.0599999999999996"/>
    <n v="1205.82"/>
    <s v="SEVILLA"/>
    <x v="0"/>
    <s v="ONLINE"/>
    <n v="889.33"/>
    <n v="26.2"/>
    <x v="1"/>
    <n v="1"/>
    <s v="January"/>
    <x v="753"/>
    <x v="0"/>
    <x v="753"/>
    <s v="Beneficio"/>
  </r>
  <r>
    <d v="2023-07-12T00:00:00"/>
    <s v="Construcciones Jiménez SL"/>
    <x v="1"/>
    <s v="Mortero Acrílico Blanco"/>
    <s v="MORTERO"/>
    <n v="465"/>
    <n v="4.7699999999999996"/>
    <n v="2218.0500000000002"/>
    <s v="MADRID"/>
    <x v="5"/>
    <s v="DISTRIBUIDOR"/>
    <n v="1901.73"/>
    <n v="14.3"/>
    <x v="1"/>
    <n v="3"/>
    <s v="July"/>
    <x v="754"/>
    <x v="1"/>
    <x v="754"/>
    <s v="Beneficio"/>
  </r>
  <r>
    <d v="2023-12-29T00:00:00"/>
    <s v="Construcciones García SL"/>
    <x v="4"/>
    <s v="Perlita Expandida 40L"/>
    <s v="PERLITA"/>
    <n v="180"/>
    <n v="11.12"/>
    <n v="2001.6"/>
    <s v="MADRID"/>
    <x v="1"/>
    <s v="DISTRIBUIDOR"/>
    <n v="1685.71"/>
    <n v="15.8"/>
    <x v="1"/>
    <n v="4"/>
    <s v="December"/>
    <x v="755"/>
    <x v="1"/>
    <x v="755"/>
    <s v="Beneficio"/>
  </r>
  <r>
    <d v="2023-03-16T00:00:00"/>
    <s v="Construcciones Hernández SL"/>
    <x v="0"/>
    <s v="Placa Pladur Ignífuga"/>
    <s v="PLADUR"/>
    <n v="120"/>
    <n v="9.08"/>
    <n v="1089.5999999999999"/>
    <s v="SEVILLA"/>
    <x v="0"/>
    <s v="DISTRIBUIDOR"/>
    <n v="773.83"/>
    <n v="29"/>
    <x v="1"/>
    <n v="1"/>
    <s v="March"/>
    <x v="756"/>
    <x v="0"/>
    <x v="756"/>
    <s v="Beneficio"/>
  </r>
  <r>
    <d v="2023-03-14T00:00:00"/>
    <s v="Construcciones López SL"/>
    <x v="5"/>
    <s v="Pladur 13mm"/>
    <s v="PLADUR"/>
    <n v="275"/>
    <n v="4.46"/>
    <n v="1226.5"/>
    <s v="BILBAO"/>
    <x v="2"/>
    <s v="DIRECTO"/>
    <n v="910.93"/>
    <n v="25.7"/>
    <x v="1"/>
    <n v="1"/>
    <s v="March"/>
    <x v="757"/>
    <x v="0"/>
    <x v="757"/>
    <s v="Beneficio"/>
  </r>
  <r>
    <d v="2023-05-03T00:00:00"/>
    <s v="Construcciones Costa SL"/>
    <x v="3"/>
    <s v="Mortero Monocapa Beige"/>
    <s v="MORTERO"/>
    <n v="120"/>
    <n v="8.57"/>
    <n v="1028.4000000000001"/>
    <s v="ZARAGOZA"/>
    <x v="2"/>
    <s v="DISTRIBUIDOR"/>
    <n v="713.01"/>
    <n v="30.7"/>
    <x v="1"/>
    <n v="2"/>
    <s v="May"/>
    <x v="758"/>
    <x v="0"/>
    <x v="758"/>
    <s v="Beneficio"/>
  </r>
  <r>
    <d v="2023-07-11T00:00:00"/>
    <s v="Construcciones Torres SL"/>
    <x v="2"/>
    <s v="Perlita Natural Grano Fino"/>
    <s v="PERLITA"/>
    <n v="858"/>
    <n v="2.2000000000000002"/>
    <n v="1887.6"/>
    <s v="VALENCIA"/>
    <x v="5"/>
    <s v="ONLINE"/>
    <n v="1572.75"/>
    <n v="16.7"/>
    <x v="1"/>
    <n v="3"/>
    <s v="July"/>
    <x v="759"/>
    <x v="1"/>
    <x v="759"/>
    <s v="Beneficio"/>
  </r>
  <r>
    <d v="2023-08-23T00:00:00"/>
    <s v="Construcciones Hernández SL"/>
    <x v="0"/>
    <s v="Perlita Natural Grano Fino"/>
    <s v="PERLITA"/>
    <n v="883"/>
    <n v="2.84"/>
    <n v="2507.7199999999998"/>
    <s v="ZARAGOZA"/>
    <x v="5"/>
    <s v="DIRECTO"/>
    <n v="2192.87"/>
    <n v="12.6"/>
    <x v="1"/>
    <n v="3"/>
    <s v="August"/>
    <x v="759"/>
    <x v="1"/>
    <x v="760"/>
    <s v="Beneficio"/>
  </r>
  <r>
    <d v="2024-04-20T00:00:00"/>
    <s v="Construcciones Torres SL"/>
    <x v="2"/>
    <s v="Mortero Monocapa Beige"/>
    <s v="MORTERO"/>
    <n v="112"/>
    <n v="9.49"/>
    <n v="1062.8800000000001"/>
    <s v="ZARAGOZA"/>
    <x v="4"/>
    <s v="ONLINE"/>
    <n v="749.53"/>
    <n v="29.5"/>
    <x v="0"/>
    <n v="2"/>
    <s v="April"/>
    <x v="760"/>
    <x v="0"/>
    <x v="761"/>
    <s v="Beneficio"/>
  </r>
  <r>
    <d v="2024-06-03T00:00:00"/>
    <s v="Construcciones Torres SL"/>
    <x v="2"/>
    <s v="Perlita Expandida 40L"/>
    <s v="PERLITA"/>
    <n v="267"/>
    <n v="6.74"/>
    <n v="1799.58"/>
    <s v="MADRID"/>
    <x v="5"/>
    <s v="DIRECTO"/>
    <n v="1486.73"/>
    <n v="17.399999999999999"/>
    <x v="0"/>
    <n v="2"/>
    <s v="June"/>
    <x v="761"/>
    <x v="1"/>
    <x v="762"/>
    <s v="Beneficio"/>
  </r>
  <r>
    <d v="2023-02-06T00:00:00"/>
    <s v="Construcciones García SL"/>
    <x v="4"/>
    <s v="Mortero Cementoso Gris"/>
    <s v="MORTERO"/>
    <n v="484"/>
    <n v="2.4500000000000002"/>
    <n v="1185.8"/>
    <s v="ZARAGOZA"/>
    <x v="0"/>
    <s v="DISTRIBUIDOR"/>
    <n v="874.67"/>
    <n v="26.2"/>
    <x v="1"/>
    <n v="1"/>
    <s v="February"/>
    <x v="762"/>
    <x v="0"/>
    <x v="763"/>
    <s v="Beneficio"/>
  </r>
  <r>
    <d v="2024-04-17T00:00:00"/>
    <s v="Construcciones Jiménez SL"/>
    <x v="1"/>
    <s v="Placa Pladur Ignífuga"/>
    <s v="PLADUR"/>
    <n v="167"/>
    <n v="6.45"/>
    <n v="1077.1500000000001"/>
    <s v="MADRID"/>
    <x v="2"/>
    <s v="DIRECTO"/>
    <n v="766.32"/>
    <n v="28.9"/>
    <x v="0"/>
    <n v="2"/>
    <s v="April"/>
    <x v="763"/>
    <x v="0"/>
    <x v="764"/>
    <s v="Beneficio"/>
  </r>
  <r>
    <d v="2023-04-25T00:00:00"/>
    <s v="Construcciones López SL"/>
    <x v="5"/>
    <s v="Pladur Aislante 15mm"/>
    <s v="PLADUR"/>
    <n v="127"/>
    <n v="7.25"/>
    <n v="920.75"/>
    <s v="MÁLAGA"/>
    <x v="0"/>
    <s v="DISTRIBUIDOR"/>
    <n v="614.27"/>
    <n v="33.299999999999997"/>
    <x v="1"/>
    <n v="2"/>
    <s v="April"/>
    <x v="764"/>
    <x v="0"/>
    <x v="765"/>
    <s v="Beneficio"/>
  </r>
  <r>
    <d v="2023-04-26T00:00:00"/>
    <s v="Construcciones García SL"/>
    <x v="4"/>
    <s v="Pladur Aislante 15mm"/>
    <s v="PLADUR"/>
    <n v="98"/>
    <n v="7.9"/>
    <n v="774.2"/>
    <s v="VALENCIA"/>
    <x v="3"/>
    <s v="DISTRIBUIDOR"/>
    <n v="467.89"/>
    <n v="39.6"/>
    <x v="1"/>
    <n v="2"/>
    <s v="April"/>
    <x v="765"/>
    <x v="0"/>
    <x v="766"/>
    <s v="Beneficio"/>
  </r>
  <r>
    <d v="2023-01-01T00:00:00"/>
    <s v="Construcciones Hernández SL"/>
    <x v="0"/>
    <s v="Mortero Cementoso Gris"/>
    <s v="MORTERO"/>
    <n v="118"/>
    <n v="9.51"/>
    <n v="1122.18"/>
    <s v="VALENCIA"/>
    <x v="4"/>
    <s v="ONLINE"/>
    <n v="816.31"/>
    <n v="27.3"/>
    <x v="1"/>
    <n v="1"/>
    <s v="January"/>
    <x v="766"/>
    <x v="0"/>
    <x v="767"/>
    <s v="Beneficio"/>
  </r>
  <r>
    <d v="2023-10-11T00:00:00"/>
    <s v="Construcciones Costa SL"/>
    <x v="3"/>
    <s v="Mortero Acrílico Blanco"/>
    <s v="MORTERO"/>
    <n v="115"/>
    <n v="11.53"/>
    <n v="1325.95"/>
    <s v="BARCELONA"/>
    <x v="2"/>
    <s v="ONLINE"/>
    <n v="1020.45"/>
    <n v="23"/>
    <x v="1"/>
    <n v="4"/>
    <s v="October"/>
    <x v="767"/>
    <x v="1"/>
    <x v="768"/>
    <s v="Beneficio"/>
  </r>
  <r>
    <d v="2023-06-21T00:00:00"/>
    <s v="Construcciones García SL"/>
    <x v="4"/>
    <s v="Pladur Aislante 15mm"/>
    <s v="PLADUR"/>
    <n v="280"/>
    <n v="3.57"/>
    <n v="999.6"/>
    <s v="BARCELONA"/>
    <x v="4"/>
    <s v="DIRECTO"/>
    <n v="695.2"/>
    <n v="30.5"/>
    <x v="1"/>
    <n v="2"/>
    <s v="June"/>
    <x v="768"/>
    <x v="0"/>
    <x v="769"/>
    <s v="Beneficio"/>
  </r>
  <r>
    <d v="2024-01-11T00:00:00"/>
    <s v="Construcciones Hernández SL"/>
    <x v="0"/>
    <s v="Pladur 13mm"/>
    <s v="PLADUR"/>
    <n v="555"/>
    <n v="4.5599999999999996"/>
    <n v="2530.8000000000002"/>
    <s v="SEVILLA"/>
    <x v="0"/>
    <s v="DISTRIBUIDOR"/>
    <n v="2226.87"/>
    <n v="12"/>
    <x v="0"/>
    <n v="1"/>
    <s v="January"/>
    <x v="769"/>
    <x v="1"/>
    <x v="770"/>
    <s v="Beneficio"/>
  </r>
  <r>
    <d v="2024-01-22T00:00:00"/>
    <s v="Construcciones López SL"/>
    <x v="5"/>
    <s v="Pladur 13mm"/>
    <s v="PLADUR"/>
    <n v="164"/>
    <n v="7.45"/>
    <n v="1221.8"/>
    <s v="BILBAO"/>
    <x v="3"/>
    <s v="DISTRIBUIDOR"/>
    <n v="918.54"/>
    <n v="24.8"/>
    <x v="0"/>
    <n v="1"/>
    <s v="January"/>
    <x v="770"/>
    <x v="1"/>
    <x v="771"/>
    <s v="Beneficio"/>
  </r>
  <r>
    <d v="2023-07-11T00:00:00"/>
    <s v="Construcciones Jiménez SL"/>
    <x v="1"/>
    <s v="Pladur 13mm"/>
    <s v="PLADUR"/>
    <n v="115"/>
    <n v="7.03"/>
    <n v="808.45"/>
    <s v="MURCIA"/>
    <x v="0"/>
    <s v="DIRECTO"/>
    <n v="508.32"/>
    <n v="37.1"/>
    <x v="1"/>
    <n v="3"/>
    <s v="July"/>
    <x v="771"/>
    <x v="0"/>
    <x v="772"/>
    <s v="Beneficio"/>
  </r>
  <r>
    <d v="2023-05-08T00:00:00"/>
    <s v="Construcciones López SL"/>
    <x v="5"/>
    <s v="Placa Pladur Ignífuga"/>
    <s v="PLADUR"/>
    <n v="286"/>
    <n v="2.71"/>
    <n v="775.06"/>
    <s v="BARCELONA"/>
    <x v="1"/>
    <s v="ONLINE"/>
    <n v="475.57"/>
    <n v="38.6"/>
    <x v="1"/>
    <n v="2"/>
    <s v="May"/>
    <x v="772"/>
    <x v="0"/>
    <x v="773"/>
    <s v="Beneficio"/>
  </r>
  <r>
    <d v="2023-02-10T00:00:00"/>
    <s v="Construcciones Hernández SL"/>
    <x v="0"/>
    <s v="Perlita Natural Grano Fino"/>
    <s v="PERLITA"/>
    <n v="235"/>
    <n v="6.9"/>
    <n v="1621.5"/>
    <s v="VALENCIA"/>
    <x v="4"/>
    <s v="DIRECTO"/>
    <n v="1322.81"/>
    <n v="18.399999999999999"/>
    <x v="1"/>
    <n v="1"/>
    <s v="February"/>
    <x v="773"/>
    <x v="1"/>
    <x v="774"/>
    <s v="Beneficio"/>
  </r>
  <r>
    <d v="2023-08-21T00:00:00"/>
    <s v="Construcciones Jiménez SL"/>
    <x v="1"/>
    <s v="Mortero Monocapa Beige"/>
    <s v="MORTERO"/>
    <n v="360"/>
    <n v="5.57"/>
    <n v="2005.2"/>
    <s v="SEVILLA"/>
    <x v="2"/>
    <s v="DISTRIBUIDOR"/>
    <n v="1709.26"/>
    <n v="14.8"/>
    <x v="1"/>
    <n v="3"/>
    <s v="August"/>
    <x v="774"/>
    <x v="1"/>
    <x v="775"/>
    <s v="Beneficio"/>
  </r>
  <r>
    <d v="2025-04-01T00:00:00"/>
    <s v="Construcciones Torres SL"/>
    <x v="2"/>
    <s v="Mortero Acrílico Blanco"/>
    <s v="MORTERO"/>
    <n v="598"/>
    <n v="4.3899999999999997"/>
    <n v="2625.22"/>
    <s v="MURCIA"/>
    <x v="3"/>
    <s v="ONLINE"/>
    <n v="2330.1"/>
    <n v="11.2"/>
    <x v="2"/>
    <n v="2"/>
    <s v="April"/>
    <x v="775"/>
    <x v="1"/>
    <x v="776"/>
    <s v="Beneficio"/>
  </r>
  <r>
    <d v="2023-08-15T00:00:00"/>
    <s v="Construcciones García SL"/>
    <x v="4"/>
    <s v="Pladur Aislante 15mm"/>
    <s v="PLADUR"/>
    <n v="738"/>
    <n v="2.58"/>
    <n v="1904.04"/>
    <s v="ZARAGOZA"/>
    <x v="0"/>
    <s v="DIRECTO"/>
    <n v="1609.82"/>
    <n v="15.5"/>
    <x v="1"/>
    <n v="3"/>
    <s v="August"/>
    <x v="776"/>
    <x v="1"/>
    <x v="777"/>
    <s v="Beneficio"/>
  </r>
  <r>
    <d v="2023-03-03T00:00:00"/>
    <s v="Construcciones Costa SL"/>
    <x v="3"/>
    <s v="Mortero Acrílico Blanco"/>
    <s v="MORTERO"/>
    <n v="270"/>
    <n v="4.74"/>
    <n v="1279.8"/>
    <s v="MÁLAGA"/>
    <x v="4"/>
    <s v="ONLINE"/>
    <n v="985.98"/>
    <n v="23"/>
    <x v="1"/>
    <n v="1"/>
    <s v="March"/>
    <x v="777"/>
    <x v="1"/>
    <x v="778"/>
    <s v="Beneficio"/>
  </r>
  <r>
    <d v="2023-05-24T00:00:00"/>
    <s v="Construcciones Hernández SL"/>
    <x v="0"/>
    <s v="Mortero Cementoso Gris"/>
    <s v="MORTERO"/>
    <n v="337"/>
    <n v="7.76"/>
    <n v="2615.12"/>
    <s v="SEVILLA"/>
    <x v="0"/>
    <s v="DIRECTO"/>
    <n v="2322.91"/>
    <n v="11.2"/>
    <x v="1"/>
    <n v="2"/>
    <s v="May"/>
    <x v="778"/>
    <x v="1"/>
    <x v="779"/>
    <s v="Beneficio"/>
  </r>
  <r>
    <d v="2023-01-12T00:00:00"/>
    <s v="Construcciones Torres SL"/>
    <x v="2"/>
    <s v="Pladur 13mm"/>
    <s v="PLADUR"/>
    <n v="246"/>
    <n v="3.96"/>
    <n v="974.16"/>
    <s v="VALENCIA"/>
    <x v="2"/>
    <s v="DISTRIBUIDOR"/>
    <n v="682.21"/>
    <n v="30"/>
    <x v="1"/>
    <n v="1"/>
    <s v="January"/>
    <x v="779"/>
    <x v="0"/>
    <x v="780"/>
    <s v="Beneficio"/>
  </r>
  <r>
    <d v="2023-05-20T00:00:00"/>
    <s v="Construcciones García SL"/>
    <x v="4"/>
    <s v="Mortero Acrílico Blanco"/>
    <s v="MORTERO"/>
    <n v="356"/>
    <n v="3.59"/>
    <n v="1278.04"/>
    <s v="BARCELONA"/>
    <x v="4"/>
    <s v="ONLINE"/>
    <n v="986.74"/>
    <n v="22.8"/>
    <x v="1"/>
    <n v="2"/>
    <s v="May"/>
    <x v="780"/>
    <x v="1"/>
    <x v="781"/>
    <s v="Beneficio"/>
  </r>
  <r>
    <d v="2023-05-04T00:00:00"/>
    <s v="Construcciones López SL"/>
    <x v="5"/>
    <s v="Pladur 13mm"/>
    <s v="PLADUR"/>
    <n v="141"/>
    <n v="8.9600000000000009"/>
    <n v="1263.3599999999999"/>
    <s v="ZARAGOZA"/>
    <x v="0"/>
    <s v="DISTRIBUIDOR"/>
    <n v="973.67"/>
    <n v="22.9"/>
    <x v="1"/>
    <n v="2"/>
    <s v="May"/>
    <x v="781"/>
    <x v="1"/>
    <x v="782"/>
    <s v="Beneficio"/>
  </r>
  <r>
    <d v="2023-05-11T00:00:00"/>
    <s v="Construcciones Costa SL"/>
    <x v="3"/>
    <s v="Mortero Acrílico Blanco"/>
    <s v="MORTERO"/>
    <n v="422"/>
    <n v="2.29"/>
    <n v="966.38"/>
    <s v="VALENCIA"/>
    <x v="3"/>
    <s v="ONLINE"/>
    <n v="678.41"/>
    <n v="29.8"/>
    <x v="1"/>
    <n v="2"/>
    <s v="May"/>
    <x v="782"/>
    <x v="0"/>
    <x v="783"/>
    <s v="Beneficio"/>
  </r>
  <r>
    <d v="2023-01-17T00:00:00"/>
    <s v="Construcciones Hernández SL"/>
    <x v="0"/>
    <s v="Mortero Monocapa Beige"/>
    <s v="MORTERO"/>
    <n v="571"/>
    <n v="2.13"/>
    <n v="1216.23"/>
    <s v="BILBAO"/>
    <x v="2"/>
    <s v="DIRECTO"/>
    <n v="929.39"/>
    <n v="23.6"/>
    <x v="1"/>
    <n v="1"/>
    <s v="January"/>
    <x v="783"/>
    <x v="1"/>
    <x v="784"/>
    <s v="Beneficio"/>
  </r>
  <r>
    <d v="2023-04-24T00:00:00"/>
    <s v="Construcciones García SL"/>
    <x v="4"/>
    <s v="Placa Pladur Ignífuga"/>
    <s v="PLADUR"/>
    <n v="242"/>
    <n v="7.51"/>
    <n v="1817.42"/>
    <s v="BARCELONA"/>
    <x v="4"/>
    <s v="DISTRIBUIDOR"/>
    <n v="1534.8"/>
    <n v="15.6"/>
    <x v="1"/>
    <n v="2"/>
    <s v="April"/>
    <x v="784"/>
    <x v="1"/>
    <x v="785"/>
    <s v="Beneficio"/>
  </r>
  <r>
    <d v="2023-01-25T00:00:00"/>
    <s v="Construcciones Hernández SL"/>
    <x v="0"/>
    <s v="Perlita Expandida 40L"/>
    <s v="PERLITA"/>
    <n v="315"/>
    <n v="7.61"/>
    <n v="2397.15"/>
    <s v="SEVILLA"/>
    <x v="2"/>
    <s v="DISTRIBUIDOR"/>
    <n v="2116.36"/>
    <n v="11.7"/>
    <x v="1"/>
    <n v="1"/>
    <s v="January"/>
    <x v="785"/>
    <x v="1"/>
    <x v="786"/>
    <s v="Beneficio"/>
  </r>
  <r>
    <d v="2023-01-20T00:00:00"/>
    <s v="Construcciones Costa SL"/>
    <x v="3"/>
    <s v="Mortero Monocapa Beige"/>
    <s v="MORTERO"/>
    <n v="285"/>
    <n v="4.63"/>
    <n v="1319.55"/>
    <s v="MÁLAGA"/>
    <x v="5"/>
    <s v="DISTRIBUIDOR"/>
    <n v="1039.3"/>
    <n v="21.2"/>
    <x v="1"/>
    <n v="1"/>
    <s v="January"/>
    <x v="786"/>
    <x v="1"/>
    <x v="787"/>
    <s v="Beneficio"/>
  </r>
  <r>
    <d v="2023-10-04T00:00:00"/>
    <s v="Construcciones Torres SL"/>
    <x v="2"/>
    <s v="Perlita Expandida 40L"/>
    <s v="PERLITA"/>
    <n v="596"/>
    <n v="2.74"/>
    <n v="1633.04"/>
    <s v="MURCIA"/>
    <x v="2"/>
    <s v="DISTRIBUIDOR"/>
    <n v="1352.88"/>
    <n v="17.2"/>
    <x v="1"/>
    <n v="4"/>
    <s v="October"/>
    <x v="787"/>
    <x v="1"/>
    <x v="788"/>
    <s v="Beneficio"/>
  </r>
  <r>
    <d v="2024-05-04T00:00:00"/>
    <s v="Construcciones Torres SL"/>
    <x v="2"/>
    <s v="Pladur Aislante 15mm"/>
    <s v="PLADUR"/>
    <n v="240"/>
    <n v="10.86"/>
    <n v="2606.4"/>
    <s v="SEVILLA"/>
    <x v="4"/>
    <s v="DIRECTO"/>
    <n v="2326.96"/>
    <n v="10.7"/>
    <x v="0"/>
    <n v="2"/>
    <s v="May"/>
    <x v="788"/>
    <x v="1"/>
    <x v="789"/>
    <s v="Beneficio"/>
  </r>
  <r>
    <d v="2023-02-24T00:00:00"/>
    <s v="Construcciones Costa SL"/>
    <x v="3"/>
    <s v="Perlita Expandida 40L"/>
    <s v="PERLITA"/>
    <n v="832"/>
    <n v="2.39"/>
    <n v="1988.48"/>
    <s v="MÁLAGA"/>
    <x v="5"/>
    <s v="DISTRIBUIDOR"/>
    <n v="1709.9"/>
    <n v="14"/>
    <x v="1"/>
    <n v="1"/>
    <s v="February"/>
    <x v="789"/>
    <x v="1"/>
    <x v="790"/>
    <s v="Beneficio"/>
  </r>
  <r>
    <d v="2023-05-31T00:00:00"/>
    <s v="Construcciones López SL"/>
    <x v="5"/>
    <s v="Pladur 13mm"/>
    <s v="PLADUR"/>
    <n v="477"/>
    <n v="2.48"/>
    <n v="1182.96"/>
    <s v="SEVILLA"/>
    <x v="0"/>
    <s v="DISTRIBUIDOR"/>
    <n v="905.48"/>
    <n v="23.5"/>
    <x v="1"/>
    <n v="2"/>
    <s v="May"/>
    <x v="790"/>
    <x v="1"/>
    <x v="791"/>
    <s v="Beneficio"/>
  </r>
  <r>
    <d v="2023-05-15T00:00:00"/>
    <s v="Construcciones López SL"/>
    <x v="5"/>
    <s v="Pladur Aislante 15mm"/>
    <s v="PLADUR"/>
    <n v="332"/>
    <n v="8.19"/>
    <n v="2719.08"/>
    <s v="VALENCIA"/>
    <x v="4"/>
    <s v="DISTRIBUIDOR"/>
    <n v="2441.9699999999998"/>
    <n v="10.199999999999999"/>
    <x v="1"/>
    <n v="2"/>
    <s v="May"/>
    <x v="791"/>
    <x v="1"/>
    <x v="792"/>
    <s v="Beneficio"/>
  </r>
  <r>
    <d v="2024-02-26T00:00:00"/>
    <s v="Construcciones Jiménez SL"/>
    <x v="1"/>
    <s v="Pladur Aislante 15mm"/>
    <s v="PLADUR"/>
    <n v="70"/>
    <n v="10.36"/>
    <n v="725.2"/>
    <s v="VALENCIA"/>
    <x v="1"/>
    <s v="ONLINE"/>
    <n v="448.35"/>
    <n v="38.200000000000003"/>
    <x v="0"/>
    <n v="1"/>
    <s v="February"/>
    <x v="792"/>
    <x v="0"/>
    <x v="793"/>
    <s v="Beneficio"/>
  </r>
  <r>
    <d v="2023-11-10T00:00:00"/>
    <s v="Construcciones López SL"/>
    <x v="5"/>
    <s v="Mortero Acrílico Blanco"/>
    <s v="MORTERO"/>
    <n v="523"/>
    <n v="2.06"/>
    <n v="1077.3800000000001"/>
    <s v="VALENCIA"/>
    <x v="2"/>
    <s v="DIRECTO"/>
    <n v="804.11"/>
    <n v="25.4"/>
    <x v="1"/>
    <n v="4"/>
    <s v="November"/>
    <x v="793"/>
    <x v="0"/>
    <x v="794"/>
    <s v="Beneficio"/>
  </r>
  <r>
    <d v="2023-03-04T00:00:00"/>
    <s v="Construcciones Costa SL"/>
    <x v="3"/>
    <s v="Mortero Acrílico Blanco"/>
    <s v="MORTERO"/>
    <n v="545"/>
    <n v="3.17"/>
    <n v="1727.65"/>
    <s v="MÁLAGA"/>
    <x v="1"/>
    <s v="ONLINE"/>
    <n v="1454.62"/>
    <n v="15.8"/>
    <x v="1"/>
    <n v="1"/>
    <s v="March"/>
    <x v="794"/>
    <x v="1"/>
    <x v="795"/>
    <s v="Beneficio"/>
  </r>
  <r>
    <d v="2023-04-06T00:00:00"/>
    <s v="Construcciones García SL"/>
    <x v="4"/>
    <s v="Pladur 13mm"/>
    <s v="PLADUR"/>
    <n v="416"/>
    <n v="5.96"/>
    <n v="2479.36"/>
    <s v="ZARAGOZA"/>
    <x v="4"/>
    <s v="DISTRIBUIDOR"/>
    <n v="2206.35"/>
    <n v="11"/>
    <x v="1"/>
    <n v="2"/>
    <s v="April"/>
    <x v="795"/>
    <x v="1"/>
    <x v="796"/>
    <s v="Beneficio"/>
  </r>
  <r>
    <d v="2023-01-22T00:00:00"/>
    <s v="Construcciones Hernández SL"/>
    <x v="0"/>
    <s v="Mortero Monocapa Beige"/>
    <s v="MORTERO"/>
    <n v="343"/>
    <n v="2.57"/>
    <n v="881.51"/>
    <s v="SEVILLA"/>
    <x v="2"/>
    <s v="DIRECTO"/>
    <n v="608.79"/>
    <n v="30.9"/>
    <x v="1"/>
    <n v="1"/>
    <s v="January"/>
    <x v="796"/>
    <x v="0"/>
    <x v="797"/>
    <s v="Beneficio"/>
  </r>
  <r>
    <d v="2023-01-14T00:00:00"/>
    <s v="Construcciones Torres SL"/>
    <x v="2"/>
    <s v="Mortero Monocapa Beige"/>
    <s v="MORTERO"/>
    <n v="490"/>
    <n v="4.49"/>
    <n v="2200.1"/>
    <s v="MÁLAGA"/>
    <x v="5"/>
    <s v="ONLINE"/>
    <n v="1930.26"/>
    <n v="12.3"/>
    <x v="1"/>
    <n v="1"/>
    <s v="January"/>
    <x v="797"/>
    <x v="1"/>
    <x v="798"/>
    <s v="Beneficio"/>
  </r>
  <r>
    <d v="2023-02-01T00:00:00"/>
    <s v="Construcciones García SL"/>
    <x v="4"/>
    <s v="Mortero Cementoso Gris"/>
    <s v="MORTERO"/>
    <n v="787"/>
    <n v="3.36"/>
    <n v="2644.32"/>
    <s v="MURCIA"/>
    <x v="3"/>
    <s v="DIRECTO"/>
    <n v="2376.14"/>
    <n v="10.1"/>
    <x v="1"/>
    <n v="1"/>
    <s v="February"/>
    <x v="798"/>
    <x v="1"/>
    <x v="799"/>
    <s v="Beneficio"/>
  </r>
  <r>
    <d v="2023-05-10T00:00:00"/>
    <s v="Construcciones García SL"/>
    <x v="4"/>
    <s v="Mortero Monocapa Beige"/>
    <s v="MORTERO"/>
    <n v="247"/>
    <n v="6.77"/>
    <n v="1672.19"/>
    <s v="ZARAGOZA"/>
    <x v="1"/>
    <s v="DIRECTO"/>
    <n v="1404.71"/>
    <n v="16"/>
    <x v="1"/>
    <n v="2"/>
    <s v="May"/>
    <x v="799"/>
    <x v="1"/>
    <x v="800"/>
    <s v="Beneficio"/>
  </r>
  <r>
    <d v="2023-07-04T00:00:00"/>
    <s v="Construcciones García SL"/>
    <x v="4"/>
    <s v="Mortero Cementoso Gris"/>
    <s v="MORTERO"/>
    <n v="493"/>
    <n v="2.62"/>
    <n v="1291.6600000000001"/>
    <s v="MÁLAGA"/>
    <x v="2"/>
    <s v="DIRECTO"/>
    <n v="1024.4100000000001"/>
    <n v="20.7"/>
    <x v="1"/>
    <n v="3"/>
    <s v="July"/>
    <x v="800"/>
    <x v="1"/>
    <x v="801"/>
    <s v="Beneficio"/>
  </r>
  <r>
    <d v="2023-04-28T00:00:00"/>
    <s v="Construcciones López SL"/>
    <x v="5"/>
    <s v="Pladur Aislante 15mm"/>
    <s v="PLADUR"/>
    <n v="624"/>
    <n v="4.16"/>
    <n v="2595.84"/>
    <s v="BILBAO"/>
    <x v="1"/>
    <s v="ONLINE"/>
    <n v="2329.2800000000002"/>
    <n v="10.3"/>
    <x v="1"/>
    <n v="2"/>
    <s v="April"/>
    <x v="801"/>
    <x v="1"/>
    <x v="802"/>
    <s v="Beneficio"/>
  </r>
  <r>
    <d v="2023-06-04T00:00:00"/>
    <s v="Construcciones Torres SL"/>
    <x v="2"/>
    <s v="Perlita Natural Grano Fino"/>
    <s v="PERLITA"/>
    <n v="216"/>
    <n v="4.7"/>
    <n v="1015.2"/>
    <s v="MURCIA"/>
    <x v="5"/>
    <s v="DISTRIBUIDOR"/>
    <n v="749.15"/>
    <n v="26.2"/>
    <x v="1"/>
    <n v="2"/>
    <s v="June"/>
    <x v="802"/>
    <x v="0"/>
    <x v="803"/>
    <s v="Beneficio"/>
  </r>
  <r>
    <d v="2023-02-03T00:00:00"/>
    <s v="Construcciones Torres SL"/>
    <x v="2"/>
    <s v="Mortero Acrílico Blanco"/>
    <s v="MORTERO"/>
    <n v="625"/>
    <n v="3.94"/>
    <n v="2462.5"/>
    <s v="BILBAO"/>
    <x v="2"/>
    <s v="DIRECTO"/>
    <n v="2197.27"/>
    <n v="10.8"/>
    <x v="1"/>
    <n v="1"/>
    <s v="February"/>
    <x v="803"/>
    <x v="1"/>
    <x v="804"/>
    <s v="Beneficio"/>
  </r>
  <r>
    <d v="2023-02-04T00:00:00"/>
    <s v="Construcciones López SL"/>
    <x v="5"/>
    <s v="Perlita Natural Grano Fino"/>
    <s v="PERLITA"/>
    <n v="281"/>
    <n v="5.58"/>
    <n v="1567.98"/>
    <s v="MADRID"/>
    <x v="3"/>
    <s v="DISTRIBUIDOR"/>
    <n v="1303.57"/>
    <n v="16.899999999999999"/>
    <x v="1"/>
    <n v="1"/>
    <s v="February"/>
    <x v="804"/>
    <x v="1"/>
    <x v="805"/>
    <s v="Beneficio"/>
  </r>
  <r>
    <d v="2023-05-18T00:00:00"/>
    <s v="Construcciones Torres SL"/>
    <x v="2"/>
    <s v="Placa Pladur Ignífuga"/>
    <s v="PLADUR"/>
    <n v="130"/>
    <n v="9.5299999999999994"/>
    <n v="1238.9000000000001"/>
    <s v="ZARAGOZA"/>
    <x v="5"/>
    <s v="DIRECTO"/>
    <n v="975.68"/>
    <n v="21.2"/>
    <x v="1"/>
    <n v="2"/>
    <s v="May"/>
    <x v="805"/>
    <x v="1"/>
    <x v="806"/>
    <s v="Beneficio"/>
  </r>
  <r>
    <d v="2024-04-15T00:00:00"/>
    <s v="Construcciones López SL"/>
    <x v="5"/>
    <s v="Placa Pladur Ignífuga"/>
    <s v="PLADUR"/>
    <n v="255"/>
    <n v="4.78"/>
    <n v="1218.9000000000001"/>
    <s v="MURCIA"/>
    <x v="2"/>
    <s v="DIRECTO"/>
    <n v="956.93"/>
    <n v="21.5"/>
    <x v="0"/>
    <n v="2"/>
    <s v="April"/>
    <x v="806"/>
    <x v="1"/>
    <x v="807"/>
    <s v="Beneficio"/>
  </r>
  <r>
    <d v="2023-04-23T00:00:00"/>
    <s v="Construcciones López SL"/>
    <x v="5"/>
    <s v="Mortero Cementoso Gris"/>
    <s v="MORTERO"/>
    <n v="280"/>
    <n v="5.79"/>
    <n v="1621.2"/>
    <s v="MÁLAGA"/>
    <x v="0"/>
    <s v="ONLINE"/>
    <n v="1360.65"/>
    <n v="16.100000000000001"/>
    <x v="1"/>
    <n v="2"/>
    <s v="April"/>
    <x v="807"/>
    <x v="1"/>
    <x v="808"/>
    <s v="Beneficio"/>
  </r>
  <r>
    <d v="2023-02-10T00:00:00"/>
    <s v="Construcciones Torres SL"/>
    <x v="2"/>
    <s v="Placa Pladur Ignífuga"/>
    <s v="PLADUR"/>
    <n v="243"/>
    <n v="9.06"/>
    <n v="2201.58"/>
    <s v="SEVILLA"/>
    <x v="0"/>
    <s v="DISTRIBUIDOR"/>
    <n v="1941.94"/>
    <n v="11.8"/>
    <x v="1"/>
    <n v="1"/>
    <s v="February"/>
    <x v="808"/>
    <x v="1"/>
    <x v="809"/>
    <s v="Beneficio"/>
  </r>
  <r>
    <d v="2024-05-14T00:00:00"/>
    <s v="Construcciones Torres SL"/>
    <x v="2"/>
    <s v="Mortero Cementoso Gris"/>
    <s v="MORTERO"/>
    <n v="306"/>
    <n v="3.48"/>
    <n v="1064.8800000000001"/>
    <s v="MÁLAGA"/>
    <x v="0"/>
    <s v="DISTRIBUIDOR"/>
    <n v="805.69"/>
    <n v="24.3"/>
    <x v="0"/>
    <n v="2"/>
    <s v="May"/>
    <x v="809"/>
    <x v="1"/>
    <x v="810"/>
    <s v="Beneficio"/>
  </r>
  <r>
    <d v="2023-05-24T00:00:00"/>
    <s v="Construcciones Costa SL"/>
    <x v="3"/>
    <s v="Mortero Cementoso Gris"/>
    <s v="MORTERO"/>
    <n v="301"/>
    <n v="6.23"/>
    <n v="1875.23"/>
    <s v="MÁLAGA"/>
    <x v="1"/>
    <s v="ONLINE"/>
    <n v="1616.2"/>
    <n v="13.8"/>
    <x v="1"/>
    <n v="2"/>
    <s v="May"/>
    <x v="810"/>
    <x v="1"/>
    <x v="811"/>
    <s v="Beneficio"/>
  </r>
  <r>
    <d v="2023-05-24T00:00:00"/>
    <s v="Construcciones López SL"/>
    <x v="5"/>
    <s v="Pladur Aislante 15mm"/>
    <s v="PLADUR"/>
    <n v="384"/>
    <n v="4.2699999999999996"/>
    <n v="1639.68"/>
    <s v="MADRID"/>
    <x v="4"/>
    <s v="DIRECTO"/>
    <n v="1381.25"/>
    <n v="15.8"/>
    <x v="1"/>
    <n v="2"/>
    <s v="May"/>
    <x v="811"/>
    <x v="1"/>
    <x v="812"/>
    <s v="Beneficio"/>
  </r>
  <r>
    <d v="2023-02-23T00:00:00"/>
    <s v="Construcciones Jiménez SL"/>
    <x v="1"/>
    <s v="Mortero Monocapa Beige"/>
    <s v="MORTERO"/>
    <n v="303"/>
    <n v="7.3"/>
    <n v="2211.9"/>
    <s v="ZARAGOZA"/>
    <x v="0"/>
    <s v="ONLINE"/>
    <n v="1954.18"/>
    <n v="11.7"/>
    <x v="1"/>
    <n v="1"/>
    <s v="February"/>
    <x v="812"/>
    <x v="1"/>
    <x v="813"/>
    <s v="Beneficio"/>
  </r>
  <r>
    <d v="2023-04-19T00:00:00"/>
    <s v="Construcciones Hernández SL"/>
    <x v="0"/>
    <s v="Mortero Acrílico Blanco"/>
    <s v="MORTERO"/>
    <n v="94"/>
    <n v="10.73"/>
    <n v="1008.62"/>
    <s v="VALENCIA"/>
    <x v="5"/>
    <s v="DIRECTO"/>
    <n v="751.29"/>
    <n v="25.5"/>
    <x v="1"/>
    <n v="2"/>
    <s v="April"/>
    <x v="813"/>
    <x v="0"/>
    <x v="814"/>
    <s v="Beneficio"/>
  </r>
  <r>
    <d v="2023-09-29T00:00:00"/>
    <s v="Construcciones Jiménez SL"/>
    <x v="1"/>
    <s v="Pladur Aislante 15mm"/>
    <s v="PLADUR"/>
    <n v="152"/>
    <n v="8.9700000000000006"/>
    <n v="1363.44"/>
    <s v="MURCIA"/>
    <x v="1"/>
    <s v="DIRECTO"/>
    <n v="1107.68"/>
    <n v="18.8"/>
    <x v="1"/>
    <n v="3"/>
    <s v="September"/>
    <x v="814"/>
    <x v="1"/>
    <x v="815"/>
    <s v="Beneficio"/>
  </r>
  <r>
    <d v="2023-03-17T00:00:00"/>
    <s v="Construcciones García SL"/>
    <x v="4"/>
    <s v="Perlita Expandida 40L"/>
    <s v="PERLITA"/>
    <n v="154"/>
    <n v="10.7"/>
    <n v="1647.8"/>
    <s v="VALENCIA"/>
    <x v="5"/>
    <s v="ONLINE"/>
    <n v="1393.06"/>
    <n v="15.5"/>
    <x v="1"/>
    <n v="1"/>
    <s v="March"/>
    <x v="815"/>
    <x v="1"/>
    <x v="816"/>
    <s v="Beneficio"/>
  </r>
  <r>
    <d v="2024-04-29T00:00:00"/>
    <s v="Construcciones Costa SL"/>
    <x v="3"/>
    <s v="Pladur 13mm"/>
    <s v="PLADUR"/>
    <n v="452"/>
    <n v="4.93"/>
    <n v="2228.36"/>
    <s v="VALENCIA"/>
    <x v="4"/>
    <s v="DIRECTO"/>
    <n v="1974.16"/>
    <n v="11.4"/>
    <x v="0"/>
    <n v="2"/>
    <s v="April"/>
    <x v="816"/>
    <x v="1"/>
    <x v="817"/>
    <s v="Beneficio"/>
  </r>
  <r>
    <d v="2023-05-26T00:00:00"/>
    <s v="Construcciones Jiménez SL"/>
    <x v="1"/>
    <s v="Mortero Cementoso Gris"/>
    <s v="MORTERO"/>
    <n v="260"/>
    <n v="7.95"/>
    <n v="2067"/>
    <s v="SEVILLA"/>
    <x v="3"/>
    <s v="ONLINE"/>
    <n v="1813.06"/>
    <n v="12.3"/>
    <x v="1"/>
    <n v="2"/>
    <s v="May"/>
    <x v="817"/>
    <x v="1"/>
    <x v="818"/>
    <s v="Beneficio"/>
  </r>
  <r>
    <d v="2023-05-11T00:00:00"/>
    <s v="Construcciones Costa SL"/>
    <x v="3"/>
    <s v="Pladur 13mm"/>
    <s v="PLADUR"/>
    <n v="250"/>
    <n v="4.99"/>
    <n v="1247.5"/>
    <s v="BARCELONA"/>
    <x v="5"/>
    <s v="DIRECTO"/>
    <n v="993.73"/>
    <n v="20.3"/>
    <x v="1"/>
    <n v="2"/>
    <s v="May"/>
    <x v="818"/>
    <x v="1"/>
    <x v="819"/>
    <s v="Beneficio"/>
  </r>
  <r>
    <d v="2024-02-10T00:00:00"/>
    <s v="Construcciones Costa SL"/>
    <x v="3"/>
    <s v="Mortero Monocapa Beige"/>
    <s v="MORTERO"/>
    <n v="577"/>
    <n v="3.9"/>
    <n v="2250.3000000000002"/>
    <s v="VALENCIA"/>
    <x v="3"/>
    <s v="ONLINE"/>
    <n v="1997.62"/>
    <n v="11.2"/>
    <x v="0"/>
    <n v="1"/>
    <s v="February"/>
    <x v="819"/>
    <x v="1"/>
    <x v="820"/>
    <s v="Beneficio"/>
  </r>
  <r>
    <d v="2023-06-16T00:00:00"/>
    <s v="Construcciones García SL"/>
    <x v="4"/>
    <s v="Perlita Natural Grano Fino"/>
    <s v="PERLITA"/>
    <n v="127"/>
    <n v="6.24"/>
    <n v="792.48"/>
    <s v="BARCELONA"/>
    <x v="2"/>
    <s v="ONLINE"/>
    <n v="539.89"/>
    <n v="31.9"/>
    <x v="1"/>
    <n v="2"/>
    <s v="June"/>
    <x v="820"/>
    <x v="0"/>
    <x v="821"/>
    <s v="Beneficio"/>
  </r>
  <r>
    <d v="2023-09-20T00:00:00"/>
    <s v="Construcciones Torres SL"/>
    <x v="2"/>
    <s v="Placa Pladur Ignífuga"/>
    <s v="PLADUR"/>
    <n v="166"/>
    <n v="5.9"/>
    <n v="979.4"/>
    <s v="MADRID"/>
    <x v="5"/>
    <s v="ONLINE"/>
    <n v="728.43"/>
    <n v="25.6"/>
    <x v="1"/>
    <n v="3"/>
    <s v="September"/>
    <x v="821"/>
    <x v="0"/>
    <x v="822"/>
    <s v="Beneficio"/>
  </r>
  <r>
    <d v="2023-10-21T00:00:00"/>
    <s v="Construcciones Torres SL"/>
    <x v="2"/>
    <s v="Mortero Cementoso Gris"/>
    <s v="MORTERO"/>
    <n v="437"/>
    <n v="4.26"/>
    <n v="1861.62"/>
    <s v="SEVILLA"/>
    <x v="0"/>
    <s v="ONLINE"/>
    <n v="1610.74"/>
    <n v="13.5"/>
    <x v="1"/>
    <n v="4"/>
    <s v="October"/>
    <x v="822"/>
    <x v="1"/>
    <x v="823"/>
    <s v="Beneficio"/>
  </r>
  <r>
    <d v="2023-05-20T00:00:00"/>
    <s v="Construcciones Costa SL"/>
    <x v="3"/>
    <s v="Placa Pladur Ignífuga"/>
    <s v="PLADUR"/>
    <n v="334"/>
    <n v="7.31"/>
    <n v="2441.54"/>
    <s v="MADRID"/>
    <x v="4"/>
    <s v="ONLINE"/>
    <n v="2191.02"/>
    <n v="10.3"/>
    <x v="1"/>
    <n v="2"/>
    <s v="May"/>
    <x v="823"/>
    <x v="1"/>
    <x v="824"/>
    <s v="Beneficio"/>
  </r>
  <r>
    <d v="2023-06-15T00:00:00"/>
    <s v="Construcciones Jiménez SL"/>
    <x v="1"/>
    <s v="Perlita Expandida 40L"/>
    <s v="PERLITA"/>
    <n v="363"/>
    <n v="3.86"/>
    <n v="1401.18"/>
    <s v="MURCIA"/>
    <x v="2"/>
    <s v="DIRECTO"/>
    <n v="1150.67"/>
    <n v="17.899999999999999"/>
    <x v="1"/>
    <n v="2"/>
    <s v="June"/>
    <x v="824"/>
    <x v="1"/>
    <x v="825"/>
    <s v="Beneficio"/>
  </r>
  <r>
    <d v="2023-03-25T00:00:00"/>
    <s v="Construcciones Costa SL"/>
    <x v="3"/>
    <s v="Mortero Monocapa Beige"/>
    <s v="MORTERO"/>
    <n v="275"/>
    <n v="8.61"/>
    <n v="2367.75"/>
    <s v="ZARAGOZA"/>
    <x v="0"/>
    <s v="DISTRIBUIDOR"/>
    <n v="2118.35"/>
    <n v="10.5"/>
    <x v="1"/>
    <n v="1"/>
    <s v="March"/>
    <x v="825"/>
    <x v="1"/>
    <x v="826"/>
    <s v="Beneficio"/>
  </r>
  <r>
    <d v="2023-08-06T00:00:00"/>
    <s v="Construcciones García SL"/>
    <x v="4"/>
    <s v="Mortero Monocapa Beige"/>
    <s v="MORTERO"/>
    <n v="160"/>
    <n v="4.51"/>
    <n v="721.6"/>
    <s v="MURCIA"/>
    <x v="4"/>
    <s v="ONLINE"/>
    <n v="473.45"/>
    <n v="34.4"/>
    <x v="1"/>
    <n v="3"/>
    <s v="August"/>
    <x v="826"/>
    <x v="0"/>
    <x v="827"/>
    <s v="Beneficio"/>
  </r>
  <r>
    <d v="2023-04-24T00:00:00"/>
    <s v="Construcciones López SL"/>
    <x v="5"/>
    <s v="Perlita Natural Grano Fino"/>
    <s v="PERLITA"/>
    <n v="177"/>
    <n v="3.93"/>
    <n v="695.61"/>
    <s v="MURCIA"/>
    <x v="1"/>
    <s v="DISTRIBUIDOR"/>
    <n v="447.96"/>
    <n v="35.6"/>
    <x v="1"/>
    <n v="2"/>
    <s v="April"/>
    <x v="827"/>
    <x v="0"/>
    <x v="828"/>
    <s v="Beneficio"/>
  </r>
  <r>
    <d v="2023-06-08T00:00:00"/>
    <s v="Construcciones García SL"/>
    <x v="4"/>
    <s v="Mortero Acrílico Blanco"/>
    <s v="MORTERO"/>
    <n v="117"/>
    <n v="8.43"/>
    <n v="986.31"/>
    <s v="MURCIA"/>
    <x v="1"/>
    <s v="DIRECTO"/>
    <n v="739.35"/>
    <n v="25"/>
    <x v="1"/>
    <n v="2"/>
    <s v="June"/>
    <x v="828"/>
    <x v="1"/>
    <x v="829"/>
    <s v="Beneficio"/>
  </r>
  <r>
    <d v="2023-01-25T00:00:00"/>
    <s v="Construcciones Hernández SL"/>
    <x v="0"/>
    <s v="Perlita Expandida 40L"/>
    <s v="PERLITA"/>
    <n v="291"/>
    <n v="6.52"/>
    <n v="1897.32"/>
    <s v="BILBAO"/>
    <x v="1"/>
    <s v="ONLINE"/>
    <n v="1650.64"/>
    <n v="13"/>
    <x v="1"/>
    <n v="1"/>
    <s v="January"/>
    <x v="829"/>
    <x v="1"/>
    <x v="830"/>
    <s v="Beneficio"/>
  </r>
  <r>
    <d v="2023-01-24T00:00:00"/>
    <s v="Construcciones García SL"/>
    <x v="4"/>
    <s v="Mortero Cementoso Gris"/>
    <s v="MORTERO"/>
    <n v="100"/>
    <n v="9.2799999999999994"/>
    <n v="928"/>
    <s v="BILBAO"/>
    <x v="3"/>
    <s v="DIRECTO"/>
    <n v="683.34"/>
    <n v="26.4"/>
    <x v="1"/>
    <n v="1"/>
    <s v="January"/>
    <x v="830"/>
    <x v="0"/>
    <x v="831"/>
    <s v="Beneficio"/>
  </r>
  <r>
    <d v="2023-07-08T00:00:00"/>
    <s v="Construcciones García SL"/>
    <x v="4"/>
    <s v="Pladur Aislante 15mm"/>
    <s v="PLADUR"/>
    <n v="222"/>
    <n v="9.14"/>
    <n v="2029.08"/>
    <s v="SEVILLA"/>
    <x v="4"/>
    <s v="DISTRIBUIDOR"/>
    <n v="1784.73"/>
    <n v="12"/>
    <x v="1"/>
    <n v="3"/>
    <s v="July"/>
    <x v="831"/>
    <x v="1"/>
    <x v="832"/>
    <s v="Beneficio"/>
  </r>
  <r>
    <d v="2023-04-26T00:00:00"/>
    <s v="Construcciones Jiménez SL"/>
    <x v="1"/>
    <s v="Pladur 13mm"/>
    <s v="PLADUR"/>
    <n v="107"/>
    <n v="9.93"/>
    <n v="1062.51"/>
    <s v="MÁLAGA"/>
    <x v="2"/>
    <s v="ONLINE"/>
    <n v="821.16"/>
    <n v="22.7"/>
    <x v="1"/>
    <n v="2"/>
    <s v="April"/>
    <x v="832"/>
    <x v="1"/>
    <x v="833"/>
    <s v="Beneficio"/>
  </r>
  <r>
    <d v="2023-01-17T00:00:00"/>
    <s v="Construcciones Torres SL"/>
    <x v="2"/>
    <s v="Pladur Aislante 15mm"/>
    <s v="PLADUR"/>
    <n v="161"/>
    <n v="5.42"/>
    <n v="872.62"/>
    <s v="MADRID"/>
    <x v="1"/>
    <s v="DISTRIBUIDOR"/>
    <n v="634.03"/>
    <n v="27.3"/>
    <x v="1"/>
    <n v="1"/>
    <s v="January"/>
    <x v="833"/>
    <x v="0"/>
    <x v="834"/>
    <s v="Beneficio"/>
  </r>
  <r>
    <d v="2023-07-07T00:00:00"/>
    <s v="Construcciones Costa SL"/>
    <x v="3"/>
    <s v="Perlita Natural Grano Fino"/>
    <s v="PERLITA"/>
    <n v="169"/>
    <n v="9.4"/>
    <n v="1588.6"/>
    <s v="MURCIA"/>
    <x v="0"/>
    <s v="ONLINE"/>
    <n v="1350.6"/>
    <n v="15"/>
    <x v="1"/>
    <n v="3"/>
    <s v="July"/>
    <x v="834"/>
    <x v="1"/>
    <x v="835"/>
    <s v="Beneficio"/>
  </r>
  <r>
    <d v="2024-02-16T00:00:00"/>
    <s v="Construcciones Torres SL"/>
    <x v="2"/>
    <s v="Pladur Aislante 15mm"/>
    <s v="PLADUR"/>
    <n v="207"/>
    <n v="6.38"/>
    <n v="1320.66"/>
    <s v="BILBAO"/>
    <x v="4"/>
    <s v="DIRECTO"/>
    <n v="1083.26"/>
    <n v="18"/>
    <x v="0"/>
    <n v="1"/>
    <s v="February"/>
    <x v="835"/>
    <x v="1"/>
    <x v="836"/>
    <s v="Beneficio"/>
  </r>
  <r>
    <d v="2023-04-21T00:00:00"/>
    <s v="Construcciones López SL"/>
    <x v="5"/>
    <s v="Mortero Monocapa Beige"/>
    <s v="MORTERO"/>
    <n v="595"/>
    <n v="2.59"/>
    <n v="1541.05"/>
    <s v="VALENCIA"/>
    <x v="5"/>
    <s v="DISTRIBUIDOR"/>
    <n v="1307.8"/>
    <n v="15.1"/>
    <x v="1"/>
    <n v="2"/>
    <s v="April"/>
    <x v="836"/>
    <x v="1"/>
    <x v="837"/>
    <s v="Beneficio"/>
  </r>
  <r>
    <d v="2023-12-19T00:00:00"/>
    <s v="Construcciones Jiménez SL"/>
    <x v="1"/>
    <s v="Mortero Acrílico Blanco"/>
    <s v="MORTERO"/>
    <n v="587"/>
    <n v="2.78"/>
    <n v="1631.86"/>
    <s v="MURCIA"/>
    <x v="3"/>
    <s v="DISTRIBUIDOR"/>
    <n v="1399.36"/>
    <n v="14.2"/>
    <x v="1"/>
    <n v="4"/>
    <s v="December"/>
    <x v="837"/>
    <x v="1"/>
    <x v="838"/>
    <s v="Beneficio"/>
  </r>
  <r>
    <d v="2023-01-20T00:00:00"/>
    <s v="Construcciones Hernández SL"/>
    <x v="0"/>
    <s v="Perlita Natural Grano Fino"/>
    <s v="PERLITA"/>
    <n v="355"/>
    <n v="2.38"/>
    <n v="844.9"/>
    <s v="MADRID"/>
    <x v="1"/>
    <s v="DIRECTO"/>
    <n v="613.91"/>
    <n v="27.3"/>
    <x v="1"/>
    <n v="1"/>
    <s v="January"/>
    <x v="838"/>
    <x v="0"/>
    <x v="839"/>
    <s v="Beneficio"/>
  </r>
  <r>
    <d v="2023-06-14T00:00:00"/>
    <s v="Construcciones López SL"/>
    <x v="5"/>
    <s v="Mortero Monocapa Beige"/>
    <s v="MORTERO"/>
    <n v="547"/>
    <n v="3.35"/>
    <n v="1832.45"/>
    <s v="MADRID"/>
    <x v="5"/>
    <s v="ONLINE"/>
    <n v="1602.33"/>
    <n v="12.6"/>
    <x v="1"/>
    <n v="2"/>
    <s v="June"/>
    <x v="839"/>
    <x v="1"/>
    <x v="840"/>
    <s v="Beneficio"/>
  </r>
  <r>
    <d v="2023-02-09T00:00:00"/>
    <s v="Construcciones López SL"/>
    <x v="5"/>
    <s v="Mortero Monocapa Beige"/>
    <s v="MORTERO"/>
    <n v="358"/>
    <n v="3.5"/>
    <n v="1253"/>
    <s v="ZARAGOZA"/>
    <x v="1"/>
    <s v="DISTRIBUIDOR"/>
    <n v="1023.27"/>
    <n v="18.3"/>
    <x v="1"/>
    <n v="1"/>
    <s v="February"/>
    <x v="840"/>
    <x v="1"/>
    <x v="841"/>
    <s v="Beneficio"/>
  </r>
  <r>
    <d v="2023-10-16T00:00:00"/>
    <s v="Construcciones López SL"/>
    <x v="5"/>
    <s v="Mortero Acrílico Blanco"/>
    <s v="MORTERO"/>
    <n v="225"/>
    <n v="9.52"/>
    <n v="2142"/>
    <s v="SEVILLA"/>
    <x v="1"/>
    <s v="DIRECTO"/>
    <n v="1914.1"/>
    <n v="10.6"/>
    <x v="1"/>
    <n v="4"/>
    <s v="October"/>
    <x v="841"/>
    <x v="1"/>
    <x v="842"/>
    <s v="Beneficio"/>
  </r>
  <r>
    <d v="2023-08-02T00:00:00"/>
    <s v="Construcciones López SL"/>
    <x v="5"/>
    <s v="Mortero Cementoso Gris"/>
    <s v="MORTERO"/>
    <n v="231"/>
    <n v="5.56"/>
    <n v="1284.3599999999999"/>
    <s v="BARCELONA"/>
    <x v="3"/>
    <s v="DISTRIBUIDOR"/>
    <n v="1064.94"/>
    <n v="17.100000000000001"/>
    <x v="1"/>
    <n v="3"/>
    <s v="August"/>
    <x v="842"/>
    <x v="1"/>
    <x v="843"/>
    <s v="Beneficio"/>
  </r>
  <r>
    <d v="2025-04-15T00:00:00"/>
    <s v="Construcciones López SL"/>
    <x v="5"/>
    <s v="Mortero Cementoso Gris"/>
    <s v="MORTERO"/>
    <n v="145"/>
    <n v="4.18"/>
    <n v="606.1"/>
    <s v="VALENCIA"/>
    <x v="5"/>
    <s v="ONLINE"/>
    <n v="388.89"/>
    <n v="35.799999999999997"/>
    <x v="2"/>
    <n v="2"/>
    <s v="April"/>
    <x v="843"/>
    <x v="0"/>
    <x v="844"/>
    <s v="Beneficio"/>
  </r>
  <r>
    <d v="2023-08-03T00:00:00"/>
    <s v="Construcciones Costa SL"/>
    <x v="3"/>
    <s v="Mortero Acrílico Blanco"/>
    <s v="MORTERO"/>
    <n v="88"/>
    <n v="9.43"/>
    <n v="829.84"/>
    <s v="SEVILLA"/>
    <x v="5"/>
    <s v="DISTRIBUIDOR"/>
    <n v="613.86"/>
    <n v="26"/>
    <x v="1"/>
    <n v="3"/>
    <s v="August"/>
    <x v="844"/>
    <x v="0"/>
    <x v="845"/>
    <s v="Beneficio"/>
  </r>
  <r>
    <d v="2023-04-21T00:00:00"/>
    <s v="Construcciones Hernández SL"/>
    <x v="0"/>
    <s v="Pladur 13mm"/>
    <s v="PLADUR"/>
    <n v="414"/>
    <n v="2.66"/>
    <n v="1101.24"/>
    <s v="SEVILLA"/>
    <x v="4"/>
    <s v="ONLINE"/>
    <n v="885.69"/>
    <n v="19.600000000000001"/>
    <x v="1"/>
    <n v="2"/>
    <s v="April"/>
    <x v="845"/>
    <x v="1"/>
    <x v="846"/>
    <s v="Beneficio"/>
  </r>
  <r>
    <d v="2023-03-16T00:00:00"/>
    <s v="Construcciones Jiménez SL"/>
    <x v="1"/>
    <s v="Perlita Expandida 40L"/>
    <s v="PERLITA"/>
    <n v="471"/>
    <n v="2.41"/>
    <n v="1135.1099999999999"/>
    <s v="MADRID"/>
    <x v="4"/>
    <s v="DIRECTO"/>
    <n v="921.39"/>
    <n v="18.8"/>
    <x v="1"/>
    <n v="1"/>
    <s v="March"/>
    <x v="846"/>
    <x v="1"/>
    <x v="847"/>
    <s v="Beneficio"/>
  </r>
  <r>
    <d v="2025-10-13T00:00:00"/>
    <s v="Construcciones López SL"/>
    <x v="5"/>
    <s v="Perlita Expandida 40L"/>
    <s v="PERLITA"/>
    <n v="90"/>
    <n v="9.35"/>
    <n v="841.5"/>
    <s v="ZARAGOZA"/>
    <x v="3"/>
    <s v="ONLINE"/>
    <n v="628.72"/>
    <n v="25.3"/>
    <x v="2"/>
    <n v="4"/>
    <s v="October"/>
    <x v="847"/>
    <x v="0"/>
    <x v="848"/>
    <s v="Beneficio"/>
  </r>
  <r>
    <d v="2023-08-01T00:00:00"/>
    <s v="Construcciones García SL"/>
    <x v="4"/>
    <s v="Pladur Aislante 15mm"/>
    <s v="PLADUR"/>
    <n v="196"/>
    <n v="10.66"/>
    <n v="2089.36"/>
    <s v="MURCIA"/>
    <x v="3"/>
    <s v="DISTRIBUIDOR"/>
    <n v="1876.81"/>
    <n v="10.199999999999999"/>
    <x v="1"/>
    <n v="3"/>
    <s v="August"/>
    <x v="848"/>
    <x v="1"/>
    <x v="849"/>
    <s v="Beneficio"/>
  </r>
  <r>
    <d v="2023-03-20T00:00:00"/>
    <s v="Construcciones Torres SL"/>
    <x v="2"/>
    <s v="Mortero Monocapa Beige"/>
    <s v="MORTERO"/>
    <n v="356"/>
    <n v="3.7"/>
    <n v="1317.2"/>
    <s v="MADRID"/>
    <x v="4"/>
    <s v="DISTRIBUIDOR"/>
    <n v="1104.8399999999999"/>
    <n v="16.100000000000001"/>
    <x v="1"/>
    <n v="1"/>
    <s v="March"/>
    <x v="849"/>
    <x v="1"/>
    <x v="850"/>
    <s v="Beneficio"/>
  </r>
  <r>
    <d v="2023-02-19T00:00:00"/>
    <s v="Construcciones García SL"/>
    <x v="4"/>
    <s v="Mortero Monocapa Beige"/>
    <s v="MORTERO"/>
    <n v="304"/>
    <n v="5.59"/>
    <n v="1699.36"/>
    <s v="BARCELONA"/>
    <x v="4"/>
    <s v="ONLINE"/>
    <n v="1487.74"/>
    <n v="12.5"/>
    <x v="1"/>
    <n v="1"/>
    <s v="February"/>
    <x v="850"/>
    <x v="1"/>
    <x v="851"/>
    <s v="Beneficio"/>
  </r>
  <r>
    <d v="2024-04-01T00:00:00"/>
    <s v="Construcciones Torres SL"/>
    <x v="2"/>
    <s v="Mortero Acrílico Blanco"/>
    <s v="MORTERO"/>
    <n v="292"/>
    <n v="2.56"/>
    <n v="747.52"/>
    <s v="MURCIA"/>
    <x v="4"/>
    <s v="DISTRIBUIDOR"/>
    <n v="537.37"/>
    <n v="28.1"/>
    <x v="0"/>
    <n v="2"/>
    <s v="April"/>
    <x v="851"/>
    <x v="0"/>
    <x v="852"/>
    <s v="Beneficio"/>
  </r>
  <r>
    <d v="2023-12-01T00:00:00"/>
    <s v="Construcciones López SL"/>
    <x v="5"/>
    <s v="Perlita Expandida 40L"/>
    <s v="PERLITA"/>
    <n v="164"/>
    <n v="3.46"/>
    <n v="567.44000000000005"/>
    <s v="MADRID"/>
    <x v="4"/>
    <s v="DISTRIBUIDOR"/>
    <n v="357.98"/>
    <n v="36.9"/>
    <x v="1"/>
    <n v="4"/>
    <s v="December"/>
    <x v="852"/>
    <x v="0"/>
    <x v="853"/>
    <s v="Beneficio"/>
  </r>
  <r>
    <d v="2023-01-12T00:00:00"/>
    <s v="Construcciones Hernández SL"/>
    <x v="0"/>
    <s v="Mortero Cementoso Gris"/>
    <s v="MORTERO"/>
    <n v="134"/>
    <n v="4.47"/>
    <n v="598.98"/>
    <s v="MADRID"/>
    <x v="5"/>
    <s v="ONLINE"/>
    <n v="389.77"/>
    <n v="34.9"/>
    <x v="1"/>
    <n v="1"/>
    <s v="January"/>
    <x v="853"/>
    <x v="0"/>
    <x v="854"/>
    <s v="Beneficio"/>
  </r>
  <r>
    <d v="2023-05-15T00:00:00"/>
    <s v="Construcciones Hernández SL"/>
    <x v="0"/>
    <s v="Placa Pladur Ignífuga"/>
    <s v="PLADUR"/>
    <n v="66"/>
    <n v="9.44"/>
    <n v="623.04"/>
    <s v="ZARAGOZA"/>
    <x v="4"/>
    <s v="DIRECTO"/>
    <n v="414.06"/>
    <n v="33.5"/>
    <x v="1"/>
    <n v="2"/>
    <s v="May"/>
    <x v="854"/>
    <x v="0"/>
    <x v="855"/>
    <s v="Beneficio"/>
  </r>
  <r>
    <d v="2023-10-11T00:00:00"/>
    <s v="Construcciones García SL"/>
    <x v="4"/>
    <s v="Perlita Expandida 40L"/>
    <s v="PERLITA"/>
    <n v="730"/>
    <n v="2.2999999999999998"/>
    <n v="1679"/>
    <s v="BARCELONA"/>
    <x v="5"/>
    <s v="ONLINE"/>
    <n v="1471.8"/>
    <n v="12.3"/>
    <x v="1"/>
    <n v="4"/>
    <s v="October"/>
    <x v="855"/>
    <x v="1"/>
    <x v="856"/>
    <s v="Beneficio"/>
  </r>
  <r>
    <d v="2023-06-12T00:00:00"/>
    <s v="Construcciones Hernández SL"/>
    <x v="0"/>
    <s v="Mortero Monocapa Beige"/>
    <s v="MORTERO"/>
    <n v="171"/>
    <n v="11.56"/>
    <n v="1976.76"/>
    <s v="SEVILLA"/>
    <x v="2"/>
    <s v="DIRECTO"/>
    <n v="1770.89"/>
    <n v="10.4"/>
    <x v="1"/>
    <n v="2"/>
    <s v="June"/>
    <x v="856"/>
    <x v="1"/>
    <x v="857"/>
    <s v="Beneficio"/>
  </r>
  <r>
    <d v="2023-03-24T00:00:00"/>
    <s v="Construcciones López SL"/>
    <x v="5"/>
    <s v="Pladur 13mm"/>
    <s v="PLADUR"/>
    <n v="150"/>
    <n v="4.5"/>
    <n v="675"/>
    <s v="MURCIA"/>
    <x v="2"/>
    <s v="ONLINE"/>
    <n v="469.45"/>
    <n v="30.5"/>
    <x v="1"/>
    <n v="1"/>
    <s v="March"/>
    <x v="857"/>
    <x v="0"/>
    <x v="858"/>
    <s v="Beneficio"/>
  </r>
  <r>
    <d v="2023-12-20T00:00:00"/>
    <s v="Construcciones López SL"/>
    <x v="5"/>
    <s v="Pladur Aislante 15mm"/>
    <s v="PLADUR"/>
    <n v="148"/>
    <n v="3.63"/>
    <n v="537.24"/>
    <s v="SEVILLA"/>
    <x v="2"/>
    <s v="DISTRIBUIDOR"/>
    <n v="333.76"/>
    <n v="37.9"/>
    <x v="1"/>
    <n v="4"/>
    <s v="December"/>
    <x v="858"/>
    <x v="0"/>
    <x v="859"/>
    <s v="Beneficio"/>
  </r>
  <r>
    <d v="2023-03-28T00:00:00"/>
    <s v="Construcciones Jiménez SL"/>
    <x v="1"/>
    <s v="Placa Pladur Ignífuga"/>
    <s v="PLADUR"/>
    <n v="385"/>
    <n v="2.83"/>
    <n v="1089.55"/>
    <s v="SEVILLA"/>
    <x v="2"/>
    <s v="DIRECTO"/>
    <n v="887.71"/>
    <n v="18.5"/>
    <x v="1"/>
    <n v="1"/>
    <s v="March"/>
    <x v="859"/>
    <x v="1"/>
    <x v="860"/>
    <s v="Beneficio"/>
  </r>
  <r>
    <d v="2023-01-17T00:00:00"/>
    <s v="Construcciones López SL"/>
    <x v="5"/>
    <s v="Pladur 13mm"/>
    <s v="PLADUR"/>
    <n v="261"/>
    <n v="6.89"/>
    <n v="1798.29"/>
    <s v="BARCELONA"/>
    <x v="2"/>
    <s v="DISTRIBUIDOR"/>
    <n v="1597.91"/>
    <n v="11.1"/>
    <x v="1"/>
    <n v="1"/>
    <s v="January"/>
    <x v="860"/>
    <x v="1"/>
    <x v="861"/>
    <s v="Beneficio"/>
  </r>
  <r>
    <d v="2023-01-21T00:00:00"/>
    <s v="Construcciones Costa SL"/>
    <x v="3"/>
    <s v="Perlita Expandida 40L"/>
    <s v="PERLITA"/>
    <n v="178"/>
    <n v="4.57"/>
    <n v="813.46"/>
    <s v="SEVILLA"/>
    <x v="5"/>
    <s v="DISTRIBUIDOR"/>
    <n v="613.41"/>
    <n v="24.6"/>
    <x v="1"/>
    <n v="1"/>
    <s v="January"/>
    <x v="861"/>
    <x v="1"/>
    <x v="862"/>
    <s v="Beneficio"/>
  </r>
  <r>
    <d v="2023-07-30T00:00:00"/>
    <s v="Construcciones Jiménez SL"/>
    <x v="1"/>
    <s v="Mortero Monocapa Beige"/>
    <s v="MORTERO"/>
    <n v="236"/>
    <n v="6.27"/>
    <n v="1479.72"/>
    <s v="ZARAGOZA"/>
    <x v="0"/>
    <s v="DISTRIBUIDOR"/>
    <n v="1279.8900000000001"/>
    <n v="13.5"/>
    <x v="1"/>
    <n v="3"/>
    <s v="July"/>
    <x v="862"/>
    <x v="1"/>
    <x v="863"/>
    <s v="Beneficio"/>
  </r>
  <r>
    <d v="2023-05-09T00:00:00"/>
    <s v="Construcciones López SL"/>
    <x v="5"/>
    <s v="Mortero Monocapa Beige"/>
    <s v="MORTERO"/>
    <n v="601"/>
    <n v="2.2799999999999998"/>
    <n v="1370.28"/>
    <s v="MADRID"/>
    <x v="2"/>
    <s v="ONLINE"/>
    <n v="1171.1400000000001"/>
    <n v="14.5"/>
    <x v="1"/>
    <n v="2"/>
    <s v="May"/>
    <x v="863"/>
    <x v="1"/>
    <x v="864"/>
    <s v="Beneficio"/>
  </r>
  <r>
    <d v="2023-08-11T00:00:00"/>
    <s v="Construcciones Torres SL"/>
    <x v="2"/>
    <s v="Mortero Acrílico Blanco"/>
    <s v="MORTERO"/>
    <n v="100"/>
    <n v="5.99"/>
    <n v="599"/>
    <s v="BARCELONA"/>
    <x v="4"/>
    <s v="ONLINE"/>
    <n v="403.62"/>
    <n v="32.6"/>
    <x v="1"/>
    <n v="3"/>
    <s v="August"/>
    <x v="864"/>
    <x v="0"/>
    <x v="865"/>
    <s v="Beneficio"/>
  </r>
  <r>
    <d v="2023-02-14T00:00:00"/>
    <s v="Construcciones García SL"/>
    <x v="4"/>
    <s v="Placa Pladur Ignífuga"/>
    <s v="PLADUR"/>
    <n v="189"/>
    <n v="3.21"/>
    <n v="606.69000000000005"/>
    <s v="ZARAGOZA"/>
    <x v="1"/>
    <s v="ONLINE"/>
    <n v="411.59"/>
    <n v="32.200000000000003"/>
    <x v="1"/>
    <n v="1"/>
    <s v="February"/>
    <x v="865"/>
    <x v="0"/>
    <x v="866"/>
    <s v="Beneficio"/>
  </r>
  <r>
    <d v="2024-07-16T00:00:00"/>
    <s v="Construcciones Torres SL"/>
    <x v="2"/>
    <s v="Mortero Acrílico Blanco"/>
    <s v="MORTERO"/>
    <n v="211"/>
    <n v="5.66"/>
    <n v="1194.26"/>
    <s v="MURCIA"/>
    <x v="3"/>
    <s v="DIRECTO"/>
    <n v="1000.23"/>
    <n v="16.2"/>
    <x v="0"/>
    <n v="3"/>
    <s v="July"/>
    <x v="866"/>
    <x v="1"/>
    <x v="867"/>
    <s v="Beneficio"/>
  </r>
  <r>
    <d v="2023-01-03T00:00:00"/>
    <s v="Construcciones Jiménez SL"/>
    <x v="1"/>
    <s v="Perlita Expandida 40L"/>
    <s v="PERLITA"/>
    <n v="203"/>
    <n v="4.2300000000000004"/>
    <n v="858.69"/>
    <s v="SEVILLA"/>
    <x v="3"/>
    <s v="ONLINE"/>
    <n v="668.3"/>
    <n v="22.2"/>
    <x v="1"/>
    <n v="1"/>
    <s v="January"/>
    <x v="867"/>
    <x v="1"/>
    <x v="868"/>
    <s v="Beneficio"/>
  </r>
  <r>
    <d v="2023-01-01T00:00:00"/>
    <s v="Construcciones Costa SL"/>
    <x v="3"/>
    <s v="Mortero Monocapa Beige"/>
    <s v="MORTERO"/>
    <n v="192"/>
    <n v="5.55"/>
    <n v="1065.5999999999999"/>
    <s v="MURCIA"/>
    <x v="1"/>
    <s v="DISTRIBUIDOR"/>
    <n v="876.05"/>
    <n v="17.8"/>
    <x v="1"/>
    <n v="1"/>
    <s v="January"/>
    <x v="868"/>
    <x v="1"/>
    <x v="869"/>
    <s v="Beneficio"/>
  </r>
  <r>
    <d v="2023-11-09T00:00:00"/>
    <s v="Construcciones Jiménez SL"/>
    <x v="1"/>
    <s v="Mortero Cementoso Gris"/>
    <s v="MORTERO"/>
    <n v="628"/>
    <n v="2.76"/>
    <n v="1733.28"/>
    <s v="BARCELONA"/>
    <x v="0"/>
    <s v="DISTRIBUIDOR"/>
    <n v="1544.53"/>
    <n v="10.9"/>
    <x v="1"/>
    <n v="4"/>
    <s v="November"/>
    <x v="869"/>
    <x v="1"/>
    <x v="870"/>
    <s v="Beneficio"/>
  </r>
  <r>
    <d v="2023-06-09T00:00:00"/>
    <s v="Construcciones García SL"/>
    <x v="4"/>
    <s v="Mortero Acrílico Blanco"/>
    <s v="MORTERO"/>
    <n v="266"/>
    <n v="5.3"/>
    <n v="1409.8"/>
    <s v="SEVILLA"/>
    <x v="1"/>
    <s v="ONLINE"/>
    <n v="1221.83"/>
    <n v="13.3"/>
    <x v="1"/>
    <n v="2"/>
    <s v="June"/>
    <x v="870"/>
    <x v="1"/>
    <x v="871"/>
    <s v="Beneficio"/>
  </r>
  <r>
    <d v="2023-08-26T00:00:00"/>
    <s v="Construcciones López SL"/>
    <x v="5"/>
    <s v="Pladur 13mm"/>
    <s v="PLADUR"/>
    <n v="248"/>
    <n v="2.42"/>
    <n v="600.16"/>
    <s v="SEVILLA"/>
    <x v="4"/>
    <s v="DISTRIBUIDOR"/>
    <n v="412.23"/>
    <n v="31.3"/>
    <x v="1"/>
    <n v="3"/>
    <s v="August"/>
    <x v="871"/>
    <x v="0"/>
    <x v="872"/>
    <s v="Beneficio"/>
  </r>
  <r>
    <d v="2023-05-21T00:00:00"/>
    <s v="Construcciones Costa SL"/>
    <x v="3"/>
    <s v="Perlita Natural Grano Fino"/>
    <s v="PERLITA"/>
    <n v="106"/>
    <n v="9.64"/>
    <n v="1021.84"/>
    <s v="MADRID"/>
    <x v="4"/>
    <s v="DISTRIBUIDOR"/>
    <n v="834.04"/>
    <n v="18.399999999999999"/>
    <x v="1"/>
    <n v="2"/>
    <s v="May"/>
    <x v="872"/>
    <x v="1"/>
    <x v="873"/>
    <s v="Beneficio"/>
  </r>
  <r>
    <d v="2023-02-01T00:00:00"/>
    <s v="Construcciones Jiménez SL"/>
    <x v="1"/>
    <s v="Placa Pladur Ignífuga"/>
    <s v="PLADUR"/>
    <n v="229"/>
    <n v="2.5499999999999998"/>
    <n v="583.95000000000005"/>
    <s v="ZARAGOZA"/>
    <x v="4"/>
    <s v="ONLINE"/>
    <n v="397.97"/>
    <n v="31.8"/>
    <x v="1"/>
    <n v="1"/>
    <s v="February"/>
    <x v="873"/>
    <x v="0"/>
    <x v="874"/>
    <s v="Beneficio"/>
  </r>
  <r>
    <d v="2023-01-12T00:00:00"/>
    <s v="Construcciones García SL"/>
    <x v="4"/>
    <s v="Mortero Acrílico Blanco"/>
    <s v="MORTERO"/>
    <n v="68"/>
    <n v="8.14"/>
    <n v="553.52"/>
    <s v="MURCIA"/>
    <x v="5"/>
    <s v="DISTRIBUIDOR"/>
    <n v="369.73"/>
    <n v="33.200000000000003"/>
    <x v="1"/>
    <n v="1"/>
    <s v="January"/>
    <x v="874"/>
    <x v="0"/>
    <x v="875"/>
    <s v="Beneficio"/>
  </r>
  <r>
    <d v="2023-09-06T00:00:00"/>
    <s v="Construcciones Costa SL"/>
    <x v="3"/>
    <s v="Perlita Expandida 40L"/>
    <s v="PERLITA"/>
    <n v="298"/>
    <n v="2.34"/>
    <n v="697.32"/>
    <s v="VALENCIA"/>
    <x v="0"/>
    <s v="ONLINE"/>
    <n v="514.07000000000005"/>
    <n v="26.3"/>
    <x v="1"/>
    <n v="3"/>
    <s v="September"/>
    <x v="875"/>
    <x v="0"/>
    <x v="876"/>
    <s v="Beneficio"/>
  </r>
  <r>
    <d v="2023-02-22T00:00:00"/>
    <s v="Construcciones Hernández SL"/>
    <x v="0"/>
    <s v="Perlita Expandida 40L"/>
    <s v="PERLITA"/>
    <n v="253"/>
    <n v="2.63"/>
    <n v="665.39"/>
    <s v="BARCELONA"/>
    <x v="5"/>
    <s v="DIRECTO"/>
    <n v="486.33"/>
    <n v="26.9"/>
    <x v="1"/>
    <n v="1"/>
    <s v="February"/>
    <x v="876"/>
    <x v="0"/>
    <x v="877"/>
    <s v="Beneficio"/>
  </r>
  <r>
    <d v="2023-01-21T00:00:00"/>
    <s v="Construcciones Jiménez SL"/>
    <x v="1"/>
    <s v="Pladur 13mm"/>
    <s v="PLADUR"/>
    <n v="459"/>
    <n v="2.21"/>
    <n v="1014.39"/>
    <s v="MADRID"/>
    <x v="1"/>
    <s v="ONLINE"/>
    <n v="836.3"/>
    <n v="17.600000000000001"/>
    <x v="1"/>
    <n v="1"/>
    <s v="January"/>
    <x v="877"/>
    <x v="1"/>
    <x v="878"/>
    <s v="Beneficio"/>
  </r>
  <r>
    <d v="2023-12-11T00:00:00"/>
    <s v="Construcciones Costa SL"/>
    <x v="3"/>
    <s v="Perlita Expandida 40L"/>
    <s v="PERLITA"/>
    <n v="193"/>
    <n v="3.82"/>
    <n v="737.26"/>
    <s v="SEVILLA"/>
    <x v="5"/>
    <s v="ONLINE"/>
    <n v="559.53"/>
    <n v="24.1"/>
    <x v="1"/>
    <n v="4"/>
    <s v="December"/>
    <x v="878"/>
    <x v="1"/>
    <x v="879"/>
    <s v="Beneficio"/>
  </r>
  <r>
    <d v="2024-05-04T00:00:00"/>
    <s v="Construcciones Torres SL"/>
    <x v="2"/>
    <s v="Mortero Cementoso Gris"/>
    <s v="MORTERO"/>
    <n v="123"/>
    <n v="9.59"/>
    <n v="1179.57"/>
    <s v="MADRID"/>
    <x v="0"/>
    <s v="ONLINE"/>
    <n v="1003.96"/>
    <n v="14.9"/>
    <x v="0"/>
    <n v="2"/>
    <s v="May"/>
    <x v="879"/>
    <x v="1"/>
    <x v="880"/>
    <s v="Beneficio"/>
  </r>
  <r>
    <d v="2025-07-31T00:00:00"/>
    <s v="Construcciones Jiménez SL"/>
    <x v="1"/>
    <s v="Pladur 13mm"/>
    <s v="PLADUR"/>
    <n v="110"/>
    <n v="9.7899999999999991"/>
    <n v="1076.9000000000001"/>
    <s v="BILBAO"/>
    <x v="3"/>
    <s v="ONLINE"/>
    <n v="902.08"/>
    <n v="16.2"/>
    <x v="2"/>
    <n v="3"/>
    <s v="July"/>
    <x v="880"/>
    <x v="1"/>
    <x v="881"/>
    <s v="Beneficio"/>
  </r>
  <r>
    <d v="2023-05-26T00:00:00"/>
    <s v="Construcciones Jiménez SL"/>
    <x v="1"/>
    <s v="Pladur Aislante 15mm"/>
    <s v="PLADUR"/>
    <n v="414"/>
    <n v="2.9"/>
    <n v="1200.5999999999999"/>
    <s v="MÁLAGA"/>
    <x v="4"/>
    <s v="DIRECTO"/>
    <n v="1026.05"/>
    <n v="14.5"/>
    <x v="1"/>
    <n v="2"/>
    <s v="May"/>
    <x v="881"/>
    <x v="1"/>
    <x v="882"/>
    <s v="Beneficio"/>
  </r>
  <r>
    <d v="2024-08-05T00:00:00"/>
    <s v="Construcciones Hernández SL"/>
    <x v="0"/>
    <s v="Mortero Acrílico Blanco"/>
    <s v="MORTERO"/>
    <n v="283"/>
    <n v="5.61"/>
    <n v="1587.63"/>
    <s v="BARCELONA"/>
    <x v="5"/>
    <s v="DISTRIBUIDOR"/>
    <n v="1415.02"/>
    <n v="10.9"/>
    <x v="0"/>
    <n v="3"/>
    <s v="August"/>
    <x v="882"/>
    <x v="1"/>
    <x v="883"/>
    <s v="Beneficio"/>
  </r>
  <r>
    <d v="2024-04-11T00:00:00"/>
    <s v="Construcciones Torres SL"/>
    <x v="2"/>
    <s v="Perlita Natural Grano Fino"/>
    <s v="PERLITA"/>
    <n v="73"/>
    <n v="10.31"/>
    <n v="752.63"/>
    <s v="BARCELONA"/>
    <x v="1"/>
    <s v="DIRECTO"/>
    <n v="582.88"/>
    <n v="22.6"/>
    <x v="0"/>
    <n v="2"/>
    <s v="April"/>
    <x v="883"/>
    <x v="1"/>
    <x v="884"/>
    <s v="Beneficio"/>
  </r>
  <r>
    <d v="2023-05-10T00:00:00"/>
    <s v="Construcciones Torres SL"/>
    <x v="2"/>
    <s v="Perlita Natural Grano Fino"/>
    <s v="PERLITA"/>
    <n v="104"/>
    <n v="4.1500000000000004"/>
    <n v="431.6"/>
    <s v="SEVILLA"/>
    <x v="1"/>
    <s v="DISTRIBUIDOR"/>
    <n v="266.92"/>
    <n v="38.200000000000003"/>
    <x v="1"/>
    <n v="2"/>
    <s v="May"/>
    <x v="884"/>
    <x v="0"/>
    <x v="885"/>
    <s v="Beneficio"/>
  </r>
  <r>
    <d v="2023-04-16T00:00:00"/>
    <s v="Construcciones Jiménez SL"/>
    <x v="1"/>
    <s v="Mortero Acrílico Blanco"/>
    <s v="MORTERO"/>
    <n v="295"/>
    <n v="4.3600000000000003"/>
    <n v="1286.2"/>
    <s v="MURCIA"/>
    <x v="0"/>
    <s v="DISTRIBUIDOR"/>
    <n v="1122.3599999999999"/>
    <n v="12.7"/>
    <x v="1"/>
    <n v="2"/>
    <s v="April"/>
    <x v="885"/>
    <x v="1"/>
    <x v="886"/>
    <s v="Beneficio"/>
  </r>
  <r>
    <d v="2023-01-22T00:00:00"/>
    <s v="Construcciones Jiménez SL"/>
    <x v="1"/>
    <s v="Pladur 13mm"/>
    <s v="PLADUR"/>
    <n v="135"/>
    <n v="7.16"/>
    <n v="966.6"/>
    <s v="MURCIA"/>
    <x v="4"/>
    <s v="ONLINE"/>
    <n v="803.02"/>
    <n v="16.899999999999999"/>
    <x v="1"/>
    <n v="1"/>
    <s v="January"/>
    <x v="886"/>
    <x v="1"/>
    <x v="887"/>
    <s v="Beneficio"/>
  </r>
  <r>
    <d v="2023-03-20T00:00:00"/>
    <s v="Construcciones Torres SL"/>
    <x v="2"/>
    <s v="Mortero Cementoso Gris"/>
    <s v="MORTERO"/>
    <n v="445"/>
    <n v="2.15"/>
    <n v="956.75"/>
    <s v="SEVILLA"/>
    <x v="4"/>
    <s v="DIRECTO"/>
    <n v="794.25"/>
    <n v="17"/>
    <x v="1"/>
    <n v="1"/>
    <s v="March"/>
    <x v="887"/>
    <x v="1"/>
    <x v="888"/>
    <s v="Beneficio"/>
  </r>
  <r>
    <d v="2023-04-02T00:00:00"/>
    <s v="Construcciones García SL"/>
    <x v="4"/>
    <s v="Perlita Natural Grano Fino"/>
    <s v="PERLITA"/>
    <n v="139"/>
    <n v="9.31"/>
    <n v="1294.0899999999999"/>
    <s v="MURCIA"/>
    <x v="3"/>
    <s v="DIRECTO"/>
    <n v="1131.6500000000001"/>
    <n v="12.6"/>
    <x v="1"/>
    <n v="2"/>
    <s v="April"/>
    <x v="888"/>
    <x v="1"/>
    <x v="889"/>
    <s v="Beneficio"/>
  </r>
  <r>
    <d v="2023-05-12T00:00:00"/>
    <s v="Construcciones López SL"/>
    <x v="5"/>
    <s v="Pladur Aislante 15mm"/>
    <s v="PLADUR"/>
    <n v="260"/>
    <n v="3.31"/>
    <n v="860.6"/>
    <s v="MURCIA"/>
    <x v="0"/>
    <s v="DISTRIBUIDOR"/>
    <n v="698.67"/>
    <n v="18.8"/>
    <x v="1"/>
    <n v="2"/>
    <s v="May"/>
    <x v="889"/>
    <x v="1"/>
    <x v="890"/>
    <s v="Beneficio"/>
  </r>
  <r>
    <d v="2024-01-26T00:00:00"/>
    <s v="Construcciones López SL"/>
    <x v="5"/>
    <s v="Perlita Natural Grano Fino"/>
    <s v="PERLITA"/>
    <n v="75"/>
    <n v="7.93"/>
    <n v="594.75"/>
    <s v="MADRID"/>
    <x v="0"/>
    <s v="ONLINE"/>
    <n v="433.29"/>
    <n v="27.1"/>
    <x v="0"/>
    <n v="1"/>
    <s v="January"/>
    <x v="890"/>
    <x v="0"/>
    <x v="891"/>
    <s v="Beneficio"/>
  </r>
  <r>
    <d v="2023-08-14T00:00:00"/>
    <s v="Construcciones Hernández SL"/>
    <x v="0"/>
    <s v="Perlita Natural Grano Fino"/>
    <s v="PERLITA"/>
    <n v="125"/>
    <n v="7.66"/>
    <n v="957.5"/>
    <s v="ZARAGOZA"/>
    <x v="3"/>
    <s v="DISTRIBUIDOR"/>
    <n v="796.13"/>
    <n v="16.899999999999999"/>
    <x v="1"/>
    <n v="3"/>
    <s v="August"/>
    <x v="891"/>
    <x v="1"/>
    <x v="892"/>
    <s v="Beneficio"/>
  </r>
  <r>
    <d v="2023-01-27T00:00:00"/>
    <s v="Construcciones Torres SL"/>
    <x v="2"/>
    <s v="Pladur 13mm"/>
    <s v="PLADUR"/>
    <n v="88"/>
    <n v="8.92"/>
    <n v="784.96"/>
    <s v="BARCELONA"/>
    <x v="0"/>
    <s v="ONLINE"/>
    <n v="625.24"/>
    <n v="20.3"/>
    <x v="1"/>
    <n v="1"/>
    <s v="January"/>
    <x v="892"/>
    <x v="1"/>
    <x v="893"/>
    <s v="Beneficio"/>
  </r>
  <r>
    <d v="2023-02-01T00:00:00"/>
    <s v="Construcciones López SL"/>
    <x v="5"/>
    <s v="Perlita Natural Grano Fino"/>
    <s v="PERLITA"/>
    <n v="281"/>
    <n v="3.98"/>
    <n v="1118.3800000000001"/>
    <s v="MÁLAGA"/>
    <x v="3"/>
    <s v="ONLINE"/>
    <n v="962.47"/>
    <n v="13.9"/>
    <x v="1"/>
    <n v="1"/>
    <s v="February"/>
    <x v="893"/>
    <x v="1"/>
    <x v="894"/>
    <s v="Beneficio"/>
  </r>
  <r>
    <d v="2024-08-12T00:00:00"/>
    <s v="Construcciones Torres SL"/>
    <x v="2"/>
    <s v="Pladur Aislante 15mm"/>
    <s v="PLADUR"/>
    <n v="592"/>
    <n v="2.37"/>
    <n v="1403.04"/>
    <s v="BILBAO"/>
    <x v="4"/>
    <s v="DIRECTO"/>
    <n v="1247.57"/>
    <n v="11.1"/>
    <x v="0"/>
    <n v="3"/>
    <s v="August"/>
    <x v="894"/>
    <x v="1"/>
    <x v="895"/>
    <s v="Beneficio"/>
  </r>
  <r>
    <d v="2023-04-21T00:00:00"/>
    <s v="Construcciones López SL"/>
    <x v="5"/>
    <s v="Mortero Acrílico Blanco"/>
    <s v="MORTERO"/>
    <n v="166"/>
    <n v="8.64"/>
    <n v="1434.24"/>
    <s v="SEVILLA"/>
    <x v="5"/>
    <s v="ONLINE"/>
    <n v="1279.92"/>
    <n v="10.8"/>
    <x v="1"/>
    <n v="2"/>
    <s v="April"/>
    <x v="895"/>
    <x v="1"/>
    <x v="896"/>
    <s v="Beneficio"/>
  </r>
  <r>
    <d v="2023-07-22T00:00:00"/>
    <s v="Construcciones López SL"/>
    <x v="5"/>
    <s v="Placa Pladur Ignífuga"/>
    <s v="PLADUR"/>
    <n v="65"/>
    <n v="10.08"/>
    <n v="655.20000000000005"/>
    <s v="MADRID"/>
    <x v="5"/>
    <s v="ONLINE"/>
    <n v="502.94"/>
    <n v="23.2"/>
    <x v="1"/>
    <n v="3"/>
    <s v="July"/>
    <x v="896"/>
    <x v="1"/>
    <x v="897"/>
    <s v="Beneficio"/>
  </r>
  <r>
    <d v="2023-07-18T00:00:00"/>
    <s v="Construcciones Costa SL"/>
    <x v="3"/>
    <s v="Pladur 13mm"/>
    <s v="PLADUR"/>
    <n v="182"/>
    <n v="2.36"/>
    <n v="429.52"/>
    <s v="MADRID"/>
    <x v="2"/>
    <s v="ONLINE"/>
    <n v="278.63"/>
    <n v="35.1"/>
    <x v="1"/>
    <n v="3"/>
    <s v="July"/>
    <x v="897"/>
    <x v="0"/>
    <x v="898"/>
    <s v="Beneficio"/>
  </r>
  <r>
    <d v="2023-01-02T00:00:00"/>
    <s v="Construcciones Costa SL"/>
    <x v="3"/>
    <s v="Mortero Acrílico Blanco"/>
    <s v="MORTERO"/>
    <n v="142"/>
    <n v="2.72"/>
    <n v="386.24"/>
    <s v="VALENCIA"/>
    <x v="0"/>
    <s v="DIRECTO"/>
    <n v="235.66"/>
    <n v="39"/>
    <x v="1"/>
    <n v="1"/>
    <s v="January"/>
    <x v="898"/>
    <x v="0"/>
    <x v="899"/>
    <s v="Beneficio"/>
  </r>
  <r>
    <d v="2023-01-08T00:00:00"/>
    <s v="Construcciones Hernández SL"/>
    <x v="0"/>
    <s v="Pladur 13mm"/>
    <s v="PLADUR"/>
    <n v="218"/>
    <n v="2.79"/>
    <n v="608.22"/>
    <s v="MADRID"/>
    <x v="5"/>
    <s v="ONLINE"/>
    <n v="458.11"/>
    <n v="24.7"/>
    <x v="1"/>
    <n v="1"/>
    <s v="January"/>
    <x v="899"/>
    <x v="1"/>
    <x v="900"/>
    <s v="Beneficio"/>
  </r>
  <r>
    <d v="2023-05-10T00:00:00"/>
    <s v="Construcciones Hernández SL"/>
    <x v="0"/>
    <s v="Mortero Monocapa Beige"/>
    <s v="MORTERO"/>
    <n v="233"/>
    <n v="6.18"/>
    <n v="1439.94"/>
    <s v="ZARAGOZA"/>
    <x v="3"/>
    <s v="DISTRIBUIDOR"/>
    <n v="1292.8800000000001"/>
    <n v="10.199999999999999"/>
    <x v="1"/>
    <n v="2"/>
    <s v="May"/>
    <x v="900"/>
    <x v="1"/>
    <x v="901"/>
    <s v="Beneficio"/>
  </r>
  <r>
    <d v="2023-03-16T00:00:00"/>
    <s v="Construcciones García SL"/>
    <x v="4"/>
    <s v="Placa Pladur Ignífuga"/>
    <s v="PLADUR"/>
    <n v="91"/>
    <n v="4.68"/>
    <n v="425.88"/>
    <s v="MADRID"/>
    <x v="4"/>
    <s v="DISTRIBUIDOR"/>
    <n v="280.68"/>
    <n v="34.1"/>
    <x v="1"/>
    <n v="1"/>
    <s v="March"/>
    <x v="901"/>
    <x v="0"/>
    <x v="902"/>
    <s v="Beneficio"/>
  </r>
  <r>
    <d v="2023-02-04T00:00:00"/>
    <s v="Construcciones López SL"/>
    <x v="5"/>
    <s v="Perlita Expandida 40L"/>
    <s v="PERLITA"/>
    <n v="307"/>
    <n v="2.3199999999999998"/>
    <n v="712.24"/>
    <s v="VALENCIA"/>
    <x v="5"/>
    <s v="DISTRIBUIDOR"/>
    <n v="568.07000000000005"/>
    <n v="20.2"/>
    <x v="1"/>
    <n v="1"/>
    <s v="February"/>
    <x v="902"/>
    <x v="1"/>
    <x v="903"/>
    <s v="Beneficio"/>
  </r>
  <r>
    <d v="2023-05-28T00:00:00"/>
    <s v="Construcciones Hernández SL"/>
    <x v="0"/>
    <s v="Placa Pladur Ignífuga"/>
    <s v="PLADUR"/>
    <n v="152"/>
    <n v="7.83"/>
    <n v="1190.1600000000001"/>
    <s v="MURCIA"/>
    <x v="5"/>
    <s v="DIRECTO"/>
    <n v="1048.1300000000001"/>
    <n v="11.9"/>
    <x v="1"/>
    <n v="2"/>
    <s v="May"/>
    <x v="903"/>
    <x v="1"/>
    <x v="904"/>
    <s v="Beneficio"/>
  </r>
  <r>
    <d v="2023-07-17T00:00:00"/>
    <s v="Construcciones Torres SL"/>
    <x v="2"/>
    <s v="Perlita Expandida 40L"/>
    <s v="PERLITA"/>
    <n v="101"/>
    <n v="4.04"/>
    <n v="408.04"/>
    <s v="SEVILLA"/>
    <x v="0"/>
    <s v="DIRECTO"/>
    <n v="266.69"/>
    <n v="34.6"/>
    <x v="1"/>
    <n v="3"/>
    <s v="July"/>
    <x v="904"/>
    <x v="0"/>
    <x v="905"/>
    <s v="Beneficio"/>
  </r>
  <r>
    <d v="2024-03-29T00:00:00"/>
    <s v="Construcciones Torres SL"/>
    <x v="2"/>
    <s v="Perlita Expandida 40L"/>
    <s v="PERLITA"/>
    <n v="198"/>
    <n v="3.19"/>
    <n v="631.62"/>
    <s v="ZARAGOZA"/>
    <x v="0"/>
    <s v="ONLINE"/>
    <n v="490.4"/>
    <n v="22.4"/>
    <x v="0"/>
    <n v="1"/>
    <s v="March"/>
    <x v="905"/>
    <x v="1"/>
    <x v="906"/>
    <s v="Beneficio"/>
  </r>
  <r>
    <d v="2023-02-23T00:00:00"/>
    <s v="Construcciones Jiménez SL"/>
    <x v="1"/>
    <s v="Placa Pladur Ignífuga"/>
    <s v="PLADUR"/>
    <n v="65"/>
    <n v="8.0299999999999994"/>
    <n v="521.95000000000005"/>
    <s v="ZARAGOZA"/>
    <x v="3"/>
    <s v="DIRECTO"/>
    <n v="382.39"/>
    <n v="26.7"/>
    <x v="1"/>
    <n v="1"/>
    <s v="February"/>
    <x v="906"/>
    <x v="0"/>
    <x v="907"/>
    <s v="Beneficio"/>
  </r>
  <r>
    <d v="2023-02-18T00:00:00"/>
    <s v="Construcciones Torres SL"/>
    <x v="2"/>
    <s v="Perlita Expandida 40L"/>
    <s v="PERLITA"/>
    <n v="139"/>
    <n v="5.37"/>
    <n v="746.43"/>
    <s v="MÁLAGA"/>
    <x v="4"/>
    <s v="ONLINE"/>
    <n v="607.48"/>
    <n v="18.600000000000001"/>
    <x v="1"/>
    <n v="1"/>
    <s v="February"/>
    <x v="907"/>
    <x v="1"/>
    <x v="908"/>
    <s v="Beneficio"/>
  </r>
  <r>
    <d v="2023-04-26T00:00:00"/>
    <s v="Construcciones Torres SL"/>
    <x v="2"/>
    <s v="Mortero Cementoso Gris"/>
    <s v="MORTERO"/>
    <n v="118"/>
    <n v="9.0299999999999994"/>
    <n v="1065.54"/>
    <s v="MÁLAGA"/>
    <x v="5"/>
    <s v="DIRECTO"/>
    <n v="927.88"/>
    <n v="12.9"/>
    <x v="1"/>
    <n v="2"/>
    <s v="April"/>
    <x v="908"/>
    <x v="1"/>
    <x v="909"/>
    <s v="Beneficio"/>
  </r>
  <r>
    <d v="2024-04-24T00:00:00"/>
    <s v="Construcciones López SL"/>
    <x v="5"/>
    <s v="Pladur 13mm"/>
    <s v="PLADUR"/>
    <n v="102"/>
    <n v="5.49"/>
    <n v="559.98"/>
    <s v="ZARAGOZA"/>
    <x v="4"/>
    <s v="ONLINE"/>
    <n v="425.39"/>
    <n v="24"/>
    <x v="0"/>
    <n v="2"/>
    <s v="April"/>
    <x v="909"/>
    <x v="1"/>
    <x v="910"/>
    <s v="Beneficio"/>
  </r>
  <r>
    <d v="2023-04-07T00:00:00"/>
    <s v="Construcciones Costa SL"/>
    <x v="3"/>
    <s v="Pladur 13mm"/>
    <s v="PLADUR"/>
    <n v="100"/>
    <n v="4.88"/>
    <n v="488"/>
    <s v="MÁLAGA"/>
    <x v="3"/>
    <s v="DISTRIBUIDOR"/>
    <n v="353.65"/>
    <n v="27.5"/>
    <x v="1"/>
    <n v="2"/>
    <s v="April"/>
    <x v="910"/>
    <x v="0"/>
    <x v="911"/>
    <s v="Beneficio"/>
  </r>
  <r>
    <d v="2023-06-02T00:00:00"/>
    <s v="Construcciones Jiménez SL"/>
    <x v="1"/>
    <s v="Placa Pladur Ignífuga"/>
    <s v="PLADUR"/>
    <n v="87"/>
    <n v="5.09"/>
    <n v="442.83"/>
    <s v="MURCIA"/>
    <x v="1"/>
    <s v="ONLINE"/>
    <n v="309.17"/>
    <n v="30.2"/>
    <x v="1"/>
    <n v="2"/>
    <s v="June"/>
    <x v="911"/>
    <x v="0"/>
    <x v="912"/>
    <s v="Beneficio"/>
  </r>
  <r>
    <d v="2023-12-04T00:00:00"/>
    <s v="Construcciones García SL"/>
    <x v="4"/>
    <s v="Mortero Monocapa Beige"/>
    <s v="MORTERO"/>
    <n v="75"/>
    <n v="9.2200000000000006"/>
    <n v="691.5"/>
    <s v="BARCELONA"/>
    <x v="5"/>
    <s v="DIRECTO"/>
    <n v="558.44000000000005"/>
    <n v="19.2"/>
    <x v="1"/>
    <n v="4"/>
    <s v="December"/>
    <x v="912"/>
    <x v="1"/>
    <x v="913"/>
    <s v="Beneficio"/>
  </r>
  <r>
    <d v="2023-04-22T00:00:00"/>
    <s v="Construcciones García SL"/>
    <x v="4"/>
    <s v="Perlita Expandida 40L"/>
    <s v="PERLITA"/>
    <n v="104"/>
    <n v="3.74"/>
    <n v="388.96"/>
    <s v="MÁLAGA"/>
    <x v="1"/>
    <s v="DIRECTO"/>
    <n v="256.39"/>
    <n v="34.1"/>
    <x v="1"/>
    <n v="2"/>
    <s v="April"/>
    <x v="913"/>
    <x v="0"/>
    <x v="914"/>
    <s v="Beneficio"/>
  </r>
  <r>
    <d v="2023-01-25T00:00:00"/>
    <s v="Construcciones Costa SL"/>
    <x v="3"/>
    <s v="Pladur Aislante 15mm"/>
    <s v="PLADUR"/>
    <n v="169"/>
    <n v="2.95"/>
    <n v="498.55"/>
    <s v="MURCIA"/>
    <x v="5"/>
    <s v="DISTRIBUIDOR"/>
    <n v="366.82"/>
    <n v="26.4"/>
    <x v="1"/>
    <n v="1"/>
    <s v="January"/>
    <x v="914"/>
    <x v="0"/>
    <x v="915"/>
    <s v="Beneficio"/>
  </r>
  <r>
    <d v="2023-05-02T00:00:00"/>
    <s v="Construcciones García SL"/>
    <x v="4"/>
    <s v="Placa Pladur Ignífuga"/>
    <s v="PLADUR"/>
    <n v="315"/>
    <n v="3.83"/>
    <n v="1206.45"/>
    <s v="SEVILLA"/>
    <x v="4"/>
    <s v="ONLINE"/>
    <n v="1074.81"/>
    <n v="10.9"/>
    <x v="1"/>
    <n v="2"/>
    <s v="May"/>
    <x v="915"/>
    <x v="1"/>
    <x v="916"/>
    <s v="Beneficio"/>
  </r>
  <r>
    <d v="2023-04-18T00:00:00"/>
    <s v="Construcciones Costa SL"/>
    <x v="3"/>
    <s v="Perlita Expandida 40L"/>
    <s v="PERLITA"/>
    <n v="86"/>
    <n v="4.41"/>
    <n v="379.26"/>
    <s v="SEVILLA"/>
    <x v="4"/>
    <s v="DISTRIBUIDOR"/>
    <n v="248.61"/>
    <n v="34.4"/>
    <x v="1"/>
    <n v="2"/>
    <s v="April"/>
    <x v="916"/>
    <x v="0"/>
    <x v="917"/>
    <s v="Beneficio"/>
  </r>
  <r>
    <d v="2024-12-07T00:00:00"/>
    <s v="Construcciones Torres SL"/>
    <x v="2"/>
    <s v="Placa Pladur Ignífuga"/>
    <s v="PLADUR"/>
    <n v="179"/>
    <n v="2.46"/>
    <n v="440.34"/>
    <s v="MADRID"/>
    <x v="1"/>
    <s v="ONLINE"/>
    <n v="311.89999999999998"/>
    <n v="29.2"/>
    <x v="0"/>
    <n v="4"/>
    <s v="December"/>
    <x v="917"/>
    <x v="0"/>
    <x v="918"/>
    <s v="Beneficio"/>
  </r>
  <r>
    <d v="2024-03-09T00:00:00"/>
    <s v="Construcciones Costa SL"/>
    <x v="3"/>
    <s v="Perlita Expandida 40L"/>
    <s v="PERLITA"/>
    <n v="73"/>
    <n v="5.12"/>
    <n v="373.76"/>
    <s v="MURCIA"/>
    <x v="2"/>
    <s v="ONLINE"/>
    <n v="245.79"/>
    <n v="34.200000000000003"/>
    <x v="0"/>
    <n v="1"/>
    <s v="March"/>
    <x v="918"/>
    <x v="0"/>
    <x v="919"/>
    <s v="Beneficio"/>
  </r>
  <r>
    <d v="2023-07-07T00:00:00"/>
    <s v="Construcciones García SL"/>
    <x v="4"/>
    <s v="Perlita Expandida 40L"/>
    <s v="PERLITA"/>
    <n v="89"/>
    <n v="5.48"/>
    <n v="487.72"/>
    <s v="MADRID"/>
    <x v="5"/>
    <s v="ONLINE"/>
    <n v="365.64"/>
    <n v="25"/>
    <x v="1"/>
    <n v="3"/>
    <s v="July"/>
    <x v="919"/>
    <x v="1"/>
    <x v="920"/>
    <s v="Beneficio"/>
  </r>
  <r>
    <d v="2023-12-31T00:00:00"/>
    <s v="Construcciones Torres SL"/>
    <x v="2"/>
    <s v="Perlita Expandida 40L"/>
    <s v="PERLITA"/>
    <n v="182"/>
    <n v="4.9400000000000004"/>
    <n v="899.08"/>
    <s v="MADRID"/>
    <x v="1"/>
    <s v="ONLINE"/>
    <n v="778.2"/>
    <n v="13.4"/>
    <x v="1"/>
    <n v="4"/>
    <s v="December"/>
    <x v="920"/>
    <x v="1"/>
    <x v="921"/>
    <s v="Beneficio"/>
  </r>
  <r>
    <d v="2023-05-29T00:00:00"/>
    <s v="Construcciones García SL"/>
    <x v="4"/>
    <s v="Mortero Acrílico Blanco"/>
    <s v="MORTERO"/>
    <n v="76"/>
    <n v="5.8"/>
    <n v="440.8"/>
    <s v="SEVILLA"/>
    <x v="4"/>
    <s v="ONLINE"/>
    <n v="320.5"/>
    <n v="27.3"/>
    <x v="1"/>
    <n v="2"/>
    <s v="May"/>
    <x v="921"/>
    <x v="0"/>
    <x v="922"/>
    <s v="Beneficio"/>
  </r>
  <r>
    <d v="2023-04-09T00:00:00"/>
    <s v="Construcciones Hernández SL"/>
    <x v="0"/>
    <s v="Pladur Aislante 15mm"/>
    <s v="PLADUR"/>
    <n v="129"/>
    <n v="5.04"/>
    <n v="650.16"/>
    <s v="ZARAGOZA"/>
    <x v="5"/>
    <s v="DISTRIBUIDOR"/>
    <n v="529.94000000000005"/>
    <n v="18.5"/>
    <x v="1"/>
    <n v="2"/>
    <s v="April"/>
    <x v="922"/>
    <x v="1"/>
    <x v="923"/>
    <s v="Beneficio"/>
  </r>
  <r>
    <d v="2023-04-16T00:00:00"/>
    <s v="Construcciones Costa SL"/>
    <x v="3"/>
    <s v="Mortero Monocapa Beige"/>
    <s v="MORTERO"/>
    <n v="200"/>
    <n v="2.0699999999999998"/>
    <n v="414"/>
    <s v="MADRID"/>
    <x v="2"/>
    <s v="DIRECTO"/>
    <n v="295.68"/>
    <n v="28.6"/>
    <x v="1"/>
    <n v="2"/>
    <s v="April"/>
    <x v="923"/>
    <x v="0"/>
    <x v="924"/>
    <s v="Beneficio"/>
  </r>
  <r>
    <d v="2024-01-19T00:00:00"/>
    <s v="Construcciones Jiménez SL"/>
    <x v="1"/>
    <s v="Perlita Natural Grano Fino"/>
    <s v="PERLITA"/>
    <n v="297"/>
    <n v="2.4300000000000002"/>
    <n v="721.71"/>
    <s v="VALENCIA"/>
    <x v="1"/>
    <s v="ONLINE"/>
    <n v="606.23"/>
    <n v="16"/>
    <x v="0"/>
    <n v="1"/>
    <s v="January"/>
    <x v="924"/>
    <x v="1"/>
    <x v="925"/>
    <s v="Beneficio"/>
  </r>
  <r>
    <d v="2023-08-14T00:00:00"/>
    <s v="Construcciones Hernández SL"/>
    <x v="0"/>
    <s v="Mortero Cementoso Gris"/>
    <s v="MORTERO"/>
    <n v="238"/>
    <n v="3.43"/>
    <n v="816.34"/>
    <s v="BILBAO"/>
    <x v="3"/>
    <s v="ONLINE"/>
    <n v="701.58"/>
    <n v="14.1"/>
    <x v="1"/>
    <n v="3"/>
    <s v="August"/>
    <x v="925"/>
    <x v="1"/>
    <x v="926"/>
    <s v="Beneficio"/>
  </r>
  <r>
    <d v="2023-07-06T00:00:00"/>
    <s v="Construcciones García SL"/>
    <x v="4"/>
    <s v="Pladur 13mm"/>
    <s v="PLADUR"/>
    <n v="62"/>
    <n v="9.6300000000000008"/>
    <n v="597.05999999999995"/>
    <s v="MÁLAGA"/>
    <x v="1"/>
    <s v="DISTRIBUIDOR"/>
    <n v="483.71"/>
    <n v="19"/>
    <x v="1"/>
    <n v="3"/>
    <s v="July"/>
    <x v="926"/>
    <x v="1"/>
    <x v="927"/>
    <s v="Beneficio"/>
  </r>
  <r>
    <d v="2023-03-02T00:00:00"/>
    <s v="Construcciones Hernández SL"/>
    <x v="0"/>
    <s v="Placa Pladur Ignífuga"/>
    <s v="PLADUR"/>
    <n v="60"/>
    <n v="6.53"/>
    <n v="391.8"/>
    <s v="MURCIA"/>
    <x v="0"/>
    <s v="DISTRIBUIDOR"/>
    <n v="278.58"/>
    <n v="28.9"/>
    <x v="1"/>
    <n v="1"/>
    <s v="March"/>
    <x v="927"/>
    <x v="0"/>
    <x v="928"/>
    <s v="Beneficio"/>
  </r>
  <r>
    <d v="2023-11-27T00:00:00"/>
    <s v="Construcciones Jiménez SL"/>
    <x v="1"/>
    <s v="Pladur Aislante 15mm"/>
    <s v="PLADUR"/>
    <n v="149"/>
    <n v="5.08"/>
    <n v="756.92"/>
    <s v="BILBAO"/>
    <x v="2"/>
    <s v="ONLINE"/>
    <n v="644.88"/>
    <n v="14.8"/>
    <x v="1"/>
    <n v="4"/>
    <s v="November"/>
    <x v="928"/>
    <x v="1"/>
    <x v="929"/>
    <s v="Beneficio"/>
  </r>
  <r>
    <d v="2023-06-14T00:00:00"/>
    <s v="Construcciones Costa SL"/>
    <x v="3"/>
    <s v="Perlita Natural Grano Fino"/>
    <s v="PERLITA"/>
    <n v="168"/>
    <n v="4.32"/>
    <n v="725.76"/>
    <s v="BILBAO"/>
    <x v="4"/>
    <s v="DISTRIBUIDOR"/>
    <n v="613.84"/>
    <n v="15.4"/>
    <x v="1"/>
    <n v="2"/>
    <s v="June"/>
    <x v="929"/>
    <x v="1"/>
    <x v="930"/>
    <s v="Beneficio"/>
  </r>
  <r>
    <d v="2023-02-04T00:00:00"/>
    <s v="Construcciones López SL"/>
    <x v="5"/>
    <s v="Mortero Cementoso Gris"/>
    <s v="MORTERO"/>
    <n v="338"/>
    <n v="2.08"/>
    <n v="703.04"/>
    <s v="MÁLAGA"/>
    <x v="0"/>
    <s v="DISTRIBUIDOR"/>
    <n v="591.15"/>
    <n v="15.9"/>
    <x v="1"/>
    <n v="1"/>
    <s v="February"/>
    <x v="930"/>
    <x v="1"/>
    <x v="931"/>
    <s v="Beneficio"/>
  </r>
  <r>
    <d v="2024-02-02T00:00:00"/>
    <s v="Construcciones Hernández SL"/>
    <x v="0"/>
    <s v="Placa Pladur Ignífuga"/>
    <s v="PLADUR"/>
    <n v="153"/>
    <n v="3.02"/>
    <n v="462.06"/>
    <s v="MÁLAGA"/>
    <x v="3"/>
    <s v="DISTRIBUIDOR"/>
    <n v="350.82"/>
    <n v="24.1"/>
    <x v="0"/>
    <n v="1"/>
    <s v="February"/>
    <x v="931"/>
    <x v="1"/>
    <x v="932"/>
    <s v="Beneficio"/>
  </r>
  <r>
    <d v="2023-05-10T00:00:00"/>
    <s v="Construcciones Hernández SL"/>
    <x v="0"/>
    <s v="Placa Pladur Ignífuga"/>
    <s v="PLADUR"/>
    <n v="158"/>
    <n v="3.79"/>
    <n v="598.82000000000005"/>
    <s v="MURCIA"/>
    <x v="2"/>
    <s v="ONLINE"/>
    <n v="487.71"/>
    <n v="18.600000000000001"/>
    <x v="1"/>
    <n v="2"/>
    <s v="May"/>
    <x v="932"/>
    <x v="1"/>
    <x v="933"/>
    <s v="Beneficio"/>
  </r>
  <r>
    <d v="2023-02-12T00:00:00"/>
    <s v="Construcciones Torres SL"/>
    <x v="2"/>
    <s v="Mortero Monocapa Beige"/>
    <s v="MORTERO"/>
    <n v="91"/>
    <n v="3.3"/>
    <n v="300.3"/>
    <s v="BARCELONA"/>
    <x v="5"/>
    <s v="DIRECTO"/>
    <n v="189.58"/>
    <n v="36.9"/>
    <x v="1"/>
    <n v="1"/>
    <s v="February"/>
    <x v="933"/>
    <x v="0"/>
    <x v="934"/>
    <s v="Beneficio"/>
  </r>
  <r>
    <d v="2023-01-18T00:00:00"/>
    <s v="Construcciones Costa SL"/>
    <x v="3"/>
    <s v="Pladur 13mm"/>
    <s v="PLADUR"/>
    <n v="57"/>
    <n v="11.24"/>
    <n v="640.67999999999995"/>
    <s v="MADRID"/>
    <x v="4"/>
    <s v="DIRECTO"/>
    <n v="531.42999999999995"/>
    <n v="17.100000000000001"/>
    <x v="1"/>
    <n v="1"/>
    <s v="January"/>
    <x v="934"/>
    <x v="1"/>
    <x v="935"/>
    <s v="Beneficio"/>
  </r>
  <r>
    <d v="2024-09-19T00:00:00"/>
    <s v="Construcciones Costa SL"/>
    <x v="3"/>
    <s v="Mortero Acrílico Blanco"/>
    <s v="MORTERO"/>
    <n v="100"/>
    <n v="9.99"/>
    <n v="999"/>
    <s v="VALENCIA"/>
    <x v="5"/>
    <s v="DIRECTO"/>
    <n v="889.83"/>
    <n v="10.9"/>
    <x v="0"/>
    <n v="3"/>
    <s v="September"/>
    <x v="935"/>
    <x v="1"/>
    <x v="936"/>
    <s v="Beneficio"/>
  </r>
  <r>
    <d v="2023-09-29T00:00:00"/>
    <s v="Construcciones Hernández SL"/>
    <x v="0"/>
    <s v="Mortero Acrílico Blanco"/>
    <s v="MORTERO"/>
    <n v="124"/>
    <n v="7.53"/>
    <n v="933.72"/>
    <s v="MADRID"/>
    <x v="0"/>
    <s v="ONLINE"/>
    <n v="824.79"/>
    <n v="11.7"/>
    <x v="1"/>
    <n v="3"/>
    <s v="September"/>
    <x v="936"/>
    <x v="1"/>
    <x v="937"/>
    <s v="Beneficio"/>
  </r>
  <r>
    <d v="2025-10-04T00:00:00"/>
    <s v="Construcciones Torres SL"/>
    <x v="2"/>
    <s v="Perlita Natural Grano Fino"/>
    <s v="PERLITA"/>
    <n v="66"/>
    <n v="7.82"/>
    <n v="516.12"/>
    <s v="MÁLAGA"/>
    <x v="0"/>
    <s v="ONLINE"/>
    <n v="407.7"/>
    <n v="21"/>
    <x v="2"/>
    <n v="4"/>
    <s v="October"/>
    <x v="937"/>
    <x v="1"/>
    <x v="938"/>
    <s v="Beneficio"/>
  </r>
  <r>
    <d v="2023-01-29T00:00:00"/>
    <s v="Construcciones Costa SL"/>
    <x v="3"/>
    <s v="Mortero Acrílico Blanco"/>
    <s v="MORTERO"/>
    <n v="159"/>
    <n v="2.14"/>
    <n v="340.26"/>
    <s v="BARCELONA"/>
    <x v="5"/>
    <s v="DISTRIBUIDOR"/>
    <n v="232.66"/>
    <n v="31.6"/>
    <x v="1"/>
    <n v="1"/>
    <s v="January"/>
    <x v="938"/>
    <x v="0"/>
    <x v="939"/>
    <s v="Beneficio"/>
  </r>
  <r>
    <d v="2023-01-21T00:00:00"/>
    <s v="Construcciones García SL"/>
    <x v="4"/>
    <s v="Perlita Expandida 40L"/>
    <s v="PERLITA"/>
    <n v="265"/>
    <n v="3.15"/>
    <n v="834.75"/>
    <s v="VALENCIA"/>
    <x v="5"/>
    <s v="ONLINE"/>
    <n v="733.01"/>
    <n v="12.2"/>
    <x v="1"/>
    <n v="1"/>
    <s v="January"/>
    <x v="939"/>
    <x v="1"/>
    <x v="940"/>
    <s v="Beneficio"/>
  </r>
  <r>
    <d v="2023-01-01T00:00:00"/>
    <s v="Construcciones García SL"/>
    <x v="4"/>
    <s v="Pladur 13mm"/>
    <s v="PLADUR"/>
    <n v="241"/>
    <n v="2.4900000000000002"/>
    <n v="600.09"/>
    <s v="MADRID"/>
    <x v="3"/>
    <s v="DIRECTO"/>
    <n v="499.8"/>
    <n v="16.7"/>
    <x v="1"/>
    <n v="1"/>
    <s v="January"/>
    <x v="940"/>
    <x v="1"/>
    <x v="941"/>
    <s v="Beneficio"/>
  </r>
  <r>
    <d v="2023-01-12T00:00:00"/>
    <s v="Construcciones Jiménez SL"/>
    <x v="1"/>
    <s v="Pladur Aislante 15mm"/>
    <s v="PLADUR"/>
    <n v="170"/>
    <n v="4.62"/>
    <n v="785.4"/>
    <s v="BARCELONA"/>
    <x v="3"/>
    <s v="DIRECTO"/>
    <n v="686.44"/>
    <n v="12.6"/>
    <x v="1"/>
    <n v="1"/>
    <s v="January"/>
    <x v="941"/>
    <x v="1"/>
    <x v="942"/>
    <s v="Beneficio"/>
  </r>
  <r>
    <d v="2023-02-16T00:00:00"/>
    <s v="Construcciones Torres SL"/>
    <x v="2"/>
    <s v="Perlita Natural Grano Fino"/>
    <s v="PERLITA"/>
    <n v="106"/>
    <n v="2.8"/>
    <n v="296.8"/>
    <s v="MÁLAGA"/>
    <x v="2"/>
    <s v="DISTRIBUIDOR"/>
    <n v="199.01"/>
    <n v="32.9"/>
    <x v="1"/>
    <n v="1"/>
    <s v="February"/>
    <x v="942"/>
    <x v="0"/>
    <x v="943"/>
    <s v="Beneficio"/>
  </r>
  <r>
    <d v="2023-04-26T00:00:00"/>
    <s v="Construcciones Hernández SL"/>
    <x v="0"/>
    <s v="Perlita Natural Grano Fino"/>
    <s v="PERLITA"/>
    <n v="134"/>
    <n v="4.03"/>
    <n v="540.02"/>
    <s v="MÁLAGA"/>
    <x v="4"/>
    <s v="DISTRIBUIDOR"/>
    <n v="443.28"/>
    <n v="17.899999999999999"/>
    <x v="1"/>
    <n v="2"/>
    <s v="April"/>
    <x v="943"/>
    <x v="1"/>
    <x v="944"/>
    <s v="Beneficio"/>
  </r>
  <r>
    <d v="2023-08-03T00:00:00"/>
    <s v="Construcciones García SL"/>
    <x v="4"/>
    <s v="Mortero Acrílico Blanco"/>
    <s v="MORTERO"/>
    <n v="52"/>
    <n v="5.86"/>
    <n v="304.72000000000003"/>
    <s v="ZARAGOZA"/>
    <x v="3"/>
    <s v="ONLINE"/>
    <n v="210.53"/>
    <n v="30.9"/>
    <x v="1"/>
    <n v="3"/>
    <s v="August"/>
    <x v="944"/>
    <x v="0"/>
    <x v="945"/>
    <s v="Beneficio"/>
  </r>
  <r>
    <d v="2023-08-04T00:00:00"/>
    <s v="Construcciones Torres SL"/>
    <x v="2"/>
    <s v="Perlita Natural Grano Fino"/>
    <s v="PERLITA"/>
    <n v="78"/>
    <n v="5.91"/>
    <n v="460.98"/>
    <s v="MÁLAGA"/>
    <x v="5"/>
    <s v="DISTRIBUIDOR"/>
    <n v="369.27"/>
    <n v="19.899999999999999"/>
    <x v="1"/>
    <n v="3"/>
    <s v="August"/>
    <x v="945"/>
    <x v="1"/>
    <x v="946"/>
    <s v="Beneficio"/>
  </r>
  <r>
    <d v="2023-01-02T00:00:00"/>
    <s v="Construcciones Hernández SL"/>
    <x v="0"/>
    <s v="Pladur Aislante 15mm"/>
    <s v="PLADUR"/>
    <n v="342"/>
    <n v="2.33"/>
    <n v="796.86"/>
    <s v="VALENCIA"/>
    <x v="3"/>
    <s v="DIRECTO"/>
    <n v="706.57"/>
    <n v="11.3"/>
    <x v="1"/>
    <n v="1"/>
    <s v="January"/>
    <x v="946"/>
    <x v="1"/>
    <x v="947"/>
    <s v="Beneficio"/>
  </r>
  <r>
    <d v="2023-01-02T00:00:00"/>
    <s v="Construcciones López SL"/>
    <x v="5"/>
    <s v="Perlita Natural Grano Fino"/>
    <s v="PERLITA"/>
    <n v="58"/>
    <n v="5.67"/>
    <n v="328.86"/>
    <s v="BARCELONA"/>
    <x v="1"/>
    <s v="ONLINE"/>
    <n v="239.36"/>
    <n v="27.2"/>
    <x v="1"/>
    <n v="1"/>
    <s v="January"/>
    <x v="947"/>
    <x v="0"/>
    <x v="948"/>
    <s v="Beneficio"/>
  </r>
  <r>
    <d v="2025-02-08T00:00:00"/>
    <s v="Construcciones Costa SL"/>
    <x v="3"/>
    <s v="Mortero Acrílico Blanco"/>
    <s v="MORTERO"/>
    <n v="69"/>
    <n v="4.4400000000000004"/>
    <n v="306.36"/>
    <s v="ZARAGOZA"/>
    <x v="2"/>
    <s v="DISTRIBUIDOR"/>
    <n v="217.28"/>
    <n v="29.1"/>
    <x v="2"/>
    <n v="1"/>
    <s v="February"/>
    <x v="948"/>
    <x v="0"/>
    <x v="949"/>
    <s v="Beneficio"/>
  </r>
  <r>
    <d v="2023-12-31T00:00:00"/>
    <s v="Construcciones García SL"/>
    <x v="4"/>
    <s v="Perlita Expandida 40L"/>
    <s v="PERLITA"/>
    <n v="170"/>
    <n v="3.67"/>
    <n v="623.9"/>
    <s v="MADRID"/>
    <x v="5"/>
    <s v="DIRECTO"/>
    <n v="535.39"/>
    <n v="14.2"/>
    <x v="1"/>
    <n v="4"/>
    <s v="December"/>
    <x v="949"/>
    <x v="1"/>
    <x v="950"/>
    <s v="Beneficio"/>
  </r>
  <r>
    <d v="2023-10-28T00:00:00"/>
    <s v="Construcciones Torres SL"/>
    <x v="2"/>
    <s v="Mortero Monocapa Beige"/>
    <s v="MORTERO"/>
    <n v="78"/>
    <n v="6.76"/>
    <n v="527.28"/>
    <s v="SEVILLA"/>
    <x v="2"/>
    <s v="DIRECTO"/>
    <n v="441.36"/>
    <n v="16.3"/>
    <x v="1"/>
    <n v="4"/>
    <s v="October"/>
    <x v="950"/>
    <x v="1"/>
    <x v="951"/>
    <s v="Beneficio"/>
  </r>
  <r>
    <d v="2023-05-04T00:00:00"/>
    <s v="Construcciones Torres SL"/>
    <x v="2"/>
    <s v="Perlita Natural Grano Fino"/>
    <s v="PERLITA"/>
    <n v="129"/>
    <n v="3.08"/>
    <n v="397.32"/>
    <s v="SEVILLA"/>
    <x v="2"/>
    <s v="DISTRIBUIDOR"/>
    <n v="311.79000000000002"/>
    <n v="21.5"/>
    <x v="1"/>
    <n v="2"/>
    <s v="May"/>
    <x v="951"/>
    <x v="1"/>
    <x v="952"/>
    <s v="Beneficio"/>
  </r>
  <r>
    <d v="2023-03-30T00:00:00"/>
    <s v="Construcciones López SL"/>
    <x v="5"/>
    <s v="Pladur 13mm"/>
    <s v="PLADUR"/>
    <n v="216"/>
    <n v="2.4700000000000002"/>
    <n v="533.52"/>
    <s v="MÁLAGA"/>
    <x v="2"/>
    <s v="ONLINE"/>
    <n v="448.85"/>
    <n v="15.9"/>
    <x v="1"/>
    <n v="1"/>
    <s v="March"/>
    <x v="952"/>
    <x v="1"/>
    <x v="953"/>
    <s v="Beneficio"/>
  </r>
  <r>
    <d v="2023-01-28T00:00:00"/>
    <s v="Construcciones García SL"/>
    <x v="4"/>
    <s v="Mortero Monocapa Beige"/>
    <s v="MORTERO"/>
    <n v="67"/>
    <n v="7.68"/>
    <n v="514.55999999999995"/>
    <s v="MADRID"/>
    <x v="5"/>
    <s v="ONLINE"/>
    <n v="432.39"/>
    <n v="16"/>
    <x v="1"/>
    <n v="1"/>
    <s v="January"/>
    <x v="953"/>
    <x v="1"/>
    <x v="954"/>
    <s v="Beneficio"/>
  </r>
  <r>
    <d v="2023-03-25T00:00:00"/>
    <s v="Construcciones Jiménez SL"/>
    <x v="1"/>
    <s v="Mortero Monocapa Beige"/>
    <s v="MORTERO"/>
    <n v="112"/>
    <n v="3.06"/>
    <n v="342.72"/>
    <s v="MÁLAGA"/>
    <x v="2"/>
    <s v="DIRECTO"/>
    <n v="260.56"/>
    <n v="24"/>
    <x v="1"/>
    <n v="1"/>
    <s v="March"/>
    <x v="954"/>
    <x v="1"/>
    <x v="955"/>
    <s v="Beneficio"/>
  </r>
  <r>
    <d v="2024-11-05T00:00:00"/>
    <s v="Construcciones Costa SL"/>
    <x v="3"/>
    <s v="Placa Pladur Ignífuga"/>
    <s v="PLADUR"/>
    <n v="91"/>
    <n v="2.25"/>
    <n v="204.75"/>
    <s v="MURCIA"/>
    <x v="3"/>
    <s v="DISTRIBUIDOR"/>
    <n v="124.5"/>
    <n v="39.200000000000003"/>
    <x v="0"/>
    <n v="4"/>
    <s v="November"/>
    <x v="955"/>
    <x v="0"/>
    <x v="956"/>
    <s v="Beneficio"/>
  </r>
  <r>
    <d v="2023-12-23T00:00:00"/>
    <s v="Construcciones Costa SL"/>
    <x v="3"/>
    <s v="Pladur Aislante 15mm"/>
    <s v="PLADUR"/>
    <n v="153"/>
    <n v="4.8499999999999996"/>
    <n v="742.05"/>
    <s v="MÁLAGA"/>
    <x v="5"/>
    <s v="DISTRIBUIDOR"/>
    <n v="663.85"/>
    <n v="10.5"/>
    <x v="1"/>
    <n v="4"/>
    <s v="December"/>
    <x v="956"/>
    <x v="1"/>
    <x v="957"/>
    <s v="Beneficio"/>
  </r>
  <r>
    <d v="2023-01-12T00:00:00"/>
    <s v="Construcciones Costa SL"/>
    <x v="3"/>
    <s v="Mortero Acrílico Blanco"/>
    <s v="MORTERO"/>
    <n v="61"/>
    <n v="5.92"/>
    <n v="361.12"/>
    <s v="MÁLAGA"/>
    <x v="0"/>
    <s v="ONLINE"/>
    <n v="283.35000000000002"/>
    <n v="21.5"/>
    <x v="1"/>
    <n v="1"/>
    <s v="January"/>
    <x v="957"/>
    <x v="1"/>
    <x v="958"/>
    <s v="Beneficio"/>
  </r>
  <r>
    <d v="2023-10-26T00:00:00"/>
    <s v="Construcciones Costa SL"/>
    <x v="3"/>
    <s v="Pladur 13mm"/>
    <s v="PLADUR"/>
    <n v="58"/>
    <n v="7.4"/>
    <n v="429.2"/>
    <s v="MADRID"/>
    <x v="5"/>
    <s v="DISTRIBUIDOR"/>
    <n v="352.99"/>
    <n v="17.8"/>
    <x v="1"/>
    <n v="4"/>
    <s v="October"/>
    <x v="958"/>
    <x v="1"/>
    <x v="959"/>
    <s v="Beneficio"/>
  </r>
  <r>
    <d v="2023-04-18T00:00:00"/>
    <s v="Construcciones Jiménez SL"/>
    <x v="1"/>
    <s v="Mortero Acrílico Blanco"/>
    <s v="MORTERO"/>
    <n v="194"/>
    <n v="3.49"/>
    <n v="677.06"/>
    <s v="ZARAGOZA"/>
    <x v="3"/>
    <s v="DIRECTO"/>
    <n v="601.16"/>
    <n v="11.2"/>
    <x v="1"/>
    <n v="2"/>
    <s v="April"/>
    <x v="959"/>
    <x v="1"/>
    <x v="960"/>
    <s v="Beneficio"/>
  </r>
  <r>
    <d v="2023-08-05T00:00:00"/>
    <s v="Construcciones López SL"/>
    <x v="5"/>
    <s v="Placa Pladur Ignífuga"/>
    <s v="PLADUR"/>
    <n v="95"/>
    <n v="3.24"/>
    <n v="307.8"/>
    <s v="MURCIA"/>
    <x v="4"/>
    <s v="DIRECTO"/>
    <n v="234.19"/>
    <n v="23.9"/>
    <x v="1"/>
    <n v="3"/>
    <s v="August"/>
    <x v="960"/>
    <x v="1"/>
    <x v="961"/>
    <s v="Beneficio"/>
  </r>
  <r>
    <d v="2023-02-13T00:00:00"/>
    <s v="Construcciones Costa SL"/>
    <x v="3"/>
    <s v="Perlita Natural Grano Fino"/>
    <s v="PERLITA"/>
    <n v="359"/>
    <n v="2.02"/>
    <n v="725.18"/>
    <s v="VALENCIA"/>
    <x v="4"/>
    <s v="DIRECTO"/>
    <n v="652.4"/>
    <n v="10"/>
    <x v="1"/>
    <n v="1"/>
    <s v="February"/>
    <x v="961"/>
    <x v="1"/>
    <x v="962"/>
    <s v="Beneficio"/>
  </r>
  <r>
    <d v="2023-05-31T00:00:00"/>
    <s v="Construcciones Torres SL"/>
    <x v="2"/>
    <s v="Mortero Monocapa Beige"/>
    <s v="MORTERO"/>
    <n v="131"/>
    <n v="3.34"/>
    <n v="437.54"/>
    <s v="VALENCIA"/>
    <x v="0"/>
    <s v="DISTRIBUIDOR"/>
    <n v="364.85"/>
    <n v="16.600000000000001"/>
    <x v="1"/>
    <n v="2"/>
    <s v="May"/>
    <x v="962"/>
    <x v="1"/>
    <x v="963"/>
    <s v="Beneficio"/>
  </r>
  <r>
    <d v="2023-02-16T00:00:00"/>
    <s v="Construcciones Costa SL"/>
    <x v="3"/>
    <s v="Perlita Natural Grano Fino"/>
    <s v="PERLITA"/>
    <n v="54"/>
    <n v="4.6100000000000003"/>
    <n v="248.94"/>
    <s v="MADRID"/>
    <x v="1"/>
    <s v="ONLINE"/>
    <n v="178.14"/>
    <n v="28.4"/>
    <x v="1"/>
    <n v="1"/>
    <s v="February"/>
    <x v="963"/>
    <x v="0"/>
    <x v="964"/>
    <s v="Beneficio"/>
  </r>
  <r>
    <d v="2023-01-07T00:00:00"/>
    <s v="Construcciones Costa SL"/>
    <x v="3"/>
    <s v="Perlita Expandida 40L"/>
    <s v="PERLITA"/>
    <n v="63"/>
    <n v="3.41"/>
    <n v="214.83"/>
    <s v="VALENCIA"/>
    <x v="4"/>
    <s v="ONLINE"/>
    <n v="144.49"/>
    <n v="32.700000000000003"/>
    <x v="1"/>
    <n v="1"/>
    <s v="January"/>
    <x v="964"/>
    <x v="0"/>
    <x v="965"/>
    <s v="Beneficio"/>
  </r>
  <r>
    <d v="2023-10-01T00:00:00"/>
    <s v="Construcciones Costa SL"/>
    <x v="3"/>
    <s v="Mortero Cementoso Gris"/>
    <s v="MORTERO"/>
    <n v="51"/>
    <n v="11.14"/>
    <n v="568.14"/>
    <s v="BARCELONA"/>
    <x v="2"/>
    <s v="DISTRIBUIDOR"/>
    <n v="498.07"/>
    <n v="12.3"/>
    <x v="1"/>
    <n v="4"/>
    <s v="October"/>
    <x v="965"/>
    <x v="1"/>
    <x v="966"/>
    <s v="Beneficio"/>
  </r>
  <r>
    <d v="2023-03-28T00:00:00"/>
    <s v="Construcciones Jiménez SL"/>
    <x v="1"/>
    <s v="Placa Pladur Ignífuga"/>
    <s v="PLADUR"/>
    <n v="77"/>
    <n v="7.32"/>
    <n v="563.64"/>
    <s v="VALENCIA"/>
    <x v="3"/>
    <s v="DIRECTO"/>
    <n v="494.28"/>
    <n v="12.3"/>
    <x v="1"/>
    <n v="1"/>
    <s v="March"/>
    <x v="966"/>
    <x v="1"/>
    <x v="967"/>
    <s v="Beneficio"/>
  </r>
  <r>
    <d v="2023-11-17T00:00:00"/>
    <s v="Construcciones García SL"/>
    <x v="4"/>
    <s v="Pladur Aislante 15mm"/>
    <s v="PLADUR"/>
    <n v="96"/>
    <n v="7.01"/>
    <n v="672.96"/>
    <s v="BILBAO"/>
    <x v="4"/>
    <s v="DISTRIBUIDOR"/>
    <n v="604.1"/>
    <n v="10.199999999999999"/>
    <x v="1"/>
    <n v="4"/>
    <s v="November"/>
    <x v="967"/>
    <x v="1"/>
    <x v="968"/>
    <s v="Beneficio"/>
  </r>
  <r>
    <d v="2023-01-31T00:00:00"/>
    <s v="Construcciones Torres SL"/>
    <x v="2"/>
    <s v="Mortero Acrílico Blanco"/>
    <s v="MORTERO"/>
    <n v="74"/>
    <n v="6.21"/>
    <n v="459.54"/>
    <s v="MÁLAGA"/>
    <x v="0"/>
    <s v="DISTRIBUIDOR"/>
    <n v="392.54"/>
    <n v="14.6"/>
    <x v="1"/>
    <n v="1"/>
    <s v="January"/>
    <x v="968"/>
    <x v="1"/>
    <x v="969"/>
    <s v="Beneficio"/>
  </r>
  <r>
    <d v="2024-01-09T00:00:00"/>
    <s v="Construcciones Jiménez SL"/>
    <x v="1"/>
    <s v="Pladur 13mm"/>
    <s v="PLADUR"/>
    <n v="113"/>
    <n v="4.38"/>
    <n v="494.94"/>
    <s v="MÁLAGA"/>
    <x v="5"/>
    <s v="DISTRIBUIDOR"/>
    <n v="429.29"/>
    <n v="13.3"/>
    <x v="0"/>
    <n v="1"/>
    <s v="January"/>
    <x v="969"/>
    <x v="1"/>
    <x v="970"/>
    <s v="Beneficio"/>
  </r>
  <r>
    <d v="2023-05-07T00:00:00"/>
    <s v="Construcciones Hernández SL"/>
    <x v="0"/>
    <s v="Placa Pladur Ignífuga"/>
    <s v="PLADUR"/>
    <n v="68"/>
    <n v="2.75"/>
    <n v="187"/>
    <s v="MADRID"/>
    <x v="3"/>
    <s v="DISTRIBUIDOR"/>
    <n v="122.31"/>
    <n v="34.6"/>
    <x v="1"/>
    <n v="2"/>
    <s v="May"/>
    <x v="970"/>
    <x v="0"/>
    <x v="971"/>
    <s v="Beneficio"/>
  </r>
  <r>
    <d v="2023-03-17T00:00:00"/>
    <s v="Construcciones Hernández SL"/>
    <x v="0"/>
    <s v="Mortero Monocapa Beige"/>
    <s v="MORTERO"/>
    <n v="150"/>
    <n v="3.27"/>
    <n v="490.5"/>
    <s v="BILBAO"/>
    <x v="0"/>
    <s v="DIRECTO"/>
    <n v="426.44"/>
    <n v="13.1"/>
    <x v="1"/>
    <n v="1"/>
    <s v="March"/>
    <x v="971"/>
    <x v="1"/>
    <x v="972"/>
    <s v="Beneficio"/>
  </r>
  <r>
    <d v="2024-02-02T00:00:00"/>
    <s v="Construcciones García SL"/>
    <x v="4"/>
    <s v="Pladur 13mm"/>
    <s v="PLADUR"/>
    <n v="210"/>
    <n v="2.5099999999999998"/>
    <n v="527.1"/>
    <s v="BARCELONA"/>
    <x v="2"/>
    <s v="ONLINE"/>
    <n v="464.62"/>
    <n v="11.9"/>
    <x v="0"/>
    <n v="1"/>
    <s v="February"/>
    <x v="972"/>
    <x v="1"/>
    <x v="973"/>
    <s v="Beneficio"/>
  </r>
  <r>
    <d v="2024-05-27T00:00:00"/>
    <s v="Construcciones Torres SL"/>
    <x v="2"/>
    <s v="Perlita Expandida 40L"/>
    <s v="PERLITA"/>
    <n v="58"/>
    <n v="2.73"/>
    <n v="158.34"/>
    <s v="MURCIA"/>
    <x v="1"/>
    <s v="ONLINE"/>
    <n v="99.51"/>
    <n v="37.200000000000003"/>
    <x v="0"/>
    <n v="2"/>
    <s v="May"/>
    <x v="973"/>
    <x v="0"/>
    <x v="974"/>
    <s v="Beneficio"/>
  </r>
  <r>
    <d v="2023-06-09T00:00:00"/>
    <s v="Construcciones López SL"/>
    <x v="5"/>
    <s v="Perlita Natural Grano Fino"/>
    <s v="PERLITA"/>
    <n v="50"/>
    <n v="11.62"/>
    <n v="581"/>
    <s v="BARCELONA"/>
    <x v="5"/>
    <s v="DIRECTO"/>
    <n v="522.27"/>
    <n v="10.1"/>
    <x v="1"/>
    <n v="2"/>
    <s v="June"/>
    <x v="974"/>
    <x v="1"/>
    <x v="975"/>
    <s v="Beneficio"/>
  </r>
  <r>
    <d v="2025-01-07T00:00:00"/>
    <s v="Construcciones Torres SL"/>
    <x v="2"/>
    <s v="Mortero Acrílico Blanco"/>
    <s v="MORTERO"/>
    <n v="52"/>
    <n v="9.65"/>
    <n v="501.8"/>
    <s v="MADRID"/>
    <x v="4"/>
    <s v="DISTRIBUIDOR"/>
    <n v="445.51"/>
    <n v="11.2"/>
    <x v="2"/>
    <n v="1"/>
    <s v="January"/>
    <x v="975"/>
    <x v="1"/>
    <x v="976"/>
    <s v="Beneficio"/>
  </r>
  <r>
    <d v="2023-07-29T00:00:00"/>
    <s v="Construcciones García SL"/>
    <x v="4"/>
    <s v="Pladur Aislante 15mm"/>
    <s v="PLADUR"/>
    <n v="177"/>
    <n v="2.68"/>
    <n v="474.36"/>
    <s v="MÁLAGA"/>
    <x v="2"/>
    <s v="DISTRIBUIDOR"/>
    <n v="418.65"/>
    <n v="11.7"/>
    <x v="1"/>
    <n v="3"/>
    <s v="July"/>
    <x v="976"/>
    <x v="1"/>
    <x v="977"/>
    <s v="Beneficio"/>
  </r>
  <r>
    <d v="2023-01-15T00:00:00"/>
    <s v="Construcciones Jiménez SL"/>
    <x v="1"/>
    <s v="Placa Pladur Ignífuga"/>
    <s v="PLADUR"/>
    <n v="51"/>
    <n v="5.41"/>
    <n v="275.91000000000003"/>
    <s v="BILBAO"/>
    <x v="3"/>
    <s v="ONLINE"/>
    <n v="220.91"/>
    <n v="19.899999999999999"/>
    <x v="1"/>
    <n v="1"/>
    <s v="January"/>
    <x v="977"/>
    <x v="1"/>
    <x v="978"/>
    <s v="Beneficio"/>
  </r>
  <r>
    <d v="2023-04-19T00:00:00"/>
    <s v="Construcciones Hernández SL"/>
    <x v="0"/>
    <s v="Perlita Expandida 40L"/>
    <s v="PERLITA"/>
    <n v="111"/>
    <n v="4.07"/>
    <n v="451.77"/>
    <s v="SEVILLA"/>
    <x v="0"/>
    <s v="DIRECTO"/>
    <n v="397.17"/>
    <n v="12.1"/>
    <x v="1"/>
    <n v="2"/>
    <s v="April"/>
    <x v="978"/>
    <x v="1"/>
    <x v="979"/>
    <s v="Beneficio"/>
  </r>
  <r>
    <d v="2023-04-21T00:00:00"/>
    <s v="Construcciones Jiménez SL"/>
    <x v="1"/>
    <s v="Perlita Expandida 40L"/>
    <s v="PERLITA"/>
    <n v="56"/>
    <n v="6.07"/>
    <n v="339.92"/>
    <s v="ZARAGOZA"/>
    <x v="5"/>
    <s v="DIRECTO"/>
    <n v="286.89999999999998"/>
    <n v="15.6"/>
    <x v="1"/>
    <n v="2"/>
    <s v="April"/>
    <x v="979"/>
    <x v="1"/>
    <x v="980"/>
    <s v="Beneficio"/>
  </r>
  <r>
    <d v="2023-01-21T00:00:00"/>
    <s v="Construcciones Costa SL"/>
    <x v="3"/>
    <s v="Placa Pladur Ignífuga"/>
    <s v="PLADUR"/>
    <n v="69"/>
    <n v="5.15"/>
    <n v="355.35"/>
    <s v="SEVILLA"/>
    <x v="1"/>
    <s v="DIRECTO"/>
    <n v="303.2"/>
    <n v="14.7"/>
    <x v="1"/>
    <n v="1"/>
    <s v="January"/>
    <x v="980"/>
    <x v="1"/>
    <x v="981"/>
    <s v="Beneficio"/>
  </r>
  <r>
    <d v="2024-06-02T00:00:00"/>
    <s v="Construcciones Hernández SL"/>
    <x v="0"/>
    <s v="Mortero Acrílico Blanco"/>
    <s v="MORTERO"/>
    <n v="60"/>
    <n v="4.29"/>
    <n v="257.39999999999998"/>
    <s v="MÁLAGA"/>
    <x v="5"/>
    <s v="ONLINE"/>
    <n v="208.49"/>
    <n v="19"/>
    <x v="0"/>
    <n v="2"/>
    <s v="June"/>
    <x v="981"/>
    <x v="1"/>
    <x v="982"/>
    <s v="Beneficio"/>
  </r>
  <r>
    <d v="2023-02-01T00:00:00"/>
    <s v="Construcciones García SL"/>
    <x v="4"/>
    <s v="Pladur Aislante 15mm"/>
    <s v="PLADUR"/>
    <n v="106"/>
    <n v="3.97"/>
    <n v="420.82"/>
    <s v="BARCELONA"/>
    <x v="0"/>
    <s v="DISTRIBUIDOR"/>
    <n v="372.62"/>
    <n v="11.5"/>
    <x v="1"/>
    <n v="1"/>
    <s v="February"/>
    <x v="982"/>
    <x v="1"/>
    <x v="983"/>
    <s v="Beneficio"/>
  </r>
  <r>
    <d v="2024-05-22T00:00:00"/>
    <s v="Construcciones Jiménez SL"/>
    <x v="1"/>
    <s v="Mortero Cementoso Gris"/>
    <s v="MORTERO"/>
    <n v="57"/>
    <n v="3.68"/>
    <n v="209.76"/>
    <s v="SEVILLA"/>
    <x v="4"/>
    <s v="DISTRIBUIDOR"/>
    <n v="162.22999999999999"/>
    <n v="22.7"/>
    <x v="0"/>
    <n v="2"/>
    <s v="May"/>
    <x v="983"/>
    <x v="1"/>
    <x v="984"/>
    <s v="Beneficio"/>
  </r>
  <r>
    <d v="2023-06-12T00:00:00"/>
    <s v="Construcciones Costa SL"/>
    <x v="3"/>
    <s v="Mortero Acrílico Blanco"/>
    <s v="MORTERO"/>
    <n v="66"/>
    <n v="2.0299999999999998"/>
    <n v="133.97999999999999"/>
    <s v="ZARAGOZA"/>
    <x v="5"/>
    <s v="DIRECTO"/>
    <n v="86.52"/>
    <n v="35.4"/>
    <x v="1"/>
    <n v="2"/>
    <s v="June"/>
    <x v="984"/>
    <x v="0"/>
    <x v="985"/>
    <s v="Beneficio"/>
  </r>
  <r>
    <d v="2023-12-18T00:00:00"/>
    <s v="Construcciones Jiménez SL"/>
    <x v="1"/>
    <s v="Mortero Acrílico Blanco"/>
    <s v="MORTERO"/>
    <n v="119"/>
    <n v="3.12"/>
    <n v="371.28"/>
    <s v="VALENCIA"/>
    <x v="2"/>
    <s v="DIRECTO"/>
    <n v="323.86"/>
    <n v="12.8"/>
    <x v="1"/>
    <n v="4"/>
    <s v="December"/>
    <x v="985"/>
    <x v="1"/>
    <x v="986"/>
    <s v="Beneficio"/>
  </r>
  <r>
    <d v="2023-06-04T00:00:00"/>
    <s v="Construcciones Costa SL"/>
    <x v="3"/>
    <s v="Mortero Monocapa Beige"/>
    <s v="MORTERO"/>
    <n v="53"/>
    <n v="6.14"/>
    <n v="325.42"/>
    <s v="MADRID"/>
    <x v="4"/>
    <s v="ONLINE"/>
    <n v="280.25"/>
    <n v="13.9"/>
    <x v="1"/>
    <n v="2"/>
    <s v="June"/>
    <x v="986"/>
    <x v="1"/>
    <x v="987"/>
    <s v="Beneficio"/>
  </r>
  <r>
    <d v="2023-06-21T00:00:00"/>
    <s v="Construcciones Costa SL"/>
    <x v="3"/>
    <s v="Perlita Expandida 40L"/>
    <s v="PERLITA"/>
    <n v="101"/>
    <n v="2.23"/>
    <n v="225.23"/>
    <s v="MURCIA"/>
    <x v="1"/>
    <s v="DIRECTO"/>
    <n v="180.6"/>
    <n v="19.8"/>
    <x v="1"/>
    <n v="2"/>
    <s v="June"/>
    <x v="987"/>
    <x v="1"/>
    <x v="988"/>
    <s v="Beneficio"/>
  </r>
  <r>
    <d v="2023-02-27T00:00:00"/>
    <s v="Construcciones Costa SL"/>
    <x v="3"/>
    <s v="Pladur 13mm"/>
    <s v="PLADUR"/>
    <n v="89"/>
    <n v="3.54"/>
    <n v="315.06"/>
    <s v="VALENCIA"/>
    <x v="0"/>
    <s v="DISTRIBUIDOR"/>
    <n v="275.10000000000002"/>
    <n v="12.7"/>
    <x v="1"/>
    <n v="1"/>
    <s v="February"/>
    <x v="988"/>
    <x v="1"/>
    <x v="989"/>
    <s v="Beneficio"/>
  </r>
  <r>
    <d v="2023-04-23T00:00:00"/>
    <s v="Construcciones Hernández SL"/>
    <x v="0"/>
    <s v="Mortero Acrílico Blanco"/>
    <s v="MORTERO"/>
    <n v="91"/>
    <n v="2.16"/>
    <n v="196.56"/>
    <s v="MADRID"/>
    <x v="3"/>
    <s v="DIRECTO"/>
    <n v="161.65"/>
    <n v="17.8"/>
    <x v="1"/>
    <n v="2"/>
    <s v="April"/>
    <x v="989"/>
    <x v="1"/>
    <x v="990"/>
    <s v="Beneficio"/>
  </r>
  <r>
    <d v="2023-02-17T00:00:00"/>
    <s v="Construcciones López SL"/>
    <x v="5"/>
    <s v="Mortero Cementoso Gris"/>
    <s v="MORTERO"/>
    <n v="62"/>
    <n v="3.69"/>
    <n v="228.78"/>
    <s v="SEVILLA"/>
    <x v="5"/>
    <s v="DIRECTO"/>
    <n v="196.13"/>
    <n v="14.3"/>
    <x v="1"/>
    <n v="1"/>
    <s v="February"/>
    <x v="990"/>
    <x v="1"/>
    <x v="991"/>
    <s v="Beneficio"/>
  </r>
  <r>
    <d v="2023-05-21T00:00:00"/>
    <s v="Construcciones Hernández SL"/>
    <x v="0"/>
    <s v="Placa Pladur Ignífuga"/>
    <s v="PLADUR"/>
    <n v="63"/>
    <n v="3.33"/>
    <n v="209.79"/>
    <s v="MADRID"/>
    <x v="1"/>
    <s v="DISTRIBUIDOR"/>
    <n v="188.44"/>
    <n v="10.199999999999999"/>
    <x v="1"/>
    <n v="2"/>
    <s v="May"/>
    <x v="991"/>
    <x v="1"/>
    <x v="992"/>
    <s v="Benefici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6B9FA-BD1E-44B3-B58A-E3F00C2FA14B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"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vestimientosQuery.xlsx!Ventas[Costo Material (€)]">
        <x15:activeTabTopLevelEntity name="[Ventas Costo Material  €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D63FC-2E9D-4ECD-A8A9-7AAFEFF3EE29}" name="TablaDiná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4:E45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de Margen (%)" fld="12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5CDBA-84C1-45F8-B289-EA08B1AEABF0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4:D45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a de Beneficio (€)" fld="16" baseField="0" baseItem="0" numFmtId="16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DA3E1-71F5-439C-9ED7-FFBCF0F7731E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I44:I45" firstHeaderRow="1" firstDataRow="1" firstDataCol="0"/>
  <pivotFields count="20">
    <pivotField numFmtId="165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numFmtId="164" showAll="0"/>
    <pivotField showAll="0"/>
  </pivotFields>
  <rowItems count="1">
    <i/>
  </rowItems>
  <colItems count="1">
    <i/>
  </colItems>
  <dataFields count="1">
    <dataField name="Suma de Cantidad (kg/m²)" fld="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D912C-655E-49ED-8EF0-6554F531651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4:B45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de Costo Material (€)" fld="11" baseField="0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4DEAB-734A-4E82-AE15-9B5844B9C29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6:I13" firstHeaderRow="0" firstDataRow="1" firstDataCol="1" rowPageCount="1" colPageCount="1"/>
  <pivotFields count="2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2"/>
        <item x="3"/>
        <item x="0"/>
        <item x="5"/>
        <item x="4"/>
        <item x="1"/>
        <item m="1" x="6"/>
        <item t="default"/>
      </items>
    </pivotField>
    <pivotField showAll="0"/>
    <pivotField dataField="1" showAll="0"/>
    <pivotField dataField="1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7" hier="-1"/>
  </pageFields>
  <dataFields count="3">
    <dataField name="Suma de Margen (%)" fld="12" baseField="0" baseItem="0"/>
    <dataField name="Suma de Precio Unitario (€)" fld="6" baseField="0" baseItem="0"/>
    <dataField name="Suma de Costo Material (€)" fld="11" baseField="0" baseItem="0"/>
  </dataField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E895C-E79E-4CF7-A083-9FCFD266D421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44:G45" firstHeaderRow="1" firstDataRow="1" firstDataCol="0"/>
  <pivotFields count="20">
    <pivotField numFmtId="16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numFmtId="164" showAll="0"/>
    <pivotField showAll="0"/>
  </pivotFields>
  <rowItems count="1">
    <i/>
  </rowItems>
  <colItems count="1">
    <i/>
  </colItems>
  <dataFields count="1">
    <dataField name="Suma de Precio Unitario (€)" fld="6" baseField="0" baseItem="0" numFmtId="166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BBC55-A275-4FA3-A7DC-46F700C4592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:D10" firstHeaderRow="0" firstDataRow="1" firstDataCol="1"/>
  <pivotFields count="20">
    <pivotField showAll="0"/>
    <pivotField showAll="0"/>
    <pivotField axis="axisRow" showAll="0">
      <items count="8">
        <item x="0"/>
        <item x="3"/>
        <item x="4"/>
        <item x="5"/>
        <item x="1"/>
        <item x="2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dataField="1" showAll="0">
      <items count="993"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>
      <items count="994">
        <item x="376"/>
        <item x="700"/>
        <item x="137"/>
        <item x="327"/>
        <item x="597"/>
        <item x="85"/>
        <item x="675"/>
        <item x="120"/>
        <item x="75"/>
        <item x="204"/>
        <item x="515"/>
        <item x="101"/>
        <item x="737"/>
        <item x="288"/>
        <item x="766"/>
        <item x="52"/>
        <item x="571"/>
        <item x="334"/>
        <item x="532"/>
        <item x="67"/>
        <item x="124"/>
        <item x="45"/>
        <item x="43"/>
        <item x="46"/>
        <item x="696"/>
        <item x="956"/>
        <item x="415"/>
        <item x="47"/>
        <item x="899"/>
        <item x="309"/>
        <item x="410"/>
        <item x="530"/>
        <item x="60"/>
        <item x="104"/>
        <item x="147"/>
        <item x="609"/>
        <item x="350"/>
        <item x="773"/>
        <item x="205"/>
        <item x="91"/>
        <item x="94"/>
        <item x="77"/>
        <item x="699"/>
        <item x="97"/>
        <item x="107"/>
        <item x="138"/>
        <item x="572"/>
        <item x="686"/>
        <item x="398"/>
        <item x="51"/>
        <item x="218"/>
        <item x="190"/>
        <item x="793"/>
        <item x="885"/>
        <item x="154"/>
        <item x="266"/>
        <item x="654"/>
        <item x="89"/>
        <item x="238"/>
        <item x="258"/>
        <item x="55"/>
        <item x="0"/>
        <item x="34"/>
        <item x="859"/>
        <item x="173"/>
        <item x="254"/>
        <item x="349"/>
        <item x="739"/>
        <item x="2"/>
        <item x="742"/>
        <item x="12"/>
        <item x="48"/>
        <item x="252"/>
        <item x="41"/>
        <item x="493"/>
        <item x="433"/>
        <item x="79"/>
        <item x="541"/>
        <item x="206"/>
        <item x="380"/>
        <item x="217"/>
        <item x="655"/>
        <item x="462"/>
        <item x="439"/>
        <item x="974"/>
        <item x="772"/>
        <item x="735"/>
        <item x="191"/>
        <item x="284"/>
        <item x="518"/>
        <item x="632"/>
        <item x="291"/>
        <item x="853"/>
        <item x="495"/>
        <item x="7"/>
        <item x="320"/>
        <item x="934"/>
        <item x="300"/>
        <item x="4"/>
        <item x="546"/>
        <item x="132"/>
        <item x="421"/>
        <item x="498"/>
        <item x="6"/>
        <item x="619"/>
        <item x="491"/>
        <item x="455"/>
        <item x="141"/>
        <item x="62"/>
        <item x="148"/>
        <item x="707"/>
        <item x="344"/>
        <item x="372"/>
        <item x="9"/>
        <item x="37"/>
        <item x="56"/>
        <item x="281"/>
        <item x="58"/>
        <item x="317"/>
        <item x="369"/>
        <item x="473"/>
        <item x="1"/>
        <item x="162"/>
        <item x="14"/>
        <item x="733"/>
        <item x="646"/>
        <item x="418"/>
        <item x="11"/>
        <item x="443"/>
        <item x="159"/>
        <item x="844"/>
        <item x="274"/>
        <item x="509"/>
        <item x="21"/>
        <item x="451"/>
        <item x="828"/>
        <item x="554"/>
        <item x="30"/>
        <item x="503"/>
        <item x="985"/>
        <item x="129"/>
        <item x="255"/>
        <item x="522"/>
        <item x="427"/>
        <item x="271"/>
        <item x="298"/>
        <item x="171"/>
        <item x="25"/>
        <item x="225"/>
        <item x="578"/>
        <item x="594"/>
        <item x="17"/>
        <item x="898"/>
        <item x="151"/>
        <item x="310"/>
        <item x="499"/>
        <item x="64"/>
        <item x="95"/>
        <item x="854"/>
        <item x="68"/>
        <item x="219"/>
        <item x="19"/>
        <item x="905"/>
        <item x="199"/>
        <item x="202"/>
        <item x="971"/>
        <item x="72"/>
        <item x="220"/>
        <item x="70"/>
        <item x="472"/>
        <item x="244"/>
        <item x="347"/>
        <item x="650"/>
        <item x="506"/>
        <item x="917"/>
        <item x="641"/>
        <item x="827"/>
        <item x="593"/>
        <item x="287"/>
        <item x="78"/>
        <item x="224"/>
        <item x="113"/>
        <item x="168"/>
        <item x="919"/>
        <item x="358"/>
        <item x="684"/>
        <item x="18"/>
        <item x="303"/>
        <item x="902"/>
        <item x="914"/>
        <item x="653"/>
        <item x="187"/>
        <item x="534"/>
        <item x="521"/>
        <item x="142"/>
        <item x="460"/>
        <item x="135"/>
        <item x="87"/>
        <item x="268"/>
        <item x="189"/>
        <item x="20"/>
        <item x="855"/>
        <item x="448"/>
        <item x="40"/>
        <item x="99"/>
        <item x="15"/>
        <item x="748"/>
        <item x="667"/>
        <item x="169"/>
        <item x="96"/>
        <item x="765"/>
        <item x="875"/>
        <item x="338"/>
        <item x="395"/>
        <item x="203"/>
        <item x="412"/>
        <item x="100"/>
        <item x="943"/>
        <item x="214"/>
        <item x="143"/>
        <item x="318"/>
        <item x="382"/>
        <item x="133"/>
        <item x="8"/>
        <item x="965"/>
        <item x="289"/>
        <item x="720"/>
        <item x="865"/>
        <item x="38"/>
        <item x="426"/>
        <item x="634"/>
        <item x="296"/>
        <item x="574"/>
        <item x="636"/>
        <item x="90"/>
        <item x="16"/>
        <item x="22"/>
        <item x="351"/>
        <item x="172"/>
        <item x="555"/>
        <item x="559"/>
        <item x="10"/>
        <item x="649"/>
        <item x="81"/>
        <item x="606"/>
        <item x="13"/>
        <item x="302"/>
        <item x="866"/>
        <item x="514"/>
        <item x="588"/>
        <item x="83"/>
        <item x="188"/>
        <item x="265"/>
        <item x="676"/>
        <item x="730"/>
        <item x="623"/>
        <item x="821"/>
        <item x="874"/>
        <item x="416"/>
        <item x="280"/>
        <item x="235"/>
        <item x="226"/>
        <item x="80"/>
        <item x="589"/>
        <item x="549"/>
        <item x="239"/>
        <item x="378"/>
        <item x="403"/>
        <item x="716"/>
        <item x="42"/>
        <item x="29"/>
        <item x="939"/>
        <item x="595"/>
        <item x="367"/>
        <item x="170"/>
        <item x="715"/>
        <item x="496"/>
        <item x="227"/>
        <item x="330"/>
        <item x="459"/>
        <item x="321"/>
        <item x="575"/>
        <item x="872"/>
        <item x="209"/>
        <item x="195"/>
        <item x="175"/>
        <item x="33"/>
        <item x="645"/>
        <item x="32"/>
        <item x="166"/>
        <item x="122"/>
        <item x="639"/>
        <item x="163"/>
        <item x="797"/>
        <item x="84"/>
        <item x="945"/>
        <item x="36"/>
        <item x="82"/>
        <item x="600"/>
        <item x="565"/>
        <item x="681"/>
        <item x="221"/>
        <item x="758"/>
        <item x="335"/>
        <item x="50"/>
        <item x="404"/>
        <item x="711"/>
        <item x="505"/>
        <item x="259"/>
        <item x="343"/>
        <item x="769"/>
        <item x="858"/>
        <item x="242"/>
        <item x="558"/>
        <item x="353"/>
        <item x="552"/>
        <item x="452"/>
        <item x="3"/>
        <item x="566"/>
        <item x="31"/>
        <item x="912"/>
        <item x="386"/>
        <item x="130"/>
        <item x="150"/>
        <item x="161"/>
        <item x="603"/>
        <item x="24"/>
        <item x="780"/>
        <item x="184"/>
        <item x="466"/>
        <item x="783"/>
        <item x="497"/>
        <item x="165"/>
        <item x="155"/>
        <item x="445"/>
        <item x="687"/>
        <item x="468"/>
        <item x="561"/>
        <item x="360"/>
        <item x="57"/>
        <item x="230"/>
        <item x="26"/>
        <item x="761"/>
        <item x="396"/>
        <item x="325"/>
        <item x="179"/>
        <item x="136"/>
        <item x="447"/>
        <item x="423"/>
        <item x="918"/>
        <item x="231"/>
        <item x="207"/>
        <item x="480"/>
        <item x="949"/>
        <item x="5"/>
        <item x="750"/>
        <item x="688"/>
        <item x="756"/>
        <item x="449"/>
        <item x="128"/>
        <item x="545"/>
        <item x="928"/>
        <item x="116"/>
        <item x="764"/>
        <item x="223"/>
        <item x="269"/>
        <item x="39"/>
        <item x="86"/>
        <item x="285"/>
        <item x="516"/>
        <item x="192"/>
        <item x="924"/>
        <item x="964"/>
        <item x="489"/>
        <item x="454"/>
        <item x="277"/>
        <item x="579"/>
        <item x="740"/>
        <item x="601"/>
        <item x="736"/>
        <item x="118"/>
        <item x="852"/>
        <item x="354"/>
        <item x="294"/>
        <item x="612"/>
        <item x="420"/>
        <item x="149"/>
        <item x="157"/>
        <item x="413"/>
        <item x="479"/>
        <item x="911"/>
        <item x="581"/>
        <item x="582"/>
        <item x="93"/>
        <item x="333"/>
        <item x="834"/>
        <item x="839"/>
        <item x="510"/>
        <item x="63"/>
        <item x="23"/>
        <item x="922"/>
        <item x="215"/>
        <item x="324"/>
        <item x="337"/>
        <item x="767"/>
        <item x="685"/>
        <item x="948"/>
        <item x="247"/>
        <item x="708"/>
        <item x="891"/>
        <item x="340"/>
        <item x="373"/>
        <item x="250"/>
        <item x="877"/>
        <item x="27"/>
        <item x="474"/>
        <item x="507"/>
        <item x="183"/>
        <item x="405"/>
        <item x="628"/>
        <item x="431"/>
        <item x="467"/>
        <item x="907"/>
        <item x="49"/>
        <item x="529"/>
        <item x="538"/>
        <item x="547"/>
        <item x="346"/>
        <item x="535"/>
        <item x="342"/>
        <item x="511"/>
        <item x="453"/>
        <item x="915"/>
        <item x="680"/>
        <item x="831"/>
        <item x="279"/>
        <item x="876"/>
        <item x="59"/>
        <item x="753"/>
        <item x="385"/>
        <item x="763"/>
        <item x="236"/>
        <item x="803"/>
        <item x="658"/>
        <item x="248"/>
        <item x="618"/>
        <item x="105"/>
        <item x="524"/>
        <item x="845"/>
        <item x="295"/>
        <item x="292"/>
        <item x="326"/>
        <item x="164"/>
        <item x="319"/>
        <item x="194"/>
        <item x="757"/>
        <item x="176"/>
        <item x="197"/>
        <item x="626"/>
        <item x="822"/>
        <item x="550"/>
        <item x="115"/>
        <item x="814"/>
        <item x="355"/>
        <item x="407"/>
        <item x="200"/>
        <item x="458"/>
        <item x="263"/>
        <item x="492"/>
        <item x="156"/>
        <item x="794"/>
        <item x="212"/>
        <item x="35"/>
        <item x="146"/>
        <item x="61"/>
        <item x="848"/>
        <item x="110"/>
        <item x="117"/>
        <item x="240"/>
        <item x="208"/>
        <item x="670"/>
        <item x="28"/>
        <item x="440"/>
        <item x="539"/>
        <item x="829"/>
        <item x="920"/>
        <item x="461"/>
        <item x="299"/>
        <item x="306"/>
        <item x="749"/>
        <item x="717"/>
        <item x="771"/>
        <item x="111"/>
        <item x="470"/>
        <item x="371"/>
        <item x="710"/>
        <item x="196"/>
        <item x="900"/>
        <item x="363"/>
        <item x="502"/>
        <item x="862"/>
        <item x="508"/>
        <item x="53"/>
        <item x="153"/>
        <item x="712"/>
        <item x="216"/>
        <item x="425"/>
        <item x="273"/>
        <item x="283"/>
        <item x="568"/>
        <item x="810"/>
        <item x="590"/>
        <item x="536"/>
        <item x="527"/>
        <item x="182"/>
        <item x="76"/>
        <item x="879"/>
        <item x="932"/>
        <item x="910"/>
        <item x="388"/>
        <item x="257"/>
        <item x="955"/>
        <item x="961"/>
        <item x="314"/>
        <item x="92"/>
        <item x="112"/>
        <item x="160"/>
        <item x="71"/>
        <item x="784"/>
        <item x="311"/>
        <item x="73"/>
        <item x="103"/>
        <item x="791"/>
        <item x="682"/>
        <item x="698"/>
        <item x="127"/>
        <item x="442"/>
        <item x="419"/>
        <item x="222"/>
        <item x="897"/>
        <item x="233"/>
        <item x="44"/>
        <item x="406"/>
        <item x="108"/>
        <item x="486"/>
        <item x="397"/>
        <item x="409"/>
        <item x="768"/>
        <item x="315"/>
        <item x="778"/>
        <item x="494"/>
        <item x="181"/>
        <item x="782"/>
        <item x="234"/>
        <item x="54"/>
        <item x="520"/>
        <item x="389"/>
        <item x="781"/>
        <item x="305"/>
        <item x="573"/>
        <item x="723"/>
        <item x="432"/>
        <item x="537"/>
        <item x="833"/>
        <item x="114"/>
        <item x="984"/>
        <item x="666"/>
        <item x="134"/>
        <item x="884"/>
        <item x="705"/>
        <item x="718"/>
        <item x="121"/>
        <item x="906"/>
        <item x="297"/>
        <item x="564"/>
        <item x="475"/>
        <item x="477"/>
        <item x="237"/>
        <item x="526"/>
        <item x="868"/>
        <item x="638"/>
        <item x="276"/>
        <item x="69"/>
        <item x="728"/>
        <item x="387"/>
        <item x="144"/>
        <item x="180"/>
        <item x="278"/>
        <item x="615"/>
        <item x="106"/>
        <item x="131"/>
        <item x="123"/>
        <item x="98"/>
        <item x="383"/>
        <item x="958"/>
        <item x="952"/>
        <item x="605"/>
        <item x="807"/>
        <item x="102"/>
        <item x="563"/>
        <item x="598"/>
        <item x="119"/>
        <item x="331"/>
        <item x="65"/>
        <item x="689"/>
        <item x="806"/>
        <item x="787"/>
        <item x="651"/>
        <item x="476"/>
        <item x="533"/>
        <item x="665"/>
        <item x="627"/>
        <item x="290"/>
        <item x="368"/>
        <item x="938"/>
        <item x="185"/>
        <item x="463"/>
        <item x="362"/>
        <item x="126"/>
        <item x="637"/>
        <item x="542"/>
        <item x="677"/>
        <item x="316"/>
        <item x="731"/>
        <item x="435"/>
        <item x="801"/>
        <item x="512"/>
        <item x="732"/>
        <item x="620"/>
        <item x="434"/>
        <item x="348"/>
        <item x="624"/>
        <item x="713"/>
        <item x="893"/>
        <item x="819"/>
        <item x="139"/>
        <item x="186"/>
        <item x="903"/>
        <item x="704"/>
        <item x="267"/>
        <item x="322"/>
        <item x="329"/>
        <item x="457"/>
        <item x="377"/>
        <item x="66"/>
        <item x="198"/>
        <item x="437"/>
        <item x="978"/>
        <item x="152"/>
        <item x="694"/>
        <item x="946"/>
        <item x="663"/>
        <item x="988"/>
        <item x="430"/>
        <item x="625"/>
        <item x="660"/>
        <item x="177"/>
        <item x="500"/>
        <item x="450"/>
        <item x="361"/>
        <item x="846"/>
        <item x="270"/>
        <item x="74"/>
        <item x="752"/>
        <item x="513"/>
        <item x="610"/>
        <item x="357"/>
        <item x="364"/>
        <item x="746"/>
        <item x="913"/>
        <item x="587"/>
        <item x="286"/>
        <item x="429"/>
        <item x="339"/>
        <item x="982"/>
        <item x="927"/>
        <item x="672"/>
        <item x="332"/>
        <item x="390"/>
        <item x="193"/>
        <item x="145"/>
        <item x="652"/>
        <item x="293"/>
        <item x="847"/>
        <item x="890"/>
        <item x="815"/>
        <item x="256"/>
        <item x="727"/>
        <item x="422"/>
        <item x="592"/>
        <item x="211"/>
        <item x="381"/>
        <item x="908"/>
        <item x="543"/>
        <item x="228"/>
        <item x="125"/>
        <item x="933"/>
        <item x="232"/>
        <item x="860"/>
        <item x="923"/>
        <item x="585"/>
        <item x="213"/>
        <item x="774"/>
        <item x="873"/>
        <item x="656"/>
        <item x="841"/>
        <item x="644"/>
        <item x="648"/>
        <item x="836"/>
        <item x="944"/>
        <item x="743"/>
        <item x="825"/>
        <item x="642"/>
        <item x="402"/>
        <item x="488"/>
        <item x="370"/>
        <item x="869"/>
        <item x="990"/>
        <item x="959"/>
        <item x="88"/>
        <item x="301"/>
        <item x="312"/>
        <item x="744"/>
        <item x="210"/>
        <item x="878"/>
        <item x="504"/>
        <item x="640"/>
        <item x="674"/>
        <item x="243"/>
        <item x="762"/>
        <item x="408"/>
        <item x="249"/>
        <item x="788"/>
        <item x="262"/>
        <item x="366"/>
        <item x="843"/>
        <item x="167"/>
        <item x="935"/>
        <item x="888"/>
        <item x="657"/>
        <item x="887"/>
        <item x="352"/>
        <item x="544"/>
        <item x="805"/>
        <item x="892"/>
        <item x="158"/>
        <item x="941"/>
        <item x="759"/>
        <item x="436"/>
        <item x="741"/>
        <item x="963"/>
        <item x="391"/>
        <item x="109"/>
        <item x="261"/>
        <item x="722"/>
        <item x="951"/>
        <item x="867"/>
        <item x="490"/>
        <item x="881"/>
        <item x="282"/>
        <item x="693"/>
        <item x="178"/>
        <item x="577"/>
        <item x="469"/>
        <item x="850"/>
        <item x="562"/>
        <item x="691"/>
        <item x="643"/>
        <item x="560"/>
        <item x="808"/>
        <item x="341"/>
        <item x="569"/>
        <item x="356"/>
        <item x="925"/>
        <item x="616"/>
        <item x="800"/>
        <item x="725"/>
        <item x="307"/>
        <item x="954"/>
        <item x="617"/>
        <item x="931"/>
        <item x="438"/>
        <item x="953"/>
        <item x="795"/>
        <item x="755"/>
        <item x="604"/>
        <item x="812"/>
        <item x="374"/>
        <item x="531"/>
        <item x="328"/>
        <item x="630"/>
        <item x="201"/>
        <item x="980"/>
        <item x="253"/>
        <item x="785"/>
        <item x="484"/>
        <item x="721"/>
        <item x="816"/>
        <item x="777"/>
        <item x="174"/>
        <item x="930"/>
        <item x="323"/>
        <item x="394"/>
        <item x="140"/>
        <item x="837"/>
        <item x="482"/>
        <item x="835"/>
        <item x="275"/>
        <item x="633"/>
        <item x="880"/>
        <item x="501"/>
        <item x="557"/>
        <item x="929"/>
        <item x="709"/>
        <item x="729"/>
        <item x="775"/>
        <item x="602"/>
        <item x="714"/>
        <item x="246"/>
        <item x="981"/>
        <item x="613"/>
        <item x="272"/>
        <item x="668"/>
        <item x="969"/>
        <item x="882"/>
        <item x="864"/>
        <item x="528"/>
        <item x="570"/>
        <item x="622"/>
        <item x="683"/>
        <item x="745"/>
        <item x="245"/>
        <item x="991"/>
        <item x="754"/>
        <item x="838"/>
        <item x="950"/>
        <item x="551"/>
        <item x="599"/>
        <item x="926"/>
        <item x="790"/>
        <item x="336"/>
        <item x="264"/>
        <item x="894"/>
        <item x="401"/>
        <item x="375"/>
        <item x="987"/>
        <item x="424"/>
        <item x="719"/>
        <item x="811"/>
        <item x="229"/>
        <item x="679"/>
        <item x="519"/>
        <item x="863"/>
        <item x="304"/>
        <item x="591"/>
        <item x="823"/>
        <item x="724"/>
        <item x="921"/>
        <item x="607"/>
        <item x="251"/>
        <item x="726"/>
        <item x="871"/>
        <item x="586"/>
        <item x="664"/>
        <item x="970"/>
        <item x="734"/>
        <item x="647"/>
        <item x="614"/>
        <item x="972"/>
        <item x="365"/>
        <item x="241"/>
        <item x="830"/>
        <item x="580"/>
        <item x="909"/>
        <item x="669"/>
        <item x="986"/>
        <item x="886"/>
        <item x="989"/>
        <item x="446"/>
        <item x="703"/>
        <item x="942"/>
        <item x="840"/>
        <item x="596"/>
        <item x="760"/>
        <item x="889"/>
        <item x="662"/>
        <item x="695"/>
        <item x="584"/>
        <item x="851"/>
        <item x="706"/>
        <item x="260"/>
        <item x="701"/>
        <item x="856"/>
        <item x="966"/>
        <item x="308"/>
        <item x="967"/>
        <item x="818"/>
        <item x="798"/>
        <item x="940"/>
        <item x="692"/>
        <item x="471"/>
        <item x="456"/>
        <item x="411"/>
        <item x="979"/>
        <item x="832"/>
        <item x="400"/>
        <item x="770"/>
        <item x="444"/>
        <item x="417"/>
        <item x="904"/>
        <item x="379"/>
        <item x="973"/>
        <item x="809"/>
        <item x="977"/>
        <item x="786"/>
        <item x="399"/>
        <item x="359"/>
        <item x="937"/>
        <item x="384"/>
        <item x="813"/>
        <item x="485"/>
        <item x="583"/>
        <item x="567"/>
        <item x="621"/>
        <item x="465"/>
        <item x="393"/>
        <item x="983"/>
        <item x="631"/>
        <item x="817"/>
        <item x="464"/>
        <item x="392"/>
        <item x="428"/>
        <item x="673"/>
        <item x="690"/>
        <item x="947"/>
        <item x="553"/>
        <item x="608"/>
        <item x="776"/>
        <item x="820"/>
        <item x="976"/>
        <item x="960"/>
        <item x="779"/>
        <item x="517"/>
        <item x="441"/>
        <item x="548"/>
        <item x="487"/>
        <item x="861"/>
        <item x="678"/>
        <item x="895"/>
        <item x="611"/>
        <item x="796"/>
        <item x="414"/>
        <item x="483"/>
        <item x="936"/>
        <item x="671"/>
        <item x="540"/>
        <item x="916"/>
        <item x="870"/>
        <item x="883"/>
        <item x="345"/>
        <item x="661"/>
        <item x="481"/>
        <item x="804"/>
        <item x="896"/>
        <item x="747"/>
        <item x="789"/>
        <item x="525"/>
        <item x="313"/>
        <item x="842"/>
        <item x="576"/>
        <item x="957"/>
        <item x="826"/>
        <item x="523"/>
        <item x="751"/>
        <item x="857"/>
        <item x="702"/>
        <item x="556"/>
        <item x="802"/>
        <item x="824"/>
        <item x="968"/>
        <item x="629"/>
        <item x="901"/>
        <item x="792"/>
        <item x="635"/>
        <item x="992"/>
        <item x="849"/>
        <item x="799"/>
        <item x="478"/>
        <item x="975"/>
        <item x="697"/>
        <item x="738"/>
        <item x="962"/>
        <item x="659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Beneficio (€)" fld="16" baseField="0" baseItem="0"/>
    <dataField name="Suma de Porcentaje Coste/Beneficio" fld="18" baseField="0" baseItem="0"/>
  </dataFields>
  <chartFormats count="2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5" format="48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85D5E84-031F-42FD-AC22-49A22CEC0B41}" autoFormatId="16" applyNumberFormats="0" applyBorderFormats="0" applyFontFormats="0" applyPatternFormats="0" applyAlignmentFormats="0" applyWidthHeightFormats="0">
  <queryTableRefresh nextId="23" unboundColumnsRight="2">
    <queryTableFields count="20">
      <queryTableField id="1" name="Fecha" tableColumnId="1"/>
      <queryTableField id="2" name="Cliente" tableColumnId="2"/>
      <queryTableField id="3" name="ID_Cliente" tableColumnId="3"/>
      <queryTableField id="4" name="Producto" tableColumnId="4"/>
      <queryTableField id="5" name="Tipo" tableColumnId="5"/>
      <queryTableField id="6" name="Cantidad (kg/m²)" tableColumnId="6"/>
      <queryTableField id="7" name="Precio Unitario (€)" tableColumnId="7"/>
      <queryTableField id="8" name="Importe (€)" tableColumnId="8"/>
      <queryTableField id="9" name="Región" tableColumnId="9"/>
      <queryTableField id="10" name="Vendedor" tableColumnId="10"/>
      <queryTableField id="11" name="Canal" tableColumnId="11"/>
      <queryTableField id="12" name="Costo Material (€)" tableColumnId="12"/>
      <queryTableField id="13" name="Margen (%)" tableColumnId="13"/>
      <queryTableField id="14" name="Año" tableColumnId="14"/>
      <queryTableField id="22" dataBound="0" tableColumnId="19"/>
      <queryTableField id="15" name="Mes" tableColumnId="15"/>
      <queryTableField id="16" name="Beneficio (€)" tableColumnId="16"/>
      <queryTableField id="17" name="Rentabilidad" tableColumnId="17"/>
      <queryTableField id="18" dataBound="0" tableColumnId="18"/>
      <queryTableField id="21" dataBound="0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173A31FF-DB52-4A21-AD0B-ACDE5FACEA15}" sourceName="Año">
  <pivotTables>
    <pivotTable tabId="1" name="TablaDinámica1"/>
    <pivotTable tabId="1" name="TablaDinámica18"/>
    <pivotTable tabId="1" name="TablaDinámica19"/>
    <pivotTable tabId="1" name="TablaDinámica2"/>
    <pivotTable tabId="1" name="TablaDinámica3"/>
    <pivotTable tabId="1" name="TablaDinámica5"/>
    <pivotTable tabId="1" name="TablaDinámica6"/>
  </pivotTables>
  <data>
    <tabular pivotCacheId="5223482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A4776559-7DEB-49C8-A6F6-D2F09101F497}" cache="SegmentaciónDeDatos_Año" caption="Año" style="SlicerStyleLight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37398-E5C0-42E7-8215-7316CE139414}" name="Ventas" displayName="Ventas" ref="A1:T994" tableType="queryTable" totalsRowShown="0" headerRowDxfId="18">
  <autoFilter ref="A1:T994" xr:uid="{27137398-E5C0-42E7-8215-7316CE139414}"/>
  <sortState xmlns:xlrd2="http://schemas.microsoft.com/office/spreadsheetml/2017/richdata2" ref="A2:T994">
    <sortCondition descending="1" ref="Q1:Q994"/>
  </sortState>
  <tableColumns count="20">
    <tableColumn id="1" xr3:uid="{668F60A3-D3FA-45FD-8A91-F3FDB43CCCBB}" uniqueName="1" name="Fecha" queryTableFieldId="1" dataDxfId="17"/>
    <tableColumn id="2" xr3:uid="{A40D5DE7-F918-4643-A1B2-FD53A38AFA32}" uniqueName="2" name="Cliente" queryTableFieldId="2" dataDxfId="16"/>
    <tableColumn id="3" xr3:uid="{346C2CD2-0785-4751-A62D-5EB66FAF57EB}" uniqueName="3" name="ID_Cliente" queryTableFieldId="3" dataDxfId="15"/>
    <tableColumn id="4" xr3:uid="{53615408-135F-4638-B650-3FA2C060D25A}" uniqueName="4" name="Producto" queryTableFieldId="4" dataDxfId="14"/>
    <tableColumn id="5" xr3:uid="{97B74D42-F691-4A5C-95B7-B4A60002D59A}" uniqueName="5" name="Tipo" queryTableFieldId="5" dataDxfId="13"/>
    <tableColumn id="6" xr3:uid="{E924DC6B-C082-424F-BE6E-D99C977D8CEA}" uniqueName="6" name="Cantidad (kg/m²)" queryTableFieldId="6"/>
    <tableColumn id="7" xr3:uid="{CB03D9FC-4E46-4E1F-95DD-66EF13109287}" uniqueName="7" name="Precio Unitario (€)" queryTableFieldId="7"/>
    <tableColumn id="8" xr3:uid="{F1F3EDE9-2ACC-478A-B3F5-BB0BA1A2D239}" uniqueName="8" name="Importe (€)" queryTableFieldId="8"/>
    <tableColumn id="9" xr3:uid="{740CB6B7-7F81-4841-BF61-55E188F4EC49}" uniqueName="9" name="Región" queryTableFieldId="9" dataDxfId="12"/>
    <tableColumn id="10" xr3:uid="{A3D33F03-ED91-48A8-BF90-64A810AAAF57}" uniqueName="10" name="Vendedor" queryTableFieldId="10" dataDxfId="11"/>
    <tableColumn id="11" xr3:uid="{7E6FF9AC-9C82-4943-8AB3-B6E159BB16EF}" uniqueName="11" name="Canal" queryTableFieldId="11" dataDxfId="10"/>
    <tableColumn id="12" xr3:uid="{B021ACA3-E3CE-49FC-85E8-C7B04A7A9DB4}" uniqueName="12" name="Costo Material (€)" queryTableFieldId="12"/>
    <tableColumn id="13" xr3:uid="{4C06A3A1-E79A-4CC2-936F-2DA0ADB79E2E}" uniqueName="13" name="Margen (%)" queryTableFieldId="13"/>
    <tableColumn id="14" xr3:uid="{31FB2CD1-7A57-44A1-9CBF-19F350303B03}" uniqueName="14" name="Año" queryTableFieldId="14"/>
    <tableColumn id="19" xr3:uid="{FD04C892-BCE2-4900-9424-C05A78368E31}" uniqueName="19" name="Trimestre" queryTableFieldId="22" dataDxfId="9">
      <calculatedColumnFormula>ROUNDUP(MONTH(A2)/3,0)</calculatedColumnFormula>
    </tableColumn>
    <tableColumn id="15" xr3:uid="{E2A26BAB-4C93-461B-8F7C-FF0666445D17}" uniqueName="15" name="Mes" queryTableFieldId="15" dataDxfId="8"/>
    <tableColumn id="16" xr3:uid="{1B68B49A-2C4D-4410-AED2-FE086D701FFE}" uniqueName="16" name="Beneficio (€)" queryTableFieldId="16"/>
    <tableColumn id="17" xr3:uid="{5027F6C0-E046-4ECF-ABF6-FAE3C9DD1F89}" uniqueName="17" name="Rentabilidad" queryTableFieldId="17" dataDxfId="7"/>
    <tableColumn id="18" xr3:uid="{15B1F39C-AB9E-4C7B-B6DE-8C576016D9C4}" uniqueName="18" name="Porcentaje Coste/Beneficio" queryTableFieldId="18" dataDxfId="6">
      <calculatedColumnFormula>Ventas[[#This Row],[Costo Material (€)]]/Ventas[[#This Row],[Beneficio (€)]]</calculatedColumnFormula>
    </tableColumn>
    <tableColumn id="21" xr3:uid="{193B44FE-D37A-4FF8-9997-75A45244D159}" uniqueName="21" name="Margen de Rentabilidad" queryTableFieldId="21" dataDxfId="5">
      <calculatedColumnFormula>IF(Ventas[[#This Row],[Margen (%)]]&gt;20%,"Beneficio","Perdidas")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C464B1-724E-4EC5-AB39-915C18E6AC8B}" name="Tabla2" displayName="Tabla2" ref="A1:S5" totalsRowShown="0">
  <autoFilter ref="A1:S5" xr:uid="{DDC464B1-724E-4EC5-AB39-915C18E6AC8B}"/>
  <tableColumns count="19">
    <tableColumn id="1" xr3:uid="{052A31FD-A132-4938-97CD-1EF3EDD9B167}" name="Fecha"/>
    <tableColumn id="2" xr3:uid="{38BDA088-F3CF-4C03-BDA0-A2F0F61DE019}" name="Cliente"/>
    <tableColumn id="3" xr3:uid="{3029BD14-BB48-4CC7-A6FB-22EEED0BE402}" name="ID_Cliente"/>
    <tableColumn id="4" xr3:uid="{0B78A035-6F22-47FA-A2A9-44D6D79BC884}" name="Producto"/>
    <tableColumn id="5" xr3:uid="{CA7A7F39-7E72-466F-A08C-E2D90877C963}" name="Tipo"/>
    <tableColumn id="6" xr3:uid="{F30C7DBB-FB25-4BB0-B48C-D754EEAAF09F}" name="Cantidad (kg/m²)"/>
    <tableColumn id="7" xr3:uid="{3A234D39-A8D4-447C-B8B0-00A46F0094B2}" name="Precio Unitario (€)"/>
    <tableColumn id="8" xr3:uid="{6A44D2F7-711E-43AC-8C9D-D93E7AF49C76}" name="Importe (€)"/>
    <tableColumn id="9" xr3:uid="{F6A46918-73C7-4CA0-8F82-FA41A338FD67}" name="Región"/>
    <tableColumn id="10" xr3:uid="{8C840F8C-BE5F-47EC-8A14-C12315BB2161}" name="Vendedor"/>
    <tableColumn id="11" xr3:uid="{25A90DAC-6BF8-4899-B62A-A4FC426D6A84}" name="Canal"/>
    <tableColumn id="12" xr3:uid="{087D2A6A-D978-423F-B1AA-4E84D618EABD}" name="Costo Material (€)"/>
    <tableColumn id="13" xr3:uid="{ED3D6D22-E165-4D21-AFC0-CD3827F99F28}" name="Margen (%)"/>
    <tableColumn id="14" xr3:uid="{2D0F8B03-E0A9-4869-9CAC-5799CF6E4430}" name="Año"/>
    <tableColumn id="15" xr3:uid="{201B1802-D081-4925-A9DE-39260A2BC582}" name="Mes"/>
    <tableColumn id="16" xr3:uid="{F1555B7F-7BFE-4AAA-9B19-64DC4065A23D}" name="Beneficio (€)"/>
    <tableColumn id="17" xr3:uid="{9635AA76-796A-4A5A-BAEB-9FFC7E3C1317}" name="Rentabilidad"/>
    <tableColumn id="18" xr3:uid="{B79EAADB-598F-4AFA-8755-D0405AB71207}" name="Porcentaje Coste/Beneficio"/>
    <tableColumn id="19" xr3:uid="{92E63B0D-C21E-4527-A261-8C15E84E8938}" name="Margen de Rentabil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B0EBEC-418F-479E-9E5C-675C49E8B1A5}" name="Tabla3" displayName="Tabla3" ref="A1:S25" totalsRowShown="0">
  <autoFilter ref="A1:S25" xr:uid="{9EB0EBEC-418F-479E-9E5C-675C49E8B1A5}"/>
  <tableColumns count="19">
    <tableColumn id="1" xr3:uid="{76210B01-1B4D-4D82-9E66-3FA2464C3AA7}" name="Fecha"/>
    <tableColumn id="2" xr3:uid="{2D49C94A-0A1B-404B-9FF5-A2BF77016B42}" name="Cliente"/>
    <tableColumn id="3" xr3:uid="{367171E6-ED28-47DD-BA49-BF6A9EC166E1}" name="ID_Cliente"/>
    <tableColumn id="4" xr3:uid="{CDCD222D-8BEA-4550-92B8-AB5DB91063A9}" name="Producto"/>
    <tableColumn id="5" xr3:uid="{9D229FE8-48CC-461A-B234-5B19B88F85E2}" name="Tipo"/>
    <tableColumn id="6" xr3:uid="{F618E70D-3425-482E-9A07-F65927DC68EA}" name="Cantidad (kg/m²)"/>
    <tableColumn id="7" xr3:uid="{F5771DC2-C80A-4D7D-959A-BEECDE989181}" name="Precio Unitario (€)"/>
    <tableColumn id="8" xr3:uid="{177698D2-3BE5-4BAE-BDDD-A286B354896C}" name="Importe (€)"/>
    <tableColumn id="9" xr3:uid="{970B9CFA-1959-446A-B506-66200FC33FEE}" name="Región"/>
    <tableColumn id="10" xr3:uid="{D228211F-DD9E-4B30-B87B-B86FADD3F6CF}" name="Vendedor"/>
    <tableColumn id="11" xr3:uid="{6828EE71-ED77-47E1-9120-A6A6CCA13E06}" name="Canal"/>
    <tableColumn id="12" xr3:uid="{71347FDA-6398-4743-B6C0-F4EF7130E0CB}" name="Costo Material (€)"/>
    <tableColumn id="13" xr3:uid="{B894A507-60C4-4C76-B44E-1599EB85F545}" name="Margen (%)"/>
    <tableColumn id="14" xr3:uid="{C98F4323-2B7A-4150-A387-6BAAD050AA4C}" name="Año"/>
    <tableColumn id="15" xr3:uid="{348C9138-FBE3-4073-9717-937E75522775}" name="Mes"/>
    <tableColumn id="16" xr3:uid="{5EDB5A03-DFDA-4249-B0CB-D46AF4105B88}" name="Beneficio (€)"/>
    <tableColumn id="17" xr3:uid="{8982D142-03EF-474C-8D48-72C7408DE5F8}" name="Rentabilidad"/>
    <tableColumn id="18" xr3:uid="{C4391CA2-CFFF-4D77-8484-C4958ECA8B98}" name="Porcentaje Coste/Beneficio"/>
    <tableColumn id="19" xr3:uid="{287FABBE-E9F2-431B-A6B7-3132B2CCE8BB}" name="Margen de Rentabil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0F1F76-4DE3-4FBC-94EF-8E9174A889AA}" name="Tabla4" displayName="Tabla4" ref="A1:S25" totalsRowShown="0">
  <autoFilter ref="A1:S25" xr:uid="{FF0F1F76-4DE3-4FBC-94EF-8E9174A889AA}"/>
  <tableColumns count="19">
    <tableColumn id="1" xr3:uid="{8BEB26AD-51FA-443B-9710-BBA31E357B39}" name="Fecha"/>
    <tableColumn id="2" xr3:uid="{B1C1EEB2-C5FF-4B69-B8D4-FAB3A49B9C53}" name="Cliente"/>
    <tableColumn id="3" xr3:uid="{072630FF-7106-4488-910C-38B827C52FD7}" name="ID_Cliente"/>
    <tableColumn id="4" xr3:uid="{575A10B3-7E5E-45C0-AF79-3ACCBE6177E9}" name="Producto"/>
    <tableColumn id="5" xr3:uid="{E6F25ABB-395A-4171-B9AA-DF12EF0163A1}" name="Tipo"/>
    <tableColumn id="6" xr3:uid="{7689042C-CFF3-4D7C-BA8F-68B1A029DCBF}" name="Cantidad (kg/m²)"/>
    <tableColumn id="7" xr3:uid="{039AE592-DCE9-4CE1-A997-B86073F12B7A}" name="Precio Unitario (€)"/>
    <tableColumn id="8" xr3:uid="{6AA9D80B-5C76-4763-BCD6-DAE21A7B7C25}" name="Importe (€)"/>
    <tableColumn id="9" xr3:uid="{D3B365A1-5506-43D3-9BA0-7B61E6880C9A}" name="Región"/>
    <tableColumn id="10" xr3:uid="{BF87FF13-5F4B-4D31-8804-95CCCBA0DBDE}" name="Vendedor"/>
    <tableColumn id="11" xr3:uid="{E07368BA-5A5A-47F1-BCDF-7A27FAECA38B}" name="Canal"/>
    <tableColumn id="12" xr3:uid="{72F67522-BD89-4120-8ACF-D7BD828C4051}" name="Costo Material (€)"/>
    <tableColumn id="13" xr3:uid="{256A0DB7-EC85-43E1-83F9-F9AC580B4615}" name="Margen (%)"/>
    <tableColumn id="14" xr3:uid="{7A23D3CD-E945-4D41-8241-2FD3072EE984}" name="Año"/>
    <tableColumn id="15" xr3:uid="{88010547-EDB9-46E5-974D-33ACE98ACD43}" name="Mes"/>
    <tableColumn id="16" xr3:uid="{5A013755-FB4A-4089-8E00-8AB9EC008222}" name="Beneficio (€)"/>
    <tableColumn id="17" xr3:uid="{8D23D994-250A-4A0F-B874-241ACD60B0EA}" name="Rentabilidad"/>
    <tableColumn id="18" xr3:uid="{449AECA4-020E-4DA5-A05D-0FF606876213}" name="Porcentaje Coste/Beneficio"/>
    <tableColumn id="19" xr3:uid="{B929D8EB-9551-4D28-B603-084C01BBC3A4}" name="Margen de Rentabil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0B9EFE-8D12-4B96-B11B-558508AFB275}" name="Tabla5" displayName="Tabla5" ref="A1:T5501" totalsRowShown="0">
  <autoFilter ref="A1:T5501" xr:uid="{A30B9EFE-8D12-4B96-B11B-558508AFB275}"/>
  <tableColumns count="20">
    <tableColumn id="1" xr3:uid="{2F8F1898-03B3-4FC6-A2D1-FAD6E27E694D}" name="Fecha"/>
    <tableColumn id="2" xr3:uid="{2BF97C7B-E5CB-43C5-830F-823F95272DB3}" name="Cliente"/>
    <tableColumn id="3" xr3:uid="{3687B42E-9D5E-4062-BEBF-7A0D72DA7884}" name="ID_Cliente"/>
    <tableColumn id="4" xr3:uid="{F791EFE3-134B-4FFC-A478-8B9C37C46ABA}" name="Producto"/>
    <tableColumn id="5" xr3:uid="{215828DD-A999-4E7D-90DD-C9B7B905E706}" name="Tipo"/>
    <tableColumn id="6" xr3:uid="{B857C6AC-7D51-4060-A1BB-F4A4817788C6}" name="Cantidad (kg/m²)"/>
    <tableColumn id="7" xr3:uid="{4608EA5F-DAC6-42A4-BB2D-5DA5DBC39858}" name="Precio Unitario (€)"/>
    <tableColumn id="8" xr3:uid="{CA9C8942-A4A0-45C1-83E3-59453DFB1B09}" name="Importe (€)"/>
    <tableColumn id="9" xr3:uid="{680100C9-438B-4D88-A707-5B9E0A3F23D1}" name="Región"/>
    <tableColumn id="10" xr3:uid="{FCFE5F78-DA66-444E-819A-E133207B8368}" name="Vendedor"/>
    <tableColumn id="11" xr3:uid="{B06CF7CF-85FE-4AC2-8A62-F390682B6F4C}" name="Canal"/>
    <tableColumn id="12" xr3:uid="{0DDA1C1F-6FCA-46BA-B153-8078F962F7FB}" name="Costo Material (€)"/>
    <tableColumn id="13" xr3:uid="{072AC33A-5B62-40A5-9132-93DF696AE2D5}" name="Margen (%)"/>
    <tableColumn id="14" xr3:uid="{8A949A3E-5157-4FE8-9F71-058D6BB9D3C6}" name="Año"/>
    <tableColumn id="15" xr3:uid="{92BECEF2-AEAD-4BD2-9328-299241C7545F}" name="Trimestre"/>
    <tableColumn id="16" xr3:uid="{48C3A51C-7270-4F1E-B352-42B6D716619A}" name="Mes"/>
    <tableColumn id="17" xr3:uid="{4495AC39-D1E9-4E65-88AA-FC13F8F7BBD1}" name="Beneficio (€)"/>
    <tableColumn id="18" xr3:uid="{313E86EC-C1A3-4887-B99D-87D9514F0882}" name="Rentabilidad"/>
    <tableColumn id="19" xr3:uid="{E3AE3116-9F66-43EA-9698-FDE2EABFE9B1}" name="Porcentaje Coste/Beneficio"/>
    <tableColumn id="20" xr3:uid="{AC8CFB51-97C2-4A51-BA63-9BA3B1CC1542}" name="Margen de Rentabil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8A85B1-D107-46EB-BD2D-AF674A8F74D1}" name="Tabla6" displayName="Tabla6" ref="A1:T5501" totalsRowShown="0">
  <autoFilter ref="A1:T5501" xr:uid="{218A85B1-D107-46EB-BD2D-AF674A8F74D1}"/>
  <tableColumns count="20">
    <tableColumn id="1" xr3:uid="{35156D4D-B8E8-4DDA-86B9-01750006F9DE}" name="Fecha"/>
    <tableColumn id="2" xr3:uid="{6E8D5E11-019E-4BD5-A9FF-AFF2A73BC918}" name="Cliente"/>
    <tableColumn id="3" xr3:uid="{A8A036A7-2409-45E1-B2D2-3F27D4CEB16D}" name="ID_Cliente"/>
    <tableColumn id="4" xr3:uid="{32F62EF9-458A-41CD-B90D-2D81D348F48B}" name="Producto"/>
    <tableColumn id="5" xr3:uid="{28F4055A-B51C-4374-855A-1EB681C3AB57}" name="Tipo"/>
    <tableColumn id="6" xr3:uid="{185D1FA3-ABD8-4A94-8A5B-81FBDF2B4FDD}" name="Cantidad (kg/m²)"/>
    <tableColumn id="7" xr3:uid="{76BC5FAA-3E9F-42BC-A63E-EF2FB1A9CAC6}" name="Precio Unitario (€)"/>
    <tableColumn id="8" xr3:uid="{A65C1EEC-4D49-483F-9411-0D933C746F5D}" name="Importe (€)"/>
    <tableColumn id="9" xr3:uid="{E7BE75E7-D7B0-4013-A3FB-2306729EA71B}" name="Región"/>
    <tableColumn id="10" xr3:uid="{94BDD3A7-EEB1-488A-B165-062B0A68828D}" name="Vendedor"/>
    <tableColumn id="11" xr3:uid="{A0838537-0794-42A8-8DCE-941A6DA09EA5}" name="Canal"/>
    <tableColumn id="12" xr3:uid="{1EC1D6DE-88A4-4244-9E1D-D995FF0159EF}" name="Costo Material (€)"/>
    <tableColumn id="13" xr3:uid="{6B258EF3-8780-4825-94E6-98FA654B484F}" name="Margen (%)"/>
    <tableColumn id="14" xr3:uid="{3303EF18-0DD0-40D2-A1EA-BCD58AF4EDF0}" name="Año"/>
    <tableColumn id="15" xr3:uid="{D8A17966-E0C1-4B92-A54B-CF041020CBD7}" name="Trimestre"/>
    <tableColumn id="16" xr3:uid="{717D7CE0-A3A4-4B78-9BF5-D7AD2877D26B}" name="Mes"/>
    <tableColumn id="17" xr3:uid="{748EBA26-9F9E-4D1A-B45A-80501C1E9F21}" name="Beneficio (€)"/>
    <tableColumn id="18" xr3:uid="{0B73073A-0C0E-449B-BC86-2934A7E7B427}" name="Rentabilidad"/>
    <tableColumn id="19" xr3:uid="{A985BB4E-0F7B-45EE-8159-20EB21674A1F}" name="Porcentaje Coste/Beneficio"/>
    <tableColumn id="20" xr3:uid="{5429C55C-32BB-4EE2-9A58-49862D58F684}" name="Margen de Renta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C257-5564-449E-88E6-3913A050267F}">
  <dimension ref="A1:T1044069"/>
  <sheetViews>
    <sheetView topLeftCell="A2" workbookViewId="0">
      <selection activeCell="A18" sqref="A18"/>
    </sheetView>
  </sheetViews>
  <sheetFormatPr baseColWidth="10" defaultRowHeight="15" x14ac:dyDescent="0.25"/>
  <cols>
    <col min="1" max="1" width="10.42578125" style="10" bestFit="1" customWidth="1"/>
    <col min="2" max="2" width="29.42578125" customWidth="1"/>
    <col min="3" max="3" width="17.140625" customWidth="1"/>
    <col min="4" max="4" width="24.28515625" bestFit="1" customWidth="1"/>
    <col min="5" max="5" width="9.7109375" bestFit="1" customWidth="1"/>
    <col min="6" max="6" width="21.42578125" customWidth="1"/>
    <col min="7" max="7" width="22.5703125" customWidth="1"/>
    <col min="8" max="8" width="16.7109375" customWidth="1"/>
    <col min="9" max="9" width="14.85546875" customWidth="1"/>
    <col min="10" max="10" width="13" bestFit="1" customWidth="1"/>
    <col min="11" max="11" width="13.42578125" bestFit="1" customWidth="1"/>
    <col min="12" max="12" width="23.5703125" customWidth="1"/>
    <col min="13" max="13" width="13.28515625" bestFit="1" customWidth="1"/>
    <col min="14" max="14" width="9.140625" customWidth="1"/>
    <col min="15" max="15" width="15.7109375" customWidth="1"/>
    <col min="16" max="16" width="10.28515625" bestFit="1" customWidth="1"/>
    <col min="17" max="17" width="18.85546875" customWidth="1"/>
    <col min="18" max="18" width="18.85546875" style="2" customWidth="1"/>
    <col min="19" max="19" width="34.140625" style="7" customWidth="1"/>
    <col min="20" max="20" width="27.85546875" style="2" customWidth="1"/>
  </cols>
  <sheetData>
    <row r="1" spans="1:20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80</v>
      </c>
      <c r="P1" s="14" t="s">
        <v>14</v>
      </c>
      <c r="Q1" s="15" t="s">
        <v>15</v>
      </c>
      <c r="R1" s="15" t="s">
        <v>16</v>
      </c>
      <c r="S1" s="16" t="s">
        <v>71</v>
      </c>
      <c r="T1" s="15" t="s">
        <v>72</v>
      </c>
    </row>
    <row r="2" spans="1:20" x14ac:dyDescent="0.25">
      <c r="A2" s="12">
        <v>45373</v>
      </c>
      <c r="B2" s="1" t="s">
        <v>17</v>
      </c>
      <c r="C2" s="1" t="s">
        <v>18</v>
      </c>
      <c r="D2" s="1" t="s">
        <v>53</v>
      </c>
      <c r="E2" s="1" t="s">
        <v>50</v>
      </c>
      <c r="F2">
        <v>973</v>
      </c>
      <c r="G2">
        <v>11.3</v>
      </c>
      <c r="H2">
        <v>10994.9</v>
      </c>
      <c r="I2" s="1" t="s">
        <v>26</v>
      </c>
      <c r="J2" s="1" t="s">
        <v>47</v>
      </c>
      <c r="K2" s="1" t="s">
        <v>28</v>
      </c>
      <c r="L2">
        <v>6812.56</v>
      </c>
      <c r="M2">
        <v>38</v>
      </c>
      <c r="N2">
        <v>2024</v>
      </c>
      <c r="O2">
        <f t="shared" ref="O2:O65" si="0">ROUNDUP(MONTH(A2)/3,0)</f>
        <v>1</v>
      </c>
      <c r="P2" s="13" t="s">
        <v>61</v>
      </c>
      <c r="Q2">
        <v>4182.34</v>
      </c>
      <c r="R2" s="3" t="s">
        <v>25</v>
      </c>
      <c r="S2" s="7">
        <f>Ventas[[#This Row],[Costo Material (€)]]/Ventas[[#This Row],[Beneficio (€)]]</f>
        <v>1.6288871779912681</v>
      </c>
      <c r="T2" s="3" t="str">
        <f>IF(Ventas[[#This Row],[Margen (%)]]&gt;20%,"Beneficio","Perdidas")</f>
        <v>Beneficio</v>
      </c>
    </row>
    <row r="3" spans="1:20" x14ac:dyDescent="0.25">
      <c r="A3" s="12">
        <v>44980</v>
      </c>
      <c r="B3" s="1" t="s">
        <v>51</v>
      </c>
      <c r="C3" s="1" t="s">
        <v>52</v>
      </c>
      <c r="D3" s="1" t="s">
        <v>49</v>
      </c>
      <c r="E3" s="1" t="s">
        <v>50</v>
      </c>
      <c r="F3">
        <v>985</v>
      </c>
      <c r="G3">
        <v>10.94</v>
      </c>
      <c r="H3">
        <v>10775.9</v>
      </c>
      <c r="I3" s="1" t="s">
        <v>54</v>
      </c>
      <c r="J3" s="1" t="s">
        <v>34</v>
      </c>
      <c r="K3" s="1" t="s">
        <v>28</v>
      </c>
      <c r="L3">
        <v>6892.01</v>
      </c>
      <c r="M3">
        <v>36</v>
      </c>
      <c r="N3">
        <v>2023</v>
      </c>
      <c r="O3">
        <f t="shared" si="0"/>
        <v>1</v>
      </c>
      <c r="P3" s="13" t="s">
        <v>60</v>
      </c>
      <c r="Q3">
        <v>3883.89</v>
      </c>
      <c r="R3" s="3" t="s">
        <v>25</v>
      </c>
      <c r="S3" s="7">
        <f>Ventas[[#This Row],[Costo Material (€)]]/Ventas[[#This Row],[Beneficio (€)]]</f>
        <v>1.7745121514769986</v>
      </c>
      <c r="T3" s="3" t="str">
        <f>IF(Ventas[[#This Row],[Margen (%)]]&gt;20%,"Beneficio","Perdidas")</f>
        <v>Beneficio</v>
      </c>
    </row>
    <row r="4" spans="1:20" x14ac:dyDescent="0.25">
      <c r="A4" s="12">
        <v>45466</v>
      </c>
      <c r="B4" s="1" t="s">
        <v>58</v>
      </c>
      <c r="C4" s="1" t="s">
        <v>59</v>
      </c>
      <c r="D4" s="1" t="s">
        <v>53</v>
      </c>
      <c r="E4" s="1" t="s">
        <v>50</v>
      </c>
      <c r="F4">
        <v>888</v>
      </c>
      <c r="G4">
        <v>11.35</v>
      </c>
      <c r="H4">
        <v>10078.799999999999</v>
      </c>
      <c r="I4" s="1" t="s">
        <v>57</v>
      </c>
      <c r="J4" s="1" t="s">
        <v>27</v>
      </c>
      <c r="K4" s="1" t="s">
        <v>23</v>
      </c>
      <c r="L4">
        <v>6275.67</v>
      </c>
      <c r="M4">
        <v>37.700000000000003</v>
      </c>
      <c r="N4">
        <v>2024</v>
      </c>
      <c r="O4">
        <f t="shared" si="0"/>
        <v>2</v>
      </c>
      <c r="P4" s="13" t="s">
        <v>64</v>
      </c>
      <c r="Q4">
        <v>3803.13</v>
      </c>
      <c r="R4" s="3" t="s">
        <v>25</v>
      </c>
      <c r="S4" s="7">
        <f>Ventas[[#This Row],[Costo Material (€)]]/Ventas[[#This Row],[Beneficio (€)]]</f>
        <v>1.6501329168342918</v>
      </c>
      <c r="T4" s="3" t="str">
        <f>IF(Ventas[[#This Row],[Margen (%)]]&gt;20%,"Beneficio","Perdidas")</f>
        <v>Beneficio</v>
      </c>
    </row>
    <row r="5" spans="1:20" x14ac:dyDescent="0.25">
      <c r="A5" s="12">
        <v>45048</v>
      </c>
      <c r="B5" s="1" t="s">
        <v>51</v>
      </c>
      <c r="C5" s="1" t="s">
        <v>52</v>
      </c>
      <c r="D5" s="1" t="s">
        <v>19</v>
      </c>
      <c r="E5" s="1" t="s">
        <v>20</v>
      </c>
      <c r="F5">
        <v>994</v>
      </c>
      <c r="G5">
        <v>11.81</v>
      </c>
      <c r="H5">
        <v>11739.14</v>
      </c>
      <c r="I5" s="1" t="s">
        <v>46</v>
      </c>
      <c r="J5" s="1" t="s">
        <v>47</v>
      </c>
      <c r="K5" s="1" t="s">
        <v>23</v>
      </c>
      <c r="L5">
        <v>8186.17</v>
      </c>
      <c r="M5">
        <v>30.3</v>
      </c>
      <c r="N5">
        <v>2023</v>
      </c>
      <c r="O5">
        <f t="shared" si="0"/>
        <v>2</v>
      </c>
      <c r="P5" s="13" t="s">
        <v>63</v>
      </c>
      <c r="Q5">
        <v>3552.97</v>
      </c>
      <c r="R5" s="3" t="s">
        <v>25</v>
      </c>
      <c r="S5" s="7">
        <f>Ventas[[#This Row],[Costo Material (€)]]/Ventas[[#This Row],[Beneficio (€)]]</f>
        <v>2.304035778517691</v>
      </c>
      <c r="T5" s="3" t="str">
        <f>IF(Ventas[[#This Row],[Margen (%)]]&gt;20%,"Beneficio","Perdidas")</f>
        <v>Beneficio</v>
      </c>
    </row>
    <row r="6" spans="1:20" x14ac:dyDescent="0.25">
      <c r="A6" s="12">
        <v>45236</v>
      </c>
      <c r="B6" s="1" t="s">
        <v>30</v>
      </c>
      <c r="C6" s="1" t="s">
        <v>31</v>
      </c>
      <c r="D6" s="1" t="s">
        <v>53</v>
      </c>
      <c r="E6" s="1" t="s">
        <v>50</v>
      </c>
      <c r="F6">
        <v>861</v>
      </c>
      <c r="G6">
        <v>11.09</v>
      </c>
      <c r="H6">
        <v>9548.49</v>
      </c>
      <c r="I6" s="1" t="s">
        <v>33</v>
      </c>
      <c r="J6" s="1" t="s">
        <v>40</v>
      </c>
      <c r="K6" s="1" t="s">
        <v>23</v>
      </c>
      <c r="L6">
        <v>6043.37</v>
      </c>
      <c r="M6">
        <v>36.700000000000003</v>
      </c>
      <c r="N6">
        <v>2023</v>
      </c>
      <c r="O6">
        <f t="shared" si="0"/>
        <v>4</v>
      </c>
      <c r="P6" s="13" t="s">
        <v>69</v>
      </c>
      <c r="Q6">
        <v>3505.12</v>
      </c>
      <c r="R6" s="3" t="s">
        <v>25</v>
      </c>
      <c r="S6" s="7">
        <f>Ventas[[#This Row],[Costo Material (€)]]/Ventas[[#This Row],[Beneficio (€)]]</f>
        <v>1.7241549504724518</v>
      </c>
      <c r="T6" s="3" t="str">
        <f>IF(Ventas[[#This Row],[Margen (%)]]&gt;20%,"Beneficio","Perdidas")</f>
        <v>Beneficio</v>
      </c>
    </row>
    <row r="7" spans="1:20" x14ac:dyDescent="0.25">
      <c r="A7" s="12">
        <v>45369</v>
      </c>
      <c r="B7" s="1" t="s">
        <v>58</v>
      </c>
      <c r="C7" s="1" t="s">
        <v>59</v>
      </c>
      <c r="D7" s="1" t="s">
        <v>53</v>
      </c>
      <c r="E7" s="1" t="s">
        <v>50</v>
      </c>
      <c r="F7">
        <v>988</v>
      </c>
      <c r="G7">
        <v>11.95</v>
      </c>
      <c r="H7">
        <v>11806.6</v>
      </c>
      <c r="I7" s="1" t="s">
        <v>26</v>
      </c>
      <c r="J7" s="1" t="s">
        <v>47</v>
      </c>
      <c r="K7" s="1" t="s">
        <v>23</v>
      </c>
      <c r="L7">
        <v>8378.17</v>
      </c>
      <c r="M7">
        <v>29</v>
      </c>
      <c r="N7">
        <v>2024</v>
      </c>
      <c r="O7">
        <f t="shared" si="0"/>
        <v>1</v>
      </c>
      <c r="P7" s="13" t="s">
        <v>61</v>
      </c>
      <c r="Q7">
        <v>3428.43</v>
      </c>
      <c r="R7" s="3" t="s">
        <v>25</v>
      </c>
      <c r="S7" s="7">
        <f>Ventas[[#This Row],[Costo Material (€)]]/Ventas[[#This Row],[Beneficio (€)]]</f>
        <v>2.443733720682645</v>
      </c>
      <c r="T7" s="3" t="str">
        <f>IF(Ventas[[#This Row],[Margen (%)]]&gt;20%,"Beneficio","Perdidas")</f>
        <v>Beneficio</v>
      </c>
    </row>
    <row r="8" spans="1:20" x14ac:dyDescent="0.25">
      <c r="A8" s="12">
        <v>44987</v>
      </c>
      <c r="B8" s="1" t="s">
        <v>58</v>
      </c>
      <c r="C8" s="1" t="s">
        <v>59</v>
      </c>
      <c r="D8" s="1" t="s">
        <v>32</v>
      </c>
      <c r="E8" s="1" t="s">
        <v>20</v>
      </c>
      <c r="F8">
        <v>949</v>
      </c>
      <c r="G8">
        <v>9.84</v>
      </c>
      <c r="H8">
        <v>9338.16</v>
      </c>
      <c r="I8" s="1" t="s">
        <v>21</v>
      </c>
      <c r="J8" s="1" t="s">
        <v>47</v>
      </c>
      <c r="K8" s="1" t="s">
        <v>28</v>
      </c>
      <c r="L8">
        <v>5930.01</v>
      </c>
      <c r="M8">
        <v>36.5</v>
      </c>
      <c r="N8">
        <v>2023</v>
      </c>
      <c r="O8">
        <f t="shared" si="0"/>
        <v>1</v>
      </c>
      <c r="P8" s="13" t="s">
        <v>61</v>
      </c>
      <c r="Q8">
        <v>3408.15</v>
      </c>
      <c r="R8" s="3" t="s">
        <v>25</v>
      </c>
      <c r="S8" s="7">
        <f>Ventas[[#This Row],[Costo Material (€)]]/Ventas[[#This Row],[Beneficio (€)]]</f>
        <v>1.7399498261520179</v>
      </c>
      <c r="T8" s="3" t="str">
        <f>IF(Ventas[[#This Row],[Margen (%)]]&gt;20%,"Beneficio","Perdidas")</f>
        <v>Beneficio</v>
      </c>
    </row>
    <row r="9" spans="1:20" x14ac:dyDescent="0.25">
      <c r="A9" s="12">
        <v>45125</v>
      </c>
      <c r="B9" s="1" t="s">
        <v>35</v>
      </c>
      <c r="C9" s="1" t="s">
        <v>36</v>
      </c>
      <c r="D9" s="1" t="s">
        <v>49</v>
      </c>
      <c r="E9" s="1" t="s">
        <v>50</v>
      </c>
      <c r="F9">
        <v>839</v>
      </c>
      <c r="G9">
        <v>10.8</v>
      </c>
      <c r="H9">
        <v>9061.2000000000007</v>
      </c>
      <c r="I9" s="1" t="s">
        <v>46</v>
      </c>
      <c r="J9" s="1" t="s">
        <v>34</v>
      </c>
      <c r="K9" s="1" t="s">
        <v>28</v>
      </c>
      <c r="L9">
        <v>5719.77</v>
      </c>
      <c r="M9">
        <v>36.9</v>
      </c>
      <c r="N9">
        <v>2023</v>
      </c>
      <c r="O9">
        <f t="shared" si="0"/>
        <v>3</v>
      </c>
      <c r="P9" s="13" t="s">
        <v>65</v>
      </c>
      <c r="Q9">
        <v>3341.43</v>
      </c>
      <c r="R9" s="3" t="s">
        <v>25</v>
      </c>
      <c r="S9" s="7">
        <f>Ventas[[#This Row],[Costo Material (€)]]/Ventas[[#This Row],[Beneficio (€)]]</f>
        <v>1.7117731031324914</v>
      </c>
      <c r="T9" s="3" t="str">
        <f>IF(Ventas[[#This Row],[Margen (%)]]&gt;20%,"Beneficio","Perdidas")</f>
        <v>Beneficio</v>
      </c>
    </row>
    <row r="10" spans="1:20" x14ac:dyDescent="0.25">
      <c r="A10" s="12">
        <v>44948</v>
      </c>
      <c r="B10" s="1" t="s">
        <v>51</v>
      </c>
      <c r="C10" s="1" t="s">
        <v>52</v>
      </c>
      <c r="D10" s="1" t="s">
        <v>44</v>
      </c>
      <c r="E10" s="1" t="s">
        <v>38</v>
      </c>
      <c r="F10">
        <v>891</v>
      </c>
      <c r="G10">
        <v>11.41</v>
      </c>
      <c r="H10">
        <v>10166.31</v>
      </c>
      <c r="I10" s="1" t="s">
        <v>33</v>
      </c>
      <c r="J10" s="1" t="s">
        <v>22</v>
      </c>
      <c r="K10" s="1" t="s">
        <v>23</v>
      </c>
      <c r="L10">
        <v>6836.52</v>
      </c>
      <c r="M10">
        <v>32.799999999999997</v>
      </c>
      <c r="N10">
        <v>2023</v>
      </c>
      <c r="O10">
        <f t="shared" si="0"/>
        <v>1</v>
      </c>
      <c r="P10" s="13" t="s">
        <v>24</v>
      </c>
      <c r="Q10">
        <v>3329.79</v>
      </c>
      <c r="R10" s="3" t="s">
        <v>25</v>
      </c>
      <c r="S10" s="7">
        <f>Ventas[[#This Row],[Costo Material (€)]]/Ventas[[#This Row],[Beneficio (€)]]</f>
        <v>2.0531384862108424</v>
      </c>
      <c r="T10" s="3" t="str">
        <f>IF(Ventas[[#This Row],[Margen (%)]]&gt;20%,"Beneficio","Perdidas")</f>
        <v>Beneficio</v>
      </c>
    </row>
    <row r="11" spans="1:20" x14ac:dyDescent="0.25">
      <c r="A11" s="12">
        <v>44945</v>
      </c>
      <c r="B11" s="1" t="s">
        <v>35</v>
      </c>
      <c r="C11" s="1" t="s">
        <v>36</v>
      </c>
      <c r="D11" s="1" t="s">
        <v>37</v>
      </c>
      <c r="E11" s="1" t="s">
        <v>38</v>
      </c>
      <c r="F11">
        <v>803</v>
      </c>
      <c r="G11">
        <v>11.37</v>
      </c>
      <c r="H11">
        <v>9130.11</v>
      </c>
      <c r="I11" s="1" t="s">
        <v>54</v>
      </c>
      <c r="J11" s="1" t="s">
        <v>47</v>
      </c>
      <c r="K11" s="1" t="s">
        <v>23</v>
      </c>
      <c r="L11">
        <v>5825.84</v>
      </c>
      <c r="M11">
        <v>36.200000000000003</v>
      </c>
      <c r="N11">
        <v>2023</v>
      </c>
      <c r="O11">
        <f t="shared" si="0"/>
        <v>1</v>
      </c>
      <c r="P11" s="13" t="s">
        <v>24</v>
      </c>
      <c r="Q11">
        <v>3304.27</v>
      </c>
      <c r="R11" s="3" t="s">
        <v>25</v>
      </c>
      <c r="S11" s="7">
        <f>Ventas[[#This Row],[Costo Material (€)]]/Ventas[[#This Row],[Beneficio (€)]]</f>
        <v>1.7631246841208497</v>
      </c>
      <c r="T11" s="3" t="str">
        <f>IF(Ventas[[#This Row],[Margen (%)]]&gt;20%,"Beneficio","Perdidas")</f>
        <v>Beneficio</v>
      </c>
    </row>
    <row r="12" spans="1:20" x14ac:dyDescent="0.25">
      <c r="A12" s="12">
        <v>44947</v>
      </c>
      <c r="B12" s="1" t="s">
        <v>30</v>
      </c>
      <c r="C12" s="1" t="s">
        <v>31</v>
      </c>
      <c r="D12" s="1" t="s">
        <v>45</v>
      </c>
      <c r="E12" s="1" t="s">
        <v>20</v>
      </c>
      <c r="F12">
        <v>954</v>
      </c>
      <c r="G12">
        <v>10.55</v>
      </c>
      <c r="H12">
        <v>10064.700000000001</v>
      </c>
      <c r="I12" s="1" t="s">
        <v>57</v>
      </c>
      <c r="J12" s="1" t="s">
        <v>34</v>
      </c>
      <c r="K12" s="1" t="s">
        <v>23</v>
      </c>
      <c r="L12">
        <v>6815.41</v>
      </c>
      <c r="M12">
        <v>32.299999999999997</v>
      </c>
      <c r="N12">
        <v>2023</v>
      </c>
      <c r="O12">
        <f t="shared" si="0"/>
        <v>1</v>
      </c>
      <c r="P12" s="13" t="s">
        <v>24</v>
      </c>
      <c r="Q12">
        <v>3249.29</v>
      </c>
      <c r="R12" s="3" t="s">
        <v>25</v>
      </c>
      <c r="S12" s="7">
        <f>Ventas[[#This Row],[Costo Material (€)]]/Ventas[[#This Row],[Beneficio (€)]]</f>
        <v>2.0975074554748883</v>
      </c>
      <c r="T12" s="3" t="str">
        <f>IF(Ventas[[#This Row],[Margen (%)]]&gt;20%,"Beneficio","Perdidas")</f>
        <v>Beneficio</v>
      </c>
    </row>
    <row r="13" spans="1:20" x14ac:dyDescent="0.25">
      <c r="A13" s="12">
        <v>45052</v>
      </c>
      <c r="B13" s="1" t="s">
        <v>35</v>
      </c>
      <c r="C13" s="1" t="s">
        <v>36</v>
      </c>
      <c r="D13" s="1" t="s">
        <v>45</v>
      </c>
      <c r="E13" s="1" t="s">
        <v>20</v>
      </c>
      <c r="F13">
        <v>838</v>
      </c>
      <c r="G13">
        <v>10.74</v>
      </c>
      <c r="H13">
        <v>9000.1200000000008</v>
      </c>
      <c r="I13" s="1" t="s">
        <v>46</v>
      </c>
      <c r="J13" s="1" t="s">
        <v>22</v>
      </c>
      <c r="K13" s="1" t="s">
        <v>23</v>
      </c>
      <c r="L13">
        <v>5768.15</v>
      </c>
      <c r="M13">
        <v>35.9</v>
      </c>
      <c r="N13">
        <v>2023</v>
      </c>
      <c r="O13">
        <f t="shared" si="0"/>
        <v>2</v>
      </c>
      <c r="P13" s="13" t="s">
        <v>63</v>
      </c>
      <c r="Q13">
        <v>3231.97</v>
      </c>
      <c r="R13" s="3" t="s">
        <v>25</v>
      </c>
      <c r="S13" s="7">
        <f>Ventas[[#This Row],[Costo Material (€)]]/Ventas[[#This Row],[Beneficio (€)]]</f>
        <v>1.7847164422937094</v>
      </c>
      <c r="T13" s="3" t="str">
        <f>IF(Ventas[[#This Row],[Margen (%)]]&gt;20%,"Beneficio","Perdidas")</f>
        <v>Beneficio</v>
      </c>
    </row>
    <row r="14" spans="1:20" x14ac:dyDescent="0.25">
      <c r="A14" s="12">
        <v>44983</v>
      </c>
      <c r="B14" s="1" t="s">
        <v>42</v>
      </c>
      <c r="C14" s="1" t="s">
        <v>43</v>
      </c>
      <c r="D14" s="1" t="s">
        <v>19</v>
      </c>
      <c r="E14" s="1" t="s">
        <v>20</v>
      </c>
      <c r="F14">
        <v>704</v>
      </c>
      <c r="G14">
        <v>11.83</v>
      </c>
      <c r="H14">
        <v>8328.32</v>
      </c>
      <c r="I14" s="1" t="s">
        <v>54</v>
      </c>
      <c r="J14" s="1" t="s">
        <v>34</v>
      </c>
      <c r="K14" s="1" t="s">
        <v>23</v>
      </c>
      <c r="L14">
        <v>5192.47</v>
      </c>
      <c r="M14">
        <v>37.700000000000003</v>
      </c>
      <c r="N14">
        <v>2023</v>
      </c>
      <c r="O14">
        <f t="shared" si="0"/>
        <v>1</v>
      </c>
      <c r="P14" s="13" t="s">
        <v>60</v>
      </c>
      <c r="Q14">
        <v>3135.85</v>
      </c>
      <c r="R14" s="3" t="s">
        <v>25</v>
      </c>
      <c r="S14" s="7">
        <f>Ventas[[#This Row],[Costo Material (€)]]/Ventas[[#This Row],[Beneficio (€)]]</f>
        <v>1.6558413189406382</v>
      </c>
      <c r="T14" s="3" t="str">
        <f>IF(Ventas[[#This Row],[Margen (%)]]&gt;20%,"Beneficio","Perdidas")</f>
        <v>Beneficio</v>
      </c>
    </row>
    <row r="15" spans="1:20" x14ac:dyDescent="0.25">
      <c r="A15" s="12">
        <v>45153</v>
      </c>
      <c r="B15" s="1" t="s">
        <v>17</v>
      </c>
      <c r="C15" s="1" t="s">
        <v>18</v>
      </c>
      <c r="D15" s="1" t="s">
        <v>19</v>
      </c>
      <c r="E15" s="1" t="s">
        <v>20</v>
      </c>
      <c r="F15">
        <v>887</v>
      </c>
      <c r="G15">
        <v>10.96</v>
      </c>
      <c r="H15">
        <v>9721.52</v>
      </c>
      <c r="I15" s="1" t="s">
        <v>55</v>
      </c>
      <c r="J15" s="1" t="s">
        <v>34</v>
      </c>
      <c r="K15" s="1" t="s">
        <v>23</v>
      </c>
      <c r="L15">
        <v>6588.28</v>
      </c>
      <c r="M15">
        <v>32.200000000000003</v>
      </c>
      <c r="N15">
        <v>2023</v>
      </c>
      <c r="O15">
        <f t="shared" si="0"/>
        <v>3</v>
      </c>
      <c r="P15" s="13" t="s">
        <v>66</v>
      </c>
      <c r="Q15">
        <v>3133.24</v>
      </c>
      <c r="R15" s="3" t="s">
        <v>25</v>
      </c>
      <c r="S15" s="7">
        <f>Ventas[[#This Row],[Costo Material (€)]]/Ventas[[#This Row],[Beneficio (€)]]</f>
        <v>2.102705186963016</v>
      </c>
      <c r="T15" s="3" t="str">
        <f>IF(Ventas[[#This Row],[Margen (%)]]&gt;20%,"Beneficio","Perdidas")</f>
        <v>Beneficio</v>
      </c>
    </row>
    <row r="16" spans="1:20" x14ac:dyDescent="0.25">
      <c r="A16" s="12">
        <v>45464</v>
      </c>
      <c r="B16" s="1" t="s">
        <v>58</v>
      </c>
      <c r="C16" s="1" t="s">
        <v>59</v>
      </c>
      <c r="D16" s="1" t="s">
        <v>44</v>
      </c>
      <c r="E16" s="1" t="s">
        <v>38</v>
      </c>
      <c r="F16">
        <v>717</v>
      </c>
      <c r="G16">
        <v>11.84</v>
      </c>
      <c r="H16">
        <v>8489.2800000000007</v>
      </c>
      <c r="I16" s="1" t="s">
        <v>21</v>
      </c>
      <c r="J16" s="1" t="s">
        <v>27</v>
      </c>
      <c r="K16" s="1" t="s">
        <v>23</v>
      </c>
      <c r="L16">
        <v>5430.55</v>
      </c>
      <c r="M16">
        <v>36</v>
      </c>
      <c r="N16">
        <v>2024</v>
      </c>
      <c r="O16">
        <f t="shared" si="0"/>
        <v>2</v>
      </c>
      <c r="P16" s="13" t="s">
        <v>64</v>
      </c>
      <c r="Q16">
        <v>3058.73</v>
      </c>
      <c r="R16" s="3" t="s">
        <v>25</v>
      </c>
      <c r="S16" s="7">
        <f>Ventas[[#This Row],[Costo Material (€)]]/Ventas[[#This Row],[Beneficio (€)]]</f>
        <v>1.7754264024611521</v>
      </c>
      <c r="T16" s="3" t="str">
        <f>IF(Ventas[[#This Row],[Margen (%)]]&gt;20%,"Beneficio","Perdidas")</f>
        <v>Beneficio</v>
      </c>
    </row>
    <row r="17" spans="1:20" x14ac:dyDescent="0.25">
      <c r="A17" s="12">
        <v>45325</v>
      </c>
      <c r="B17" s="1" t="s">
        <v>58</v>
      </c>
      <c r="C17" s="1" t="s">
        <v>59</v>
      </c>
      <c r="D17" s="1" t="s">
        <v>32</v>
      </c>
      <c r="E17" s="1" t="s">
        <v>20</v>
      </c>
      <c r="F17">
        <v>995</v>
      </c>
      <c r="G17">
        <v>9.18</v>
      </c>
      <c r="H17">
        <v>9134.1</v>
      </c>
      <c r="I17" s="1" t="s">
        <v>57</v>
      </c>
      <c r="J17" s="1" t="s">
        <v>22</v>
      </c>
      <c r="K17" s="1" t="s">
        <v>28</v>
      </c>
      <c r="L17">
        <v>6080.67</v>
      </c>
      <c r="M17">
        <v>33.4</v>
      </c>
      <c r="N17">
        <v>2024</v>
      </c>
      <c r="O17">
        <f t="shared" si="0"/>
        <v>1</v>
      </c>
      <c r="P17" s="13" t="s">
        <v>60</v>
      </c>
      <c r="Q17">
        <v>3053.43</v>
      </c>
      <c r="R17" s="3" t="s">
        <v>25</v>
      </c>
      <c r="S17" s="7">
        <f>Ventas[[#This Row],[Costo Material (€)]]/Ventas[[#This Row],[Beneficio (€)]]</f>
        <v>1.9914227606331243</v>
      </c>
      <c r="T17" s="3" t="str">
        <f>IF(Ventas[[#This Row],[Margen (%)]]&gt;20%,"Beneficio","Perdidas")</f>
        <v>Beneficio</v>
      </c>
    </row>
    <row r="18" spans="1:20" x14ac:dyDescent="0.25">
      <c r="A18" s="12">
        <v>45014</v>
      </c>
      <c r="B18" s="1" t="s">
        <v>42</v>
      </c>
      <c r="C18" s="1" t="s">
        <v>43</v>
      </c>
      <c r="D18" s="1" t="s">
        <v>48</v>
      </c>
      <c r="E18" s="1" t="s">
        <v>38</v>
      </c>
      <c r="F18">
        <v>915</v>
      </c>
      <c r="G18">
        <v>10.16</v>
      </c>
      <c r="H18">
        <v>9296.4</v>
      </c>
      <c r="I18" s="1" t="s">
        <v>55</v>
      </c>
      <c r="J18" s="1" t="s">
        <v>22</v>
      </c>
      <c r="K18" s="1" t="s">
        <v>28</v>
      </c>
      <c r="L18">
        <v>6283.31</v>
      </c>
      <c r="M18">
        <v>32.4</v>
      </c>
      <c r="N18">
        <v>2023</v>
      </c>
      <c r="O18">
        <f t="shared" si="0"/>
        <v>1</v>
      </c>
      <c r="P18" s="13" t="s">
        <v>61</v>
      </c>
      <c r="Q18">
        <v>3013.09</v>
      </c>
      <c r="R18" s="3" t="s">
        <v>25</v>
      </c>
      <c r="S18" s="7">
        <f>Ventas[[#This Row],[Costo Material (€)]]/Ventas[[#This Row],[Beneficio (€)]]</f>
        <v>2.0853376434158952</v>
      </c>
      <c r="T18" s="3" t="str">
        <f>IF(Ventas[[#This Row],[Margen (%)]]&gt;20%,"Beneficio","Perdidas")</f>
        <v>Beneficio</v>
      </c>
    </row>
    <row r="19" spans="1:20" x14ac:dyDescent="0.25">
      <c r="A19" s="12">
        <v>44943</v>
      </c>
      <c r="B19" s="1" t="s">
        <v>35</v>
      </c>
      <c r="C19" s="1" t="s">
        <v>36</v>
      </c>
      <c r="D19" s="1" t="s">
        <v>32</v>
      </c>
      <c r="E19" s="1" t="s">
        <v>20</v>
      </c>
      <c r="F19">
        <v>789</v>
      </c>
      <c r="G19">
        <v>10.79</v>
      </c>
      <c r="H19">
        <v>8513.31</v>
      </c>
      <c r="I19" s="1" t="s">
        <v>46</v>
      </c>
      <c r="J19" s="1" t="s">
        <v>34</v>
      </c>
      <c r="K19" s="1" t="s">
        <v>23</v>
      </c>
      <c r="L19">
        <v>5522.1</v>
      </c>
      <c r="M19">
        <v>35.1</v>
      </c>
      <c r="N19">
        <v>2023</v>
      </c>
      <c r="O19">
        <f t="shared" si="0"/>
        <v>1</v>
      </c>
      <c r="P19" s="13" t="s">
        <v>24</v>
      </c>
      <c r="Q19">
        <v>2991.21</v>
      </c>
      <c r="R19" s="3" t="s">
        <v>25</v>
      </c>
      <c r="S19" s="7">
        <f>Ventas[[#This Row],[Costo Material (€)]]/Ventas[[#This Row],[Beneficio (€)]]</f>
        <v>1.8461090996620098</v>
      </c>
      <c r="T19" s="3" t="str">
        <f>IF(Ventas[[#This Row],[Margen (%)]]&gt;20%,"Beneficio","Perdidas")</f>
        <v>Beneficio</v>
      </c>
    </row>
    <row r="20" spans="1:20" x14ac:dyDescent="0.25">
      <c r="A20" s="12">
        <v>45214</v>
      </c>
      <c r="B20" s="1" t="s">
        <v>35</v>
      </c>
      <c r="C20" s="1" t="s">
        <v>36</v>
      </c>
      <c r="D20" s="1" t="s">
        <v>44</v>
      </c>
      <c r="E20" s="1" t="s">
        <v>38</v>
      </c>
      <c r="F20">
        <v>805</v>
      </c>
      <c r="G20">
        <v>10.87</v>
      </c>
      <c r="H20">
        <v>8750.35</v>
      </c>
      <c r="I20" s="1" t="s">
        <v>57</v>
      </c>
      <c r="J20" s="1" t="s">
        <v>34</v>
      </c>
      <c r="K20" s="1" t="s">
        <v>23</v>
      </c>
      <c r="L20">
        <v>5766.22</v>
      </c>
      <c r="M20">
        <v>34.1</v>
      </c>
      <c r="N20">
        <v>2023</v>
      </c>
      <c r="O20">
        <f t="shared" si="0"/>
        <v>4</v>
      </c>
      <c r="P20" s="13" t="s">
        <v>68</v>
      </c>
      <c r="Q20">
        <v>2984.13</v>
      </c>
      <c r="R20" s="3" t="s">
        <v>25</v>
      </c>
      <c r="S20" s="7">
        <f>Ventas[[#This Row],[Costo Material (€)]]/Ventas[[#This Row],[Beneficio (€)]]</f>
        <v>1.9322951748080681</v>
      </c>
      <c r="T20" s="3" t="str">
        <f>IF(Ventas[[#This Row],[Margen (%)]]&gt;20%,"Beneficio","Perdidas")</f>
        <v>Beneficio</v>
      </c>
    </row>
    <row r="21" spans="1:20" x14ac:dyDescent="0.25">
      <c r="A21" s="12">
        <v>44995</v>
      </c>
      <c r="B21" s="1" t="s">
        <v>42</v>
      </c>
      <c r="C21" s="1" t="s">
        <v>43</v>
      </c>
      <c r="D21" s="1" t="s">
        <v>45</v>
      </c>
      <c r="E21" s="1" t="s">
        <v>20</v>
      </c>
      <c r="F21">
        <v>957</v>
      </c>
      <c r="G21">
        <v>8.77</v>
      </c>
      <c r="H21">
        <v>8392.89</v>
      </c>
      <c r="I21" s="1" t="s">
        <v>46</v>
      </c>
      <c r="J21" s="1" t="s">
        <v>34</v>
      </c>
      <c r="K21" s="1" t="s">
        <v>28</v>
      </c>
      <c r="L21">
        <v>5483.64</v>
      </c>
      <c r="M21">
        <v>34.700000000000003</v>
      </c>
      <c r="N21">
        <v>2023</v>
      </c>
      <c r="O21">
        <f t="shared" si="0"/>
        <v>1</v>
      </c>
      <c r="P21" s="13" t="s">
        <v>61</v>
      </c>
      <c r="Q21">
        <v>2909.25</v>
      </c>
      <c r="R21" s="3" t="s">
        <v>25</v>
      </c>
      <c r="S21" s="7">
        <f>Ventas[[#This Row],[Costo Material (€)]]/Ventas[[#This Row],[Beneficio (€)]]</f>
        <v>1.8848981696313485</v>
      </c>
      <c r="T21" s="3" t="str">
        <f>IF(Ventas[[#This Row],[Margen (%)]]&gt;20%,"Beneficio","Perdidas")</f>
        <v>Beneficio</v>
      </c>
    </row>
    <row r="22" spans="1:20" x14ac:dyDescent="0.25">
      <c r="A22" s="12">
        <v>45215</v>
      </c>
      <c r="B22" s="1" t="s">
        <v>30</v>
      </c>
      <c r="C22" s="1" t="s">
        <v>31</v>
      </c>
      <c r="D22" s="1" t="s">
        <v>45</v>
      </c>
      <c r="E22" s="1" t="s">
        <v>20</v>
      </c>
      <c r="F22">
        <v>914</v>
      </c>
      <c r="G22">
        <v>9.41</v>
      </c>
      <c r="H22">
        <v>8600.74</v>
      </c>
      <c r="I22" s="1" t="s">
        <v>21</v>
      </c>
      <c r="J22" s="1" t="s">
        <v>22</v>
      </c>
      <c r="K22" s="1" t="s">
        <v>23</v>
      </c>
      <c r="L22">
        <v>5705.69</v>
      </c>
      <c r="M22">
        <v>33.700000000000003</v>
      </c>
      <c r="N22">
        <v>2023</v>
      </c>
      <c r="O22">
        <f t="shared" si="0"/>
        <v>4</v>
      </c>
      <c r="P22" s="13" t="s">
        <v>68</v>
      </c>
      <c r="Q22">
        <v>2895.05</v>
      </c>
      <c r="R22" s="3" t="s">
        <v>25</v>
      </c>
      <c r="S22" s="7">
        <f>Ventas[[#This Row],[Costo Material (€)]]/Ventas[[#This Row],[Beneficio (€)]]</f>
        <v>1.9708433360391009</v>
      </c>
      <c r="T22" s="3" t="str">
        <f>IF(Ventas[[#This Row],[Margen (%)]]&gt;20%,"Beneficio","Perdidas")</f>
        <v>Beneficio</v>
      </c>
    </row>
    <row r="23" spans="1:20" x14ac:dyDescent="0.25">
      <c r="A23" s="12">
        <v>45316</v>
      </c>
      <c r="B23" s="1" t="s">
        <v>42</v>
      </c>
      <c r="C23" s="1" t="s">
        <v>43</v>
      </c>
      <c r="D23" s="1" t="s">
        <v>19</v>
      </c>
      <c r="E23" s="1" t="s">
        <v>20</v>
      </c>
      <c r="F23">
        <v>741</v>
      </c>
      <c r="G23">
        <v>10.91</v>
      </c>
      <c r="H23">
        <v>8084.31</v>
      </c>
      <c r="I23" s="1" t="s">
        <v>54</v>
      </c>
      <c r="J23" s="1" t="s">
        <v>34</v>
      </c>
      <c r="K23" s="1" t="s">
        <v>23</v>
      </c>
      <c r="L23">
        <v>5197.7</v>
      </c>
      <c r="M23">
        <v>35.700000000000003</v>
      </c>
      <c r="N23">
        <v>2024</v>
      </c>
      <c r="O23">
        <f t="shared" si="0"/>
        <v>1</v>
      </c>
      <c r="P23" s="13" t="s">
        <v>24</v>
      </c>
      <c r="Q23">
        <v>2886.61</v>
      </c>
      <c r="R23" s="3" t="s">
        <v>25</v>
      </c>
      <c r="S23" s="7">
        <f>Ventas[[#This Row],[Costo Material (€)]]/Ventas[[#This Row],[Beneficio (€)]]</f>
        <v>1.8006242616771921</v>
      </c>
      <c r="T23" s="3" t="str">
        <f>IF(Ventas[[#This Row],[Margen (%)]]&gt;20%,"Beneficio","Perdidas")</f>
        <v>Beneficio</v>
      </c>
    </row>
    <row r="24" spans="1:20" x14ac:dyDescent="0.25">
      <c r="A24" s="12">
        <v>45060</v>
      </c>
      <c r="B24" s="1" t="s">
        <v>30</v>
      </c>
      <c r="C24" s="1" t="s">
        <v>31</v>
      </c>
      <c r="D24" s="1" t="s">
        <v>19</v>
      </c>
      <c r="E24" s="1" t="s">
        <v>20</v>
      </c>
      <c r="F24">
        <v>837</v>
      </c>
      <c r="G24">
        <v>10.64</v>
      </c>
      <c r="H24">
        <v>8905.68</v>
      </c>
      <c r="I24" s="1" t="s">
        <v>39</v>
      </c>
      <c r="J24" s="1" t="s">
        <v>47</v>
      </c>
      <c r="K24" s="1" t="s">
        <v>23</v>
      </c>
      <c r="L24">
        <v>6022.51</v>
      </c>
      <c r="M24">
        <v>32.4</v>
      </c>
      <c r="N24">
        <v>2023</v>
      </c>
      <c r="O24">
        <f t="shared" si="0"/>
        <v>2</v>
      </c>
      <c r="P24" s="13" t="s">
        <v>63</v>
      </c>
      <c r="Q24">
        <v>2883.17</v>
      </c>
      <c r="R24" s="3" t="s">
        <v>25</v>
      </c>
      <c r="S24" s="7">
        <f>Ventas[[#This Row],[Costo Material (€)]]/Ventas[[#This Row],[Beneficio (€)]]</f>
        <v>2.0888501198333778</v>
      </c>
      <c r="T24" s="3" t="str">
        <f>IF(Ventas[[#This Row],[Margen (%)]]&gt;20%,"Beneficio","Perdidas")</f>
        <v>Beneficio</v>
      </c>
    </row>
    <row r="25" spans="1:20" x14ac:dyDescent="0.25">
      <c r="A25" s="12">
        <v>44968</v>
      </c>
      <c r="B25" s="1" t="s">
        <v>17</v>
      </c>
      <c r="C25" s="1" t="s">
        <v>18</v>
      </c>
      <c r="D25" s="1" t="s">
        <v>45</v>
      </c>
      <c r="E25" s="1" t="s">
        <v>20</v>
      </c>
      <c r="F25">
        <v>885</v>
      </c>
      <c r="G25">
        <v>11.92</v>
      </c>
      <c r="H25">
        <v>10549.2</v>
      </c>
      <c r="I25" s="1" t="s">
        <v>57</v>
      </c>
      <c r="J25" s="1" t="s">
        <v>47</v>
      </c>
      <c r="K25" s="1" t="s">
        <v>41</v>
      </c>
      <c r="L25">
        <v>7668.49</v>
      </c>
      <c r="M25">
        <v>27.3</v>
      </c>
      <c r="N25">
        <v>2023</v>
      </c>
      <c r="O25">
        <f t="shared" si="0"/>
        <v>1</v>
      </c>
      <c r="P25" s="13" t="s">
        <v>60</v>
      </c>
      <c r="Q25">
        <v>2880.71</v>
      </c>
      <c r="R25" s="3" t="s">
        <v>25</v>
      </c>
      <c r="S25" s="7">
        <f>Ventas[[#This Row],[Costo Material (€)]]/Ventas[[#This Row],[Beneficio (€)]]</f>
        <v>2.6620138785230028</v>
      </c>
      <c r="T25" s="3" t="str">
        <f>IF(Ventas[[#This Row],[Margen (%)]]&gt;20%,"Beneficio","Perdidas")</f>
        <v>Beneficio</v>
      </c>
    </row>
    <row r="26" spans="1:20" x14ac:dyDescent="0.25">
      <c r="A26" s="12">
        <v>45501</v>
      </c>
      <c r="B26" s="1" t="s">
        <v>17</v>
      </c>
      <c r="C26" s="1" t="s">
        <v>18</v>
      </c>
      <c r="D26" s="1" t="s">
        <v>49</v>
      </c>
      <c r="E26" s="1" t="s">
        <v>50</v>
      </c>
      <c r="F26">
        <v>921</v>
      </c>
      <c r="G26">
        <v>10.4</v>
      </c>
      <c r="H26">
        <v>9578.4</v>
      </c>
      <c r="I26" s="1" t="s">
        <v>54</v>
      </c>
      <c r="J26" s="1" t="s">
        <v>56</v>
      </c>
      <c r="K26" s="1" t="s">
        <v>28</v>
      </c>
      <c r="L26">
        <v>6698.58</v>
      </c>
      <c r="M26">
        <v>30.1</v>
      </c>
      <c r="N26">
        <v>2024</v>
      </c>
      <c r="O26">
        <f t="shared" si="0"/>
        <v>3</v>
      </c>
      <c r="P26" s="13" t="s">
        <v>65</v>
      </c>
      <c r="Q26">
        <v>2879.82</v>
      </c>
      <c r="R26" s="3" t="s">
        <v>25</v>
      </c>
      <c r="S26" s="7">
        <f>Ventas[[#This Row],[Costo Material (€)]]/Ventas[[#This Row],[Beneficio (€)]]</f>
        <v>2.3260412109090152</v>
      </c>
      <c r="T26" s="3" t="str">
        <f>IF(Ventas[[#This Row],[Margen (%)]]&gt;20%,"Beneficio","Perdidas")</f>
        <v>Beneficio</v>
      </c>
    </row>
    <row r="27" spans="1:20" x14ac:dyDescent="0.25">
      <c r="A27" s="12">
        <v>45514</v>
      </c>
      <c r="B27" s="1" t="s">
        <v>30</v>
      </c>
      <c r="C27" s="1" t="s">
        <v>31</v>
      </c>
      <c r="D27" s="1" t="s">
        <v>53</v>
      </c>
      <c r="E27" s="1" t="s">
        <v>50</v>
      </c>
      <c r="F27">
        <v>984</v>
      </c>
      <c r="G27">
        <v>8.2799999999999994</v>
      </c>
      <c r="H27">
        <v>8147.52</v>
      </c>
      <c r="I27" s="1" t="s">
        <v>46</v>
      </c>
      <c r="J27" s="1" t="s">
        <v>27</v>
      </c>
      <c r="K27" s="1" t="s">
        <v>28</v>
      </c>
      <c r="L27">
        <v>5276.92</v>
      </c>
      <c r="M27">
        <v>35.200000000000003</v>
      </c>
      <c r="N27">
        <v>2024</v>
      </c>
      <c r="O27">
        <f t="shared" si="0"/>
        <v>3</v>
      </c>
      <c r="P27" s="13" t="s">
        <v>66</v>
      </c>
      <c r="Q27">
        <v>2870.6</v>
      </c>
      <c r="R27" s="3" t="s">
        <v>25</v>
      </c>
      <c r="S27" s="7">
        <f>Ventas[[#This Row],[Costo Material (€)]]/Ventas[[#This Row],[Beneficio (€)]]</f>
        <v>1.8382637776074688</v>
      </c>
      <c r="T27" s="3" t="str">
        <f>IF(Ventas[[#This Row],[Margen (%)]]&gt;20%,"Beneficio","Perdidas")</f>
        <v>Beneficio</v>
      </c>
    </row>
    <row r="28" spans="1:20" x14ac:dyDescent="0.25">
      <c r="A28" s="12">
        <v>44969</v>
      </c>
      <c r="B28" s="1" t="s">
        <v>17</v>
      </c>
      <c r="C28" s="1" t="s">
        <v>18</v>
      </c>
      <c r="D28" s="1" t="s">
        <v>45</v>
      </c>
      <c r="E28" s="1" t="s">
        <v>20</v>
      </c>
      <c r="F28">
        <v>964</v>
      </c>
      <c r="G28">
        <v>9.9600000000000009</v>
      </c>
      <c r="H28">
        <v>9601.44</v>
      </c>
      <c r="I28" s="1" t="s">
        <v>33</v>
      </c>
      <c r="J28" s="1" t="s">
        <v>56</v>
      </c>
      <c r="K28" s="1" t="s">
        <v>23</v>
      </c>
      <c r="L28">
        <v>6770.42</v>
      </c>
      <c r="M28">
        <v>29.5</v>
      </c>
      <c r="N28">
        <v>2023</v>
      </c>
      <c r="O28">
        <f t="shared" si="0"/>
        <v>1</v>
      </c>
      <c r="P28" s="13" t="s">
        <v>60</v>
      </c>
      <c r="Q28">
        <v>2831.02</v>
      </c>
      <c r="R28" s="3" t="s">
        <v>25</v>
      </c>
      <c r="S28" s="7">
        <f>Ventas[[#This Row],[Costo Material (€)]]/Ventas[[#This Row],[Beneficio (€)]]</f>
        <v>2.3915125996990483</v>
      </c>
      <c r="T28" s="3" t="str">
        <f>IF(Ventas[[#This Row],[Margen (%)]]&gt;20%,"Beneficio","Perdidas")</f>
        <v>Beneficio</v>
      </c>
    </row>
    <row r="29" spans="1:20" x14ac:dyDescent="0.25">
      <c r="A29" s="12">
        <v>45028</v>
      </c>
      <c r="B29" s="1" t="s">
        <v>42</v>
      </c>
      <c r="C29" s="1" t="s">
        <v>43</v>
      </c>
      <c r="D29" s="1" t="s">
        <v>53</v>
      </c>
      <c r="E29" s="1" t="s">
        <v>50</v>
      </c>
      <c r="F29">
        <v>903</v>
      </c>
      <c r="G29">
        <v>11.63</v>
      </c>
      <c r="H29">
        <v>10501.89</v>
      </c>
      <c r="I29" s="1" t="s">
        <v>46</v>
      </c>
      <c r="J29" s="1" t="s">
        <v>56</v>
      </c>
      <c r="K29" s="1" t="s">
        <v>28</v>
      </c>
      <c r="L29">
        <v>7676.15</v>
      </c>
      <c r="M29">
        <v>26.9</v>
      </c>
      <c r="N29">
        <v>2023</v>
      </c>
      <c r="O29">
        <f t="shared" si="0"/>
        <v>2</v>
      </c>
      <c r="P29" s="13" t="s">
        <v>62</v>
      </c>
      <c r="Q29">
        <v>2825.74</v>
      </c>
      <c r="R29" s="3" t="s">
        <v>25</v>
      </c>
      <c r="S29" s="7">
        <f>Ventas[[#This Row],[Costo Material (€)]]/Ventas[[#This Row],[Beneficio (€)]]</f>
        <v>2.7165096576472005</v>
      </c>
      <c r="T29" s="3" t="str">
        <f>IF(Ventas[[#This Row],[Margen (%)]]&gt;20%,"Beneficio","Perdidas")</f>
        <v>Beneficio</v>
      </c>
    </row>
    <row r="30" spans="1:20" x14ac:dyDescent="0.25">
      <c r="A30" s="12">
        <v>45092</v>
      </c>
      <c r="B30" s="1" t="s">
        <v>51</v>
      </c>
      <c r="C30" s="1" t="s">
        <v>52</v>
      </c>
      <c r="D30" s="1" t="s">
        <v>49</v>
      </c>
      <c r="E30" s="1" t="s">
        <v>50</v>
      </c>
      <c r="F30">
        <v>943</v>
      </c>
      <c r="G30">
        <v>11.94</v>
      </c>
      <c r="H30">
        <v>11259.42</v>
      </c>
      <c r="I30" s="1" t="s">
        <v>57</v>
      </c>
      <c r="J30" s="1" t="s">
        <v>56</v>
      </c>
      <c r="K30" s="1" t="s">
        <v>41</v>
      </c>
      <c r="L30">
        <v>8433.81</v>
      </c>
      <c r="M30">
        <v>25.1</v>
      </c>
      <c r="N30">
        <v>2023</v>
      </c>
      <c r="O30">
        <f t="shared" si="0"/>
        <v>2</v>
      </c>
      <c r="P30" s="13" t="s">
        <v>64</v>
      </c>
      <c r="Q30">
        <v>2825.61</v>
      </c>
      <c r="R30" s="3" t="s">
        <v>25</v>
      </c>
      <c r="S30" s="7">
        <f>Ventas[[#This Row],[Costo Material (€)]]/Ventas[[#This Row],[Beneficio (€)]]</f>
        <v>2.9847749689447585</v>
      </c>
      <c r="T30" s="3" t="str">
        <f>IF(Ventas[[#This Row],[Margen (%)]]&gt;20%,"Beneficio","Perdidas")</f>
        <v>Beneficio</v>
      </c>
    </row>
    <row r="31" spans="1:20" x14ac:dyDescent="0.25">
      <c r="A31" s="12">
        <v>44942</v>
      </c>
      <c r="B31" s="1" t="s">
        <v>17</v>
      </c>
      <c r="C31" s="1" t="s">
        <v>18</v>
      </c>
      <c r="D31" s="1" t="s">
        <v>19</v>
      </c>
      <c r="E31" s="1" t="s">
        <v>20</v>
      </c>
      <c r="F31">
        <v>811</v>
      </c>
      <c r="G31">
        <v>10.97</v>
      </c>
      <c r="H31">
        <v>8896.67</v>
      </c>
      <c r="I31" s="1" t="s">
        <v>21</v>
      </c>
      <c r="J31" s="1" t="s">
        <v>56</v>
      </c>
      <c r="K31" s="1" t="s">
        <v>41</v>
      </c>
      <c r="L31">
        <v>6082.13</v>
      </c>
      <c r="M31">
        <v>31.6</v>
      </c>
      <c r="N31">
        <v>2023</v>
      </c>
      <c r="O31">
        <f t="shared" si="0"/>
        <v>1</v>
      </c>
      <c r="P31" s="13" t="s">
        <v>24</v>
      </c>
      <c r="Q31">
        <v>2814.54</v>
      </c>
      <c r="R31" s="3" t="s">
        <v>25</v>
      </c>
      <c r="S31" s="7">
        <f>Ventas[[#This Row],[Costo Material (€)]]/Ventas[[#This Row],[Beneficio (€)]]</f>
        <v>2.1609676892138681</v>
      </c>
      <c r="T31" s="3" t="str">
        <f>IF(Ventas[[#This Row],[Margen (%)]]&gt;20%,"Beneficio","Perdidas")</f>
        <v>Beneficio</v>
      </c>
    </row>
    <row r="32" spans="1:20" x14ac:dyDescent="0.25">
      <c r="A32" s="12">
        <v>45052</v>
      </c>
      <c r="B32" s="1" t="s">
        <v>17</v>
      </c>
      <c r="C32" s="1" t="s">
        <v>18</v>
      </c>
      <c r="D32" s="1" t="s">
        <v>45</v>
      </c>
      <c r="E32" s="1" t="s">
        <v>20</v>
      </c>
      <c r="F32">
        <v>992</v>
      </c>
      <c r="G32">
        <v>7.88</v>
      </c>
      <c r="H32">
        <v>7816.96</v>
      </c>
      <c r="I32" s="1" t="s">
        <v>46</v>
      </c>
      <c r="J32" s="1" t="s">
        <v>27</v>
      </c>
      <c r="K32" s="1" t="s">
        <v>23</v>
      </c>
      <c r="L32">
        <v>5039.6000000000004</v>
      </c>
      <c r="M32">
        <v>35.5</v>
      </c>
      <c r="N32">
        <v>2023</v>
      </c>
      <c r="O32">
        <f t="shared" si="0"/>
        <v>2</v>
      </c>
      <c r="P32" s="13" t="s">
        <v>63</v>
      </c>
      <c r="Q32">
        <v>2777.36</v>
      </c>
      <c r="R32" s="3" t="s">
        <v>25</v>
      </c>
      <c r="S32" s="7">
        <f>Ventas[[#This Row],[Costo Material (€)]]/Ventas[[#This Row],[Beneficio (€)]]</f>
        <v>1.8145289051473341</v>
      </c>
      <c r="T32" s="3" t="str">
        <f>IF(Ventas[[#This Row],[Margen (%)]]&gt;20%,"Beneficio","Perdidas")</f>
        <v>Beneficio</v>
      </c>
    </row>
    <row r="33" spans="1:20" x14ac:dyDescent="0.25">
      <c r="A33" s="12">
        <v>45299</v>
      </c>
      <c r="B33" s="1" t="s">
        <v>30</v>
      </c>
      <c r="C33" s="1" t="s">
        <v>31</v>
      </c>
      <c r="D33" s="1" t="s">
        <v>44</v>
      </c>
      <c r="E33" s="1" t="s">
        <v>38</v>
      </c>
      <c r="F33">
        <v>994</v>
      </c>
      <c r="G33">
        <v>9.15</v>
      </c>
      <c r="H33">
        <v>9095.1</v>
      </c>
      <c r="I33" s="1" t="s">
        <v>26</v>
      </c>
      <c r="J33" s="1" t="s">
        <v>34</v>
      </c>
      <c r="K33" s="1" t="s">
        <v>41</v>
      </c>
      <c r="L33">
        <v>6345.64</v>
      </c>
      <c r="M33">
        <v>30.2</v>
      </c>
      <c r="N33">
        <v>2024</v>
      </c>
      <c r="O33">
        <f t="shared" si="0"/>
        <v>1</v>
      </c>
      <c r="P33" s="13" t="s">
        <v>24</v>
      </c>
      <c r="Q33">
        <v>2749.46</v>
      </c>
      <c r="R33" s="3" t="s">
        <v>25</v>
      </c>
      <c r="S33" s="7">
        <f>Ventas[[#This Row],[Costo Material (€)]]/Ventas[[#This Row],[Beneficio (€)]]</f>
        <v>2.3079586536992718</v>
      </c>
      <c r="T33" s="3" t="str">
        <f>IF(Ventas[[#This Row],[Margen (%)]]&gt;20%,"Beneficio","Perdidas")</f>
        <v>Beneficio</v>
      </c>
    </row>
    <row r="34" spans="1:20" x14ac:dyDescent="0.25">
      <c r="A34" s="12">
        <v>45408</v>
      </c>
      <c r="B34" s="1" t="s">
        <v>42</v>
      </c>
      <c r="C34" s="1" t="s">
        <v>43</v>
      </c>
      <c r="D34" s="1" t="s">
        <v>37</v>
      </c>
      <c r="E34" s="1" t="s">
        <v>38</v>
      </c>
      <c r="F34">
        <v>925</v>
      </c>
      <c r="G34">
        <v>9.5</v>
      </c>
      <c r="H34">
        <v>8787.5</v>
      </c>
      <c r="I34" s="1" t="s">
        <v>39</v>
      </c>
      <c r="J34" s="1" t="s">
        <v>22</v>
      </c>
      <c r="K34" s="1" t="s">
        <v>41</v>
      </c>
      <c r="L34">
        <v>6058.65</v>
      </c>
      <c r="M34">
        <v>31.1</v>
      </c>
      <c r="N34">
        <v>2024</v>
      </c>
      <c r="O34">
        <f t="shared" si="0"/>
        <v>2</v>
      </c>
      <c r="P34" s="13" t="s">
        <v>62</v>
      </c>
      <c r="Q34">
        <v>2728.85</v>
      </c>
      <c r="R34" s="3" t="s">
        <v>25</v>
      </c>
      <c r="S34" s="7">
        <f>Ventas[[#This Row],[Costo Material (€)]]/Ventas[[#This Row],[Beneficio (€)]]</f>
        <v>2.2202209722044084</v>
      </c>
      <c r="T34" s="3" t="str">
        <f>IF(Ventas[[#This Row],[Margen (%)]]&gt;20%,"Beneficio","Perdidas")</f>
        <v>Beneficio</v>
      </c>
    </row>
    <row r="35" spans="1:20" x14ac:dyDescent="0.25">
      <c r="A35" s="12">
        <v>45063</v>
      </c>
      <c r="B35" s="1" t="s">
        <v>51</v>
      </c>
      <c r="C35" s="1" t="s">
        <v>52</v>
      </c>
      <c r="D35" s="1" t="s">
        <v>49</v>
      </c>
      <c r="E35" s="1" t="s">
        <v>50</v>
      </c>
      <c r="F35">
        <v>886</v>
      </c>
      <c r="G35">
        <v>9.85</v>
      </c>
      <c r="H35">
        <v>8727.1</v>
      </c>
      <c r="I35" s="1" t="s">
        <v>46</v>
      </c>
      <c r="J35" s="1" t="s">
        <v>40</v>
      </c>
      <c r="K35" s="1" t="s">
        <v>23</v>
      </c>
      <c r="L35">
        <v>6008.63</v>
      </c>
      <c r="M35">
        <v>31.1</v>
      </c>
      <c r="N35">
        <v>2023</v>
      </c>
      <c r="O35">
        <f t="shared" si="0"/>
        <v>2</v>
      </c>
      <c r="P35" s="13" t="s">
        <v>63</v>
      </c>
      <c r="Q35">
        <v>2718.47</v>
      </c>
      <c r="R35" s="3" t="s">
        <v>25</v>
      </c>
      <c r="S35" s="7">
        <f>Ventas[[#This Row],[Costo Material (€)]]/Ventas[[#This Row],[Beneficio (€)]]</f>
        <v>2.2102984399312851</v>
      </c>
      <c r="T35" s="3" t="str">
        <f>IF(Ventas[[#This Row],[Margen (%)]]&gt;20%,"Beneficio","Perdidas")</f>
        <v>Beneficio</v>
      </c>
    </row>
    <row r="36" spans="1:20" x14ac:dyDescent="0.25">
      <c r="A36" s="12">
        <v>45124</v>
      </c>
      <c r="B36" s="1" t="s">
        <v>51</v>
      </c>
      <c r="C36" s="1" t="s">
        <v>52</v>
      </c>
      <c r="D36" s="1" t="s">
        <v>44</v>
      </c>
      <c r="E36" s="1" t="s">
        <v>38</v>
      </c>
      <c r="F36">
        <v>910</v>
      </c>
      <c r="G36">
        <v>7.84</v>
      </c>
      <c r="H36">
        <v>7134.4</v>
      </c>
      <c r="I36" s="1" t="s">
        <v>21</v>
      </c>
      <c r="J36" s="1" t="s">
        <v>40</v>
      </c>
      <c r="K36" s="1" t="s">
        <v>23</v>
      </c>
      <c r="L36">
        <v>4428.13</v>
      </c>
      <c r="M36">
        <v>37.9</v>
      </c>
      <c r="N36">
        <v>2023</v>
      </c>
      <c r="O36">
        <f t="shared" si="0"/>
        <v>3</v>
      </c>
      <c r="P36" s="13" t="s">
        <v>65</v>
      </c>
      <c r="Q36">
        <v>2706.27</v>
      </c>
      <c r="R36" s="3" t="s">
        <v>25</v>
      </c>
      <c r="S36" s="7">
        <f>Ventas[[#This Row],[Costo Material (€)]]/Ventas[[#This Row],[Beneficio (€)]]</f>
        <v>1.6362484157160964</v>
      </c>
      <c r="T36" s="3" t="str">
        <f>IF(Ventas[[#This Row],[Margen (%)]]&gt;20%,"Beneficio","Perdidas")</f>
        <v>Beneficio</v>
      </c>
    </row>
    <row r="37" spans="1:20" x14ac:dyDescent="0.25">
      <c r="A37" s="12">
        <v>45252</v>
      </c>
      <c r="B37" s="1" t="s">
        <v>51</v>
      </c>
      <c r="C37" s="1" t="s">
        <v>52</v>
      </c>
      <c r="D37" s="1" t="s">
        <v>37</v>
      </c>
      <c r="E37" s="1" t="s">
        <v>38</v>
      </c>
      <c r="F37">
        <v>935</v>
      </c>
      <c r="G37">
        <v>11.27</v>
      </c>
      <c r="H37">
        <v>10537.45</v>
      </c>
      <c r="I37" s="1" t="s">
        <v>46</v>
      </c>
      <c r="J37" s="1" t="s">
        <v>47</v>
      </c>
      <c r="K37" s="1" t="s">
        <v>41</v>
      </c>
      <c r="L37">
        <v>7865.26</v>
      </c>
      <c r="M37">
        <v>25.4</v>
      </c>
      <c r="N37">
        <v>2023</v>
      </c>
      <c r="O37">
        <f t="shared" si="0"/>
        <v>4</v>
      </c>
      <c r="P37" s="13" t="s">
        <v>69</v>
      </c>
      <c r="Q37">
        <v>2672.19</v>
      </c>
      <c r="R37" s="3" t="s">
        <v>25</v>
      </c>
      <c r="S37" s="7">
        <f>Ventas[[#This Row],[Costo Material (€)]]/Ventas[[#This Row],[Beneficio (€)]]</f>
        <v>2.9433760323929063</v>
      </c>
      <c r="T37" s="3" t="str">
        <f>IF(Ventas[[#This Row],[Margen (%)]]&gt;20%,"Beneficio","Perdidas")</f>
        <v>Beneficio</v>
      </c>
    </row>
    <row r="38" spans="1:20" x14ac:dyDescent="0.25">
      <c r="A38" s="12">
        <v>45807</v>
      </c>
      <c r="B38" s="1" t="s">
        <v>30</v>
      </c>
      <c r="C38" s="1" t="s">
        <v>31</v>
      </c>
      <c r="D38" s="1" t="s">
        <v>45</v>
      </c>
      <c r="E38" s="1" t="s">
        <v>20</v>
      </c>
      <c r="F38">
        <v>736</v>
      </c>
      <c r="G38">
        <v>11.75</v>
      </c>
      <c r="H38">
        <v>8648</v>
      </c>
      <c r="I38" s="1" t="s">
        <v>46</v>
      </c>
      <c r="J38" s="1" t="s">
        <v>34</v>
      </c>
      <c r="K38" s="1" t="s">
        <v>28</v>
      </c>
      <c r="L38">
        <v>5986.28</v>
      </c>
      <c r="M38">
        <v>30.8</v>
      </c>
      <c r="N38">
        <v>2025</v>
      </c>
      <c r="O38">
        <f t="shared" si="0"/>
        <v>2</v>
      </c>
      <c r="P38" s="13" t="s">
        <v>63</v>
      </c>
      <c r="Q38">
        <v>2661.72</v>
      </c>
      <c r="R38" s="3" t="s">
        <v>25</v>
      </c>
      <c r="S38" s="7">
        <f>Ventas[[#This Row],[Costo Material (€)]]/Ventas[[#This Row],[Beneficio (€)]]</f>
        <v>2.2490269449829436</v>
      </c>
      <c r="T38" s="3" t="str">
        <f>IF(Ventas[[#This Row],[Margen (%)]]&gt;20%,"Beneficio","Perdidas")</f>
        <v>Beneficio</v>
      </c>
    </row>
    <row r="39" spans="1:20" x14ac:dyDescent="0.25">
      <c r="A39" s="12">
        <v>45322</v>
      </c>
      <c r="B39" s="1" t="s">
        <v>51</v>
      </c>
      <c r="C39" s="1" t="s">
        <v>52</v>
      </c>
      <c r="D39" s="1" t="s">
        <v>32</v>
      </c>
      <c r="E39" s="1" t="s">
        <v>20</v>
      </c>
      <c r="F39">
        <v>920</v>
      </c>
      <c r="G39">
        <v>7.87</v>
      </c>
      <c r="H39">
        <v>7240.4</v>
      </c>
      <c r="I39" s="1" t="s">
        <v>46</v>
      </c>
      <c r="J39" s="1" t="s">
        <v>40</v>
      </c>
      <c r="K39" s="1" t="s">
        <v>23</v>
      </c>
      <c r="L39">
        <v>4621.43</v>
      </c>
      <c r="M39">
        <v>36.200000000000003</v>
      </c>
      <c r="N39">
        <v>2024</v>
      </c>
      <c r="O39">
        <f t="shared" si="0"/>
        <v>1</v>
      </c>
      <c r="P39" s="13" t="s">
        <v>24</v>
      </c>
      <c r="Q39">
        <v>2618.9699999999998</v>
      </c>
      <c r="R39" s="3" t="s">
        <v>25</v>
      </c>
      <c r="S39" s="7">
        <f>Ventas[[#This Row],[Costo Material (€)]]/Ventas[[#This Row],[Beneficio (€)]]</f>
        <v>1.7645982962767808</v>
      </c>
      <c r="T39" s="3" t="str">
        <f>IF(Ventas[[#This Row],[Margen (%)]]&gt;20%,"Beneficio","Perdidas")</f>
        <v>Beneficio</v>
      </c>
    </row>
    <row r="40" spans="1:20" x14ac:dyDescent="0.25">
      <c r="A40" s="12">
        <v>45090</v>
      </c>
      <c r="B40" s="1" t="s">
        <v>35</v>
      </c>
      <c r="C40" s="1" t="s">
        <v>36</v>
      </c>
      <c r="D40" s="1" t="s">
        <v>48</v>
      </c>
      <c r="E40" s="1" t="s">
        <v>38</v>
      </c>
      <c r="F40">
        <v>858</v>
      </c>
      <c r="G40">
        <v>9.2100000000000009</v>
      </c>
      <c r="H40">
        <v>7902.18</v>
      </c>
      <c r="I40" s="1" t="s">
        <v>21</v>
      </c>
      <c r="J40" s="1" t="s">
        <v>47</v>
      </c>
      <c r="K40" s="1" t="s">
        <v>28</v>
      </c>
      <c r="L40">
        <v>5327.07</v>
      </c>
      <c r="M40">
        <v>32.6</v>
      </c>
      <c r="N40">
        <v>2023</v>
      </c>
      <c r="O40">
        <f t="shared" si="0"/>
        <v>2</v>
      </c>
      <c r="P40" s="13" t="s">
        <v>64</v>
      </c>
      <c r="Q40">
        <v>2575.11</v>
      </c>
      <c r="R40" s="3" t="s">
        <v>25</v>
      </c>
      <c r="S40" s="7">
        <f>Ventas[[#This Row],[Costo Material (€)]]/Ventas[[#This Row],[Beneficio (€)]]</f>
        <v>2.0686766778894881</v>
      </c>
      <c r="T40" s="3" t="str">
        <f>IF(Ventas[[#This Row],[Margen (%)]]&gt;20%,"Beneficio","Perdidas")</f>
        <v>Beneficio</v>
      </c>
    </row>
    <row r="41" spans="1:20" x14ac:dyDescent="0.25">
      <c r="A41" s="12">
        <v>44956</v>
      </c>
      <c r="B41" s="1" t="s">
        <v>58</v>
      </c>
      <c r="C41" s="1" t="s">
        <v>59</v>
      </c>
      <c r="D41" s="1" t="s">
        <v>32</v>
      </c>
      <c r="E41" s="1" t="s">
        <v>20</v>
      </c>
      <c r="F41">
        <v>987</v>
      </c>
      <c r="G41">
        <v>8.98</v>
      </c>
      <c r="H41">
        <v>8863.26</v>
      </c>
      <c r="I41" s="1" t="s">
        <v>46</v>
      </c>
      <c r="J41" s="1" t="s">
        <v>40</v>
      </c>
      <c r="K41" s="1" t="s">
        <v>41</v>
      </c>
      <c r="L41">
        <v>6314.92</v>
      </c>
      <c r="M41">
        <v>28.8</v>
      </c>
      <c r="N41">
        <v>2023</v>
      </c>
      <c r="O41">
        <f t="shared" si="0"/>
        <v>1</v>
      </c>
      <c r="P41" s="13" t="s">
        <v>24</v>
      </c>
      <c r="Q41">
        <v>2548.34</v>
      </c>
      <c r="R41" s="3" t="s">
        <v>25</v>
      </c>
      <c r="S41" s="7">
        <f>Ventas[[#This Row],[Costo Material (€)]]/Ventas[[#This Row],[Beneficio (€)]]</f>
        <v>2.4780523791958684</v>
      </c>
      <c r="T41" s="3" t="str">
        <f>IF(Ventas[[#This Row],[Margen (%)]]&gt;20%,"Beneficio","Perdidas")</f>
        <v>Beneficio</v>
      </c>
    </row>
    <row r="42" spans="1:20" x14ac:dyDescent="0.25">
      <c r="A42" s="12">
        <v>44939</v>
      </c>
      <c r="B42" s="1" t="s">
        <v>30</v>
      </c>
      <c r="C42" s="1" t="s">
        <v>31</v>
      </c>
      <c r="D42" s="1" t="s">
        <v>19</v>
      </c>
      <c r="E42" s="1" t="s">
        <v>20</v>
      </c>
      <c r="F42">
        <v>915</v>
      </c>
      <c r="G42">
        <v>8.25</v>
      </c>
      <c r="H42">
        <v>7548.75</v>
      </c>
      <c r="I42" s="1" t="s">
        <v>26</v>
      </c>
      <c r="J42" s="1" t="s">
        <v>22</v>
      </c>
      <c r="K42" s="1" t="s">
        <v>23</v>
      </c>
      <c r="L42">
        <v>5023.07</v>
      </c>
      <c r="M42">
        <v>33.5</v>
      </c>
      <c r="N42">
        <v>2023</v>
      </c>
      <c r="O42">
        <f t="shared" si="0"/>
        <v>1</v>
      </c>
      <c r="P42" s="13" t="s">
        <v>24</v>
      </c>
      <c r="Q42">
        <v>2525.6799999999998</v>
      </c>
      <c r="R42" s="3" t="s">
        <v>25</v>
      </c>
      <c r="S42" s="7">
        <f>Ventas[[#This Row],[Costo Material (€)]]/Ventas[[#This Row],[Beneficio (€)]]</f>
        <v>1.9887990560957842</v>
      </c>
      <c r="T42" s="3" t="str">
        <f>IF(Ventas[[#This Row],[Margen (%)]]&gt;20%,"Beneficio","Perdidas")</f>
        <v>Beneficio</v>
      </c>
    </row>
    <row r="43" spans="1:20" x14ac:dyDescent="0.25">
      <c r="A43" s="12">
        <v>45291</v>
      </c>
      <c r="B43" s="1" t="s">
        <v>17</v>
      </c>
      <c r="C43" s="1" t="s">
        <v>18</v>
      </c>
      <c r="D43" s="1" t="s">
        <v>37</v>
      </c>
      <c r="E43" s="1" t="s">
        <v>38</v>
      </c>
      <c r="F43">
        <v>884</v>
      </c>
      <c r="G43">
        <v>7.6</v>
      </c>
      <c r="H43">
        <v>6718.4</v>
      </c>
      <c r="I43" s="1" t="s">
        <v>54</v>
      </c>
      <c r="J43" s="1" t="s">
        <v>22</v>
      </c>
      <c r="K43" s="1" t="s">
        <v>28</v>
      </c>
      <c r="L43">
        <v>4192.8</v>
      </c>
      <c r="M43">
        <v>37.6</v>
      </c>
      <c r="N43">
        <v>2023</v>
      </c>
      <c r="O43">
        <f t="shared" si="0"/>
        <v>4</v>
      </c>
      <c r="P43" s="13" t="s">
        <v>70</v>
      </c>
      <c r="Q43">
        <v>2525.6</v>
      </c>
      <c r="R43" s="3" t="s">
        <v>25</v>
      </c>
      <c r="S43" s="7">
        <f>Ventas[[#This Row],[Costo Material (€)]]/Ventas[[#This Row],[Beneficio (€)]]</f>
        <v>1.6601203674374407</v>
      </c>
      <c r="T43" s="3" t="str">
        <f>IF(Ventas[[#This Row],[Margen (%)]]&gt;20%,"Beneficio","Perdidas")</f>
        <v>Beneficio</v>
      </c>
    </row>
    <row r="44" spans="1:20" x14ac:dyDescent="0.25">
      <c r="A44" s="12">
        <v>45052</v>
      </c>
      <c r="B44" s="1" t="s">
        <v>51</v>
      </c>
      <c r="C44" s="1" t="s">
        <v>52</v>
      </c>
      <c r="D44" s="1" t="s">
        <v>49</v>
      </c>
      <c r="E44" s="1" t="s">
        <v>50</v>
      </c>
      <c r="F44">
        <v>759</v>
      </c>
      <c r="G44">
        <v>10.47</v>
      </c>
      <c r="H44">
        <v>7946.73</v>
      </c>
      <c r="I44" s="1" t="s">
        <v>21</v>
      </c>
      <c r="J44" s="1" t="s">
        <v>34</v>
      </c>
      <c r="K44" s="1" t="s">
        <v>23</v>
      </c>
      <c r="L44">
        <v>5429.88</v>
      </c>
      <c r="M44">
        <v>31.7</v>
      </c>
      <c r="N44">
        <v>2023</v>
      </c>
      <c r="O44">
        <f t="shared" si="0"/>
        <v>2</v>
      </c>
      <c r="P44" s="13" t="s">
        <v>63</v>
      </c>
      <c r="Q44">
        <v>2516.85</v>
      </c>
      <c r="R44" s="3" t="s">
        <v>25</v>
      </c>
      <c r="S44" s="7">
        <f>Ventas[[#This Row],[Costo Material (€)]]/Ventas[[#This Row],[Beneficio (€)]]</f>
        <v>2.1574110495261936</v>
      </c>
      <c r="T44" s="3" t="str">
        <f>IF(Ventas[[#This Row],[Margen (%)]]&gt;20%,"Beneficio","Perdidas")</f>
        <v>Beneficio</v>
      </c>
    </row>
    <row r="45" spans="1:20" x14ac:dyDescent="0.25">
      <c r="A45" s="12">
        <v>44978</v>
      </c>
      <c r="B45" s="1" t="s">
        <v>42</v>
      </c>
      <c r="C45" s="1" t="s">
        <v>43</v>
      </c>
      <c r="D45" s="1" t="s">
        <v>32</v>
      </c>
      <c r="E45" s="1" t="s">
        <v>20</v>
      </c>
      <c r="F45">
        <v>688</v>
      </c>
      <c r="G45">
        <v>9.2899999999999991</v>
      </c>
      <c r="H45">
        <v>6391.52</v>
      </c>
      <c r="I45" s="1" t="s">
        <v>39</v>
      </c>
      <c r="J45" s="1" t="s">
        <v>34</v>
      </c>
      <c r="K45" s="1" t="s">
        <v>28</v>
      </c>
      <c r="L45">
        <v>3880.91</v>
      </c>
      <c r="M45">
        <v>39.299999999999997</v>
      </c>
      <c r="N45">
        <v>2023</v>
      </c>
      <c r="O45">
        <f t="shared" si="0"/>
        <v>1</v>
      </c>
      <c r="P45" s="13" t="s">
        <v>60</v>
      </c>
      <c r="Q45">
        <v>2510.61</v>
      </c>
      <c r="R45" s="3" t="s">
        <v>25</v>
      </c>
      <c r="S45" s="7">
        <f>Ventas[[#This Row],[Costo Material (€)]]/Ventas[[#This Row],[Beneficio (€)]]</f>
        <v>1.545803609481361</v>
      </c>
      <c r="T45" s="3" t="str">
        <f>IF(Ventas[[#This Row],[Margen (%)]]&gt;20%,"Beneficio","Perdidas")</f>
        <v>Beneficio</v>
      </c>
    </row>
    <row r="46" spans="1:20" x14ac:dyDescent="0.25">
      <c r="A46" s="12">
        <v>44979</v>
      </c>
      <c r="B46" s="1" t="s">
        <v>42</v>
      </c>
      <c r="C46" s="1" t="s">
        <v>43</v>
      </c>
      <c r="D46" s="1" t="s">
        <v>32</v>
      </c>
      <c r="E46" s="1" t="s">
        <v>20</v>
      </c>
      <c r="F46">
        <v>952</v>
      </c>
      <c r="G46">
        <v>11.32</v>
      </c>
      <c r="H46">
        <v>10776.64</v>
      </c>
      <c r="I46" s="1" t="s">
        <v>55</v>
      </c>
      <c r="J46" s="1" t="s">
        <v>56</v>
      </c>
      <c r="K46" s="1" t="s">
        <v>23</v>
      </c>
      <c r="L46">
        <v>8273.67</v>
      </c>
      <c r="M46">
        <v>23.2</v>
      </c>
      <c r="N46">
        <v>2023</v>
      </c>
      <c r="O46">
        <f t="shared" si="0"/>
        <v>1</v>
      </c>
      <c r="P46" s="13" t="s">
        <v>60</v>
      </c>
      <c r="Q46">
        <v>2502.9699999999998</v>
      </c>
      <c r="R46" s="3" t="s">
        <v>29</v>
      </c>
      <c r="S46" s="7">
        <f>Ventas[[#This Row],[Costo Material (€)]]/Ventas[[#This Row],[Beneficio (€)]]</f>
        <v>3.3055410172714819</v>
      </c>
      <c r="T46" s="3" t="str">
        <f>IF(Ventas[[#This Row],[Margen (%)]]&gt;20%,"Beneficio","Perdidas")</f>
        <v>Beneficio</v>
      </c>
    </row>
    <row r="47" spans="1:20" x14ac:dyDescent="0.25">
      <c r="A47" s="12">
        <v>45297</v>
      </c>
      <c r="B47" s="1" t="s">
        <v>58</v>
      </c>
      <c r="C47" s="1" t="s">
        <v>59</v>
      </c>
      <c r="D47" s="1" t="s">
        <v>49</v>
      </c>
      <c r="E47" s="1" t="s">
        <v>50</v>
      </c>
      <c r="F47">
        <v>704</v>
      </c>
      <c r="G47">
        <v>9.01</v>
      </c>
      <c r="H47">
        <v>6343.04</v>
      </c>
      <c r="I47" s="1" t="s">
        <v>55</v>
      </c>
      <c r="J47" s="1" t="s">
        <v>40</v>
      </c>
      <c r="K47" s="1" t="s">
        <v>28</v>
      </c>
      <c r="L47">
        <v>3844.99</v>
      </c>
      <c r="M47">
        <v>39.4</v>
      </c>
      <c r="N47">
        <v>2024</v>
      </c>
      <c r="O47">
        <f t="shared" si="0"/>
        <v>1</v>
      </c>
      <c r="P47" s="13" t="s">
        <v>24</v>
      </c>
      <c r="Q47">
        <v>2498.0500000000002</v>
      </c>
      <c r="R47" s="3" t="s">
        <v>25</v>
      </c>
      <c r="S47" s="7">
        <f>Ventas[[#This Row],[Costo Material (€)]]/Ventas[[#This Row],[Beneficio (€)]]</f>
        <v>1.5391965733271951</v>
      </c>
      <c r="T47" s="3" t="str">
        <f>IF(Ventas[[#This Row],[Margen (%)]]&gt;20%,"Beneficio","Perdidas")</f>
        <v>Beneficio</v>
      </c>
    </row>
    <row r="48" spans="1:20" x14ac:dyDescent="0.25">
      <c r="A48" s="12">
        <v>45524</v>
      </c>
      <c r="B48" s="1" t="s">
        <v>58</v>
      </c>
      <c r="C48" s="1" t="s">
        <v>59</v>
      </c>
      <c r="D48" s="1" t="s">
        <v>45</v>
      </c>
      <c r="E48" s="1" t="s">
        <v>20</v>
      </c>
      <c r="F48">
        <v>674</v>
      </c>
      <c r="G48">
        <v>9.3800000000000008</v>
      </c>
      <c r="H48">
        <v>6322.12</v>
      </c>
      <c r="I48" s="1" t="s">
        <v>21</v>
      </c>
      <c r="J48" s="1" t="s">
        <v>56</v>
      </c>
      <c r="K48" s="1" t="s">
        <v>41</v>
      </c>
      <c r="L48">
        <v>3841.13</v>
      </c>
      <c r="M48">
        <v>39.200000000000003</v>
      </c>
      <c r="N48">
        <v>2024</v>
      </c>
      <c r="O48">
        <f t="shared" si="0"/>
        <v>3</v>
      </c>
      <c r="P48" s="13" t="s">
        <v>66</v>
      </c>
      <c r="Q48">
        <v>2480.9899999999998</v>
      </c>
      <c r="R48" s="3" t="s">
        <v>25</v>
      </c>
      <c r="S48" s="7">
        <f>Ventas[[#This Row],[Costo Material (€)]]/Ventas[[#This Row],[Beneficio (€)]]</f>
        <v>1.5482247006235417</v>
      </c>
      <c r="T48" s="3" t="str">
        <f>IF(Ventas[[#This Row],[Margen (%)]]&gt;20%,"Beneficio","Perdidas")</f>
        <v>Beneficio</v>
      </c>
    </row>
    <row r="49" spans="1:20" x14ac:dyDescent="0.25">
      <c r="A49" s="12">
        <v>45501</v>
      </c>
      <c r="B49" s="1" t="s">
        <v>17</v>
      </c>
      <c r="C49" s="1" t="s">
        <v>18</v>
      </c>
      <c r="D49" s="1" t="s">
        <v>48</v>
      </c>
      <c r="E49" s="1" t="s">
        <v>38</v>
      </c>
      <c r="F49">
        <v>601</v>
      </c>
      <c r="G49">
        <v>10.38</v>
      </c>
      <c r="H49">
        <v>6238.38</v>
      </c>
      <c r="I49" s="1" t="s">
        <v>21</v>
      </c>
      <c r="J49" s="1" t="s">
        <v>22</v>
      </c>
      <c r="K49" s="1" t="s">
        <v>23</v>
      </c>
      <c r="L49">
        <v>3806.26</v>
      </c>
      <c r="M49">
        <v>39</v>
      </c>
      <c r="N49">
        <v>2024</v>
      </c>
      <c r="O49">
        <f t="shared" si="0"/>
        <v>3</v>
      </c>
      <c r="P49" s="13" t="s">
        <v>65</v>
      </c>
      <c r="Q49">
        <v>2432.12</v>
      </c>
      <c r="R49" s="3" t="s">
        <v>25</v>
      </c>
      <c r="S49" s="7">
        <f>Ventas[[#This Row],[Costo Material (€)]]/Ventas[[#This Row],[Beneficio (€)]]</f>
        <v>1.5649967929214021</v>
      </c>
      <c r="T49" s="3" t="str">
        <f>IF(Ventas[[#This Row],[Margen (%)]]&gt;20%,"Beneficio","Perdidas")</f>
        <v>Beneficio</v>
      </c>
    </row>
    <row r="50" spans="1:20" x14ac:dyDescent="0.25">
      <c r="A50" s="12">
        <v>44995</v>
      </c>
      <c r="B50" s="1" t="s">
        <v>51</v>
      </c>
      <c r="C50" s="1" t="s">
        <v>52</v>
      </c>
      <c r="D50" s="1" t="s">
        <v>32</v>
      </c>
      <c r="E50" s="1" t="s">
        <v>20</v>
      </c>
      <c r="F50">
        <v>651</v>
      </c>
      <c r="G50">
        <v>9.7200000000000006</v>
      </c>
      <c r="H50">
        <v>6327.72</v>
      </c>
      <c r="I50" s="1" t="s">
        <v>21</v>
      </c>
      <c r="J50" s="1" t="s">
        <v>56</v>
      </c>
      <c r="K50" s="1" t="s">
        <v>28</v>
      </c>
      <c r="L50">
        <v>3947.36</v>
      </c>
      <c r="M50">
        <v>37.6</v>
      </c>
      <c r="N50">
        <v>2023</v>
      </c>
      <c r="O50">
        <f t="shared" si="0"/>
        <v>1</v>
      </c>
      <c r="P50" s="13" t="s">
        <v>61</v>
      </c>
      <c r="Q50">
        <v>2380.36</v>
      </c>
      <c r="R50" s="3" t="s">
        <v>25</v>
      </c>
      <c r="S50" s="7">
        <f>Ventas[[#This Row],[Costo Material (€)]]/Ventas[[#This Row],[Beneficio (€)]]</f>
        <v>1.6583037859819523</v>
      </c>
      <c r="T50" s="3" t="str">
        <f>IF(Ventas[[#This Row],[Margen (%)]]&gt;20%,"Beneficio","Perdidas")</f>
        <v>Beneficio</v>
      </c>
    </row>
    <row r="51" spans="1:20" x14ac:dyDescent="0.25">
      <c r="A51" s="12">
        <v>44998</v>
      </c>
      <c r="B51" s="1" t="s">
        <v>58</v>
      </c>
      <c r="C51" s="1" t="s">
        <v>59</v>
      </c>
      <c r="D51" s="1" t="s">
        <v>32</v>
      </c>
      <c r="E51" s="1" t="s">
        <v>20</v>
      </c>
      <c r="F51">
        <v>886</v>
      </c>
      <c r="G51">
        <v>10.01</v>
      </c>
      <c r="H51">
        <v>8868.86</v>
      </c>
      <c r="I51" s="1" t="s">
        <v>57</v>
      </c>
      <c r="J51" s="1" t="s">
        <v>34</v>
      </c>
      <c r="K51" s="1" t="s">
        <v>41</v>
      </c>
      <c r="L51">
        <v>6498.3</v>
      </c>
      <c r="M51">
        <v>26.7</v>
      </c>
      <c r="N51">
        <v>2023</v>
      </c>
      <c r="O51">
        <f t="shared" si="0"/>
        <v>1</v>
      </c>
      <c r="P51" s="13" t="s">
        <v>61</v>
      </c>
      <c r="Q51">
        <v>2370.56</v>
      </c>
      <c r="R51" s="3" t="s">
        <v>25</v>
      </c>
      <c r="S51" s="7">
        <f>Ventas[[#This Row],[Costo Material (€)]]/Ventas[[#This Row],[Beneficio (€)]]</f>
        <v>2.7412510124190068</v>
      </c>
      <c r="T51" s="3" t="str">
        <f>IF(Ventas[[#This Row],[Margen (%)]]&gt;20%,"Beneficio","Perdidas")</f>
        <v>Beneficio</v>
      </c>
    </row>
    <row r="52" spans="1:20" x14ac:dyDescent="0.25">
      <c r="A52" s="12">
        <v>44928</v>
      </c>
      <c r="B52" s="1" t="s">
        <v>30</v>
      </c>
      <c r="C52" s="1" t="s">
        <v>31</v>
      </c>
      <c r="D52" s="1" t="s">
        <v>44</v>
      </c>
      <c r="E52" s="1" t="s">
        <v>38</v>
      </c>
      <c r="F52">
        <v>742</v>
      </c>
      <c r="G52">
        <v>10.41</v>
      </c>
      <c r="H52">
        <v>7724.22</v>
      </c>
      <c r="I52" s="1" t="s">
        <v>46</v>
      </c>
      <c r="J52" s="1" t="s">
        <v>47</v>
      </c>
      <c r="K52" s="1" t="s">
        <v>41</v>
      </c>
      <c r="L52">
        <v>5357.82</v>
      </c>
      <c r="M52">
        <v>30.6</v>
      </c>
      <c r="N52">
        <v>2023</v>
      </c>
      <c r="O52">
        <f t="shared" si="0"/>
        <v>1</v>
      </c>
      <c r="P52" s="13" t="s">
        <v>24</v>
      </c>
      <c r="Q52">
        <v>2366.4</v>
      </c>
      <c r="R52" s="3" t="s">
        <v>25</v>
      </c>
      <c r="S52" s="7">
        <f>Ventas[[#This Row],[Costo Material (€)]]/Ventas[[#This Row],[Beneficio (€)]]</f>
        <v>2.2641227180527381</v>
      </c>
      <c r="T52" s="3" t="str">
        <f>IF(Ventas[[#This Row],[Margen (%)]]&gt;20%,"Beneficio","Perdidas")</f>
        <v>Beneficio</v>
      </c>
    </row>
    <row r="53" spans="1:20" x14ac:dyDescent="0.25">
      <c r="A53" s="12">
        <v>45376</v>
      </c>
      <c r="B53" s="1" t="s">
        <v>17</v>
      </c>
      <c r="C53" s="1" t="s">
        <v>18</v>
      </c>
      <c r="D53" s="1" t="s">
        <v>53</v>
      </c>
      <c r="E53" s="1" t="s">
        <v>50</v>
      </c>
      <c r="F53">
        <v>925</v>
      </c>
      <c r="G53">
        <v>6.6</v>
      </c>
      <c r="H53">
        <v>6105</v>
      </c>
      <c r="I53" s="1" t="s">
        <v>55</v>
      </c>
      <c r="J53" s="1" t="s">
        <v>27</v>
      </c>
      <c r="K53" s="1" t="s">
        <v>28</v>
      </c>
      <c r="L53">
        <v>3772.38</v>
      </c>
      <c r="M53">
        <v>38.200000000000003</v>
      </c>
      <c r="N53">
        <v>2024</v>
      </c>
      <c r="O53">
        <f t="shared" si="0"/>
        <v>1</v>
      </c>
      <c r="P53" s="13" t="s">
        <v>61</v>
      </c>
      <c r="Q53">
        <v>2332.62</v>
      </c>
      <c r="R53" s="3" t="s">
        <v>25</v>
      </c>
      <c r="S53" s="7">
        <f>Ventas[[#This Row],[Costo Material (€)]]/Ventas[[#This Row],[Beneficio (€)]]</f>
        <v>1.617228695629807</v>
      </c>
      <c r="T53" s="3" t="str">
        <f>IF(Ventas[[#This Row],[Margen (%)]]&gt;20%,"Beneficio","Perdidas")</f>
        <v>Beneficio</v>
      </c>
    </row>
    <row r="54" spans="1:20" x14ac:dyDescent="0.25">
      <c r="A54" s="12">
        <v>45027</v>
      </c>
      <c r="B54" s="1" t="s">
        <v>30</v>
      </c>
      <c r="C54" s="1" t="s">
        <v>31</v>
      </c>
      <c r="D54" s="1" t="s">
        <v>49</v>
      </c>
      <c r="E54" s="1" t="s">
        <v>50</v>
      </c>
      <c r="F54">
        <v>513</v>
      </c>
      <c r="G54">
        <v>11.43</v>
      </c>
      <c r="H54">
        <v>5863.59</v>
      </c>
      <c r="I54" s="1" t="s">
        <v>54</v>
      </c>
      <c r="J54" s="1" t="s">
        <v>40</v>
      </c>
      <c r="K54" s="1" t="s">
        <v>23</v>
      </c>
      <c r="L54">
        <v>3543.88</v>
      </c>
      <c r="M54">
        <v>39.6</v>
      </c>
      <c r="N54">
        <v>2023</v>
      </c>
      <c r="O54">
        <f t="shared" si="0"/>
        <v>2</v>
      </c>
      <c r="P54" s="13" t="s">
        <v>62</v>
      </c>
      <c r="Q54">
        <v>2319.71</v>
      </c>
      <c r="R54" s="3" t="s">
        <v>25</v>
      </c>
      <c r="S54" s="7">
        <f>Ventas[[#This Row],[Costo Material (€)]]/Ventas[[#This Row],[Beneficio (€)]]</f>
        <v>1.5277254484396756</v>
      </c>
      <c r="T54" s="3" t="str">
        <f>IF(Ventas[[#This Row],[Margen (%)]]&gt;20%,"Beneficio","Perdidas")</f>
        <v>Beneficio</v>
      </c>
    </row>
    <row r="55" spans="1:20" x14ac:dyDescent="0.25">
      <c r="A55" s="12">
        <v>45014</v>
      </c>
      <c r="B55" s="1" t="s">
        <v>51</v>
      </c>
      <c r="C55" s="1" t="s">
        <v>52</v>
      </c>
      <c r="D55" s="1" t="s">
        <v>32</v>
      </c>
      <c r="E55" s="1" t="s">
        <v>20</v>
      </c>
      <c r="F55">
        <v>795</v>
      </c>
      <c r="G55">
        <v>11.88</v>
      </c>
      <c r="H55">
        <v>9444.6</v>
      </c>
      <c r="I55" s="1" t="s">
        <v>55</v>
      </c>
      <c r="J55" s="1" t="s">
        <v>40</v>
      </c>
      <c r="K55" s="1" t="s">
        <v>28</v>
      </c>
      <c r="L55">
        <v>7125.99</v>
      </c>
      <c r="M55">
        <v>24.5</v>
      </c>
      <c r="N55">
        <v>2023</v>
      </c>
      <c r="O55">
        <f t="shared" si="0"/>
        <v>1</v>
      </c>
      <c r="P55" s="13" t="s">
        <v>61</v>
      </c>
      <c r="Q55">
        <v>2318.61</v>
      </c>
      <c r="R55" s="3" t="s">
        <v>29</v>
      </c>
      <c r="S55" s="7">
        <f>Ventas[[#This Row],[Costo Material (€)]]/Ventas[[#This Row],[Beneficio (€)]]</f>
        <v>3.073388797598561</v>
      </c>
      <c r="T55" s="3" t="str">
        <f>IF(Ventas[[#This Row],[Margen (%)]]&gt;20%,"Beneficio","Perdidas")</f>
        <v>Beneficio</v>
      </c>
    </row>
    <row r="56" spans="1:20" x14ac:dyDescent="0.25">
      <c r="A56" s="12">
        <v>45276</v>
      </c>
      <c r="B56" s="1" t="s">
        <v>30</v>
      </c>
      <c r="C56" s="1" t="s">
        <v>31</v>
      </c>
      <c r="D56" s="1" t="s">
        <v>45</v>
      </c>
      <c r="E56" s="1" t="s">
        <v>20</v>
      </c>
      <c r="F56">
        <v>834</v>
      </c>
      <c r="G56">
        <v>11.98</v>
      </c>
      <c r="H56">
        <v>9991.32</v>
      </c>
      <c r="I56" s="1" t="s">
        <v>26</v>
      </c>
      <c r="J56" s="1" t="s">
        <v>22</v>
      </c>
      <c r="K56" s="1" t="s">
        <v>23</v>
      </c>
      <c r="L56">
        <v>7707.88</v>
      </c>
      <c r="M56">
        <v>22.9</v>
      </c>
      <c r="N56">
        <v>2023</v>
      </c>
      <c r="O56">
        <f t="shared" si="0"/>
        <v>4</v>
      </c>
      <c r="P56" s="13" t="s">
        <v>70</v>
      </c>
      <c r="Q56">
        <v>2283.44</v>
      </c>
      <c r="R56" s="3" t="s">
        <v>29</v>
      </c>
      <c r="S56" s="7">
        <f>Ventas[[#This Row],[Costo Material (€)]]/Ventas[[#This Row],[Beneficio (€)]]</f>
        <v>3.3755561783975057</v>
      </c>
      <c r="T56" s="3" t="str">
        <f>IF(Ventas[[#This Row],[Margen (%)]]&gt;20%,"Beneficio","Perdidas")</f>
        <v>Beneficio</v>
      </c>
    </row>
    <row r="57" spans="1:20" x14ac:dyDescent="0.25">
      <c r="A57" s="12">
        <v>44994</v>
      </c>
      <c r="B57" s="1" t="s">
        <v>42</v>
      </c>
      <c r="C57" s="1" t="s">
        <v>43</v>
      </c>
      <c r="D57" s="1" t="s">
        <v>19</v>
      </c>
      <c r="E57" s="1" t="s">
        <v>20</v>
      </c>
      <c r="F57">
        <v>923</v>
      </c>
      <c r="G57">
        <v>6.48</v>
      </c>
      <c r="H57">
        <v>5981.04</v>
      </c>
      <c r="I57" s="1" t="s">
        <v>55</v>
      </c>
      <c r="J57" s="1" t="s">
        <v>27</v>
      </c>
      <c r="K57" s="1" t="s">
        <v>41</v>
      </c>
      <c r="L57">
        <v>3705.8</v>
      </c>
      <c r="M57">
        <v>38</v>
      </c>
      <c r="N57">
        <v>2023</v>
      </c>
      <c r="O57">
        <f t="shared" si="0"/>
        <v>1</v>
      </c>
      <c r="P57" s="13" t="s">
        <v>61</v>
      </c>
      <c r="Q57">
        <v>2275.2399999999998</v>
      </c>
      <c r="R57" s="3" t="s">
        <v>25</v>
      </c>
      <c r="S57" s="7">
        <f>Ventas[[#This Row],[Costo Material (€)]]/Ventas[[#This Row],[Beneficio (€)]]</f>
        <v>1.6287512526151089</v>
      </c>
      <c r="T57" s="3" t="str">
        <f>IF(Ventas[[#This Row],[Margen (%)]]&gt;20%,"Beneficio","Perdidas")</f>
        <v>Beneficio</v>
      </c>
    </row>
    <row r="58" spans="1:20" x14ac:dyDescent="0.25">
      <c r="A58" s="12">
        <v>45041</v>
      </c>
      <c r="B58" s="1" t="s">
        <v>51</v>
      </c>
      <c r="C58" s="1" t="s">
        <v>52</v>
      </c>
      <c r="D58" s="1" t="s">
        <v>37</v>
      </c>
      <c r="E58" s="1" t="s">
        <v>38</v>
      </c>
      <c r="F58">
        <v>792</v>
      </c>
      <c r="G58">
        <v>7.89</v>
      </c>
      <c r="H58">
        <v>6248.88</v>
      </c>
      <c r="I58" s="1" t="s">
        <v>26</v>
      </c>
      <c r="J58" s="1" t="s">
        <v>40</v>
      </c>
      <c r="K58" s="1" t="s">
        <v>41</v>
      </c>
      <c r="L58">
        <v>3989.68</v>
      </c>
      <c r="M58">
        <v>36.200000000000003</v>
      </c>
      <c r="N58">
        <v>2023</v>
      </c>
      <c r="O58">
        <f t="shared" si="0"/>
        <v>2</v>
      </c>
      <c r="P58" s="13" t="s">
        <v>62</v>
      </c>
      <c r="Q58">
        <v>2259.1999999999998</v>
      </c>
      <c r="R58" s="3" t="s">
        <v>25</v>
      </c>
      <c r="S58" s="7">
        <f>Ventas[[#This Row],[Costo Material (€)]]/Ventas[[#This Row],[Beneficio (€)]]</f>
        <v>1.7659702549575071</v>
      </c>
      <c r="T58" s="3" t="str">
        <f>IF(Ventas[[#This Row],[Margen (%)]]&gt;20%,"Beneficio","Perdidas")</f>
        <v>Beneficio</v>
      </c>
    </row>
    <row r="59" spans="1:20" x14ac:dyDescent="0.25">
      <c r="A59" s="12">
        <v>45427</v>
      </c>
      <c r="B59" s="1" t="s">
        <v>17</v>
      </c>
      <c r="C59" s="1" t="s">
        <v>18</v>
      </c>
      <c r="D59" s="1" t="s">
        <v>32</v>
      </c>
      <c r="E59" s="1" t="s">
        <v>20</v>
      </c>
      <c r="F59">
        <v>758</v>
      </c>
      <c r="G59">
        <v>10.07</v>
      </c>
      <c r="H59">
        <v>7633.06</v>
      </c>
      <c r="I59" s="1" t="s">
        <v>54</v>
      </c>
      <c r="J59" s="1" t="s">
        <v>27</v>
      </c>
      <c r="K59" s="1" t="s">
        <v>23</v>
      </c>
      <c r="L59">
        <v>5378.38</v>
      </c>
      <c r="M59">
        <v>29.5</v>
      </c>
      <c r="N59">
        <v>2024</v>
      </c>
      <c r="O59">
        <f t="shared" si="0"/>
        <v>2</v>
      </c>
      <c r="P59" s="13" t="s">
        <v>63</v>
      </c>
      <c r="Q59">
        <v>2254.6799999999998</v>
      </c>
      <c r="R59" s="3" t="s">
        <v>25</v>
      </c>
      <c r="S59" s="7">
        <f>Ventas[[#This Row],[Costo Material (€)]]/Ventas[[#This Row],[Beneficio (€)]]</f>
        <v>2.3854294179218338</v>
      </c>
      <c r="T59" s="3" t="str">
        <f>IF(Ventas[[#This Row],[Margen (%)]]&gt;20%,"Beneficio","Perdidas")</f>
        <v>Beneficio</v>
      </c>
    </row>
    <row r="60" spans="1:20" x14ac:dyDescent="0.25">
      <c r="A60" s="12">
        <v>45062</v>
      </c>
      <c r="B60" s="1" t="s">
        <v>58</v>
      </c>
      <c r="C60" s="1" t="s">
        <v>59</v>
      </c>
      <c r="D60" s="1" t="s">
        <v>19</v>
      </c>
      <c r="E60" s="1" t="s">
        <v>20</v>
      </c>
      <c r="F60">
        <v>624</v>
      </c>
      <c r="G60">
        <v>9.86</v>
      </c>
      <c r="H60">
        <v>6152.64</v>
      </c>
      <c r="I60" s="1" t="s">
        <v>46</v>
      </c>
      <c r="J60" s="1" t="s">
        <v>34</v>
      </c>
      <c r="K60" s="1" t="s">
        <v>41</v>
      </c>
      <c r="L60">
        <v>3932.18</v>
      </c>
      <c r="M60">
        <v>36.1</v>
      </c>
      <c r="N60">
        <v>2023</v>
      </c>
      <c r="O60">
        <f t="shared" si="0"/>
        <v>2</v>
      </c>
      <c r="P60" s="13" t="s">
        <v>63</v>
      </c>
      <c r="Q60">
        <v>2220.46</v>
      </c>
      <c r="R60" s="3" t="s">
        <v>25</v>
      </c>
      <c r="S60" s="7">
        <f>Ventas[[#This Row],[Costo Material (€)]]/Ventas[[#This Row],[Beneficio (€)]]</f>
        <v>1.7708853120524575</v>
      </c>
      <c r="T60" s="3" t="str">
        <f>IF(Ventas[[#This Row],[Margen (%)]]&gt;20%,"Beneficio","Perdidas")</f>
        <v>Beneficio</v>
      </c>
    </row>
    <row r="61" spans="1:20" x14ac:dyDescent="0.25">
      <c r="A61" s="12">
        <v>45524</v>
      </c>
      <c r="B61" s="1" t="s">
        <v>30</v>
      </c>
      <c r="C61" s="1" t="s">
        <v>31</v>
      </c>
      <c r="D61" s="1" t="s">
        <v>32</v>
      </c>
      <c r="E61" s="1" t="s">
        <v>20</v>
      </c>
      <c r="F61">
        <v>874</v>
      </c>
      <c r="G61">
        <v>9.67</v>
      </c>
      <c r="H61">
        <v>8451.58</v>
      </c>
      <c r="I61" s="1" t="s">
        <v>57</v>
      </c>
      <c r="J61" s="1" t="s">
        <v>47</v>
      </c>
      <c r="K61" s="1" t="s">
        <v>28</v>
      </c>
      <c r="L61">
        <v>6232.91</v>
      </c>
      <c r="M61">
        <v>26.3</v>
      </c>
      <c r="N61">
        <v>2024</v>
      </c>
      <c r="O61">
        <f t="shared" si="0"/>
        <v>3</v>
      </c>
      <c r="P61" s="13" t="s">
        <v>66</v>
      </c>
      <c r="Q61">
        <v>2218.67</v>
      </c>
      <c r="R61" s="3" t="s">
        <v>25</v>
      </c>
      <c r="S61" s="7">
        <f>Ventas[[#This Row],[Costo Material (€)]]/Ventas[[#This Row],[Beneficio (€)]]</f>
        <v>2.8093001663158557</v>
      </c>
      <c r="T61" s="3" t="str">
        <f>IF(Ventas[[#This Row],[Margen (%)]]&gt;20%,"Beneficio","Perdidas")</f>
        <v>Beneficio</v>
      </c>
    </row>
    <row r="62" spans="1:20" x14ac:dyDescent="0.25">
      <c r="A62" s="12">
        <v>45196</v>
      </c>
      <c r="B62" s="1" t="s">
        <v>58</v>
      </c>
      <c r="C62" s="1" t="s">
        <v>59</v>
      </c>
      <c r="D62" s="1" t="s">
        <v>37</v>
      </c>
      <c r="E62" s="1" t="s">
        <v>38</v>
      </c>
      <c r="F62">
        <v>896</v>
      </c>
      <c r="G62">
        <v>6.3</v>
      </c>
      <c r="H62">
        <v>5644.8</v>
      </c>
      <c r="I62" s="1" t="s">
        <v>39</v>
      </c>
      <c r="J62" s="1" t="s">
        <v>22</v>
      </c>
      <c r="K62" s="1" t="s">
        <v>28</v>
      </c>
      <c r="L62">
        <v>3452.37</v>
      </c>
      <c r="M62">
        <v>38.799999999999997</v>
      </c>
      <c r="N62">
        <v>2023</v>
      </c>
      <c r="O62">
        <f t="shared" si="0"/>
        <v>3</v>
      </c>
      <c r="P62" s="13" t="s">
        <v>67</v>
      </c>
      <c r="Q62">
        <v>2192.4299999999998</v>
      </c>
      <c r="R62" s="3" t="s">
        <v>25</v>
      </c>
      <c r="S62" s="7">
        <f>Ventas[[#This Row],[Costo Material (€)]]/Ventas[[#This Row],[Beneficio (€)]]</f>
        <v>1.5746774127338159</v>
      </c>
      <c r="T62" s="3" t="str">
        <f>IF(Ventas[[#This Row],[Margen (%)]]&gt;20%,"Beneficio","Perdidas")</f>
        <v>Beneficio</v>
      </c>
    </row>
    <row r="63" spans="1:20" x14ac:dyDescent="0.25">
      <c r="A63" s="12">
        <v>45232</v>
      </c>
      <c r="B63" s="1" t="s">
        <v>35</v>
      </c>
      <c r="C63" s="1" t="s">
        <v>36</v>
      </c>
      <c r="D63" s="1" t="s">
        <v>53</v>
      </c>
      <c r="E63" s="1" t="s">
        <v>50</v>
      </c>
      <c r="F63">
        <v>923</v>
      </c>
      <c r="G63">
        <v>9.34</v>
      </c>
      <c r="H63">
        <v>8620.82</v>
      </c>
      <c r="I63" s="1" t="s">
        <v>21</v>
      </c>
      <c r="J63" s="1" t="s">
        <v>47</v>
      </c>
      <c r="K63" s="1" t="s">
        <v>41</v>
      </c>
      <c r="L63">
        <v>6439.54</v>
      </c>
      <c r="M63">
        <v>25.3</v>
      </c>
      <c r="N63">
        <v>2023</v>
      </c>
      <c r="O63">
        <f t="shared" si="0"/>
        <v>4</v>
      </c>
      <c r="P63" s="13" t="s">
        <v>69</v>
      </c>
      <c r="Q63">
        <v>2181.2800000000002</v>
      </c>
      <c r="R63" s="3" t="s">
        <v>25</v>
      </c>
      <c r="S63" s="7">
        <f>Ventas[[#This Row],[Costo Material (€)]]/Ventas[[#This Row],[Beneficio (€)]]</f>
        <v>2.9521840387295528</v>
      </c>
      <c r="T63" s="3" t="str">
        <f>IF(Ventas[[#This Row],[Margen (%)]]&gt;20%,"Beneficio","Perdidas")</f>
        <v>Beneficio</v>
      </c>
    </row>
    <row r="64" spans="1:20" x14ac:dyDescent="0.25">
      <c r="A64" s="12">
        <v>45406</v>
      </c>
      <c r="B64" s="1" t="s">
        <v>42</v>
      </c>
      <c r="C64" s="1" t="s">
        <v>43</v>
      </c>
      <c r="D64" s="1" t="s">
        <v>32</v>
      </c>
      <c r="E64" s="1" t="s">
        <v>20</v>
      </c>
      <c r="F64">
        <v>693</v>
      </c>
      <c r="G64">
        <v>8.67</v>
      </c>
      <c r="H64">
        <v>6008.31</v>
      </c>
      <c r="I64" s="1" t="s">
        <v>54</v>
      </c>
      <c r="J64" s="1" t="s">
        <v>56</v>
      </c>
      <c r="K64" s="1" t="s">
        <v>23</v>
      </c>
      <c r="L64">
        <v>3831.92</v>
      </c>
      <c r="M64">
        <v>36.200000000000003</v>
      </c>
      <c r="N64">
        <v>2024</v>
      </c>
      <c r="O64">
        <f t="shared" si="0"/>
        <v>2</v>
      </c>
      <c r="P64" s="13" t="s">
        <v>62</v>
      </c>
      <c r="Q64">
        <v>2176.39</v>
      </c>
      <c r="R64" s="3" t="s">
        <v>25</v>
      </c>
      <c r="S64" s="7">
        <f>Ventas[[#This Row],[Costo Material (€)]]/Ventas[[#This Row],[Beneficio (€)]]</f>
        <v>1.7606770845298867</v>
      </c>
      <c r="T64" s="3" t="str">
        <f>IF(Ventas[[#This Row],[Margen (%)]]&gt;20%,"Beneficio","Perdidas")</f>
        <v>Beneficio</v>
      </c>
    </row>
    <row r="65" spans="1:20" x14ac:dyDescent="0.25">
      <c r="A65" s="12">
        <v>45116</v>
      </c>
      <c r="B65" s="1" t="s">
        <v>58</v>
      </c>
      <c r="C65" s="1" t="s">
        <v>59</v>
      </c>
      <c r="D65" s="1" t="s">
        <v>49</v>
      </c>
      <c r="E65" s="1" t="s">
        <v>50</v>
      </c>
      <c r="F65">
        <v>943</v>
      </c>
      <c r="G65">
        <v>8.4</v>
      </c>
      <c r="H65">
        <v>7921.2</v>
      </c>
      <c r="I65" s="1" t="s">
        <v>46</v>
      </c>
      <c r="J65" s="1" t="s">
        <v>27</v>
      </c>
      <c r="K65" s="1" t="s">
        <v>41</v>
      </c>
      <c r="L65">
        <v>5757.96</v>
      </c>
      <c r="M65">
        <v>27.3</v>
      </c>
      <c r="N65">
        <v>2023</v>
      </c>
      <c r="O65">
        <f t="shared" si="0"/>
        <v>3</v>
      </c>
      <c r="P65" s="13" t="s">
        <v>65</v>
      </c>
      <c r="Q65">
        <v>2163.2399999999998</v>
      </c>
      <c r="R65" s="3" t="s">
        <v>25</v>
      </c>
      <c r="S65" s="7">
        <f>Ventas[[#This Row],[Costo Material (€)]]/Ventas[[#This Row],[Beneficio (€)]]</f>
        <v>2.6617296277805518</v>
      </c>
      <c r="T65" s="3" t="str">
        <f>IF(Ventas[[#This Row],[Margen (%)]]&gt;20%,"Beneficio","Perdidas")</f>
        <v>Beneficio</v>
      </c>
    </row>
    <row r="66" spans="1:20" x14ac:dyDescent="0.25">
      <c r="A66" s="12">
        <v>45004</v>
      </c>
      <c r="B66" s="1" t="s">
        <v>58</v>
      </c>
      <c r="C66" s="1" t="s">
        <v>59</v>
      </c>
      <c r="D66" s="1" t="s">
        <v>32</v>
      </c>
      <c r="E66" s="1" t="s">
        <v>20</v>
      </c>
      <c r="F66">
        <v>822</v>
      </c>
      <c r="G66">
        <v>7.52</v>
      </c>
      <c r="H66">
        <v>6181.44</v>
      </c>
      <c r="I66" s="1" t="s">
        <v>54</v>
      </c>
      <c r="J66" s="1" t="s">
        <v>22</v>
      </c>
      <c r="K66" s="1" t="s">
        <v>23</v>
      </c>
      <c r="L66">
        <v>4020.19</v>
      </c>
      <c r="M66">
        <v>35</v>
      </c>
      <c r="N66">
        <v>2023</v>
      </c>
      <c r="O66">
        <f t="shared" ref="O66:O129" si="1">ROUNDUP(MONTH(A66)/3,0)</f>
        <v>1</v>
      </c>
      <c r="P66" s="13" t="s">
        <v>61</v>
      </c>
      <c r="Q66">
        <v>2161.25</v>
      </c>
      <c r="R66" s="3" t="s">
        <v>25</v>
      </c>
      <c r="S66" s="7">
        <f>Ventas[[#This Row],[Costo Material (€)]]/Ventas[[#This Row],[Beneficio (€)]]</f>
        <v>1.8601226142278775</v>
      </c>
      <c r="T66" s="3" t="str">
        <f>IF(Ventas[[#This Row],[Margen (%)]]&gt;20%,"Beneficio","Perdidas")</f>
        <v>Beneficio</v>
      </c>
    </row>
    <row r="67" spans="1:20" x14ac:dyDescent="0.25">
      <c r="A67" s="12">
        <v>45019</v>
      </c>
      <c r="B67" s="1" t="s">
        <v>42</v>
      </c>
      <c r="C67" s="1" t="s">
        <v>43</v>
      </c>
      <c r="D67" s="1" t="s">
        <v>48</v>
      </c>
      <c r="E67" s="1" t="s">
        <v>38</v>
      </c>
      <c r="F67">
        <v>947</v>
      </c>
      <c r="G67">
        <v>10.67</v>
      </c>
      <c r="H67">
        <v>10104.49</v>
      </c>
      <c r="I67" s="1" t="s">
        <v>26</v>
      </c>
      <c r="J67" s="1" t="s">
        <v>22</v>
      </c>
      <c r="K67" s="1" t="s">
        <v>23</v>
      </c>
      <c r="L67">
        <v>7957.18</v>
      </c>
      <c r="M67">
        <v>21.3</v>
      </c>
      <c r="N67">
        <v>2023</v>
      </c>
      <c r="O67">
        <f t="shared" si="1"/>
        <v>2</v>
      </c>
      <c r="P67" s="13" t="s">
        <v>62</v>
      </c>
      <c r="Q67">
        <v>2147.31</v>
      </c>
      <c r="R67" s="3" t="s">
        <v>29</v>
      </c>
      <c r="S67" s="7">
        <f>Ventas[[#This Row],[Costo Material (€)]]/Ventas[[#This Row],[Beneficio (€)]]</f>
        <v>3.7056503252907129</v>
      </c>
      <c r="T67" s="3" t="str">
        <f>IF(Ventas[[#This Row],[Margen (%)]]&gt;20%,"Beneficio","Perdidas")</f>
        <v>Beneficio</v>
      </c>
    </row>
    <row r="68" spans="1:20" x14ac:dyDescent="0.25">
      <c r="A68" s="12">
        <v>45054</v>
      </c>
      <c r="B68" s="1" t="s">
        <v>51</v>
      </c>
      <c r="C68" s="1" t="s">
        <v>52</v>
      </c>
      <c r="D68" s="1" t="s">
        <v>44</v>
      </c>
      <c r="E68" s="1" t="s">
        <v>38</v>
      </c>
      <c r="F68">
        <v>914</v>
      </c>
      <c r="G68">
        <v>11.69</v>
      </c>
      <c r="H68">
        <v>10684.66</v>
      </c>
      <c r="I68" s="1" t="s">
        <v>21</v>
      </c>
      <c r="J68" s="1" t="s">
        <v>27</v>
      </c>
      <c r="K68" s="1" t="s">
        <v>41</v>
      </c>
      <c r="L68">
        <v>8537.83</v>
      </c>
      <c r="M68">
        <v>20.100000000000001</v>
      </c>
      <c r="N68">
        <v>2023</v>
      </c>
      <c r="O68">
        <f t="shared" si="1"/>
        <v>2</v>
      </c>
      <c r="P68" s="13" t="s">
        <v>63</v>
      </c>
      <c r="Q68">
        <v>2146.83</v>
      </c>
      <c r="R68" s="3" t="s">
        <v>29</v>
      </c>
      <c r="S68" s="7">
        <f>Ventas[[#This Row],[Costo Material (€)]]/Ventas[[#This Row],[Beneficio (€)]]</f>
        <v>3.9769474061756172</v>
      </c>
      <c r="T68" s="3" t="str">
        <f>IF(Ventas[[#This Row],[Margen (%)]]&gt;20%,"Beneficio","Perdidas")</f>
        <v>Beneficio</v>
      </c>
    </row>
    <row r="69" spans="1:20" x14ac:dyDescent="0.25">
      <c r="A69" s="12">
        <v>45457</v>
      </c>
      <c r="B69" s="1" t="s">
        <v>30</v>
      </c>
      <c r="C69" s="1" t="s">
        <v>31</v>
      </c>
      <c r="D69" s="1" t="s">
        <v>53</v>
      </c>
      <c r="E69" s="1" t="s">
        <v>50</v>
      </c>
      <c r="F69">
        <v>706</v>
      </c>
      <c r="G69">
        <v>7.7</v>
      </c>
      <c r="H69">
        <v>5436.2</v>
      </c>
      <c r="I69" s="1" t="s">
        <v>57</v>
      </c>
      <c r="J69" s="1" t="s">
        <v>27</v>
      </c>
      <c r="K69" s="1" t="s">
        <v>28</v>
      </c>
      <c r="L69">
        <v>3294.71</v>
      </c>
      <c r="M69">
        <v>39.4</v>
      </c>
      <c r="N69">
        <v>2024</v>
      </c>
      <c r="O69">
        <f t="shared" si="1"/>
        <v>2</v>
      </c>
      <c r="P69" s="13" t="s">
        <v>64</v>
      </c>
      <c r="Q69">
        <v>2141.4899999999998</v>
      </c>
      <c r="R69" s="3" t="s">
        <v>25</v>
      </c>
      <c r="S69" s="7">
        <f>Ventas[[#This Row],[Costo Material (€)]]/Ventas[[#This Row],[Beneficio (€)]]</f>
        <v>1.538512904566447</v>
      </c>
      <c r="T69" s="3" t="str">
        <f>IF(Ventas[[#This Row],[Margen (%)]]&gt;20%,"Beneficio","Perdidas")</f>
        <v>Beneficio</v>
      </c>
    </row>
    <row r="70" spans="1:20" x14ac:dyDescent="0.25">
      <c r="A70" s="12">
        <v>44987</v>
      </c>
      <c r="B70" s="1" t="s">
        <v>30</v>
      </c>
      <c r="C70" s="1" t="s">
        <v>31</v>
      </c>
      <c r="D70" s="1" t="s">
        <v>53</v>
      </c>
      <c r="E70" s="1" t="s">
        <v>50</v>
      </c>
      <c r="F70">
        <v>626</v>
      </c>
      <c r="G70">
        <v>9.82</v>
      </c>
      <c r="H70">
        <v>6147.32</v>
      </c>
      <c r="I70" s="1" t="s">
        <v>55</v>
      </c>
      <c r="J70" s="1" t="s">
        <v>40</v>
      </c>
      <c r="K70" s="1" t="s">
        <v>28</v>
      </c>
      <c r="L70">
        <v>4007.71</v>
      </c>
      <c r="M70">
        <v>34.799999999999997</v>
      </c>
      <c r="N70">
        <v>2023</v>
      </c>
      <c r="O70">
        <f t="shared" si="1"/>
        <v>1</v>
      </c>
      <c r="P70" s="13" t="s">
        <v>61</v>
      </c>
      <c r="Q70">
        <v>2139.61</v>
      </c>
      <c r="R70" s="3" t="s">
        <v>25</v>
      </c>
      <c r="S70" s="7">
        <f>Ventas[[#This Row],[Costo Material (€)]]/Ventas[[#This Row],[Beneficio (€)]]</f>
        <v>1.8731030421431942</v>
      </c>
      <c r="T70" s="3" t="str">
        <f>IF(Ventas[[#This Row],[Margen (%)]]&gt;20%,"Beneficio","Perdidas")</f>
        <v>Beneficio</v>
      </c>
    </row>
    <row r="71" spans="1:20" x14ac:dyDescent="0.25">
      <c r="A71" s="12">
        <v>45121</v>
      </c>
      <c r="B71" s="1" t="s">
        <v>58</v>
      </c>
      <c r="C71" s="1" t="s">
        <v>59</v>
      </c>
      <c r="D71" s="1" t="s">
        <v>19</v>
      </c>
      <c r="E71" s="1" t="s">
        <v>20</v>
      </c>
      <c r="F71">
        <v>942</v>
      </c>
      <c r="G71">
        <v>10.27</v>
      </c>
      <c r="H71">
        <v>9674.34</v>
      </c>
      <c r="I71" s="1" t="s">
        <v>55</v>
      </c>
      <c r="J71" s="1" t="s">
        <v>22</v>
      </c>
      <c r="K71" s="1" t="s">
        <v>41</v>
      </c>
      <c r="L71">
        <v>7539.15</v>
      </c>
      <c r="M71">
        <v>22.1</v>
      </c>
      <c r="N71">
        <v>2023</v>
      </c>
      <c r="O71">
        <f t="shared" si="1"/>
        <v>3</v>
      </c>
      <c r="P71" s="13" t="s">
        <v>65</v>
      </c>
      <c r="Q71">
        <v>2135.19</v>
      </c>
      <c r="R71" s="3" t="s">
        <v>29</v>
      </c>
      <c r="S71" s="7">
        <f>Ventas[[#This Row],[Costo Material (€)]]/Ventas[[#This Row],[Beneficio (€)]]</f>
        <v>3.5309035729841369</v>
      </c>
      <c r="T71" s="3" t="str">
        <f>IF(Ventas[[#This Row],[Margen (%)]]&gt;20%,"Beneficio","Perdidas")</f>
        <v>Beneficio</v>
      </c>
    </row>
    <row r="72" spans="1:20" x14ac:dyDescent="0.25">
      <c r="A72" s="12">
        <v>45077</v>
      </c>
      <c r="B72" s="1" t="s">
        <v>42</v>
      </c>
      <c r="C72" s="1" t="s">
        <v>43</v>
      </c>
      <c r="D72" s="1" t="s">
        <v>49</v>
      </c>
      <c r="E72" s="1" t="s">
        <v>50</v>
      </c>
      <c r="F72">
        <v>633</v>
      </c>
      <c r="G72">
        <v>9.75</v>
      </c>
      <c r="H72">
        <v>6171.75</v>
      </c>
      <c r="I72" s="1" t="s">
        <v>57</v>
      </c>
      <c r="J72" s="1" t="s">
        <v>47</v>
      </c>
      <c r="K72" s="1" t="s">
        <v>28</v>
      </c>
      <c r="L72">
        <v>4039.36</v>
      </c>
      <c r="M72">
        <v>34.6</v>
      </c>
      <c r="N72">
        <v>2023</v>
      </c>
      <c r="O72">
        <f t="shared" si="1"/>
        <v>2</v>
      </c>
      <c r="P72" s="13" t="s">
        <v>63</v>
      </c>
      <c r="Q72">
        <v>2132.39</v>
      </c>
      <c r="R72" s="3" t="s">
        <v>25</v>
      </c>
      <c r="S72" s="7">
        <f>Ventas[[#This Row],[Costo Material (€)]]/Ventas[[#This Row],[Beneficio (€)]]</f>
        <v>1.8942876303115286</v>
      </c>
      <c r="T72" s="3" t="str">
        <f>IF(Ventas[[#This Row],[Margen (%)]]&gt;20%,"Beneficio","Perdidas")</f>
        <v>Beneficio</v>
      </c>
    </row>
    <row r="73" spans="1:20" x14ac:dyDescent="0.25">
      <c r="A73" s="12">
        <v>45190</v>
      </c>
      <c r="B73" s="1" t="s">
        <v>58</v>
      </c>
      <c r="C73" s="1" t="s">
        <v>59</v>
      </c>
      <c r="D73" s="1" t="s">
        <v>48</v>
      </c>
      <c r="E73" s="1" t="s">
        <v>38</v>
      </c>
      <c r="F73">
        <v>798</v>
      </c>
      <c r="G73">
        <v>11.29</v>
      </c>
      <c r="H73">
        <v>9009.42</v>
      </c>
      <c r="I73" s="1" t="s">
        <v>39</v>
      </c>
      <c r="J73" s="1" t="s">
        <v>34</v>
      </c>
      <c r="K73" s="1" t="s">
        <v>23</v>
      </c>
      <c r="L73">
        <v>6880.94</v>
      </c>
      <c r="M73">
        <v>23.6</v>
      </c>
      <c r="N73">
        <v>2023</v>
      </c>
      <c r="O73">
        <f t="shared" si="1"/>
        <v>3</v>
      </c>
      <c r="P73" s="13" t="s">
        <v>67</v>
      </c>
      <c r="Q73">
        <v>2128.48</v>
      </c>
      <c r="R73" s="3" t="s">
        <v>29</v>
      </c>
      <c r="S73" s="7">
        <f>Ventas[[#This Row],[Costo Material (€)]]/Ventas[[#This Row],[Beneficio (€)]]</f>
        <v>3.2327952341577086</v>
      </c>
      <c r="T73" s="3" t="str">
        <f>IF(Ventas[[#This Row],[Margen (%)]]&gt;20%,"Beneficio","Perdidas")</f>
        <v>Beneficio</v>
      </c>
    </row>
    <row r="74" spans="1:20" x14ac:dyDescent="0.25">
      <c r="A74" s="12">
        <v>45480</v>
      </c>
      <c r="B74" s="1" t="s">
        <v>35</v>
      </c>
      <c r="C74" s="1" t="s">
        <v>36</v>
      </c>
      <c r="D74" s="1" t="s">
        <v>32</v>
      </c>
      <c r="E74" s="1" t="s">
        <v>20</v>
      </c>
      <c r="F74">
        <v>906</v>
      </c>
      <c r="G74">
        <v>6.78</v>
      </c>
      <c r="H74">
        <v>6142.68</v>
      </c>
      <c r="I74" s="1" t="s">
        <v>54</v>
      </c>
      <c r="J74" s="1" t="s">
        <v>56</v>
      </c>
      <c r="K74" s="1" t="s">
        <v>41</v>
      </c>
      <c r="L74">
        <v>4019.69</v>
      </c>
      <c r="M74">
        <v>34.6</v>
      </c>
      <c r="N74">
        <v>2024</v>
      </c>
      <c r="O74">
        <f t="shared" si="1"/>
        <v>3</v>
      </c>
      <c r="P74" s="13" t="s">
        <v>65</v>
      </c>
      <c r="Q74">
        <v>2122.9899999999998</v>
      </c>
      <c r="R74" s="3" t="s">
        <v>25</v>
      </c>
      <c r="S74" s="7">
        <f>Ventas[[#This Row],[Costo Material (€)]]/Ventas[[#This Row],[Beneficio (€)]]</f>
        <v>1.8934097664143499</v>
      </c>
      <c r="T74" s="3" t="str">
        <f>IF(Ventas[[#This Row],[Margen (%)]]&gt;20%,"Beneficio","Perdidas")</f>
        <v>Beneficio</v>
      </c>
    </row>
    <row r="75" spans="1:20" x14ac:dyDescent="0.25">
      <c r="A75" s="12">
        <v>44935</v>
      </c>
      <c r="B75" s="1" t="s">
        <v>51</v>
      </c>
      <c r="C75" s="1" t="s">
        <v>52</v>
      </c>
      <c r="D75" s="1" t="s">
        <v>49</v>
      </c>
      <c r="E75" s="1" t="s">
        <v>50</v>
      </c>
      <c r="F75">
        <v>962</v>
      </c>
      <c r="G75">
        <v>9.36</v>
      </c>
      <c r="H75">
        <v>9004.32</v>
      </c>
      <c r="I75" s="1" t="s">
        <v>57</v>
      </c>
      <c r="J75" s="1" t="s">
        <v>34</v>
      </c>
      <c r="K75" s="1" t="s">
        <v>28</v>
      </c>
      <c r="L75">
        <v>6885.5</v>
      </c>
      <c r="M75">
        <v>23.5</v>
      </c>
      <c r="N75">
        <v>2023</v>
      </c>
      <c r="O75">
        <f t="shared" si="1"/>
        <v>1</v>
      </c>
      <c r="P75" s="13" t="s">
        <v>24</v>
      </c>
      <c r="Q75">
        <v>2118.8200000000002</v>
      </c>
      <c r="R75" s="3" t="s">
        <v>29</v>
      </c>
      <c r="S75" s="7">
        <f>Ventas[[#This Row],[Costo Material (€)]]/Ventas[[#This Row],[Beneficio (€)]]</f>
        <v>3.2496861460624307</v>
      </c>
      <c r="T75" s="3" t="str">
        <f>IF(Ventas[[#This Row],[Margen (%)]]&gt;20%,"Beneficio","Perdidas")</f>
        <v>Beneficio</v>
      </c>
    </row>
    <row r="76" spans="1:20" x14ac:dyDescent="0.25">
      <c r="A76" s="12">
        <v>45589</v>
      </c>
      <c r="B76" s="1" t="s">
        <v>42</v>
      </c>
      <c r="C76" s="1" t="s">
        <v>43</v>
      </c>
      <c r="D76" s="1" t="s">
        <v>53</v>
      </c>
      <c r="E76" s="1" t="s">
        <v>50</v>
      </c>
      <c r="F76">
        <v>923</v>
      </c>
      <c r="G76">
        <v>11.7</v>
      </c>
      <c r="H76">
        <v>10799.1</v>
      </c>
      <c r="I76" s="1" t="s">
        <v>57</v>
      </c>
      <c r="J76" s="1" t="s">
        <v>56</v>
      </c>
      <c r="K76" s="1" t="s">
        <v>41</v>
      </c>
      <c r="L76">
        <v>8690.08</v>
      </c>
      <c r="M76">
        <v>19.5</v>
      </c>
      <c r="N76">
        <v>2024</v>
      </c>
      <c r="O76">
        <f t="shared" si="1"/>
        <v>4</v>
      </c>
      <c r="P76" s="13" t="s">
        <v>68</v>
      </c>
      <c r="Q76">
        <v>2109.02</v>
      </c>
      <c r="R76" s="3" t="s">
        <v>29</v>
      </c>
      <c r="S76" s="7">
        <f>Ventas[[#This Row],[Costo Material (€)]]/Ventas[[#This Row],[Beneficio (€)]]</f>
        <v>4.1204350835933274</v>
      </c>
      <c r="T76" s="3" t="str">
        <f>IF(Ventas[[#This Row],[Margen (%)]]&gt;20%,"Beneficio","Perdidas")</f>
        <v>Beneficio</v>
      </c>
    </row>
    <row r="77" spans="1:20" x14ac:dyDescent="0.25">
      <c r="A77" s="12">
        <v>44954</v>
      </c>
      <c r="B77" s="1" t="s">
        <v>30</v>
      </c>
      <c r="C77" s="1" t="s">
        <v>31</v>
      </c>
      <c r="D77" s="1" t="s">
        <v>19</v>
      </c>
      <c r="E77" s="1" t="s">
        <v>20</v>
      </c>
      <c r="F77">
        <v>492</v>
      </c>
      <c r="G77">
        <v>10.69</v>
      </c>
      <c r="H77">
        <v>5259.48</v>
      </c>
      <c r="I77" s="1" t="s">
        <v>55</v>
      </c>
      <c r="J77" s="1" t="s">
        <v>56</v>
      </c>
      <c r="K77" s="1" t="s">
        <v>41</v>
      </c>
      <c r="L77">
        <v>3165.96</v>
      </c>
      <c r="M77">
        <v>39.799999999999997</v>
      </c>
      <c r="N77">
        <v>2023</v>
      </c>
      <c r="O77">
        <f t="shared" si="1"/>
        <v>1</v>
      </c>
      <c r="P77" s="13" t="s">
        <v>24</v>
      </c>
      <c r="Q77">
        <v>2093.52</v>
      </c>
      <c r="R77" s="3" t="s">
        <v>25</v>
      </c>
      <c r="S77" s="7">
        <f>Ventas[[#This Row],[Costo Material (€)]]/Ventas[[#This Row],[Beneficio (€)]]</f>
        <v>1.5122664221024877</v>
      </c>
      <c r="T77" s="3" t="str">
        <f>IF(Ventas[[#This Row],[Margen (%)]]&gt;20%,"Beneficio","Perdidas")</f>
        <v>Beneficio</v>
      </c>
    </row>
    <row r="78" spans="1:20" x14ac:dyDescent="0.25">
      <c r="A78" s="12">
        <v>45099</v>
      </c>
      <c r="B78" s="1" t="s">
        <v>51</v>
      </c>
      <c r="C78" s="1" t="s">
        <v>52</v>
      </c>
      <c r="D78" s="1" t="s">
        <v>48</v>
      </c>
      <c r="E78" s="1" t="s">
        <v>38</v>
      </c>
      <c r="F78">
        <v>780</v>
      </c>
      <c r="G78">
        <v>11.1</v>
      </c>
      <c r="H78">
        <v>8658</v>
      </c>
      <c r="I78" s="1" t="s">
        <v>54</v>
      </c>
      <c r="J78" s="1" t="s">
        <v>22</v>
      </c>
      <c r="K78" s="1" t="s">
        <v>28</v>
      </c>
      <c r="L78">
        <v>6570.21</v>
      </c>
      <c r="M78">
        <v>24.1</v>
      </c>
      <c r="N78">
        <v>2023</v>
      </c>
      <c r="O78">
        <f t="shared" si="1"/>
        <v>2</v>
      </c>
      <c r="P78" s="13" t="s">
        <v>64</v>
      </c>
      <c r="Q78">
        <v>2087.79</v>
      </c>
      <c r="R78" s="3" t="s">
        <v>29</v>
      </c>
      <c r="S78" s="7">
        <f>Ventas[[#This Row],[Costo Material (€)]]/Ventas[[#This Row],[Beneficio (€)]]</f>
        <v>3.1469688043337691</v>
      </c>
      <c r="T78" s="3" t="str">
        <f>IF(Ventas[[#This Row],[Margen (%)]]&gt;20%,"Beneficio","Perdidas")</f>
        <v>Beneficio</v>
      </c>
    </row>
    <row r="79" spans="1:20" x14ac:dyDescent="0.25">
      <c r="A79" s="12">
        <v>45173</v>
      </c>
      <c r="B79" s="1" t="s">
        <v>17</v>
      </c>
      <c r="C79" s="1" t="s">
        <v>18</v>
      </c>
      <c r="D79" s="1" t="s">
        <v>49</v>
      </c>
      <c r="E79" s="1" t="s">
        <v>50</v>
      </c>
      <c r="F79">
        <v>481</v>
      </c>
      <c r="G79">
        <v>11.25</v>
      </c>
      <c r="H79">
        <v>5411.25</v>
      </c>
      <c r="I79" s="1" t="s">
        <v>55</v>
      </c>
      <c r="J79" s="1" t="s">
        <v>22</v>
      </c>
      <c r="K79" s="1" t="s">
        <v>23</v>
      </c>
      <c r="L79">
        <v>3325.12</v>
      </c>
      <c r="M79">
        <v>38.6</v>
      </c>
      <c r="N79">
        <v>2023</v>
      </c>
      <c r="O79">
        <f t="shared" si="1"/>
        <v>3</v>
      </c>
      <c r="P79" s="13" t="s">
        <v>67</v>
      </c>
      <c r="Q79">
        <v>2086.13</v>
      </c>
      <c r="R79" s="3" t="s">
        <v>25</v>
      </c>
      <c r="S79" s="7">
        <f>Ventas[[#This Row],[Costo Material (€)]]/Ventas[[#This Row],[Beneficio (€)]]</f>
        <v>1.5939179245780464</v>
      </c>
      <c r="T79" s="3" t="str">
        <f>IF(Ventas[[#This Row],[Margen (%)]]&gt;20%,"Beneficio","Perdidas")</f>
        <v>Beneficio</v>
      </c>
    </row>
    <row r="80" spans="1:20" x14ac:dyDescent="0.25">
      <c r="A80" s="12">
        <v>45120</v>
      </c>
      <c r="B80" s="1" t="s">
        <v>30</v>
      </c>
      <c r="C80" s="1" t="s">
        <v>31</v>
      </c>
      <c r="D80" s="1" t="s">
        <v>53</v>
      </c>
      <c r="E80" s="1" t="s">
        <v>50</v>
      </c>
      <c r="F80">
        <v>600</v>
      </c>
      <c r="G80">
        <v>10.09</v>
      </c>
      <c r="H80">
        <v>6054</v>
      </c>
      <c r="I80" s="1" t="s">
        <v>54</v>
      </c>
      <c r="J80" s="1" t="s">
        <v>40</v>
      </c>
      <c r="K80" s="1" t="s">
        <v>23</v>
      </c>
      <c r="L80">
        <v>3973.55</v>
      </c>
      <c r="M80">
        <v>34.4</v>
      </c>
      <c r="N80">
        <v>2023</v>
      </c>
      <c r="O80">
        <f t="shared" si="1"/>
        <v>3</v>
      </c>
      <c r="P80" s="13" t="s">
        <v>65</v>
      </c>
      <c r="Q80">
        <v>2080.4499999999998</v>
      </c>
      <c r="R80" s="3" t="s">
        <v>25</v>
      </c>
      <c r="S80" s="7">
        <f>Ventas[[#This Row],[Costo Material (€)]]/Ventas[[#This Row],[Beneficio (€)]]</f>
        <v>1.9099473671561444</v>
      </c>
      <c r="T80" s="3" t="str">
        <f>IF(Ventas[[#This Row],[Margen (%)]]&gt;20%,"Beneficio","Perdidas")</f>
        <v>Beneficio</v>
      </c>
    </row>
    <row r="81" spans="1:20" x14ac:dyDescent="0.25">
      <c r="A81" s="12">
        <v>45654</v>
      </c>
      <c r="B81" s="1" t="s">
        <v>51</v>
      </c>
      <c r="C81" s="1" t="s">
        <v>52</v>
      </c>
      <c r="D81" s="1" t="s">
        <v>45</v>
      </c>
      <c r="E81" s="1" t="s">
        <v>20</v>
      </c>
      <c r="F81">
        <v>470</v>
      </c>
      <c r="G81">
        <v>11.77</v>
      </c>
      <c r="H81">
        <v>5531.9</v>
      </c>
      <c r="I81" s="1" t="s">
        <v>39</v>
      </c>
      <c r="J81" s="1" t="s">
        <v>34</v>
      </c>
      <c r="K81" s="1" t="s">
        <v>28</v>
      </c>
      <c r="L81">
        <v>3455.07</v>
      </c>
      <c r="M81">
        <v>37.5</v>
      </c>
      <c r="N81">
        <v>2024</v>
      </c>
      <c r="O81">
        <f t="shared" si="1"/>
        <v>4</v>
      </c>
      <c r="P81" s="13" t="s">
        <v>70</v>
      </c>
      <c r="Q81">
        <v>2076.83</v>
      </c>
      <c r="R81" s="3" t="s">
        <v>25</v>
      </c>
      <c r="S81" s="7">
        <f>Ventas[[#This Row],[Costo Material (€)]]/Ventas[[#This Row],[Beneficio (€)]]</f>
        <v>1.6636267773481701</v>
      </c>
      <c r="T81" s="3" t="str">
        <f>IF(Ventas[[#This Row],[Margen (%)]]&gt;20%,"Beneficio","Perdidas")</f>
        <v>Beneficio</v>
      </c>
    </row>
    <row r="82" spans="1:20" x14ac:dyDescent="0.25">
      <c r="A82" s="12">
        <v>45243</v>
      </c>
      <c r="B82" s="1" t="s">
        <v>42</v>
      </c>
      <c r="C82" s="1" t="s">
        <v>43</v>
      </c>
      <c r="D82" s="1" t="s">
        <v>37</v>
      </c>
      <c r="E82" s="1" t="s">
        <v>38</v>
      </c>
      <c r="F82">
        <v>586</v>
      </c>
      <c r="G82">
        <v>11.04</v>
      </c>
      <c r="H82">
        <v>6469.44</v>
      </c>
      <c r="I82" s="1" t="s">
        <v>55</v>
      </c>
      <c r="J82" s="1" t="s">
        <v>27</v>
      </c>
      <c r="K82" s="1" t="s">
        <v>28</v>
      </c>
      <c r="L82">
        <v>4412.58</v>
      </c>
      <c r="M82">
        <v>31.8</v>
      </c>
      <c r="N82">
        <v>2023</v>
      </c>
      <c r="O82">
        <f t="shared" si="1"/>
        <v>4</v>
      </c>
      <c r="P82" s="13" t="s">
        <v>69</v>
      </c>
      <c r="Q82">
        <v>2056.86</v>
      </c>
      <c r="R82" s="3" t="s">
        <v>25</v>
      </c>
      <c r="S82" s="7">
        <f>Ventas[[#This Row],[Costo Material (€)]]/Ventas[[#This Row],[Beneficio (€)]]</f>
        <v>2.1452991452991452</v>
      </c>
      <c r="T82" s="3" t="str">
        <f>IF(Ventas[[#This Row],[Margen (%)]]&gt;20%,"Beneficio","Perdidas")</f>
        <v>Beneficio</v>
      </c>
    </row>
    <row r="83" spans="1:20" x14ac:dyDescent="0.25">
      <c r="A83" s="12">
        <v>45080</v>
      </c>
      <c r="B83" s="1" t="s">
        <v>17</v>
      </c>
      <c r="C83" s="1" t="s">
        <v>18</v>
      </c>
      <c r="D83" s="1" t="s">
        <v>45</v>
      </c>
      <c r="E83" s="1" t="s">
        <v>20</v>
      </c>
      <c r="F83">
        <v>596</v>
      </c>
      <c r="G83">
        <v>10.62</v>
      </c>
      <c r="H83">
        <v>6329.52</v>
      </c>
      <c r="I83" s="1" t="s">
        <v>21</v>
      </c>
      <c r="J83" s="1" t="s">
        <v>34</v>
      </c>
      <c r="K83" s="1" t="s">
        <v>23</v>
      </c>
      <c r="L83">
        <v>4287.26</v>
      </c>
      <c r="M83">
        <v>32.299999999999997</v>
      </c>
      <c r="N83">
        <v>2023</v>
      </c>
      <c r="O83">
        <f t="shared" si="1"/>
        <v>2</v>
      </c>
      <c r="P83" s="13" t="s">
        <v>64</v>
      </c>
      <c r="Q83">
        <v>2042.26</v>
      </c>
      <c r="R83" s="3" t="s">
        <v>25</v>
      </c>
      <c r="S83" s="7">
        <f>Ventas[[#This Row],[Costo Material (€)]]/Ventas[[#This Row],[Beneficio (€)]]</f>
        <v>2.0992723747221218</v>
      </c>
      <c r="T83" s="3" t="str">
        <f>IF(Ventas[[#This Row],[Margen (%)]]&gt;20%,"Beneficio","Perdidas")</f>
        <v>Beneficio</v>
      </c>
    </row>
    <row r="84" spans="1:20" x14ac:dyDescent="0.25">
      <c r="A84" s="12">
        <v>44987</v>
      </c>
      <c r="B84" s="1" t="s">
        <v>58</v>
      </c>
      <c r="C84" s="1" t="s">
        <v>59</v>
      </c>
      <c r="D84" s="1" t="s">
        <v>44</v>
      </c>
      <c r="E84" s="1" t="s">
        <v>38</v>
      </c>
      <c r="F84">
        <v>669</v>
      </c>
      <c r="G84">
        <v>9.92</v>
      </c>
      <c r="H84">
        <v>6636.48</v>
      </c>
      <c r="I84" s="1" t="s">
        <v>33</v>
      </c>
      <c r="J84" s="1" t="s">
        <v>40</v>
      </c>
      <c r="K84" s="1" t="s">
        <v>28</v>
      </c>
      <c r="L84">
        <v>4594.3999999999996</v>
      </c>
      <c r="M84">
        <v>30.8</v>
      </c>
      <c r="N84">
        <v>2023</v>
      </c>
      <c r="O84">
        <f t="shared" si="1"/>
        <v>1</v>
      </c>
      <c r="P84" s="13" t="s">
        <v>61</v>
      </c>
      <c r="Q84">
        <v>2042.08</v>
      </c>
      <c r="R84" s="3" t="s">
        <v>25</v>
      </c>
      <c r="S84" s="7">
        <f>Ventas[[#This Row],[Costo Material (€)]]/Ventas[[#This Row],[Beneficio (€)]]</f>
        <v>2.2498628849016686</v>
      </c>
      <c r="T84" s="3" t="str">
        <f>IF(Ventas[[#This Row],[Margen (%)]]&gt;20%,"Beneficio","Perdidas")</f>
        <v>Beneficio</v>
      </c>
    </row>
    <row r="85" spans="1:20" x14ac:dyDescent="0.25">
      <c r="A85" s="12">
        <v>45243</v>
      </c>
      <c r="B85" s="1" t="s">
        <v>17</v>
      </c>
      <c r="C85" s="1" t="s">
        <v>18</v>
      </c>
      <c r="D85" s="1" t="s">
        <v>37</v>
      </c>
      <c r="E85" s="1" t="s">
        <v>38</v>
      </c>
      <c r="F85">
        <v>629</v>
      </c>
      <c r="G85">
        <v>10.14</v>
      </c>
      <c r="H85">
        <v>6378.06</v>
      </c>
      <c r="I85" s="1" t="s">
        <v>33</v>
      </c>
      <c r="J85" s="1" t="s">
        <v>27</v>
      </c>
      <c r="K85" s="1" t="s">
        <v>23</v>
      </c>
      <c r="L85">
        <v>4336.2299999999996</v>
      </c>
      <c r="M85">
        <v>32</v>
      </c>
      <c r="N85">
        <v>2023</v>
      </c>
      <c r="O85">
        <f t="shared" si="1"/>
        <v>4</v>
      </c>
      <c r="P85" s="13" t="s">
        <v>69</v>
      </c>
      <c r="Q85">
        <v>2041.83</v>
      </c>
      <c r="R85" s="3" t="s">
        <v>25</v>
      </c>
      <c r="S85" s="7">
        <f>Ventas[[#This Row],[Costo Material (€)]]/Ventas[[#This Row],[Beneficio (€)]]</f>
        <v>2.1236978592732987</v>
      </c>
      <c r="T85" s="3" t="str">
        <f>IF(Ventas[[#This Row],[Margen (%)]]&gt;20%,"Beneficio","Perdidas")</f>
        <v>Beneficio</v>
      </c>
    </row>
    <row r="86" spans="1:20" x14ac:dyDescent="0.25">
      <c r="A86" s="12">
        <v>44999</v>
      </c>
      <c r="B86" s="1" t="s">
        <v>58</v>
      </c>
      <c r="C86" s="1" t="s">
        <v>59</v>
      </c>
      <c r="D86" s="1" t="s">
        <v>53</v>
      </c>
      <c r="E86" s="1" t="s">
        <v>50</v>
      </c>
      <c r="F86">
        <v>664</v>
      </c>
      <c r="G86">
        <v>9.94</v>
      </c>
      <c r="H86">
        <v>6600.16</v>
      </c>
      <c r="I86" s="1" t="s">
        <v>57</v>
      </c>
      <c r="J86" s="1" t="s">
        <v>40</v>
      </c>
      <c r="K86" s="1" t="s">
        <v>28</v>
      </c>
      <c r="L86">
        <v>4559.8599999999997</v>
      </c>
      <c r="M86">
        <v>30.9</v>
      </c>
      <c r="N86">
        <v>2023</v>
      </c>
      <c r="O86">
        <f t="shared" si="1"/>
        <v>1</v>
      </c>
      <c r="P86" s="13" t="s">
        <v>61</v>
      </c>
      <c r="Q86">
        <v>2040.3</v>
      </c>
      <c r="R86" s="3" t="s">
        <v>25</v>
      </c>
      <c r="S86" s="7">
        <f>Ventas[[#This Row],[Costo Material (€)]]/Ventas[[#This Row],[Beneficio (€)]]</f>
        <v>2.2348968288977109</v>
      </c>
      <c r="T86" s="3" t="str">
        <f>IF(Ventas[[#This Row],[Margen (%)]]&gt;20%,"Beneficio","Perdidas")</f>
        <v>Beneficio</v>
      </c>
    </row>
    <row r="87" spans="1:20" x14ac:dyDescent="0.25">
      <c r="A87" s="12">
        <v>45182</v>
      </c>
      <c r="B87" s="1" t="s">
        <v>51</v>
      </c>
      <c r="C87" s="1" t="s">
        <v>52</v>
      </c>
      <c r="D87" s="1" t="s">
        <v>45</v>
      </c>
      <c r="E87" s="1" t="s">
        <v>20</v>
      </c>
      <c r="F87">
        <v>475</v>
      </c>
      <c r="G87">
        <v>10.72</v>
      </c>
      <c r="H87">
        <v>5092</v>
      </c>
      <c r="I87" s="1" t="s">
        <v>46</v>
      </c>
      <c r="J87" s="1" t="s">
        <v>27</v>
      </c>
      <c r="K87" s="1" t="s">
        <v>23</v>
      </c>
      <c r="L87">
        <v>3062.75</v>
      </c>
      <c r="M87">
        <v>39.9</v>
      </c>
      <c r="N87">
        <v>2023</v>
      </c>
      <c r="O87">
        <f t="shared" si="1"/>
        <v>3</v>
      </c>
      <c r="P87" s="13" t="s">
        <v>67</v>
      </c>
      <c r="Q87">
        <v>2029.25</v>
      </c>
      <c r="R87" s="3" t="s">
        <v>25</v>
      </c>
      <c r="S87" s="7">
        <f>Ventas[[#This Row],[Costo Material (€)]]/Ventas[[#This Row],[Beneficio (€)]]</f>
        <v>1.5093014660588888</v>
      </c>
      <c r="T87" s="3" t="str">
        <f>IF(Ventas[[#This Row],[Margen (%)]]&gt;20%,"Beneficio","Perdidas")</f>
        <v>Beneficio</v>
      </c>
    </row>
    <row r="88" spans="1:20" x14ac:dyDescent="0.25">
      <c r="A88" s="12">
        <v>45026</v>
      </c>
      <c r="B88" s="1" t="s">
        <v>51</v>
      </c>
      <c r="C88" s="1" t="s">
        <v>52</v>
      </c>
      <c r="D88" s="1" t="s">
        <v>32</v>
      </c>
      <c r="E88" s="1" t="s">
        <v>20</v>
      </c>
      <c r="F88">
        <v>960</v>
      </c>
      <c r="G88">
        <v>7.34</v>
      </c>
      <c r="H88">
        <v>7046.4</v>
      </c>
      <c r="I88" s="1" t="s">
        <v>46</v>
      </c>
      <c r="J88" s="1" t="s">
        <v>56</v>
      </c>
      <c r="K88" s="1" t="s">
        <v>23</v>
      </c>
      <c r="L88">
        <v>5024.63</v>
      </c>
      <c r="M88">
        <v>28.7</v>
      </c>
      <c r="N88">
        <v>2023</v>
      </c>
      <c r="O88">
        <f t="shared" si="1"/>
        <v>2</v>
      </c>
      <c r="P88" s="13" t="s">
        <v>62</v>
      </c>
      <c r="Q88">
        <v>2021.77</v>
      </c>
      <c r="R88" s="3" t="s">
        <v>25</v>
      </c>
      <c r="S88" s="7">
        <f>Ventas[[#This Row],[Costo Material (€)]]/Ventas[[#This Row],[Beneficio (€)]]</f>
        <v>2.4852629131899278</v>
      </c>
      <c r="T88" s="3" t="str">
        <f>IF(Ventas[[#This Row],[Margen (%)]]&gt;20%,"Beneficio","Perdidas")</f>
        <v>Beneficio</v>
      </c>
    </row>
    <row r="89" spans="1:20" x14ac:dyDescent="0.25">
      <c r="A89" s="12">
        <v>45383</v>
      </c>
      <c r="B89" s="1" t="s">
        <v>17</v>
      </c>
      <c r="C89" s="1" t="s">
        <v>18</v>
      </c>
      <c r="D89" s="1" t="s">
        <v>45</v>
      </c>
      <c r="E89" s="1" t="s">
        <v>20</v>
      </c>
      <c r="F89">
        <v>707</v>
      </c>
      <c r="G89">
        <v>8.4600000000000009</v>
      </c>
      <c r="H89">
        <v>5981.22</v>
      </c>
      <c r="I89" s="1" t="s">
        <v>57</v>
      </c>
      <c r="J89" s="1" t="s">
        <v>34</v>
      </c>
      <c r="K89" s="1" t="s">
        <v>28</v>
      </c>
      <c r="L89">
        <v>3961.8</v>
      </c>
      <c r="M89">
        <v>33.799999999999997</v>
      </c>
      <c r="N89">
        <v>2024</v>
      </c>
      <c r="O89">
        <f t="shared" si="1"/>
        <v>2</v>
      </c>
      <c r="P89" s="13" t="s">
        <v>62</v>
      </c>
      <c r="Q89">
        <v>2019.42</v>
      </c>
      <c r="R89" s="3" t="s">
        <v>25</v>
      </c>
      <c r="S89" s="7">
        <f>Ventas[[#This Row],[Costo Material (€)]]/Ventas[[#This Row],[Beneficio (€)]]</f>
        <v>1.9618504323023442</v>
      </c>
      <c r="T89" s="3" t="str">
        <f>IF(Ventas[[#This Row],[Margen (%)]]&gt;20%,"Beneficio","Perdidas")</f>
        <v>Beneficio</v>
      </c>
    </row>
    <row r="90" spans="1:20" x14ac:dyDescent="0.25">
      <c r="A90" s="12">
        <v>45117</v>
      </c>
      <c r="B90" s="1" t="s">
        <v>58</v>
      </c>
      <c r="C90" s="1" t="s">
        <v>59</v>
      </c>
      <c r="D90" s="1" t="s">
        <v>49</v>
      </c>
      <c r="E90" s="1" t="s">
        <v>50</v>
      </c>
      <c r="F90">
        <v>955</v>
      </c>
      <c r="G90">
        <v>11.93</v>
      </c>
      <c r="H90">
        <v>11393.15</v>
      </c>
      <c r="I90" s="1" t="s">
        <v>46</v>
      </c>
      <c r="J90" s="1" t="s">
        <v>47</v>
      </c>
      <c r="K90" s="1" t="s">
        <v>28</v>
      </c>
      <c r="L90">
        <v>9377.6</v>
      </c>
      <c r="M90">
        <v>17.7</v>
      </c>
      <c r="N90">
        <v>2023</v>
      </c>
      <c r="O90">
        <f t="shared" si="1"/>
        <v>3</v>
      </c>
      <c r="P90" s="13" t="s">
        <v>65</v>
      </c>
      <c r="Q90">
        <v>2015.55</v>
      </c>
      <c r="R90" s="3" t="s">
        <v>29</v>
      </c>
      <c r="S90" s="7">
        <f>Ventas[[#This Row],[Costo Material (€)]]/Ventas[[#This Row],[Beneficio (€)]]</f>
        <v>4.652625834139565</v>
      </c>
      <c r="T90" s="3" t="str">
        <f>IF(Ventas[[#This Row],[Margen (%)]]&gt;20%,"Beneficio","Perdidas")</f>
        <v>Beneficio</v>
      </c>
    </row>
    <row r="91" spans="1:20" x14ac:dyDescent="0.25">
      <c r="A91" s="12">
        <v>45039</v>
      </c>
      <c r="B91" s="1" t="s">
        <v>51</v>
      </c>
      <c r="C91" s="1" t="s">
        <v>52</v>
      </c>
      <c r="D91" s="1" t="s">
        <v>32</v>
      </c>
      <c r="E91" s="1" t="s">
        <v>20</v>
      </c>
      <c r="F91">
        <v>493</v>
      </c>
      <c r="G91">
        <v>10.71</v>
      </c>
      <c r="H91">
        <v>5280.03</v>
      </c>
      <c r="I91" s="1" t="s">
        <v>57</v>
      </c>
      <c r="J91" s="1" t="s">
        <v>47</v>
      </c>
      <c r="K91" s="1" t="s">
        <v>23</v>
      </c>
      <c r="L91">
        <v>3267.45</v>
      </c>
      <c r="M91">
        <v>38.1</v>
      </c>
      <c r="N91">
        <v>2023</v>
      </c>
      <c r="O91">
        <f t="shared" si="1"/>
        <v>2</v>
      </c>
      <c r="P91" s="13" t="s">
        <v>62</v>
      </c>
      <c r="Q91">
        <v>2012.58</v>
      </c>
      <c r="R91" s="3" t="s">
        <v>25</v>
      </c>
      <c r="S91" s="7">
        <f>Ventas[[#This Row],[Costo Material (€)]]/Ventas[[#This Row],[Beneficio (€)]]</f>
        <v>1.623513102584742</v>
      </c>
      <c r="T91" s="3" t="str">
        <f>IF(Ventas[[#This Row],[Margen (%)]]&gt;20%,"Beneficio","Perdidas")</f>
        <v>Beneficio</v>
      </c>
    </row>
    <row r="92" spans="1:20" x14ac:dyDescent="0.25">
      <c r="A92" s="12">
        <v>45060</v>
      </c>
      <c r="B92" s="1" t="s">
        <v>17</v>
      </c>
      <c r="C92" s="1" t="s">
        <v>18</v>
      </c>
      <c r="D92" s="1" t="s">
        <v>49</v>
      </c>
      <c r="E92" s="1" t="s">
        <v>50</v>
      </c>
      <c r="F92">
        <v>603</v>
      </c>
      <c r="G92">
        <v>10.25</v>
      </c>
      <c r="H92">
        <v>6180.75</v>
      </c>
      <c r="I92" s="1" t="s">
        <v>57</v>
      </c>
      <c r="J92" s="1" t="s">
        <v>27</v>
      </c>
      <c r="K92" s="1" t="s">
        <v>23</v>
      </c>
      <c r="L92">
        <v>4177.38</v>
      </c>
      <c r="M92">
        <v>32.4</v>
      </c>
      <c r="N92">
        <v>2023</v>
      </c>
      <c r="O92">
        <f t="shared" si="1"/>
        <v>2</v>
      </c>
      <c r="P92" s="13" t="s">
        <v>63</v>
      </c>
      <c r="Q92">
        <v>2003.37</v>
      </c>
      <c r="R92" s="3" t="s">
        <v>25</v>
      </c>
      <c r="S92" s="7">
        <f>Ventas[[#This Row],[Costo Material (€)]]/Ventas[[#This Row],[Beneficio (€)]]</f>
        <v>2.0851764776351849</v>
      </c>
      <c r="T92" s="3" t="str">
        <f>IF(Ventas[[#This Row],[Margen (%)]]&gt;20%,"Beneficio","Perdidas")</f>
        <v>Beneficio</v>
      </c>
    </row>
    <row r="93" spans="1:20" x14ac:dyDescent="0.25">
      <c r="A93" s="12">
        <v>44934</v>
      </c>
      <c r="B93" s="1" t="s">
        <v>42</v>
      </c>
      <c r="C93" s="1" t="s">
        <v>43</v>
      </c>
      <c r="D93" s="1" t="s">
        <v>37</v>
      </c>
      <c r="E93" s="1" t="s">
        <v>38</v>
      </c>
      <c r="F93">
        <v>595</v>
      </c>
      <c r="G93">
        <v>8.65</v>
      </c>
      <c r="H93">
        <v>5146.75</v>
      </c>
      <c r="I93" s="1" t="s">
        <v>54</v>
      </c>
      <c r="J93" s="1" t="s">
        <v>22</v>
      </c>
      <c r="K93" s="1" t="s">
        <v>28</v>
      </c>
      <c r="L93">
        <v>3159.95</v>
      </c>
      <c r="M93">
        <v>38.6</v>
      </c>
      <c r="N93">
        <v>2023</v>
      </c>
      <c r="O93">
        <f t="shared" si="1"/>
        <v>1</v>
      </c>
      <c r="P93" s="13" t="s">
        <v>24</v>
      </c>
      <c r="Q93">
        <v>1986.8</v>
      </c>
      <c r="R93" s="3" t="s">
        <v>25</v>
      </c>
      <c r="S93" s="7">
        <f>Ventas[[#This Row],[Costo Material (€)]]/Ventas[[#This Row],[Beneficio (€)]]</f>
        <v>1.5904721159653714</v>
      </c>
      <c r="T93" s="3" t="str">
        <f>IF(Ventas[[#This Row],[Margen (%)]]&gt;20%,"Beneficio","Perdidas")</f>
        <v>Beneficio</v>
      </c>
    </row>
    <row r="94" spans="1:20" x14ac:dyDescent="0.25">
      <c r="A94" s="12">
        <v>45277</v>
      </c>
      <c r="B94" s="1" t="s">
        <v>42</v>
      </c>
      <c r="C94" s="1" t="s">
        <v>43</v>
      </c>
      <c r="D94" s="1" t="s">
        <v>19</v>
      </c>
      <c r="E94" s="1" t="s">
        <v>20</v>
      </c>
      <c r="F94">
        <v>974</v>
      </c>
      <c r="G94">
        <v>8.51</v>
      </c>
      <c r="H94">
        <v>8288.74</v>
      </c>
      <c r="I94" s="1" t="s">
        <v>55</v>
      </c>
      <c r="J94" s="1" t="s">
        <v>56</v>
      </c>
      <c r="K94" s="1" t="s">
        <v>23</v>
      </c>
      <c r="L94">
        <v>6310.12</v>
      </c>
      <c r="M94">
        <v>23.9</v>
      </c>
      <c r="N94">
        <v>2023</v>
      </c>
      <c r="O94">
        <f t="shared" si="1"/>
        <v>4</v>
      </c>
      <c r="P94" s="13" t="s">
        <v>70</v>
      </c>
      <c r="Q94">
        <v>1978.62</v>
      </c>
      <c r="R94" s="3" t="s">
        <v>29</v>
      </c>
      <c r="S94" s="7">
        <f>Ventas[[#This Row],[Costo Material (€)]]/Ventas[[#This Row],[Beneficio (€)]]</f>
        <v>3.1891520352568965</v>
      </c>
      <c r="T94" s="3" t="str">
        <f>IF(Ventas[[#This Row],[Margen (%)]]&gt;20%,"Beneficio","Perdidas")</f>
        <v>Beneficio</v>
      </c>
    </row>
    <row r="95" spans="1:20" x14ac:dyDescent="0.25">
      <c r="A95" s="12">
        <v>45109</v>
      </c>
      <c r="B95" s="1" t="s">
        <v>17</v>
      </c>
      <c r="C95" s="1" t="s">
        <v>18</v>
      </c>
      <c r="D95" s="1" t="s">
        <v>44</v>
      </c>
      <c r="E95" s="1" t="s">
        <v>38</v>
      </c>
      <c r="F95">
        <v>638</v>
      </c>
      <c r="G95">
        <v>11.19</v>
      </c>
      <c r="H95">
        <v>7139.22</v>
      </c>
      <c r="I95" s="1" t="s">
        <v>57</v>
      </c>
      <c r="J95" s="1" t="s">
        <v>27</v>
      </c>
      <c r="K95" s="1" t="s">
        <v>41</v>
      </c>
      <c r="L95">
        <v>5179.0200000000004</v>
      </c>
      <c r="M95">
        <v>27.5</v>
      </c>
      <c r="N95">
        <v>2023</v>
      </c>
      <c r="O95">
        <f t="shared" si="1"/>
        <v>3</v>
      </c>
      <c r="P95" s="13" t="s">
        <v>65</v>
      </c>
      <c r="Q95">
        <v>1960.2</v>
      </c>
      <c r="R95" s="3" t="s">
        <v>25</v>
      </c>
      <c r="S95" s="7">
        <f>Ventas[[#This Row],[Costo Material (€)]]/Ventas[[#This Row],[Beneficio (€)]]</f>
        <v>2.642087542087542</v>
      </c>
      <c r="T95" s="3" t="str">
        <f>IF(Ventas[[#This Row],[Margen (%)]]&gt;20%,"Beneficio","Perdidas")</f>
        <v>Beneficio</v>
      </c>
    </row>
    <row r="96" spans="1:20" x14ac:dyDescent="0.25">
      <c r="A96" s="12">
        <v>45183</v>
      </c>
      <c r="B96" s="1" t="s">
        <v>30</v>
      </c>
      <c r="C96" s="1" t="s">
        <v>31</v>
      </c>
      <c r="D96" s="1" t="s">
        <v>32</v>
      </c>
      <c r="E96" s="1" t="s">
        <v>20</v>
      </c>
      <c r="F96">
        <v>743</v>
      </c>
      <c r="G96">
        <v>6.83</v>
      </c>
      <c r="H96">
        <v>5074.6899999999996</v>
      </c>
      <c r="I96" s="1" t="s">
        <v>21</v>
      </c>
      <c r="J96" s="1" t="s">
        <v>40</v>
      </c>
      <c r="K96" s="1" t="s">
        <v>28</v>
      </c>
      <c r="L96">
        <v>3115.81</v>
      </c>
      <c r="M96">
        <v>38.6</v>
      </c>
      <c r="N96">
        <v>2023</v>
      </c>
      <c r="O96">
        <f t="shared" si="1"/>
        <v>3</v>
      </c>
      <c r="P96" s="13" t="s">
        <v>67</v>
      </c>
      <c r="Q96">
        <v>1958.88</v>
      </c>
      <c r="R96" s="3" t="s">
        <v>25</v>
      </c>
      <c r="S96" s="7">
        <f>Ventas[[#This Row],[Costo Material (€)]]/Ventas[[#This Row],[Beneficio (€)]]</f>
        <v>1.5906078983909171</v>
      </c>
      <c r="T96" s="3" t="str">
        <f>IF(Ventas[[#This Row],[Margen (%)]]&gt;20%,"Beneficio","Perdidas")</f>
        <v>Beneficio</v>
      </c>
    </row>
    <row r="97" spans="1:20" x14ac:dyDescent="0.25">
      <c r="A97" s="12">
        <v>44965</v>
      </c>
      <c r="B97" s="1" t="s">
        <v>42</v>
      </c>
      <c r="C97" s="1" t="s">
        <v>43</v>
      </c>
      <c r="D97" s="1" t="s">
        <v>49</v>
      </c>
      <c r="E97" s="1" t="s">
        <v>50</v>
      </c>
      <c r="F97">
        <v>942</v>
      </c>
      <c r="G97">
        <v>5.94</v>
      </c>
      <c r="H97">
        <v>5595.48</v>
      </c>
      <c r="I97" s="1" t="s">
        <v>39</v>
      </c>
      <c r="J97" s="1" t="s">
        <v>27</v>
      </c>
      <c r="K97" s="1" t="s">
        <v>23</v>
      </c>
      <c r="L97">
        <v>3639.22</v>
      </c>
      <c r="M97">
        <v>35</v>
      </c>
      <c r="N97">
        <v>2023</v>
      </c>
      <c r="O97">
        <f t="shared" si="1"/>
        <v>1</v>
      </c>
      <c r="P97" s="13" t="s">
        <v>60</v>
      </c>
      <c r="Q97">
        <v>1956.26</v>
      </c>
      <c r="R97" s="3" t="s">
        <v>25</v>
      </c>
      <c r="S97" s="7">
        <f>Ventas[[#This Row],[Costo Material (€)]]/Ventas[[#This Row],[Beneficio (€)]]</f>
        <v>1.8602946438612453</v>
      </c>
      <c r="T97" s="3" t="str">
        <f>IF(Ventas[[#This Row],[Margen (%)]]&gt;20%,"Beneficio","Perdidas")</f>
        <v>Beneficio</v>
      </c>
    </row>
    <row r="98" spans="1:20" x14ac:dyDescent="0.25">
      <c r="A98" s="12">
        <v>44956</v>
      </c>
      <c r="B98" s="1" t="s">
        <v>30</v>
      </c>
      <c r="C98" s="1" t="s">
        <v>31</v>
      </c>
      <c r="D98" s="1" t="s">
        <v>19</v>
      </c>
      <c r="E98" s="1" t="s">
        <v>20</v>
      </c>
      <c r="F98">
        <v>593</v>
      </c>
      <c r="G98">
        <v>9.9</v>
      </c>
      <c r="H98">
        <v>5870.7</v>
      </c>
      <c r="I98" s="1" t="s">
        <v>26</v>
      </c>
      <c r="J98" s="1" t="s">
        <v>34</v>
      </c>
      <c r="K98" s="1" t="s">
        <v>23</v>
      </c>
      <c r="L98">
        <v>3915.01</v>
      </c>
      <c r="M98">
        <v>33.299999999999997</v>
      </c>
      <c r="N98">
        <v>2023</v>
      </c>
      <c r="O98">
        <f t="shared" si="1"/>
        <v>1</v>
      </c>
      <c r="P98" s="13" t="s">
        <v>24</v>
      </c>
      <c r="Q98">
        <v>1955.69</v>
      </c>
      <c r="R98" s="3" t="s">
        <v>25</v>
      </c>
      <c r="S98" s="7">
        <f>Ventas[[#This Row],[Costo Material (€)]]/Ventas[[#This Row],[Beneficio (€)]]</f>
        <v>2.0018561223915858</v>
      </c>
      <c r="T98" s="3" t="str">
        <f>IF(Ventas[[#This Row],[Margen (%)]]&gt;20%,"Beneficio","Perdidas")</f>
        <v>Beneficio</v>
      </c>
    </row>
    <row r="99" spans="1:20" x14ac:dyDescent="0.25">
      <c r="A99" s="12">
        <v>45009</v>
      </c>
      <c r="B99" s="1" t="s">
        <v>51</v>
      </c>
      <c r="C99" s="1" t="s">
        <v>52</v>
      </c>
      <c r="D99" s="1" t="s">
        <v>45</v>
      </c>
      <c r="E99" s="1" t="s">
        <v>20</v>
      </c>
      <c r="F99">
        <v>988</v>
      </c>
      <c r="G99">
        <v>5.14</v>
      </c>
      <c r="H99">
        <v>5078.32</v>
      </c>
      <c r="I99" s="1" t="s">
        <v>39</v>
      </c>
      <c r="J99" s="1" t="s">
        <v>56</v>
      </c>
      <c r="K99" s="1" t="s">
        <v>28</v>
      </c>
      <c r="L99">
        <v>3123.11</v>
      </c>
      <c r="M99">
        <v>38.5</v>
      </c>
      <c r="N99">
        <v>2023</v>
      </c>
      <c r="O99">
        <f t="shared" si="1"/>
        <v>1</v>
      </c>
      <c r="P99" s="13" t="s">
        <v>61</v>
      </c>
      <c r="Q99">
        <v>1955.21</v>
      </c>
      <c r="R99" s="3" t="s">
        <v>25</v>
      </c>
      <c r="S99" s="7">
        <f>Ventas[[#This Row],[Costo Material (€)]]/Ventas[[#This Row],[Beneficio (€)]]</f>
        <v>1.5973271413300874</v>
      </c>
      <c r="T99" s="3" t="str">
        <f>IF(Ventas[[#This Row],[Margen (%)]]&gt;20%,"Beneficio","Perdidas")</f>
        <v>Beneficio</v>
      </c>
    </row>
    <row r="100" spans="1:20" x14ac:dyDescent="0.25">
      <c r="A100" s="12">
        <v>45526</v>
      </c>
      <c r="B100" s="1" t="s">
        <v>35</v>
      </c>
      <c r="C100" s="1" t="s">
        <v>36</v>
      </c>
      <c r="D100" s="1" t="s">
        <v>53</v>
      </c>
      <c r="E100" s="1" t="s">
        <v>50</v>
      </c>
      <c r="F100">
        <v>847</v>
      </c>
      <c r="G100">
        <v>10.65</v>
      </c>
      <c r="H100">
        <v>9020.5499999999993</v>
      </c>
      <c r="I100" s="1" t="s">
        <v>55</v>
      </c>
      <c r="J100" s="1" t="s">
        <v>47</v>
      </c>
      <c r="K100" s="1" t="s">
        <v>41</v>
      </c>
      <c r="L100">
        <v>7065.45</v>
      </c>
      <c r="M100">
        <v>21.7</v>
      </c>
      <c r="N100">
        <v>2024</v>
      </c>
      <c r="O100">
        <f t="shared" si="1"/>
        <v>3</v>
      </c>
      <c r="P100" s="13" t="s">
        <v>66</v>
      </c>
      <c r="Q100">
        <v>1955.1</v>
      </c>
      <c r="R100" s="3" t="s">
        <v>29</v>
      </c>
      <c r="S100" s="7">
        <f>Ventas[[#This Row],[Costo Material (€)]]/Ventas[[#This Row],[Beneficio (€)]]</f>
        <v>3.6138560687432868</v>
      </c>
      <c r="T100" s="3" t="str">
        <f>IF(Ventas[[#This Row],[Margen (%)]]&gt;20%,"Beneficio","Perdidas")</f>
        <v>Beneficio</v>
      </c>
    </row>
    <row r="101" spans="1:20" x14ac:dyDescent="0.25">
      <c r="A101" s="12">
        <v>45099</v>
      </c>
      <c r="B101" s="1" t="s">
        <v>58</v>
      </c>
      <c r="C101" s="1" t="s">
        <v>59</v>
      </c>
      <c r="D101" s="1" t="s">
        <v>32</v>
      </c>
      <c r="E101" s="1" t="s">
        <v>20</v>
      </c>
      <c r="F101">
        <v>772</v>
      </c>
      <c r="G101">
        <v>7.57</v>
      </c>
      <c r="H101">
        <v>5844.04</v>
      </c>
      <c r="I101" s="1" t="s">
        <v>46</v>
      </c>
      <c r="J101" s="1" t="s">
        <v>22</v>
      </c>
      <c r="K101" s="1" t="s">
        <v>23</v>
      </c>
      <c r="L101">
        <v>3889.42</v>
      </c>
      <c r="M101">
        <v>33.4</v>
      </c>
      <c r="N101">
        <v>2023</v>
      </c>
      <c r="O101">
        <f t="shared" si="1"/>
        <v>2</v>
      </c>
      <c r="P101" s="13" t="s">
        <v>64</v>
      </c>
      <c r="Q101">
        <v>1954.62</v>
      </c>
      <c r="R101" s="3" t="s">
        <v>25</v>
      </c>
      <c r="S101" s="7">
        <f>Ventas[[#This Row],[Costo Material (€)]]/Ventas[[#This Row],[Beneficio (€)]]</f>
        <v>1.9898599216215942</v>
      </c>
      <c r="T101" s="3" t="str">
        <f>IF(Ventas[[#This Row],[Margen (%)]]&gt;20%,"Beneficio","Perdidas")</f>
        <v>Beneficio</v>
      </c>
    </row>
    <row r="102" spans="1:20" x14ac:dyDescent="0.25">
      <c r="A102" s="12">
        <v>45074</v>
      </c>
      <c r="B102" s="1" t="s">
        <v>35</v>
      </c>
      <c r="C102" s="1" t="s">
        <v>36</v>
      </c>
      <c r="D102" s="1" t="s">
        <v>37</v>
      </c>
      <c r="E102" s="1" t="s">
        <v>38</v>
      </c>
      <c r="F102">
        <v>903</v>
      </c>
      <c r="G102">
        <v>6.54</v>
      </c>
      <c r="H102">
        <v>5905.62</v>
      </c>
      <c r="I102" s="1" t="s">
        <v>21</v>
      </c>
      <c r="J102" s="1" t="s">
        <v>47</v>
      </c>
      <c r="K102" s="1" t="s">
        <v>23</v>
      </c>
      <c r="L102">
        <v>3959.1</v>
      </c>
      <c r="M102">
        <v>33</v>
      </c>
      <c r="N102">
        <v>2023</v>
      </c>
      <c r="O102">
        <f t="shared" si="1"/>
        <v>2</v>
      </c>
      <c r="P102" s="13" t="s">
        <v>63</v>
      </c>
      <c r="Q102">
        <v>1946.52</v>
      </c>
      <c r="R102" s="3" t="s">
        <v>25</v>
      </c>
      <c r="S102" s="7">
        <f>Ventas[[#This Row],[Costo Material (€)]]/Ventas[[#This Row],[Beneficio (€)]]</f>
        <v>2.0339374884409098</v>
      </c>
      <c r="T102" s="3" t="str">
        <f>IF(Ventas[[#This Row],[Margen (%)]]&gt;20%,"Beneficio","Perdidas")</f>
        <v>Beneficio</v>
      </c>
    </row>
    <row r="103" spans="1:20" x14ac:dyDescent="0.25">
      <c r="A103" s="12">
        <v>45017</v>
      </c>
      <c r="B103" s="1" t="s">
        <v>58</v>
      </c>
      <c r="C103" s="1" t="s">
        <v>59</v>
      </c>
      <c r="D103" s="1" t="s">
        <v>53</v>
      </c>
      <c r="E103" s="1" t="s">
        <v>50</v>
      </c>
      <c r="F103">
        <v>807</v>
      </c>
      <c r="G103">
        <v>6.08</v>
      </c>
      <c r="H103">
        <v>4906.5600000000004</v>
      </c>
      <c r="I103" s="1" t="s">
        <v>26</v>
      </c>
      <c r="J103" s="1" t="s">
        <v>22</v>
      </c>
      <c r="K103" s="1" t="s">
        <v>41</v>
      </c>
      <c r="L103">
        <v>2963.91</v>
      </c>
      <c r="M103">
        <v>39.6</v>
      </c>
      <c r="N103">
        <v>2023</v>
      </c>
      <c r="O103">
        <f t="shared" si="1"/>
        <v>2</v>
      </c>
      <c r="P103" s="13" t="s">
        <v>62</v>
      </c>
      <c r="Q103">
        <v>1942.65</v>
      </c>
      <c r="R103" s="3" t="s">
        <v>25</v>
      </c>
      <c r="S103" s="7">
        <f>Ventas[[#This Row],[Costo Material (€)]]/Ventas[[#This Row],[Beneficio (€)]]</f>
        <v>1.5257045787970041</v>
      </c>
      <c r="T103" s="3" t="str">
        <f>IF(Ventas[[#This Row],[Margen (%)]]&gt;20%,"Beneficio","Perdidas")</f>
        <v>Beneficio</v>
      </c>
    </row>
    <row r="104" spans="1:20" x14ac:dyDescent="0.25">
      <c r="A104" s="12">
        <v>45420</v>
      </c>
      <c r="B104" s="1" t="s">
        <v>42</v>
      </c>
      <c r="C104" s="1" t="s">
        <v>43</v>
      </c>
      <c r="D104" s="1" t="s">
        <v>32</v>
      </c>
      <c r="E104" s="1" t="s">
        <v>20</v>
      </c>
      <c r="F104">
        <v>765</v>
      </c>
      <c r="G104">
        <v>11.85</v>
      </c>
      <c r="H104">
        <v>9065.25</v>
      </c>
      <c r="I104" s="1" t="s">
        <v>57</v>
      </c>
      <c r="J104" s="1" t="s">
        <v>27</v>
      </c>
      <c r="K104" s="1" t="s">
        <v>23</v>
      </c>
      <c r="L104">
        <v>7123.5</v>
      </c>
      <c r="M104">
        <v>21.4</v>
      </c>
      <c r="N104">
        <v>2024</v>
      </c>
      <c r="O104">
        <f t="shared" si="1"/>
        <v>2</v>
      </c>
      <c r="P104" s="13" t="s">
        <v>63</v>
      </c>
      <c r="Q104">
        <v>1941.75</v>
      </c>
      <c r="R104" s="3" t="s">
        <v>29</v>
      </c>
      <c r="S104" s="7">
        <f>Ventas[[#This Row],[Costo Material (€)]]/Ventas[[#This Row],[Beneficio (€)]]</f>
        <v>3.6685979142526071</v>
      </c>
      <c r="T104" s="3" t="str">
        <f>IF(Ventas[[#This Row],[Margen (%)]]&gt;20%,"Beneficio","Perdidas")</f>
        <v>Beneficio</v>
      </c>
    </row>
    <row r="105" spans="1:20" x14ac:dyDescent="0.25">
      <c r="A105" s="12">
        <v>45564</v>
      </c>
      <c r="B105" s="1" t="s">
        <v>51</v>
      </c>
      <c r="C105" s="1" t="s">
        <v>52</v>
      </c>
      <c r="D105" s="1" t="s">
        <v>49</v>
      </c>
      <c r="E105" s="1" t="s">
        <v>50</v>
      </c>
      <c r="F105">
        <v>832</v>
      </c>
      <c r="G105">
        <v>9.76</v>
      </c>
      <c r="H105">
        <v>8120.32</v>
      </c>
      <c r="I105" s="1" t="s">
        <v>21</v>
      </c>
      <c r="J105" s="1" t="s">
        <v>27</v>
      </c>
      <c r="K105" s="1" t="s">
        <v>28</v>
      </c>
      <c r="L105">
        <v>6209.81</v>
      </c>
      <c r="M105">
        <v>23.5</v>
      </c>
      <c r="N105">
        <v>2024</v>
      </c>
      <c r="O105">
        <f t="shared" si="1"/>
        <v>3</v>
      </c>
      <c r="P105" s="13" t="s">
        <v>67</v>
      </c>
      <c r="Q105">
        <v>1910.51</v>
      </c>
      <c r="R105" s="3" t="s">
        <v>29</v>
      </c>
      <c r="S105" s="7">
        <f>Ventas[[#This Row],[Costo Material (€)]]/Ventas[[#This Row],[Beneficio (€)]]</f>
        <v>3.2503415318422832</v>
      </c>
      <c r="T105" s="3" t="str">
        <f>IF(Ventas[[#This Row],[Margen (%)]]&gt;20%,"Beneficio","Perdidas")</f>
        <v>Beneficio</v>
      </c>
    </row>
    <row r="106" spans="1:20" x14ac:dyDescent="0.25">
      <c r="A106" s="12">
        <v>44945</v>
      </c>
      <c r="B106" s="1" t="s">
        <v>42</v>
      </c>
      <c r="C106" s="1" t="s">
        <v>43</v>
      </c>
      <c r="D106" s="1" t="s">
        <v>44</v>
      </c>
      <c r="E106" s="1" t="s">
        <v>38</v>
      </c>
      <c r="F106">
        <v>575</v>
      </c>
      <c r="G106">
        <v>8.52</v>
      </c>
      <c r="H106">
        <v>4899</v>
      </c>
      <c r="I106" s="1" t="s">
        <v>46</v>
      </c>
      <c r="J106" s="1" t="s">
        <v>27</v>
      </c>
      <c r="K106" s="1" t="s">
        <v>23</v>
      </c>
      <c r="L106">
        <v>2997.58</v>
      </c>
      <c r="M106">
        <v>38.799999999999997</v>
      </c>
      <c r="N106">
        <v>2023</v>
      </c>
      <c r="O106">
        <f t="shared" si="1"/>
        <v>1</v>
      </c>
      <c r="P106" s="13" t="s">
        <v>24</v>
      </c>
      <c r="Q106">
        <v>1901.42</v>
      </c>
      <c r="R106" s="3" t="s">
        <v>25</v>
      </c>
      <c r="S106" s="7">
        <f>Ventas[[#This Row],[Costo Material (€)]]/Ventas[[#This Row],[Beneficio (€)]]</f>
        <v>1.5764954612868276</v>
      </c>
      <c r="T106" s="3" t="str">
        <f>IF(Ventas[[#This Row],[Margen (%)]]&gt;20%,"Beneficio","Perdidas")</f>
        <v>Beneficio</v>
      </c>
    </row>
    <row r="107" spans="1:20" x14ac:dyDescent="0.25">
      <c r="A107" s="12">
        <v>45266</v>
      </c>
      <c r="B107" s="1" t="s">
        <v>30</v>
      </c>
      <c r="C107" s="1" t="s">
        <v>31</v>
      </c>
      <c r="D107" s="1" t="s">
        <v>49</v>
      </c>
      <c r="E107" s="1" t="s">
        <v>50</v>
      </c>
      <c r="F107">
        <v>658</v>
      </c>
      <c r="G107">
        <v>11.02</v>
      </c>
      <c r="H107">
        <v>7251.16</v>
      </c>
      <c r="I107" s="1" t="s">
        <v>57</v>
      </c>
      <c r="J107" s="1" t="s">
        <v>40</v>
      </c>
      <c r="K107" s="1" t="s">
        <v>41</v>
      </c>
      <c r="L107">
        <v>5357.78</v>
      </c>
      <c r="M107">
        <v>26.1</v>
      </c>
      <c r="N107">
        <v>2023</v>
      </c>
      <c r="O107">
        <f t="shared" si="1"/>
        <v>4</v>
      </c>
      <c r="P107" s="13" t="s">
        <v>70</v>
      </c>
      <c r="Q107">
        <v>1893.38</v>
      </c>
      <c r="R107" s="3" t="s">
        <v>25</v>
      </c>
      <c r="S107" s="7">
        <f>Ventas[[#This Row],[Costo Material (€)]]/Ventas[[#This Row],[Beneficio (€)]]</f>
        <v>2.8297436330794659</v>
      </c>
      <c r="T107" s="3" t="str">
        <f>IF(Ventas[[#This Row],[Margen (%)]]&gt;20%,"Beneficio","Perdidas")</f>
        <v>Beneficio</v>
      </c>
    </row>
    <row r="108" spans="1:20" x14ac:dyDescent="0.25">
      <c r="A108" s="12">
        <v>45349</v>
      </c>
      <c r="B108" s="1" t="s">
        <v>58</v>
      </c>
      <c r="C108" s="1" t="s">
        <v>59</v>
      </c>
      <c r="D108" s="1" t="s">
        <v>49</v>
      </c>
      <c r="E108" s="1" t="s">
        <v>50</v>
      </c>
      <c r="F108">
        <v>739</v>
      </c>
      <c r="G108">
        <v>11.67</v>
      </c>
      <c r="H108">
        <v>8624.1299999999992</v>
      </c>
      <c r="I108" s="1" t="s">
        <v>55</v>
      </c>
      <c r="J108" s="1" t="s">
        <v>56</v>
      </c>
      <c r="K108" s="1" t="s">
        <v>23</v>
      </c>
      <c r="L108">
        <v>6741.37</v>
      </c>
      <c r="M108">
        <v>21.8</v>
      </c>
      <c r="N108">
        <v>2024</v>
      </c>
      <c r="O108">
        <f t="shared" si="1"/>
        <v>1</v>
      </c>
      <c r="P108" s="13" t="s">
        <v>60</v>
      </c>
      <c r="Q108">
        <v>1882.76</v>
      </c>
      <c r="R108" s="3" t="s">
        <v>29</v>
      </c>
      <c r="S108" s="7">
        <f>Ventas[[#This Row],[Costo Material (€)]]/Ventas[[#This Row],[Beneficio (€)]]</f>
        <v>3.580578512396694</v>
      </c>
      <c r="T108" s="3" t="str">
        <f>IF(Ventas[[#This Row],[Margen (%)]]&gt;20%,"Beneficio","Perdidas")</f>
        <v>Beneficio</v>
      </c>
    </row>
    <row r="109" spans="1:20" x14ac:dyDescent="0.25">
      <c r="A109" s="12">
        <v>45463</v>
      </c>
      <c r="B109" s="1" t="s">
        <v>30</v>
      </c>
      <c r="C109" s="1" t="s">
        <v>31</v>
      </c>
      <c r="D109" s="1" t="s">
        <v>53</v>
      </c>
      <c r="E109" s="1" t="s">
        <v>50</v>
      </c>
      <c r="F109">
        <v>939</v>
      </c>
      <c r="G109">
        <v>5.18</v>
      </c>
      <c r="H109">
        <v>4864.0200000000004</v>
      </c>
      <c r="I109" s="1" t="s">
        <v>26</v>
      </c>
      <c r="J109" s="1" t="s">
        <v>34</v>
      </c>
      <c r="K109" s="1" t="s">
        <v>23</v>
      </c>
      <c r="L109">
        <v>2995</v>
      </c>
      <c r="M109">
        <v>38.4</v>
      </c>
      <c r="N109">
        <v>2024</v>
      </c>
      <c r="O109">
        <f t="shared" si="1"/>
        <v>2</v>
      </c>
      <c r="P109" s="13" t="s">
        <v>64</v>
      </c>
      <c r="Q109">
        <v>1869.02</v>
      </c>
      <c r="R109" s="3" t="s">
        <v>25</v>
      </c>
      <c r="S109" s="7">
        <f>Ventas[[#This Row],[Costo Material (€)]]/Ventas[[#This Row],[Beneficio (€)]]</f>
        <v>1.6024440615937765</v>
      </c>
      <c r="T109" s="3" t="str">
        <f>IF(Ventas[[#This Row],[Margen (%)]]&gt;20%,"Beneficio","Perdidas")</f>
        <v>Beneficio</v>
      </c>
    </row>
    <row r="110" spans="1:20" x14ac:dyDescent="0.25">
      <c r="A110" s="12">
        <v>45065</v>
      </c>
      <c r="B110" s="1" t="s">
        <v>30</v>
      </c>
      <c r="C110" s="1" t="s">
        <v>31</v>
      </c>
      <c r="D110" s="1" t="s">
        <v>53</v>
      </c>
      <c r="E110" s="1" t="s">
        <v>50</v>
      </c>
      <c r="F110">
        <v>758</v>
      </c>
      <c r="G110">
        <v>10.52</v>
      </c>
      <c r="H110">
        <v>7974.16</v>
      </c>
      <c r="I110" s="1" t="s">
        <v>26</v>
      </c>
      <c r="J110" s="1" t="s">
        <v>34</v>
      </c>
      <c r="K110" s="1" t="s">
        <v>23</v>
      </c>
      <c r="L110">
        <v>6129.14</v>
      </c>
      <c r="M110">
        <v>23.1</v>
      </c>
      <c r="N110">
        <v>2023</v>
      </c>
      <c r="O110">
        <f t="shared" si="1"/>
        <v>2</v>
      </c>
      <c r="P110" s="13" t="s">
        <v>63</v>
      </c>
      <c r="Q110">
        <v>1845.02</v>
      </c>
      <c r="R110" s="3" t="s">
        <v>29</v>
      </c>
      <c r="S110" s="7">
        <f>Ventas[[#This Row],[Costo Material (€)]]/Ventas[[#This Row],[Beneficio (€)]]</f>
        <v>3.3219910895274851</v>
      </c>
      <c r="T110" s="3" t="str">
        <f>IF(Ventas[[#This Row],[Margen (%)]]&gt;20%,"Beneficio","Perdidas")</f>
        <v>Beneficio</v>
      </c>
    </row>
    <row r="111" spans="1:20" x14ac:dyDescent="0.25">
      <c r="A111" s="12">
        <v>44951</v>
      </c>
      <c r="B111" s="1" t="s">
        <v>35</v>
      </c>
      <c r="C111" s="1" t="s">
        <v>36</v>
      </c>
      <c r="D111" s="1" t="s">
        <v>53</v>
      </c>
      <c r="E111" s="1" t="s">
        <v>50</v>
      </c>
      <c r="F111">
        <v>969</v>
      </c>
      <c r="G111">
        <v>11.44</v>
      </c>
      <c r="H111">
        <v>11085.36</v>
      </c>
      <c r="I111" s="1" t="s">
        <v>33</v>
      </c>
      <c r="J111" s="1" t="s">
        <v>34</v>
      </c>
      <c r="K111" s="1" t="s">
        <v>28</v>
      </c>
      <c r="L111">
        <v>9254.84</v>
      </c>
      <c r="M111">
        <v>16.5</v>
      </c>
      <c r="N111">
        <v>2023</v>
      </c>
      <c r="O111">
        <f t="shared" si="1"/>
        <v>1</v>
      </c>
      <c r="P111" s="13" t="s">
        <v>24</v>
      </c>
      <c r="Q111">
        <v>1830.52</v>
      </c>
      <c r="R111" s="3" t="s">
        <v>29</v>
      </c>
      <c r="S111" s="7">
        <f>Ventas[[#This Row],[Costo Material (€)]]/Ventas[[#This Row],[Beneficio (€)]]</f>
        <v>5.0558529816664119</v>
      </c>
      <c r="T111" s="3" t="str">
        <f>IF(Ventas[[#This Row],[Margen (%)]]&gt;20%,"Beneficio","Perdidas")</f>
        <v>Beneficio</v>
      </c>
    </row>
    <row r="112" spans="1:20" x14ac:dyDescent="0.25">
      <c r="A112" s="12">
        <v>45621</v>
      </c>
      <c r="B112" s="1" t="s">
        <v>30</v>
      </c>
      <c r="C112" s="1" t="s">
        <v>31</v>
      </c>
      <c r="D112" s="1" t="s">
        <v>32</v>
      </c>
      <c r="E112" s="1" t="s">
        <v>20</v>
      </c>
      <c r="F112">
        <v>832</v>
      </c>
      <c r="G112">
        <v>8.6999999999999993</v>
      </c>
      <c r="H112">
        <v>7238.4</v>
      </c>
      <c r="I112" s="1" t="s">
        <v>21</v>
      </c>
      <c r="J112" s="1" t="s">
        <v>47</v>
      </c>
      <c r="K112" s="1" t="s">
        <v>28</v>
      </c>
      <c r="L112">
        <v>5409.36</v>
      </c>
      <c r="M112">
        <v>25.3</v>
      </c>
      <c r="N112">
        <v>2024</v>
      </c>
      <c r="O112">
        <f t="shared" si="1"/>
        <v>4</v>
      </c>
      <c r="P112" s="13" t="s">
        <v>69</v>
      </c>
      <c r="Q112">
        <v>1829.04</v>
      </c>
      <c r="R112" s="3" t="s">
        <v>25</v>
      </c>
      <c r="S112" s="7">
        <f>Ventas[[#This Row],[Costo Material (€)]]/Ventas[[#This Row],[Beneficio (€)]]</f>
        <v>2.9574858942396012</v>
      </c>
      <c r="T112" s="3" t="str">
        <f>IF(Ventas[[#This Row],[Margen (%)]]&gt;20%,"Beneficio","Perdidas")</f>
        <v>Beneficio</v>
      </c>
    </row>
    <row r="113" spans="1:20" x14ac:dyDescent="0.25">
      <c r="A113" s="12">
        <v>44931</v>
      </c>
      <c r="B113" s="1" t="s">
        <v>35</v>
      </c>
      <c r="C113" s="1" t="s">
        <v>36</v>
      </c>
      <c r="D113" s="1" t="s">
        <v>53</v>
      </c>
      <c r="E113" s="1" t="s">
        <v>50</v>
      </c>
      <c r="F113">
        <v>667</v>
      </c>
      <c r="G113">
        <v>11.03</v>
      </c>
      <c r="H113">
        <v>7357.01</v>
      </c>
      <c r="I113" s="1" t="s">
        <v>55</v>
      </c>
      <c r="J113" s="1" t="s">
        <v>56</v>
      </c>
      <c r="K113" s="1" t="s">
        <v>23</v>
      </c>
      <c r="L113">
        <v>5531.23</v>
      </c>
      <c r="M113">
        <v>24.8</v>
      </c>
      <c r="N113">
        <v>2023</v>
      </c>
      <c r="O113">
        <f t="shared" si="1"/>
        <v>1</v>
      </c>
      <c r="P113" s="13" t="s">
        <v>24</v>
      </c>
      <c r="Q113">
        <v>1825.78</v>
      </c>
      <c r="R113" s="3" t="s">
        <v>29</v>
      </c>
      <c r="S113" s="7">
        <f>Ventas[[#This Row],[Costo Material (€)]]/Ventas[[#This Row],[Beneficio (€)]]</f>
        <v>3.0295161520007885</v>
      </c>
      <c r="T113" s="3" t="str">
        <f>IF(Ventas[[#This Row],[Margen (%)]]&gt;20%,"Beneficio","Perdidas")</f>
        <v>Beneficio</v>
      </c>
    </row>
    <row r="114" spans="1:20" x14ac:dyDescent="0.25">
      <c r="A114" s="12">
        <v>45011</v>
      </c>
      <c r="B114" s="1" t="s">
        <v>58</v>
      </c>
      <c r="C114" s="1" t="s">
        <v>59</v>
      </c>
      <c r="D114" s="1" t="s">
        <v>32</v>
      </c>
      <c r="E114" s="1" t="s">
        <v>20</v>
      </c>
      <c r="F114">
        <v>821</v>
      </c>
      <c r="G114">
        <v>9.3000000000000007</v>
      </c>
      <c r="H114">
        <v>7635.3</v>
      </c>
      <c r="I114" s="1" t="s">
        <v>54</v>
      </c>
      <c r="J114" s="1" t="s">
        <v>40</v>
      </c>
      <c r="K114" s="1" t="s">
        <v>41</v>
      </c>
      <c r="L114">
        <v>5813.82</v>
      </c>
      <c r="M114">
        <v>23.9</v>
      </c>
      <c r="N114">
        <v>2023</v>
      </c>
      <c r="O114">
        <f t="shared" si="1"/>
        <v>1</v>
      </c>
      <c r="P114" s="13" t="s">
        <v>61</v>
      </c>
      <c r="Q114">
        <v>1821.48</v>
      </c>
      <c r="R114" s="3" t="s">
        <v>29</v>
      </c>
      <c r="S114" s="7">
        <f>Ventas[[#This Row],[Costo Material (€)]]/Ventas[[#This Row],[Beneficio (€)]]</f>
        <v>3.1918110547466894</v>
      </c>
      <c r="T114" s="3" t="str">
        <f>IF(Ventas[[#This Row],[Margen (%)]]&gt;20%,"Beneficio","Perdidas")</f>
        <v>Beneficio</v>
      </c>
    </row>
    <row r="115" spans="1:20" x14ac:dyDescent="0.25">
      <c r="A115" s="12">
        <v>44976</v>
      </c>
      <c r="B115" s="1" t="s">
        <v>58</v>
      </c>
      <c r="C115" s="1" t="s">
        <v>59</v>
      </c>
      <c r="D115" s="1" t="s">
        <v>48</v>
      </c>
      <c r="E115" s="1" t="s">
        <v>38</v>
      </c>
      <c r="F115">
        <v>747</v>
      </c>
      <c r="G115">
        <v>7.1</v>
      </c>
      <c r="H115">
        <v>5303.7</v>
      </c>
      <c r="I115" s="1" t="s">
        <v>46</v>
      </c>
      <c r="J115" s="1" t="s">
        <v>56</v>
      </c>
      <c r="K115" s="1" t="s">
        <v>41</v>
      </c>
      <c r="L115">
        <v>3484.67</v>
      </c>
      <c r="M115">
        <v>34.299999999999997</v>
      </c>
      <c r="N115">
        <v>2023</v>
      </c>
      <c r="O115">
        <f t="shared" si="1"/>
        <v>1</v>
      </c>
      <c r="P115" s="13" t="s">
        <v>60</v>
      </c>
      <c r="Q115">
        <v>1819.03</v>
      </c>
      <c r="R115" s="3" t="s">
        <v>25</v>
      </c>
      <c r="S115" s="7">
        <f>Ventas[[#This Row],[Costo Material (€)]]/Ventas[[#This Row],[Beneficio (€)]]</f>
        <v>1.9156748376882184</v>
      </c>
      <c r="T115" s="3" t="str">
        <f>IF(Ventas[[#This Row],[Margen (%)]]&gt;20%,"Beneficio","Perdidas")</f>
        <v>Beneficio</v>
      </c>
    </row>
    <row r="116" spans="1:20" x14ac:dyDescent="0.25">
      <c r="A116" s="12">
        <v>45001</v>
      </c>
      <c r="B116" s="1" t="s">
        <v>42</v>
      </c>
      <c r="C116" s="1" t="s">
        <v>43</v>
      </c>
      <c r="D116" s="1" t="s">
        <v>45</v>
      </c>
      <c r="E116" s="1" t="s">
        <v>20</v>
      </c>
      <c r="F116">
        <v>885</v>
      </c>
      <c r="G116">
        <v>9.0500000000000007</v>
      </c>
      <c r="H116">
        <v>8009.25</v>
      </c>
      <c r="I116" s="1" t="s">
        <v>39</v>
      </c>
      <c r="J116" s="1" t="s">
        <v>27</v>
      </c>
      <c r="K116" s="1" t="s">
        <v>28</v>
      </c>
      <c r="L116">
        <v>6193.34</v>
      </c>
      <c r="M116">
        <v>22.7</v>
      </c>
      <c r="N116">
        <v>2023</v>
      </c>
      <c r="O116">
        <f t="shared" si="1"/>
        <v>1</v>
      </c>
      <c r="P116" s="13" t="s">
        <v>61</v>
      </c>
      <c r="Q116">
        <v>1815.91</v>
      </c>
      <c r="R116" s="3" t="s">
        <v>29</v>
      </c>
      <c r="S116" s="7">
        <f>Ventas[[#This Row],[Costo Material (€)]]/Ventas[[#This Row],[Beneficio (€)]]</f>
        <v>3.4105985428793275</v>
      </c>
      <c r="T116" s="3" t="str">
        <f>IF(Ventas[[#This Row],[Margen (%)]]&gt;20%,"Beneficio","Perdidas")</f>
        <v>Beneficio</v>
      </c>
    </row>
    <row r="117" spans="1:20" x14ac:dyDescent="0.25">
      <c r="A117" s="12">
        <v>45067</v>
      </c>
      <c r="B117" s="1" t="s">
        <v>51</v>
      </c>
      <c r="C117" s="1" t="s">
        <v>52</v>
      </c>
      <c r="D117" s="1" t="s">
        <v>32</v>
      </c>
      <c r="E117" s="1" t="s">
        <v>20</v>
      </c>
      <c r="F117">
        <v>987</v>
      </c>
      <c r="G117">
        <v>7.17</v>
      </c>
      <c r="H117">
        <v>7076.79</v>
      </c>
      <c r="I117" s="1" t="s">
        <v>55</v>
      </c>
      <c r="J117" s="1" t="s">
        <v>22</v>
      </c>
      <c r="K117" s="1" t="s">
        <v>41</v>
      </c>
      <c r="L117">
        <v>5266.84</v>
      </c>
      <c r="M117">
        <v>25.6</v>
      </c>
      <c r="N117">
        <v>2023</v>
      </c>
      <c r="O117">
        <f t="shared" si="1"/>
        <v>2</v>
      </c>
      <c r="P117" s="13" t="s">
        <v>63</v>
      </c>
      <c r="Q117">
        <v>1809.95</v>
      </c>
      <c r="R117" s="3" t="s">
        <v>25</v>
      </c>
      <c r="S117" s="7">
        <f>Ventas[[#This Row],[Costo Material (€)]]/Ventas[[#This Row],[Beneficio (€)]]</f>
        <v>2.909936738583939</v>
      </c>
      <c r="T117" s="3" t="str">
        <f>IF(Ventas[[#This Row],[Margen (%)]]&gt;20%,"Beneficio","Perdidas")</f>
        <v>Beneficio</v>
      </c>
    </row>
    <row r="118" spans="1:20" x14ac:dyDescent="0.25">
      <c r="A118" s="12">
        <v>45288</v>
      </c>
      <c r="B118" s="1" t="s">
        <v>35</v>
      </c>
      <c r="C118" s="1" t="s">
        <v>36</v>
      </c>
      <c r="D118" s="1" t="s">
        <v>19</v>
      </c>
      <c r="E118" s="1" t="s">
        <v>20</v>
      </c>
      <c r="F118">
        <v>852</v>
      </c>
      <c r="G118">
        <v>7.35</v>
      </c>
      <c r="H118">
        <v>6262.2</v>
      </c>
      <c r="I118" s="1" t="s">
        <v>21</v>
      </c>
      <c r="J118" s="1" t="s">
        <v>40</v>
      </c>
      <c r="K118" s="1" t="s">
        <v>41</v>
      </c>
      <c r="L118">
        <v>4453.08</v>
      </c>
      <c r="M118">
        <v>28.9</v>
      </c>
      <c r="N118">
        <v>2023</v>
      </c>
      <c r="O118">
        <f t="shared" si="1"/>
        <v>4</v>
      </c>
      <c r="P118" s="13" t="s">
        <v>70</v>
      </c>
      <c r="Q118">
        <v>1809.12</v>
      </c>
      <c r="R118" s="3" t="s">
        <v>25</v>
      </c>
      <c r="S118" s="7">
        <f>Ventas[[#This Row],[Costo Material (€)]]/Ventas[[#This Row],[Beneficio (€)]]</f>
        <v>2.4614619262403821</v>
      </c>
      <c r="T118" s="3" t="str">
        <f>IF(Ventas[[#This Row],[Margen (%)]]&gt;20%,"Beneficio","Perdidas")</f>
        <v>Beneficio</v>
      </c>
    </row>
    <row r="119" spans="1:20" x14ac:dyDescent="0.25">
      <c r="A119" s="12">
        <v>45039</v>
      </c>
      <c r="B119" s="1" t="s">
        <v>51</v>
      </c>
      <c r="C119" s="1" t="s">
        <v>52</v>
      </c>
      <c r="D119" s="1" t="s">
        <v>37</v>
      </c>
      <c r="E119" s="1" t="s">
        <v>38</v>
      </c>
      <c r="F119">
        <v>939</v>
      </c>
      <c r="G119">
        <v>7.63</v>
      </c>
      <c r="H119">
        <v>7164.57</v>
      </c>
      <c r="I119" s="1" t="s">
        <v>46</v>
      </c>
      <c r="J119" s="1" t="s">
        <v>27</v>
      </c>
      <c r="K119" s="1" t="s">
        <v>41</v>
      </c>
      <c r="L119">
        <v>5355.54</v>
      </c>
      <c r="M119">
        <v>25.2</v>
      </c>
      <c r="N119">
        <v>2023</v>
      </c>
      <c r="O119">
        <f t="shared" si="1"/>
        <v>2</v>
      </c>
      <c r="P119" s="13" t="s">
        <v>62</v>
      </c>
      <c r="Q119">
        <v>1809.03</v>
      </c>
      <c r="R119" s="3" t="s">
        <v>25</v>
      </c>
      <c r="S119" s="7">
        <f>Ventas[[#This Row],[Costo Material (€)]]/Ventas[[#This Row],[Beneficio (€)]]</f>
        <v>2.9604484171075107</v>
      </c>
      <c r="T119" s="3" t="str">
        <f>IF(Ventas[[#This Row],[Margen (%)]]&gt;20%,"Beneficio","Perdidas")</f>
        <v>Beneficio</v>
      </c>
    </row>
    <row r="120" spans="1:20" x14ac:dyDescent="0.25">
      <c r="A120" s="12">
        <v>45021</v>
      </c>
      <c r="B120" s="1" t="s">
        <v>58</v>
      </c>
      <c r="C120" s="1" t="s">
        <v>59</v>
      </c>
      <c r="D120" s="1" t="s">
        <v>37</v>
      </c>
      <c r="E120" s="1" t="s">
        <v>38</v>
      </c>
      <c r="F120">
        <v>793</v>
      </c>
      <c r="G120">
        <v>8.09</v>
      </c>
      <c r="H120">
        <v>6415.37</v>
      </c>
      <c r="I120" s="1" t="s">
        <v>54</v>
      </c>
      <c r="J120" s="1" t="s">
        <v>34</v>
      </c>
      <c r="K120" s="1" t="s">
        <v>28</v>
      </c>
      <c r="L120">
        <v>4607.82</v>
      </c>
      <c r="M120">
        <v>28.2</v>
      </c>
      <c r="N120">
        <v>2023</v>
      </c>
      <c r="O120">
        <f t="shared" si="1"/>
        <v>2</v>
      </c>
      <c r="P120" s="13" t="s">
        <v>62</v>
      </c>
      <c r="Q120">
        <v>1807.55</v>
      </c>
      <c r="R120" s="3" t="s">
        <v>25</v>
      </c>
      <c r="S120" s="7">
        <f>Ventas[[#This Row],[Costo Material (€)]]/Ventas[[#This Row],[Beneficio (€)]]</f>
        <v>2.5492074908024671</v>
      </c>
      <c r="T120" s="3" t="str">
        <f>IF(Ventas[[#This Row],[Margen (%)]]&gt;20%,"Beneficio","Perdidas")</f>
        <v>Beneficio</v>
      </c>
    </row>
    <row r="121" spans="1:20" x14ac:dyDescent="0.25">
      <c r="A121" s="12">
        <v>45270</v>
      </c>
      <c r="B121" s="1" t="s">
        <v>30</v>
      </c>
      <c r="C121" s="1" t="s">
        <v>31</v>
      </c>
      <c r="D121" s="1" t="s">
        <v>37</v>
      </c>
      <c r="E121" s="1" t="s">
        <v>38</v>
      </c>
      <c r="F121">
        <v>840</v>
      </c>
      <c r="G121">
        <v>10.050000000000001</v>
      </c>
      <c r="H121">
        <v>8442</v>
      </c>
      <c r="I121" s="1" t="s">
        <v>55</v>
      </c>
      <c r="J121" s="1" t="s">
        <v>27</v>
      </c>
      <c r="K121" s="1" t="s">
        <v>23</v>
      </c>
      <c r="L121">
        <v>6641.6</v>
      </c>
      <c r="M121">
        <v>21.3</v>
      </c>
      <c r="N121">
        <v>2023</v>
      </c>
      <c r="O121">
        <f t="shared" si="1"/>
        <v>4</v>
      </c>
      <c r="P121" s="13" t="s">
        <v>70</v>
      </c>
      <c r="Q121">
        <v>1800.4</v>
      </c>
      <c r="R121" s="3" t="s">
        <v>29</v>
      </c>
      <c r="S121" s="7">
        <f>Ventas[[#This Row],[Costo Material (€)]]/Ventas[[#This Row],[Beneficio (€)]]</f>
        <v>3.6889580093312597</v>
      </c>
      <c r="T121" s="3" t="str">
        <f>IF(Ventas[[#This Row],[Margen (%)]]&gt;20%,"Beneficio","Perdidas")</f>
        <v>Beneficio</v>
      </c>
    </row>
    <row r="122" spans="1:20" x14ac:dyDescent="0.25">
      <c r="A122" s="12">
        <v>45022</v>
      </c>
      <c r="B122" s="1" t="s">
        <v>58</v>
      </c>
      <c r="C122" s="1" t="s">
        <v>59</v>
      </c>
      <c r="D122" s="1" t="s">
        <v>37</v>
      </c>
      <c r="E122" s="1" t="s">
        <v>38</v>
      </c>
      <c r="F122">
        <v>609</v>
      </c>
      <c r="G122">
        <v>7.39</v>
      </c>
      <c r="H122">
        <v>4500.51</v>
      </c>
      <c r="I122" s="1" t="s">
        <v>57</v>
      </c>
      <c r="J122" s="1" t="s">
        <v>56</v>
      </c>
      <c r="K122" s="1" t="s">
        <v>28</v>
      </c>
      <c r="L122">
        <v>2707.92</v>
      </c>
      <c r="M122">
        <v>39.799999999999997</v>
      </c>
      <c r="N122">
        <v>2023</v>
      </c>
      <c r="O122">
        <f t="shared" si="1"/>
        <v>2</v>
      </c>
      <c r="P122" s="13" t="s">
        <v>62</v>
      </c>
      <c r="Q122">
        <v>1792.59</v>
      </c>
      <c r="R122" s="3" t="s">
        <v>25</v>
      </c>
      <c r="S122" s="7">
        <f>Ventas[[#This Row],[Costo Material (€)]]/Ventas[[#This Row],[Beneficio (€)]]</f>
        <v>1.5106187137047513</v>
      </c>
      <c r="T122" s="3" t="str">
        <f>IF(Ventas[[#This Row],[Margen (%)]]&gt;20%,"Beneficio","Perdidas")</f>
        <v>Beneficio</v>
      </c>
    </row>
    <row r="123" spans="1:20" x14ac:dyDescent="0.25">
      <c r="A123" s="12">
        <v>45099</v>
      </c>
      <c r="B123" s="1" t="s">
        <v>58</v>
      </c>
      <c r="C123" s="1" t="s">
        <v>59</v>
      </c>
      <c r="D123" s="1" t="s">
        <v>48</v>
      </c>
      <c r="E123" s="1" t="s">
        <v>38</v>
      </c>
      <c r="F123">
        <v>954</v>
      </c>
      <c r="G123">
        <v>8.35</v>
      </c>
      <c r="H123">
        <v>7965.9</v>
      </c>
      <c r="I123" s="1" t="s">
        <v>57</v>
      </c>
      <c r="J123" s="1" t="s">
        <v>34</v>
      </c>
      <c r="K123" s="1" t="s">
        <v>23</v>
      </c>
      <c r="L123">
        <v>6182.6</v>
      </c>
      <c r="M123">
        <v>22.4</v>
      </c>
      <c r="N123">
        <v>2023</v>
      </c>
      <c r="O123">
        <f t="shared" si="1"/>
        <v>2</v>
      </c>
      <c r="P123" s="13" t="s">
        <v>64</v>
      </c>
      <c r="Q123">
        <v>1783.3</v>
      </c>
      <c r="R123" s="3" t="s">
        <v>29</v>
      </c>
      <c r="S123" s="7">
        <f>Ventas[[#This Row],[Costo Material (€)]]/Ventas[[#This Row],[Beneficio (€)]]</f>
        <v>3.4669433073515394</v>
      </c>
      <c r="T123" s="3" t="str">
        <f>IF(Ventas[[#This Row],[Margen (%)]]&gt;20%,"Beneficio","Perdidas")</f>
        <v>Beneficio</v>
      </c>
    </row>
    <row r="124" spans="1:20" x14ac:dyDescent="0.25">
      <c r="A124" s="12">
        <v>45507</v>
      </c>
      <c r="B124" s="1" t="s">
        <v>35</v>
      </c>
      <c r="C124" s="1" t="s">
        <v>36</v>
      </c>
      <c r="D124" s="1" t="s">
        <v>49</v>
      </c>
      <c r="E124" s="1" t="s">
        <v>50</v>
      </c>
      <c r="F124">
        <v>872</v>
      </c>
      <c r="G124">
        <v>6.59</v>
      </c>
      <c r="H124">
        <v>5746.48</v>
      </c>
      <c r="I124" s="1" t="s">
        <v>21</v>
      </c>
      <c r="J124" s="1" t="s">
        <v>47</v>
      </c>
      <c r="K124" s="1" t="s">
        <v>23</v>
      </c>
      <c r="L124">
        <v>3963.37</v>
      </c>
      <c r="M124">
        <v>31</v>
      </c>
      <c r="N124">
        <v>2024</v>
      </c>
      <c r="O124">
        <f t="shared" si="1"/>
        <v>3</v>
      </c>
      <c r="P124" s="13" t="s">
        <v>66</v>
      </c>
      <c r="Q124">
        <v>1783.11</v>
      </c>
      <c r="R124" s="3" t="s">
        <v>25</v>
      </c>
      <c r="S124" s="7">
        <f>Ventas[[#This Row],[Costo Material (€)]]/Ventas[[#This Row],[Beneficio (€)]]</f>
        <v>2.2227288277223503</v>
      </c>
      <c r="T124" s="3" t="str">
        <f>IF(Ventas[[#This Row],[Margen (%)]]&gt;20%,"Beneficio","Perdidas")</f>
        <v>Beneficio</v>
      </c>
    </row>
    <row r="125" spans="1:20" x14ac:dyDescent="0.25">
      <c r="A125" s="12">
        <v>44975</v>
      </c>
      <c r="B125" s="1" t="s">
        <v>42</v>
      </c>
      <c r="C125" s="1" t="s">
        <v>43</v>
      </c>
      <c r="D125" s="1" t="s">
        <v>37</v>
      </c>
      <c r="E125" s="1" t="s">
        <v>38</v>
      </c>
      <c r="F125">
        <v>846</v>
      </c>
      <c r="G125">
        <v>9.69</v>
      </c>
      <c r="H125">
        <v>8197.74</v>
      </c>
      <c r="I125" s="1" t="s">
        <v>57</v>
      </c>
      <c r="J125" s="1" t="s">
        <v>40</v>
      </c>
      <c r="K125" s="1" t="s">
        <v>23</v>
      </c>
      <c r="L125">
        <v>6419.21</v>
      </c>
      <c r="M125">
        <v>21.7</v>
      </c>
      <c r="N125">
        <v>2023</v>
      </c>
      <c r="O125">
        <f t="shared" si="1"/>
        <v>1</v>
      </c>
      <c r="P125" s="13" t="s">
        <v>60</v>
      </c>
      <c r="Q125">
        <v>1778.53</v>
      </c>
      <c r="R125" s="3" t="s">
        <v>29</v>
      </c>
      <c r="S125" s="7">
        <f>Ventas[[#This Row],[Costo Material (€)]]/Ventas[[#This Row],[Beneficio (€)]]</f>
        <v>3.6092784490562431</v>
      </c>
      <c r="T125" s="3" t="str">
        <f>IF(Ventas[[#This Row],[Margen (%)]]&gt;20%,"Beneficio","Perdidas")</f>
        <v>Beneficio</v>
      </c>
    </row>
    <row r="126" spans="1:20" x14ac:dyDescent="0.25">
      <c r="A126" s="12">
        <v>44998</v>
      </c>
      <c r="B126" s="1" t="s">
        <v>51</v>
      </c>
      <c r="C126" s="1" t="s">
        <v>52</v>
      </c>
      <c r="D126" s="1" t="s">
        <v>32</v>
      </c>
      <c r="E126" s="1" t="s">
        <v>20</v>
      </c>
      <c r="F126">
        <v>743</v>
      </c>
      <c r="G126">
        <v>6.06</v>
      </c>
      <c r="H126">
        <v>4502.58</v>
      </c>
      <c r="I126" s="1" t="s">
        <v>21</v>
      </c>
      <c r="J126" s="1" t="s">
        <v>47</v>
      </c>
      <c r="K126" s="1" t="s">
        <v>23</v>
      </c>
      <c r="L126">
        <v>2729.15</v>
      </c>
      <c r="M126">
        <v>39.4</v>
      </c>
      <c r="N126">
        <v>2023</v>
      </c>
      <c r="O126">
        <f t="shared" si="1"/>
        <v>1</v>
      </c>
      <c r="P126" s="13" t="s">
        <v>61</v>
      </c>
      <c r="Q126">
        <v>1773.43</v>
      </c>
      <c r="R126" s="3" t="s">
        <v>25</v>
      </c>
      <c r="S126" s="7">
        <f>Ventas[[#This Row],[Costo Material (€)]]/Ventas[[#This Row],[Beneficio (€)]]</f>
        <v>1.538910472925348</v>
      </c>
      <c r="T126" s="3" t="str">
        <f>IF(Ventas[[#This Row],[Margen (%)]]&gt;20%,"Beneficio","Perdidas")</f>
        <v>Beneficio</v>
      </c>
    </row>
    <row r="127" spans="1:20" x14ac:dyDescent="0.25">
      <c r="A127" s="12">
        <v>45064</v>
      </c>
      <c r="B127" s="1" t="s">
        <v>35</v>
      </c>
      <c r="C127" s="1" t="s">
        <v>36</v>
      </c>
      <c r="D127" s="1" t="s">
        <v>53</v>
      </c>
      <c r="E127" s="1" t="s">
        <v>50</v>
      </c>
      <c r="F127">
        <v>812</v>
      </c>
      <c r="G127">
        <v>11.68</v>
      </c>
      <c r="H127">
        <v>9484.16</v>
      </c>
      <c r="I127" s="1" t="s">
        <v>55</v>
      </c>
      <c r="J127" s="1" t="s">
        <v>22</v>
      </c>
      <c r="K127" s="1" t="s">
        <v>41</v>
      </c>
      <c r="L127">
        <v>7724.28</v>
      </c>
      <c r="M127">
        <v>18.600000000000001</v>
      </c>
      <c r="N127">
        <v>2023</v>
      </c>
      <c r="O127">
        <f t="shared" si="1"/>
        <v>2</v>
      </c>
      <c r="P127" s="13" t="s">
        <v>63</v>
      </c>
      <c r="Q127">
        <v>1759.88</v>
      </c>
      <c r="R127" s="3" t="s">
        <v>29</v>
      </c>
      <c r="S127" s="7">
        <f>Ventas[[#This Row],[Costo Material (€)]]/Ventas[[#This Row],[Beneficio (€)]]</f>
        <v>4.3890947110030227</v>
      </c>
      <c r="T127" s="3" t="str">
        <f>IF(Ventas[[#This Row],[Margen (%)]]&gt;20%,"Beneficio","Perdidas")</f>
        <v>Beneficio</v>
      </c>
    </row>
    <row r="128" spans="1:20" x14ac:dyDescent="0.25">
      <c r="A128" s="12">
        <v>45025</v>
      </c>
      <c r="B128" s="1" t="s">
        <v>58</v>
      </c>
      <c r="C128" s="1" t="s">
        <v>59</v>
      </c>
      <c r="D128" s="1" t="s">
        <v>45</v>
      </c>
      <c r="E128" s="1" t="s">
        <v>20</v>
      </c>
      <c r="F128">
        <v>746</v>
      </c>
      <c r="G128">
        <v>11.21</v>
      </c>
      <c r="H128">
        <v>8362.66</v>
      </c>
      <c r="I128" s="1" t="s">
        <v>55</v>
      </c>
      <c r="J128" s="1" t="s">
        <v>34</v>
      </c>
      <c r="K128" s="1" t="s">
        <v>23</v>
      </c>
      <c r="L128">
        <v>6610.07</v>
      </c>
      <c r="M128">
        <v>21</v>
      </c>
      <c r="N128">
        <v>2023</v>
      </c>
      <c r="O128">
        <f t="shared" si="1"/>
        <v>2</v>
      </c>
      <c r="P128" s="13" t="s">
        <v>62</v>
      </c>
      <c r="Q128">
        <v>1752.59</v>
      </c>
      <c r="R128" s="3" t="s">
        <v>29</v>
      </c>
      <c r="S128" s="7">
        <f>Ventas[[#This Row],[Costo Material (€)]]/Ventas[[#This Row],[Beneficio (€)]]</f>
        <v>3.7716008878288703</v>
      </c>
      <c r="T128" s="3" t="str">
        <f>IF(Ventas[[#This Row],[Margen (%)]]&gt;20%,"Beneficio","Perdidas")</f>
        <v>Beneficio</v>
      </c>
    </row>
    <row r="129" spans="1:20" x14ac:dyDescent="0.25">
      <c r="A129" s="12">
        <v>45080</v>
      </c>
      <c r="B129" s="1" t="s">
        <v>42</v>
      </c>
      <c r="C129" s="1" t="s">
        <v>43</v>
      </c>
      <c r="D129" s="1" t="s">
        <v>53</v>
      </c>
      <c r="E129" s="1" t="s">
        <v>50</v>
      </c>
      <c r="F129">
        <v>643</v>
      </c>
      <c r="G129">
        <v>11.61</v>
      </c>
      <c r="H129">
        <v>7465.23</v>
      </c>
      <c r="I129" s="1" t="s">
        <v>55</v>
      </c>
      <c r="J129" s="1" t="s">
        <v>56</v>
      </c>
      <c r="K129" s="1" t="s">
        <v>23</v>
      </c>
      <c r="L129">
        <v>5719.86</v>
      </c>
      <c r="M129">
        <v>23.4</v>
      </c>
      <c r="N129">
        <v>2023</v>
      </c>
      <c r="O129">
        <f t="shared" si="1"/>
        <v>2</v>
      </c>
      <c r="P129" s="13" t="s">
        <v>64</v>
      </c>
      <c r="Q129">
        <v>1745.37</v>
      </c>
      <c r="R129" s="3" t="s">
        <v>29</v>
      </c>
      <c r="S129" s="7">
        <f>Ventas[[#This Row],[Costo Material (€)]]/Ventas[[#This Row],[Beneficio (€)]]</f>
        <v>3.2771618625277164</v>
      </c>
      <c r="T129" s="3" t="str">
        <f>IF(Ventas[[#This Row],[Margen (%)]]&gt;20%,"Beneficio","Perdidas")</f>
        <v>Beneficio</v>
      </c>
    </row>
    <row r="130" spans="1:20" x14ac:dyDescent="0.25">
      <c r="A130" s="12">
        <v>45170</v>
      </c>
      <c r="B130" s="1" t="s">
        <v>17</v>
      </c>
      <c r="C130" s="1" t="s">
        <v>18</v>
      </c>
      <c r="D130" s="1" t="s">
        <v>45</v>
      </c>
      <c r="E130" s="1" t="s">
        <v>20</v>
      </c>
      <c r="F130">
        <v>853</v>
      </c>
      <c r="G130">
        <v>7.06</v>
      </c>
      <c r="H130">
        <v>6022.18</v>
      </c>
      <c r="I130" s="1" t="s">
        <v>57</v>
      </c>
      <c r="J130" s="1" t="s">
        <v>27</v>
      </c>
      <c r="K130" s="1" t="s">
        <v>41</v>
      </c>
      <c r="L130">
        <v>4280.42</v>
      </c>
      <c r="M130">
        <v>28.9</v>
      </c>
      <c r="N130">
        <v>2023</v>
      </c>
      <c r="O130">
        <f t="shared" ref="O130:O193" si="2">ROUNDUP(MONTH(A130)/3,0)</f>
        <v>3</v>
      </c>
      <c r="P130" s="13" t="s">
        <v>67</v>
      </c>
      <c r="Q130">
        <v>1741.76</v>
      </c>
      <c r="R130" s="3" t="s">
        <v>25</v>
      </c>
      <c r="S130" s="7">
        <f>Ventas[[#This Row],[Costo Material (€)]]/Ventas[[#This Row],[Beneficio (€)]]</f>
        <v>2.4575257211096821</v>
      </c>
      <c r="T130" s="3" t="str">
        <f>IF(Ventas[[#This Row],[Margen (%)]]&gt;20%,"Beneficio","Perdidas")</f>
        <v>Beneficio</v>
      </c>
    </row>
    <row r="131" spans="1:20" x14ac:dyDescent="0.25">
      <c r="A131" s="12">
        <v>44974</v>
      </c>
      <c r="B131" s="1" t="s">
        <v>58</v>
      </c>
      <c r="C131" s="1" t="s">
        <v>59</v>
      </c>
      <c r="D131" s="1" t="s">
        <v>48</v>
      </c>
      <c r="E131" s="1" t="s">
        <v>38</v>
      </c>
      <c r="F131">
        <v>463</v>
      </c>
      <c r="G131">
        <v>10.63</v>
      </c>
      <c r="H131">
        <v>4921.6899999999996</v>
      </c>
      <c r="I131" s="1" t="s">
        <v>57</v>
      </c>
      <c r="J131" s="1" t="s">
        <v>47</v>
      </c>
      <c r="K131" s="1" t="s">
        <v>41</v>
      </c>
      <c r="L131">
        <v>3180.33</v>
      </c>
      <c r="M131">
        <v>35.4</v>
      </c>
      <c r="N131">
        <v>2023</v>
      </c>
      <c r="O131">
        <f t="shared" si="2"/>
        <v>1</v>
      </c>
      <c r="P131" s="13" t="s">
        <v>60</v>
      </c>
      <c r="Q131">
        <v>1741.36</v>
      </c>
      <c r="R131" s="3" t="s">
        <v>25</v>
      </c>
      <c r="S131" s="7">
        <f>Ventas[[#This Row],[Costo Material (€)]]/Ventas[[#This Row],[Beneficio (€)]]</f>
        <v>1.8263483713878808</v>
      </c>
      <c r="T131" s="3" t="str">
        <f>IF(Ventas[[#This Row],[Margen (%)]]&gt;20%,"Beneficio","Perdidas")</f>
        <v>Beneficio</v>
      </c>
    </row>
    <row r="132" spans="1:20" x14ac:dyDescent="0.25">
      <c r="A132" s="12">
        <v>45202</v>
      </c>
      <c r="B132" s="1" t="s">
        <v>17</v>
      </c>
      <c r="C132" s="1" t="s">
        <v>18</v>
      </c>
      <c r="D132" s="1" t="s">
        <v>32</v>
      </c>
      <c r="E132" s="1" t="s">
        <v>20</v>
      </c>
      <c r="F132">
        <v>693</v>
      </c>
      <c r="G132">
        <v>8.3000000000000007</v>
      </c>
      <c r="H132">
        <v>5751.9</v>
      </c>
      <c r="I132" s="1" t="s">
        <v>57</v>
      </c>
      <c r="J132" s="1" t="s">
        <v>27</v>
      </c>
      <c r="K132" s="1" t="s">
        <v>41</v>
      </c>
      <c r="L132">
        <v>4017.51</v>
      </c>
      <c r="M132">
        <v>30.2</v>
      </c>
      <c r="N132">
        <v>2023</v>
      </c>
      <c r="O132">
        <f t="shared" si="2"/>
        <v>4</v>
      </c>
      <c r="P132" s="13" t="s">
        <v>68</v>
      </c>
      <c r="Q132">
        <v>1734.39</v>
      </c>
      <c r="R132" s="3" t="s">
        <v>25</v>
      </c>
      <c r="S132" s="7">
        <f>Ventas[[#This Row],[Costo Material (€)]]/Ventas[[#This Row],[Beneficio (€)]]</f>
        <v>2.3163821285869961</v>
      </c>
      <c r="T132" s="3" t="str">
        <f>IF(Ventas[[#This Row],[Margen (%)]]&gt;20%,"Beneficio","Perdidas")</f>
        <v>Beneficio</v>
      </c>
    </row>
    <row r="133" spans="1:20" x14ac:dyDescent="0.25">
      <c r="A133" s="12">
        <v>45038</v>
      </c>
      <c r="B133" s="1" t="s">
        <v>58</v>
      </c>
      <c r="C133" s="1" t="s">
        <v>59</v>
      </c>
      <c r="D133" s="1" t="s">
        <v>45</v>
      </c>
      <c r="E133" s="1" t="s">
        <v>20</v>
      </c>
      <c r="F133">
        <v>827</v>
      </c>
      <c r="G133">
        <v>9.61</v>
      </c>
      <c r="H133">
        <v>7947.47</v>
      </c>
      <c r="I133" s="1" t="s">
        <v>33</v>
      </c>
      <c r="J133" s="1" t="s">
        <v>47</v>
      </c>
      <c r="K133" s="1" t="s">
        <v>41</v>
      </c>
      <c r="L133">
        <v>6214.44</v>
      </c>
      <c r="M133">
        <v>21.8</v>
      </c>
      <c r="N133">
        <v>2023</v>
      </c>
      <c r="O133">
        <f t="shared" si="2"/>
        <v>2</v>
      </c>
      <c r="P133" s="13" t="s">
        <v>62</v>
      </c>
      <c r="Q133">
        <v>1733.03</v>
      </c>
      <c r="R133" s="3" t="s">
        <v>29</v>
      </c>
      <c r="S133" s="7">
        <f>Ventas[[#This Row],[Costo Material (€)]]/Ventas[[#This Row],[Beneficio (€)]]</f>
        <v>3.58588137539454</v>
      </c>
      <c r="T133" s="3" t="str">
        <f>IF(Ventas[[#This Row],[Margen (%)]]&gt;20%,"Beneficio","Perdidas")</f>
        <v>Beneficio</v>
      </c>
    </row>
    <row r="134" spans="1:20" x14ac:dyDescent="0.25">
      <c r="A134" s="12">
        <v>45050</v>
      </c>
      <c r="B134" s="1" t="s">
        <v>30</v>
      </c>
      <c r="C134" s="1" t="s">
        <v>31</v>
      </c>
      <c r="D134" s="1" t="s">
        <v>37</v>
      </c>
      <c r="E134" s="1" t="s">
        <v>38</v>
      </c>
      <c r="F134">
        <v>582</v>
      </c>
      <c r="G134">
        <v>8.11</v>
      </c>
      <c r="H134">
        <v>4720.0200000000004</v>
      </c>
      <c r="I134" s="1" t="s">
        <v>55</v>
      </c>
      <c r="J134" s="1" t="s">
        <v>56</v>
      </c>
      <c r="K134" s="1" t="s">
        <v>41</v>
      </c>
      <c r="L134">
        <v>2987.99</v>
      </c>
      <c r="M134">
        <v>36.700000000000003</v>
      </c>
      <c r="N134">
        <v>2023</v>
      </c>
      <c r="O134">
        <f t="shared" si="2"/>
        <v>2</v>
      </c>
      <c r="P134" s="13" t="s">
        <v>63</v>
      </c>
      <c r="Q134">
        <v>1732.03</v>
      </c>
      <c r="R134" s="3" t="s">
        <v>25</v>
      </c>
      <c r="S134" s="7">
        <f>Ventas[[#This Row],[Costo Material (€)]]/Ventas[[#This Row],[Beneficio (€)]]</f>
        <v>1.7251375553541219</v>
      </c>
      <c r="T134" s="3" t="str">
        <f>IF(Ventas[[#This Row],[Margen (%)]]&gt;20%,"Beneficio","Perdidas")</f>
        <v>Beneficio</v>
      </c>
    </row>
    <row r="135" spans="1:20" x14ac:dyDescent="0.25">
      <c r="A135" s="12">
        <v>45137</v>
      </c>
      <c r="B135" s="1" t="s">
        <v>51</v>
      </c>
      <c r="C135" s="1" t="s">
        <v>52</v>
      </c>
      <c r="D135" s="1" t="s">
        <v>19</v>
      </c>
      <c r="E135" s="1" t="s">
        <v>20</v>
      </c>
      <c r="F135">
        <v>502</v>
      </c>
      <c r="G135">
        <v>10.45</v>
      </c>
      <c r="H135">
        <v>5245.9</v>
      </c>
      <c r="I135" s="1" t="s">
        <v>55</v>
      </c>
      <c r="J135" s="1" t="s">
        <v>40</v>
      </c>
      <c r="K135" s="1" t="s">
        <v>23</v>
      </c>
      <c r="L135">
        <v>3527.03</v>
      </c>
      <c r="M135">
        <v>32.799999999999997</v>
      </c>
      <c r="N135">
        <v>2023</v>
      </c>
      <c r="O135">
        <f t="shared" si="2"/>
        <v>3</v>
      </c>
      <c r="P135" s="13" t="s">
        <v>65</v>
      </c>
      <c r="Q135">
        <v>1718.87</v>
      </c>
      <c r="R135" s="3" t="s">
        <v>25</v>
      </c>
      <c r="S135" s="7">
        <f>Ventas[[#This Row],[Costo Material (€)]]/Ventas[[#This Row],[Beneficio (€)]]</f>
        <v>2.0519469186151369</v>
      </c>
      <c r="T135" s="3" t="str">
        <f>IF(Ventas[[#This Row],[Margen (%)]]&gt;20%,"Beneficio","Perdidas")</f>
        <v>Beneficio</v>
      </c>
    </row>
    <row r="136" spans="1:20" x14ac:dyDescent="0.25">
      <c r="A136" s="12">
        <v>45099</v>
      </c>
      <c r="B136" s="1" t="s">
        <v>58</v>
      </c>
      <c r="C136" s="1" t="s">
        <v>59</v>
      </c>
      <c r="D136" s="1" t="s">
        <v>45</v>
      </c>
      <c r="E136" s="1" t="s">
        <v>20</v>
      </c>
      <c r="F136">
        <v>772</v>
      </c>
      <c r="G136">
        <v>9.81</v>
      </c>
      <c r="H136">
        <v>7573.32</v>
      </c>
      <c r="I136" s="1" t="s">
        <v>33</v>
      </c>
      <c r="J136" s="1" t="s">
        <v>56</v>
      </c>
      <c r="K136" s="1" t="s">
        <v>28</v>
      </c>
      <c r="L136">
        <v>5861.76</v>
      </c>
      <c r="M136">
        <v>22.6</v>
      </c>
      <c r="N136">
        <v>2023</v>
      </c>
      <c r="O136">
        <f t="shared" si="2"/>
        <v>2</v>
      </c>
      <c r="P136" s="13" t="s">
        <v>64</v>
      </c>
      <c r="Q136">
        <v>1711.56</v>
      </c>
      <c r="R136" s="3" t="s">
        <v>29</v>
      </c>
      <c r="S136" s="7">
        <f>Ventas[[#This Row],[Costo Material (€)]]/Ventas[[#This Row],[Beneficio (€)]]</f>
        <v>3.4248054406506347</v>
      </c>
      <c r="T136" s="3" t="str">
        <f>IF(Ventas[[#This Row],[Margen (%)]]&gt;20%,"Beneficio","Perdidas")</f>
        <v>Beneficio</v>
      </c>
    </row>
    <row r="137" spans="1:20" x14ac:dyDescent="0.25">
      <c r="A137" s="12">
        <v>45640</v>
      </c>
      <c r="B137" s="1" t="s">
        <v>42</v>
      </c>
      <c r="C137" s="1" t="s">
        <v>43</v>
      </c>
      <c r="D137" s="1" t="s">
        <v>32</v>
      </c>
      <c r="E137" s="1" t="s">
        <v>20</v>
      </c>
      <c r="F137">
        <v>899</v>
      </c>
      <c r="G137">
        <v>5.62</v>
      </c>
      <c r="H137">
        <v>5052.38</v>
      </c>
      <c r="I137" s="1" t="s">
        <v>39</v>
      </c>
      <c r="J137" s="1" t="s">
        <v>34</v>
      </c>
      <c r="K137" s="1" t="s">
        <v>41</v>
      </c>
      <c r="L137">
        <v>3342.54</v>
      </c>
      <c r="M137">
        <v>33.799999999999997</v>
      </c>
      <c r="N137">
        <v>2024</v>
      </c>
      <c r="O137">
        <f t="shared" si="2"/>
        <v>4</v>
      </c>
      <c r="P137" s="13" t="s">
        <v>70</v>
      </c>
      <c r="Q137">
        <v>1709.84</v>
      </c>
      <c r="R137" s="3" t="s">
        <v>25</v>
      </c>
      <c r="S137" s="7">
        <f>Ventas[[#This Row],[Costo Material (€)]]/Ventas[[#This Row],[Beneficio (€)]]</f>
        <v>1.9548846675712348</v>
      </c>
      <c r="T137" s="3" t="str">
        <f>IF(Ventas[[#This Row],[Margen (%)]]&gt;20%,"Beneficio","Perdidas")</f>
        <v>Beneficio</v>
      </c>
    </row>
    <row r="138" spans="1:20" x14ac:dyDescent="0.25">
      <c r="A138" s="12">
        <v>45008</v>
      </c>
      <c r="B138" s="1" t="s">
        <v>35</v>
      </c>
      <c r="C138" s="1" t="s">
        <v>36</v>
      </c>
      <c r="D138" s="1" t="s">
        <v>48</v>
      </c>
      <c r="E138" s="1" t="s">
        <v>38</v>
      </c>
      <c r="F138">
        <v>659</v>
      </c>
      <c r="G138">
        <v>8.86</v>
      </c>
      <c r="H138">
        <v>5838.74</v>
      </c>
      <c r="I138" s="1" t="s">
        <v>55</v>
      </c>
      <c r="J138" s="1" t="s">
        <v>27</v>
      </c>
      <c r="K138" s="1" t="s">
        <v>28</v>
      </c>
      <c r="L138">
        <v>4130.53</v>
      </c>
      <c r="M138">
        <v>29.3</v>
      </c>
      <c r="N138">
        <v>2023</v>
      </c>
      <c r="O138">
        <f t="shared" si="2"/>
        <v>1</v>
      </c>
      <c r="P138" s="13" t="s">
        <v>61</v>
      </c>
      <c r="Q138">
        <v>1708.21</v>
      </c>
      <c r="R138" s="3" t="s">
        <v>25</v>
      </c>
      <c r="S138" s="7">
        <f>Ventas[[#This Row],[Costo Material (€)]]/Ventas[[#This Row],[Beneficio (€)]]</f>
        <v>2.4180457906229327</v>
      </c>
      <c r="T138" s="3" t="str">
        <f>IF(Ventas[[#This Row],[Margen (%)]]&gt;20%,"Beneficio","Perdidas")</f>
        <v>Beneficio</v>
      </c>
    </row>
    <row r="139" spans="1:20" x14ac:dyDescent="0.25">
      <c r="A139" s="12">
        <v>45206</v>
      </c>
      <c r="B139" s="1" t="s">
        <v>58</v>
      </c>
      <c r="C139" s="1" t="s">
        <v>59</v>
      </c>
      <c r="D139" s="1" t="s">
        <v>49</v>
      </c>
      <c r="E139" s="1" t="s">
        <v>50</v>
      </c>
      <c r="F139">
        <v>356</v>
      </c>
      <c r="G139">
        <v>11.97</v>
      </c>
      <c r="H139">
        <v>4261.32</v>
      </c>
      <c r="I139" s="1" t="s">
        <v>33</v>
      </c>
      <c r="J139" s="1" t="s">
        <v>22</v>
      </c>
      <c r="K139" s="1" t="s">
        <v>28</v>
      </c>
      <c r="L139">
        <v>2559.2399999999998</v>
      </c>
      <c r="M139">
        <v>39.9</v>
      </c>
      <c r="N139">
        <v>2023</v>
      </c>
      <c r="O139">
        <f t="shared" si="2"/>
        <v>4</v>
      </c>
      <c r="P139" s="13" t="s">
        <v>68</v>
      </c>
      <c r="Q139">
        <v>1702.08</v>
      </c>
      <c r="R139" s="3" t="s">
        <v>25</v>
      </c>
      <c r="S139" s="7">
        <f>Ventas[[#This Row],[Costo Material (€)]]/Ventas[[#This Row],[Beneficio (€)]]</f>
        <v>1.503595600676819</v>
      </c>
      <c r="T139" s="3" t="str">
        <f>IF(Ventas[[#This Row],[Margen (%)]]&gt;20%,"Beneficio","Perdidas")</f>
        <v>Beneficio</v>
      </c>
    </row>
    <row r="140" spans="1:20" x14ac:dyDescent="0.25">
      <c r="A140" s="12">
        <v>45204</v>
      </c>
      <c r="B140" s="1" t="s">
        <v>58</v>
      </c>
      <c r="C140" s="1" t="s">
        <v>59</v>
      </c>
      <c r="D140" s="1" t="s">
        <v>53</v>
      </c>
      <c r="E140" s="1" t="s">
        <v>50</v>
      </c>
      <c r="F140">
        <v>875</v>
      </c>
      <c r="G140">
        <v>5.0599999999999996</v>
      </c>
      <c r="H140">
        <v>4427.5</v>
      </c>
      <c r="I140" s="1" t="s">
        <v>54</v>
      </c>
      <c r="J140" s="1" t="s">
        <v>34</v>
      </c>
      <c r="K140" s="1" t="s">
        <v>41</v>
      </c>
      <c r="L140">
        <v>2726.68</v>
      </c>
      <c r="M140">
        <v>38.4</v>
      </c>
      <c r="N140">
        <v>2023</v>
      </c>
      <c r="O140">
        <f t="shared" si="2"/>
        <v>4</v>
      </c>
      <c r="P140" s="13" t="s">
        <v>68</v>
      </c>
      <c r="Q140">
        <v>1700.82</v>
      </c>
      <c r="R140" s="3" t="s">
        <v>25</v>
      </c>
      <c r="S140" s="7">
        <f>Ventas[[#This Row],[Costo Material (€)]]/Ventas[[#This Row],[Beneficio (€)]]</f>
        <v>1.6031561246927952</v>
      </c>
      <c r="T140" s="3" t="str">
        <f>IF(Ventas[[#This Row],[Margen (%)]]&gt;20%,"Beneficio","Perdidas")</f>
        <v>Beneficio</v>
      </c>
    </row>
    <row r="141" spans="1:20" x14ac:dyDescent="0.25">
      <c r="A141" s="12">
        <v>45240</v>
      </c>
      <c r="B141" s="1" t="s">
        <v>58</v>
      </c>
      <c r="C141" s="1" t="s">
        <v>59</v>
      </c>
      <c r="D141" s="1" t="s">
        <v>45</v>
      </c>
      <c r="E141" s="1" t="s">
        <v>20</v>
      </c>
      <c r="F141">
        <v>954</v>
      </c>
      <c r="G141">
        <v>8.76</v>
      </c>
      <c r="H141">
        <v>8357.0400000000009</v>
      </c>
      <c r="I141" s="1" t="s">
        <v>21</v>
      </c>
      <c r="J141" s="1" t="s">
        <v>22</v>
      </c>
      <c r="K141" s="1" t="s">
        <v>28</v>
      </c>
      <c r="L141">
        <v>6659.07</v>
      </c>
      <c r="M141">
        <v>20.3</v>
      </c>
      <c r="N141">
        <v>2023</v>
      </c>
      <c r="O141">
        <f t="shared" si="2"/>
        <v>4</v>
      </c>
      <c r="P141" s="13" t="s">
        <v>69</v>
      </c>
      <c r="Q141">
        <v>1697.97</v>
      </c>
      <c r="R141" s="3" t="s">
        <v>29</v>
      </c>
      <c r="S141" s="7">
        <f>Ventas[[#This Row],[Costo Material (€)]]/Ventas[[#This Row],[Beneficio (€)]]</f>
        <v>3.921783070372268</v>
      </c>
      <c r="T141" s="3" t="str">
        <f>IF(Ventas[[#This Row],[Margen (%)]]&gt;20%,"Beneficio","Perdidas")</f>
        <v>Beneficio</v>
      </c>
    </row>
    <row r="142" spans="1:20" x14ac:dyDescent="0.25">
      <c r="A142" s="12">
        <v>45305</v>
      </c>
      <c r="B142" s="1" t="s">
        <v>35</v>
      </c>
      <c r="C142" s="1" t="s">
        <v>36</v>
      </c>
      <c r="D142" s="1" t="s">
        <v>32</v>
      </c>
      <c r="E142" s="1" t="s">
        <v>20</v>
      </c>
      <c r="F142">
        <v>963</v>
      </c>
      <c r="G142">
        <v>11.55</v>
      </c>
      <c r="H142">
        <v>11122.65</v>
      </c>
      <c r="I142" s="1" t="s">
        <v>26</v>
      </c>
      <c r="J142" s="1" t="s">
        <v>34</v>
      </c>
      <c r="K142" s="1" t="s">
        <v>41</v>
      </c>
      <c r="L142">
        <v>9426.07</v>
      </c>
      <c r="M142">
        <v>15.3</v>
      </c>
      <c r="N142">
        <v>2024</v>
      </c>
      <c r="O142">
        <f t="shared" si="2"/>
        <v>1</v>
      </c>
      <c r="P142" s="13" t="s">
        <v>24</v>
      </c>
      <c r="Q142">
        <v>1696.58</v>
      </c>
      <c r="R142" s="3" t="s">
        <v>29</v>
      </c>
      <c r="S142" s="7">
        <f>Ventas[[#This Row],[Costo Material (€)]]/Ventas[[#This Row],[Beneficio (€)]]</f>
        <v>5.5559242711808459</v>
      </c>
      <c r="T142" s="3" t="str">
        <f>IF(Ventas[[#This Row],[Margen (%)]]&gt;20%,"Beneficio","Perdidas")</f>
        <v>Beneficio</v>
      </c>
    </row>
    <row r="143" spans="1:20" x14ac:dyDescent="0.25">
      <c r="A143" s="12">
        <v>45177</v>
      </c>
      <c r="B143" s="1" t="s">
        <v>17</v>
      </c>
      <c r="C143" s="1" t="s">
        <v>18</v>
      </c>
      <c r="D143" s="1" t="s">
        <v>49</v>
      </c>
      <c r="E143" s="1" t="s">
        <v>50</v>
      </c>
      <c r="F143">
        <v>988</v>
      </c>
      <c r="G143">
        <v>4.72</v>
      </c>
      <c r="H143">
        <v>4663.3599999999997</v>
      </c>
      <c r="I143" s="1" t="s">
        <v>33</v>
      </c>
      <c r="J143" s="1" t="s">
        <v>56</v>
      </c>
      <c r="K143" s="1" t="s">
        <v>23</v>
      </c>
      <c r="L143">
        <v>2968.71</v>
      </c>
      <c r="M143">
        <v>36.299999999999997</v>
      </c>
      <c r="N143">
        <v>2023</v>
      </c>
      <c r="O143">
        <f t="shared" si="2"/>
        <v>3</v>
      </c>
      <c r="P143" s="13" t="s">
        <v>67</v>
      </c>
      <c r="Q143">
        <v>1694.65</v>
      </c>
      <c r="R143" s="3" t="s">
        <v>25</v>
      </c>
      <c r="S143" s="7">
        <f>Ventas[[#This Row],[Costo Material (€)]]/Ventas[[#This Row],[Beneficio (€)]]</f>
        <v>1.7518130587436933</v>
      </c>
      <c r="T143" s="3" t="str">
        <f>IF(Ventas[[#This Row],[Margen (%)]]&gt;20%,"Beneficio","Perdidas")</f>
        <v>Beneficio</v>
      </c>
    </row>
    <row r="144" spans="1:20" x14ac:dyDescent="0.25">
      <c r="A144" s="12">
        <v>45040</v>
      </c>
      <c r="B144" s="1" t="s">
        <v>30</v>
      </c>
      <c r="C144" s="1" t="s">
        <v>31</v>
      </c>
      <c r="D144" s="1" t="s">
        <v>49</v>
      </c>
      <c r="E144" s="1" t="s">
        <v>50</v>
      </c>
      <c r="F144">
        <v>454</v>
      </c>
      <c r="G144">
        <v>10.98</v>
      </c>
      <c r="H144">
        <v>4984.92</v>
      </c>
      <c r="I144" s="1" t="s">
        <v>33</v>
      </c>
      <c r="J144" s="1" t="s">
        <v>27</v>
      </c>
      <c r="K144" s="1" t="s">
        <v>23</v>
      </c>
      <c r="L144">
        <v>3295.17</v>
      </c>
      <c r="M144">
        <v>33.9</v>
      </c>
      <c r="N144">
        <v>2023</v>
      </c>
      <c r="O144">
        <f t="shared" si="2"/>
        <v>2</v>
      </c>
      <c r="P144" s="13" t="s">
        <v>62</v>
      </c>
      <c r="Q144">
        <v>1689.75</v>
      </c>
      <c r="R144" s="3" t="s">
        <v>25</v>
      </c>
      <c r="S144" s="7">
        <f>Ventas[[#This Row],[Costo Material (€)]]/Ventas[[#This Row],[Beneficio (€)]]</f>
        <v>1.9500932090545939</v>
      </c>
      <c r="T144" s="3" t="str">
        <f>IF(Ventas[[#This Row],[Margen (%)]]&gt;20%,"Beneficio","Perdidas")</f>
        <v>Beneficio</v>
      </c>
    </row>
    <row r="145" spans="1:20" x14ac:dyDescent="0.25">
      <c r="A145" s="12">
        <v>45012</v>
      </c>
      <c r="B145" s="1" t="s">
        <v>58</v>
      </c>
      <c r="C145" s="1" t="s">
        <v>59</v>
      </c>
      <c r="D145" s="1" t="s">
        <v>37</v>
      </c>
      <c r="E145" s="1" t="s">
        <v>38</v>
      </c>
      <c r="F145">
        <v>474</v>
      </c>
      <c r="G145">
        <v>10.84</v>
      </c>
      <c r="H145">
        <v>5138.16</v>
      </c>
      <c r="I145" s="1" t="s">
        <v>26</v>
      </c>
      <c r="J145" s="1" t="s">
        <v>22</v>
      </c>
      <c r="K145" s="1" t="s">
        <v>41</v>
      </c>
      <c r="L145">
        <v>3449.32</v>
      </c>
      <c r="M145">
        <v>32.9</v>
      </c>
      <c r="N145">
        <v>2023</v>
      </c>
      <c r="O145">
        <f t="shared" si="2"/>
        <v>1</v>
      </c>
      <c r="P145" s="13" t="s">
        <v>61</v>
      </c>
      <c r="Q145">
        <v>1688.84</v>
      </c>
      <c r="R145" s="3" t="s">
        <v>25</v>
      </c>
      <c r="S145" s="7">
        <f>Ventas[[#This Row],[Costo Material (€)]]/Ventas[[#This Row],[Beneficio (€)]]</f>
        <v>2.0424196489898394</v>
      </c>
      <c r="T145" s="3" t="str">
        <f>IF(Ventas[[#This Row],[Margen (%)]]&gt;20%,"Beneficio","Perdidas")</f>
        <v>Beneficio</v>
      </c>
    </row>
    <row r="146" spans="1:20" x14ac:dyDescent="0.25">
      <c r="A146" s="12">
        <v>45284</v>
      </c>
      <c r="B146" s="1" t="s">
        <v>58</v>
      </c>
      <c r="C146" s="1" t="s">
        <v>59</v>
      </c>
      <c r="D146" s="1" t="s">
        <v>44</v>
      </c>
      <c r="E146" s="1" t="s">
        <v>38</v>
      </c>
      <c r="F146">
        <v>774</v>
      </c>
      <c r="G146">
        <v>9.91</v>
      </c>
      <c r="H146">
        <v>7670.34</v>
      </c>
      <c r="I146" s="1" t="s">
        <v>46</v>
      </c>
      <c r="J146" s="1" t="s">
        <v>47</v>
      </c>
      <c r="K146" s="1" t="s">
        <v>23</v>
      </c>
      <c r="L146">
        <v>5986.98</v>
      </c>
      <c r="M146">
        <v>21.9</v>
      </c>
      <c r="N146">
        <v>2023</v>
      </c>
      <c r="O146">
        <f t="shared" si="2"/>
        <v>4</v>
      </c>
      <c r="P146" s="13" t="s">
        <v>70</v>
      </c>
      <c r="Q146">
        <v>1683.36</v>
      </c>
      <c r="R146" s="3" t="s">
        <v>29</v>
      </c>
      <c r="S146" s="7">
        <f>Ventas[[#This Row],[Costo Material (€)]]/Ventas[[#This Row],[Beneficio (€)]]</f>
        <v>3.5565654405474763</v>
      </c>
      <c r="T146" s="3" t="str">
        <f>IF(Ventas[[#This Row],[Margen (%)]]&gt;20%,"Beneficio","Perdidas")</f>
        <v>Beneficio</v>
      </c>
    </row>
    <row r="147" spans="1:20" x14ac:dyDescent="0.25">
      <c r="A147" s="12">
        <v>45049</v>
      </c>
      <c r="B147" s="1" t="s">
        <v>30</v>
      </c>
      <c r="C147" s="1" t="s">
        <v>31</v>
      </c>
      <c r="D147" s="1" t="s">
        <v>48</v>
      </c>
      <c r="E147" s="1" t="s">
        <v>38</v>
      </c>
      <c r="F147">
        <v>874</v>
      </c>
      <c r="G147">
        <v>10.17</v>
      </c>
      <c r="H147">
        <v>8888.58</v>
      </c>
      <c r="I147" s="1" t="s">
        <v>21</v>
      </c>
      <c r="J147" s="1" t="s">
        <v>34</v>
      </c>
      <c r="K147" s="1" t="s">
        <v>28</v>
      </c>
      <c r="L147">
        <v>7206.69</v>
      </c>
      <c r="M147">
        <v>18.899999999999999</v>
      </c>
      <c r="N147">
        <v>2023</v>
      </c>
      <c r="O147">
        <f t="shared" si="2"/>
        <v>2</v>
      </c>
      <c r="P147" s="13" t="s">
        <v>63</v>
      </c>
      <c r="Q147">
        <v>1681.89</v>
      </c>
      <c r="R147" s="3" t="s">
        <v>29</v>
      </c>
      <c r="S147" s="7">
        <f>Ventas[[#This Row],[Costo Material (€)]]/Ventas[[#This Row],[Beneficio (€)]]</f>
        <v>4.2848759431354004</v>
      </c>
      <c r="T147" s="3" t="str">
        <f>IF(Ventas[[#This Row],[Margen (%)]]&gt;20%,"Beneficio","Perdidas")</f>
        <v>Beneficio</v>
      </c>
    </row>
    <row r="148" spans="1:20" x14ac:dyDescent="0.25">
      <c r="A148" s="12">
        <v>44961</v>
      </c>
      <c r="B148" s="1" t="s">
        <v>30</v>
      </c>
      <c r="C148" s="1" t="s">
        <v>31</v>
      </c>
      <c r="D148" s="1" t="s">
        <v>45</v>
      </c>
      <c r="E148" s="1" t="s">
        <v>20</v>
      </c>
      <c r="F148">
        <v>579</v>
      </c>
      <c r="G148">
        <v>11.4</v>
      </c>
      <c r="H148">
        <v>6600.6</v>
      </c>
      <c r="I148" s="1" t="s">
        <v>55</v>
      </c>
      <c r="J148" s="1" t="s">
        <v>34</v>
      </c>
      <c r="K148" s="1" t="s">
        <v>23</v>
      </c>
      <c r="L148">
        <v>4927</v>
      </c>
      <c r="M148">
        <v>25.4</v>
      </c>
      <c r="N148">
        <v>2023</v>
      </c>
      <c r="O148">
        <f t="shared" si="2"/>
        <v>1</v>
      </c>
      <c r="P148" s="13" t="s">
        <v>60</v>
      </c>
      <c r="Q148">
        <v>1673.6</v>
      </c>
      <c r="R148" s="3" t="s">
        <v>25</v>
      </c>
      <c r="S148" s="7">
        <f>Ventas[[#This Row],[Costo Material (€)]]/Ventas[[#This Row],[Beneficio (€)]]</f>
        <v>2.9439531548757172</v>
      </c>
      <c r="T148" s="3" t="str">
        <f>IF(Ventas[[#This Row],[Margen (%)]]&gt;20%,"Beneficio","Perdidas")</f>
        <v>Beneficio</v>
      </c>
    </row>
    <row r="149" spans="1:20" x14ac:dyDescent="0.25">
      <c r="A149" s="12">
        <v>44927</v>
      </c>
      <c r="B149" s="1" t="s">
        <v>30</v>
      </c>
      <c r="C149" s="1" t="s">
        <v>31</v>
      </c>
      <c r="D149" s="1" t="s">
        <v>45</v>
      </c>
      <c r="E149" s="1" t="s">
        <v>20</v>
      </c>
      <c r="F149">
        <v>584</v>
      </c>
      <c r="G149">
        <v>7.37</v>
      </c>
      <c r="H149">
        <v>4304.08</v>
      </c>
      <c r="I149" s="1" t="s">
        <v>21</v>
      </c>
      <c r="J149" s="1" t="s">
        <v>47</v>
      </c>
      <c r="K149" s="1" t="s">
        <v>28</v>
      </c>
      <c r="L149">
        <v>2634.87</v>
      </c>
      <c r="M149">
        <v>38.799999999999997</v>
      </c>
      <c r="N149">
        <v>2023</v>
      </c>
      <c r="O149">
        <f t="shared" si="2"/>
        <v>1</v>
      </c>
      <c r="P149" s="13" t="s">
        <v>24</v>
      </c>
      <c r="Q149">
        <v>1669.21</v>
      </c>
      <c r="R149" s="3" t="s">
        <v>25</v>
      </c>
      <c r="S149" s="7">
        <f>Ventas[[#This Row],[Costo Material (€)]]/Ventas[[#This Row],[Beneficio (€)]]</f>
        <v>1.5785131888737785</v>
      </c>
      <c r="T149" s="3" t="str">
        <f>IF(Ventas[[#This Row],[Margen (%)]]&gt;20%,"Beneficio","Perdidas")</f>
        <v>Beneficio</v>
      </c>
    </row>
    <row r="150" spans="1:20" x14ac:dyDescent="0.25">
      <c r="A150" s="12">
        <v>44934</v>
      </c>
      <c r="B150" s="1" t="s">
        <v>42</v>
      </c>
      <c r="C150" s="1" t="s">
        <v>43</v>
      </c>
      <c r="D150" s="1" t="s">
        <v>37</v>
      </c>
      <c r="E150" s="1" t="s">
        <v>38</v>
      </c>
      <c r="F150">
        <v>571</v>
      </c>
      <c r="G150">
        <v>8.0399999999999991</v>
      </c>
      <c r="H150">
        <v>4590.84</v>
      </c>
      <c r="I150" s="1" t="s">
        <v>57</v>
      </c>
      <c r="J150" s="1" t="s">
        <v>56</v>
      </c>
      <c r="K150" s="1" t="s">
        <v>28</v>
      </c>
      <c r="L150">
        <v>2928.05</v>
      </c>
      <c r="M150">
        <v>36.200000000000003</v>
      </c>
      <c r="N150">
        <v>2023</v>
      </c>
      <c r="O150">
        <f t="shared" si="2"/>
        <v>1</v>
      </c>
      <c r="P150" s="13" t="s">
        <v>24</v>
      </c>
      <c r="Q150">
        <v>1662.79</v>
      </c>
      <c r="R150" s="3" t="s">
        <v>25</v>
      </c>
      <c r="S150" s="7">
        <f>Ventas[[#This Row],[Costo Material (€)]]/Ventas[[#This Row],[Beneficio (€)]]</f>
        <v>1.7609259136752087</v>
      </c>
      <c r="T150" s="3" t="str">
        <f>IF(Ventas[[#This Row],[Margen (%)]]&gt;20%,"Beneficio","Perdidas")</f>
        <v>Beneficio</v>
      </c>
    </row>
    <row r="151" spans="1:20" x14ac:dyDescent="0.25">
      <c r="A151" s="12">
        <v>44997</v>
      </c>
      <c r="B151" s="1" t="s">
        <v>42</v>
      </c>
      <c r="C151" s="1" t="s">
        <v>43</v>
      </c>
      <c r="D151" s="1" t="s">
        <v>53</v>
      </c>
      <c r="E151" s="1" t="s">
        <v>50</v>
      </c>
      <c r="F151">
        <v>573</v>
      </c>
      <c r="G151">
        <v>10.42</v>
      </c>
      <c r="H151">
        <v>5970.66</v>
      </c>
      <c r="I151" s="1" t="s">
        <v>33</v>
      </c>
      <c r="J151" s="1" t="s">
        <v>34</v>
      </c>
      <c r="K151" s="1" t="s">
        <v>23</v>
      </c>
      <c r="L151">
        <v>4316.99</v>
      </c>
      <c r="M151">
        <v>27.7</v>
      </c>
      <c r="N151">
        <v>2023</v>
      </c>
      <c r="O151">
        <f t="shared" si="2"/>
        <v>1</v>
      </c>
      <c r="P151" s="13" t="s">
        <v>61</v>
      </c>
      <c r="Q151">
        <v>1653.67</v>
      </c>
      <c r="R151" s="3" t="s">
        <v>25</v>
      </c>
      <c r="S151" s="7">
        <f>Ventas[[#This Row],[Costo Material (€)]]/Ventas[[#This Row],[Beneficio (€)]]</f>
        <v>2.6105510773007912</v>
      </c>
      <c r="T151" s="3" t="str">
        <f>IF(Ventas[[#This Row],[Margen (%)]]&gt;20%,"Beneficio","Perdidas")</f>
        <v>Beneficio</v>
      </c>
    </row>
    <row r="152" spans="1:20" x14ac:dyDescent="0.25">
      <c r="A152" s="12">
        <v>44969</v>
      </c>
      <c r="B152" s="1" t="s">
        <v>17</v>
      </c>
      <c r="C152" s="1" t="s">
        <v>18</v>
      </c>
      <c r="D152" s="1" t="s">
        <v>44</v>
      </c>
      <c r="E152" s="1" t="s">
        <v>38</v>
      </c>
      <c r="F152">
        <v>790</v>
      </c>
      <c r="G152">
        <v>6.92</v>
      </c>
      <c r="H152">
        <v>5466.8</v>
      </c>
      <c r="I152" s="1" t="s">
        <v>55</v>
      </c>
      <c r="J152" s="1" t="s">
        <v>56</v>
      </c>
      <c r="K152" s="1" t="s">
        <v>23</v>
      </c>
      <c r="L152">
        <v>3819.31</v>
      </c>
      <c r="M152">
        <v>30.1</v>
      </c>
      <c r="N152">
        <v>2023</v>
      </c>
      <c r="O152">
        <f t="shared" si="2"/>
        <v>1</v>
      </c>
      <c r="P152" s="13" t="s">
        <v>60</v>
      </c>
      <c r="Q152">
        <v>1647.49</v>
      </c>
      <c r="R152" s="3" t="s">
        <v>25</v>
      </c>
      <c r="S152" s="7">
        <f>Ventas[[#This Row],[Costo Material (€)]]/Ventas[[#This Row],[Beneficio (€)]]</f>
        <v>2.3182598983908855</v>
      </c>
      <c r="T152" s="3" t="str">
        <f>IF(Ventas[[#This Row],[Margen (%)]]&gt;20%,"Beneficio","Perdidas")</f>
        <v>Beneficio</v>
      </c>
    </row>
    <row r="153" spans="1:20" x14ac:dyDescent="0.25">
      <c r="A153" s="12">
        <v>44991</v>
      </c>
      <c r="B153" s="1" t="s">
        <v>30</v>
      </c>
      <c r="C153" s="1" t="s">
        <v>31</v>
      </c>
      <c r="D153" s="1" t="s">
        <v>19</v>
      </c>
      <c r="E153" s="1" t="s">
        <v>20</v>
      </c>
      <c r="F153">
        <v>510</v>
      </c>
      <c r="G153">
        <v>9.1999999999999993</v>
      </c>
      <c r="H153">
        <v>4692</v>
      </c>
      <c r="I153" s="1" t="s">
        <v>21</v>
      </c>
      <c r="J153" s="1" t="s">
        <v>56</v>
      </c>
      <c r="K153" s="1" t="s">
        <v>28</v>
      </c>
      <c r="L153">
        <v>3045.65</v>
      </c>
      <c r="M153">
        <v>35.1</v>
      </c>
      <c r="N153">
        <v>2023</v>
      </c>
      <c r="O153">
        <f t="shared" si="2"/>
        <v>1</v>
      </c>
      <c r="P153" s="13" t="s">
        <v>61</v>
      </c>
      <c r="Q153">
        <v>1646.35</v>
      </c>
      <c r="R153" s="3" t="s">
        <v>25</v>
      </c>
      <c r="S153" s="7">
        <f>Ventas[[#This Row],[Costo Material (€)]]/Ventas[[#This Row],[Beneficio (€)]]</f>
        <v>1.8499407780848545</v>
      </c>
      <c r="T153" s="3" t="str">
        <f>IF(Ventas[[#This Row],[Margen (%)]]&gt;20%,"Beneficio","Perdidas")</f>
        <v>Beneficio</v>
      </c>
    </row>
    <row r="154" spans="1:20" x14ac:dyDescent="0.25">
      <c r="A154" s="12">
        <v>45179</v>
      </c>
      <c r="B154" s="1" t="s">
        <v>42</v>
      </c>
      <c r="C154" s="1" t="s">
        <v>43</v>
      </c>
      <c r="D154" s="1" t="s">
        <v>45</v>
      </c>
      <c r="E154" s="1" t="s">
        <v>20</v>
      </c>
      <c r="F154">
        <v>863</v>
      </c>
      <c r="G154">
        <v>9.5500000000000007</v>
      </c>
      <c r="H154">
        <v>8241.65</v>
      </c>
      <c r="I154" s="1" t="s">
        <v>46</v>
      </c>
      <c r="J154" s="1" t="s">
        <v>47</v>
      </c>
      <c r="K154" s="1" t="s">
        <v>41</v>
      </c>
      <c r="L154">
        <v>6600.15</v>
      </c>
      <c r="M154">
        <v>19.899999999999999</v>
      </c>
      <c r="N154">
        <v>2023</v>
      </c>
      <c r="O154">
        <f t="shared" si="2"/>
        <v>3</v>
      </c>
      <c r="P154" s="13" t="s">
        <v>67</v>
      </c>
      <c r="Q154">
        <v>1641.5</v>
      </c>
      <c r="R154" s="3" t="s">
        <v>29</v>
      </c>
      <c r="S154" s="7">
        <f>Ventas[[#This Row],[Costo Material (€)]]/Ventas[[#This Row],[Beneficio (€)]]</f>
        <v>4.0208041425525431</v>
      </c>
      <c r="T154" s="3" t="str">
        <f>IF(Ventas[[#This Row],[Margen (%)]]&gt;20%,"Beneficio","Perdidas")</f>
        <v>Beneficio</v>
      </c>
    </row>
    <row r="155" spans="1:20" x14ac:dyDescent="0.25">
      <c r="A155" s="12">
        <v>44929</v>
      </c>
      <c r="B155" s="1" t="s">
        <v>30</v>
      </c>
      <c r="C155" s="1" t="s">
        <v>31</v>
      </c>
      <c r="D155" s="1" t="s">
        <v>37</v>
      </c>
      <c r="E155" s="1" t="s">
        <v>38</v>
      </c>
      <c r="F155">
        <v>578</v>
      </c>
      <c r="G155">
        <v>11.54</v>
      </c>
      <c r="H155">
        <v>6670.12</v>
      </c>
      <c r="I155" s="1" t="s">
        <v>21</v>
      </c>
      <c r="J155" s="1" t="s">
        <v>22</v>
      </c>
      <c r="K155" s="1" t="s">
        <v>41</v>
      </c>
      <c r="L155">
        <v>5034.58</v>
      </c>
      <c r="M155">
        <v>24.5</v>
      </c>
      <c r="N155">
        <v>2023</v>
      </c>
      <c r="O155">
        <f t="shared" si="2"/>
        <v>1</v>
      </c>
      <c r="P155" s="13" t="s">
        <v>24</v>
      </c>
      <c r="Q155">
        <v>1635.54</v>
      </c>
      <c r="R155" s="3" t="s">
        <v>29</v>
      </c>
      <c r="S155" s="7">
        <f>Ventas[[#This Row],[Costo Material (€)]]/Ventas[[#This Row],[Beneficio (€)]]</f>
        <v>3.0782371571468752</v>
      </c>
      <c r="T155" s="3" t="str">
        <f>IF(Ventas[[#This Row],[Margen (%)]]&gt;20%,"Beneficio","Perdidas")</f>
        <v>Beneficio</v>
      </c>
    </row>
    <row r="156" spans="1:20" x14ac:dyDescent="0.25">
      <c r="A156" s="12">
        <v>45313</v>
      </c>
      <c r="B156" s="1" t="s">
        <v>51</v>
      </c>
      <c r="C156" s="1" t="s">
        <v>52</v>
      </c>
      <c r="D156" s="1" t="s">
        <v>37</v>
      </c>
      <c r="E156" s="1" t="s">
        <v>38</v>
      </c>
      <c r="F156">
        <v>588</v>
      </c>
      <c r="G156">
        <v>7.29</v>
      </c>
      <c r="H156">
        <v>4286.5200000000004</v>
      </c>
      <c r="I156" s="1" t="s">
        <v>21</v>
      </c>
      <c r="J156" s="1" t="s">
        <v>56</v>
      </c>
      <c r="K156" s="1" t="s">
        <v>28</v>
      </c>
      <c r="L156">
        <v>2651.01</v>
      </c>
      <c r="M156">
        <v>38.200000000000003</v>
      </c>
      <c r="N156">
        <v>2024</v>
      </c>
      <c r="O156">
        <f t="shared" si="2"/>
        <v>1</v>
      </c>
      <c r="P156" s="13" t="s">
        <v>24</v>
      </c>
      <c r="Q156">
        <v>1635.51</v>
      </c>
      <c r="R156" s="3" t="s">
        <v>25</v>
      </c>
      <c r="S156" s="7">
        <f>Ventas[[#This Row],[Costo Material (€)]]/Ventas[[#This Row],[Beneficio (€)]]</f>
        <v>1.6209072399435041</v>
      </c>
      <c r="T156" s="3" t="str">
        <f>IF(Ventas[[#This Row],[Margen (%)]]&gt;20%,"Beneficio","Perdidas")</f>
        <v>Beneficio</v>
      </c>
    </row>
    <row r="157" spans="1:20" x14ac:dyDescent="0.25">
      <c r="A157" s="12">
        <v>45134</v>
      </c>
      <c r="B157" s="1" t="s">
        <v>17</v>
      </c>
      <c r="C157" s="1" t="s">
        <v>18</v>
      </c>
      <c r="D157" s="1" t="s">
        <v>48</v>
      </c>
      <c r="E157" s="1" t="s">
        <v>38</v>
      </c>
      <c r="F157">
        <v>709</v>
      </c>
      <c r="G157">
        <v>7.73</v>
      </c>
      <c r="H157">
        <v>5480.57</v>
      </c>
      <c r="I157" s="1" t="s">
        <v>55</v>
      </c>
      <c r="J157" s="1" t="s">
        <v>34</v>
      </c>
      <c r="K157" s="1" t="s">
        <v>23</v>
      </c>
      <c r="L157">
        <v>3854.62</v>
      </c>
      <c r="M157">
        <v>29.7</v>
      </c>
      <c r="N157">
        <v>2023</v>
      </c>
      <c r="O157">
        <f t="shared" si="2"/>
        <v>3</v>
      </c>
      <c r="P157" s="13" t="s">
        <v>65</v>
      </c>
      <c r="Q157">
        <v>1625.95</v>
      </c>
      <c r="R157" s="3" t="s">
        <v>25</v>
      </c>
      <c r="S157" s="7">
        <f>Ventas[[#This Row],[Costo Material (€)]]/Ventas[[#This Row],[Beneficio (€)]]</f>
        <v>2.3706879055321504</v>
      </c>
      <c r="T157" s="3" t="str">
        <f>IF(Ventas[[#This Row],[Margen (%)]]&gt;20%,"Beneficio","Perdidas")</f>
        <v>Beneficio</v>
      </c>
    </row>
    <row r="158" spans="1:20" x14ac:dyDescent="0.25">
      <c r="A158" s="12">
        <v>45016</v>
      </c>
      <c r="B158" s="1" t="s">
        <v>17</v>
      </c>
      <c r="C158" s="1" t="s">
        <v>18</v>
      </c>
      <c r="D158" s="1" t="s">
        <v>48</v>
      </c>
      <c r="E158" s="1" t="s">
        <v>38</v>
      </c>
      <c r="F158">
        <v>905</v>
      </c>
      <c r="G158">
        <v>7</v>
      </c>
      <c r="H158">
        <v>6335</v>
      </c>
      <c r="I158" s="1" t="s">
        <v>39</v>
      </c>
      <c r="J158" s="1" t="s">
        <v>34</v>
      </c>
      <c r="K158" s="1" t="s">
        <v>23</v>
      </c>
      <c r="L158">
        <v>4727.9799999999996</v>
      </c>
      <c r="M158">
        <v>25.4</v>
      </c>
      <c r="N158">
        <v>2023</v>
      </c>
      <c r="O158">
        <f t="shared" si="2"/>
        <v>1</v>
      </c>
      <c r="P158" s="13" t="s">
        <v>61</v>
      </c>
      <c r="Q158">
        <v>1607.02</v>
      </c>
      <c r="R158" s="3" t="s">
        <v>25</v>
      </c>
      <c r="S158" s="7">
        <f>Ventas[[#This Row],[Costo Material (€)]]/Ventas[[#This Row],[Beneficio (€)]]</f>
        <v>2.9420791278266605</v>
      </c>
      <c r="T158" s="3" t="str">
        <f>IF(Ventas[[#This Row],[Margen (%)]]&gt;20%,"Beneficio","Perdidas")</f>
        <v>Beneficio</v>
      </c>
    </row>
    <row r="159" spans="1:20" x14ac:dyDescent="0.25">
      <c r="A159" s="12">
        <v>45289</v>
      </c>
      <c r="B159" s="1" t="s">
        <v>30</v>
      </c>
      <c r="C159" s="1" t="s">
        <v>31</v>
      </c>
      <c r="D159" s="1" t="s">
        <v>32</v>
      </c>
      <c r="E159" s="1" t="s">
        <v>20</v>
      </c>
      <c r="F159">
        <v>481</v>
      </c>
      <c r="G159">
        <v>11.99</v>
      </c>
      <c r="H159">
        <v>5767.19</v>
      </c>
      <c r="I159" s="1" t="s">
        <v>57</v>
      </c>
      <c r="J159" s="1" t="s">
        <v>22</v>
      </c>
      <c r="K159" s="1" t="s">
        <v>28</v>
      </c>
      <c r="L159">
        <v>4171.3500000000004</v>
      </c>
      <c r="M159">
        <v>27.7</v>
      </c>
      <c r="N159">
        <v>2023</v>
      </c>
      <c r="O159">
        <f t="shared" si="2"/>
        <v>4</v>
      </c>
      <c r="P159" s="13" t="s">
        <v>70</v>
      </c>
      <c r="Q159">
        <v>1595.84</v>
      </c>
      <c r="R159" s="3" t="s">
        <v>25</v>
      </c>
      <c r="S159" s="7">
        <f>Ventas[[#This Row],[Costo Material (€)]]/Ventas[[#This Row],[Beneficio (€)]]</f>
        <v>2.6138898636454786</v>
      </c>
      <c r="T159" s="3" t="str">
        <f>IF(Ventas[[#This Row],[Margen (%)]]&gt;20%,"Beneficio","Perdidas")</f>
        <v>Beneficio</v>
      </c>
    </row>
    <row r="160" spans="1:20" x14ac:dyDescent="0.25">
      <c r="A160" s="12">
        <v>45165</v>
      </c>
      <c r="B160" s="1" t="s">
        <v>30</v>
      </c>
      <c r="C160" s="1" t="s">
        <v>31</v>
      </c>
      <c r="D160" s="1" t="s">
        <v>53</v>
      </c>
      <c r="E160" s="1" t="s">
        <v>50</v>
      </c>
      <c r="F160">
        <v>902</v>
      </c>
      <c r="G160">
        <v>10.54</v>
      </c>
      <c r="H160">
        <v>9507.08</v>
      </c>
      <c r="I160" s="1" t="s">
        <v>33</v>
      </c>
      <c r="J160" s="1" t="s">
        <v>27</v>
      </c>
      <c r="K160" s="1" t="s">
        <v>41</v>
      </c>
      <c r="L160">
        <v>7911.77</v>
      </c>
      <c r="M160">
        <v>16.8</v>
      </c>
      <c r="N160">
        <v>2023</v>
      </c>
      <c r="O160">
        <f t="shared" si="2"/>
        <v>3</v>
      </c>
      <c r="P160" s="13" t="s">
        <v>66</v>
      </c>
      <c r="Q160">
        <v>1595.31</v>
      </c>
      <c r="R160" s="3" t="s">
        <v>29</v>
      </c>
      <c r="S160" s="7">
        <f>Ventas[[#This Row],[Costo Material (€)]]/Ventas[[#This Row],[Beneficio (€)]]</f>
        <v>4.9593934721151376</v>
      </c>
      <c r="T160" s="3" t="str">
        <f>IF(Ventas[[#This Row],[Margen (%)]]&gt;20%,"Beneficio","Perdidas")</f>
        <v>Beneficio</v>
      </c>
    </row>
    <row r="161" spans="1:20" x14ac:dyDescent="0.25">
      <c r="A161" s="12">
        <v>45459</v>
      </c>
      <c r="B161" s="1" t="s">
        <v>35</v>
      </c>
      <c r="C161" s="1" t="s">
        <v>36</v>
      </c>
      <c r="D161" s="1" t="s">
        <v>45</v>
      </c>
      <c r="E161" s="1" t="s">
        <v>20</v>
      </c>
      <c r="F161">
        <v>594</v>
      </c>
      <c r="G161">
        <v>7.46</v>
      </c>
      <c r="H161">
        <v>4431.24</v>
      </c>
      <c r="I161" s="1" t="s">
        <v>33</v>
      </c>
      <c r="J161" s="1" t="s">
        <v>40</v>
      </c>
      <c r="K161" s="1" t="s">
        <v>41</v>
      </c>
      <c r="L161">
        <v>2842.72</v>
      </c>
      <c r="M161">
        <v>35.799999999999997</v>
      </c>
      <c r="N161">
        <v>2024</v>
      </c>
      <c r="O161">
        <f t="shared" si="2"/>
        <v>2</v>
      </c>
      <c r="P161" s="13" t="s">
        <v>64</v>
      </c>
      <c r="Q161">
        <v>1588.52</v>
      </c>
      <c r="R161" s="3" t="s">
        <v>25</v>
      </c>
      <c r="S161" s="7">
        <f>Ventas[[#This Row],[Costo Material (€)]]/Ventas[[#This Row],[Beneficio (€)]]</f>
        <v>1.7895399491350439</v>
      </c>
      <c r="T161" s="3" t="str">
        <f>IF(Ventas[[#This Row],[Margen (%)]]&gt;20%,"Beneficio","Perdidas")</f>
        <v>Beneficio</v>
      </c>
    </row>
    <row r="162" spans="1:20" x14ac:dyDescent="0.25">
      <c r="A162" s="12">
        <v>45005</v>
      </c>
      <c r="B162" s="1" t="s">
        <v>42</v>
      </c>
      <c r="C162" s="1" t="s">
        <v>43</v>
      </c>
      <c r="D162" s="1" t="s">
        <v>49</v>
      </c>
      <c r="E162" s="1" t="s">
        <v>50</v>
      </c>
      <c r="F162">
        <v>571</v>
      </c>
      <c r="G162">
        <v>11.66</v>
      </c>
      <c r="H162">
        <v>6657.86</v>
      </c>
      <c r="I162" s="1" t="s">
        <v>55</v>
      </c>
      <c r="J162" s="1" t="s">
        <v>56</v>
      </c>
      <c r="K162" s="1" t="s">
        <v>23</v>
      </c>
      <c r="L162">
        <v>5074.34</v>
      </c>
      <c r="M162">
        <v>23.8</v>
      </c>
      <c r="N162">
        <v>2023</v>
      </c>
      <c r="O162">
        <f t="shared" si="2"/>
        <v>1</v>
      </c>
      <c r="P162" s="13" t="s">
        <v>61</v>
      </c>
      <c r="Q162">
        <v>1583.52</v>
      </c>
      <c r="R162" s="3" t="s">
        <v>29</v>
      </c>
      <c r="S162" s="7">
        <f>Ventas[[#This Row],[Costo Material (€)]]/Ventas[[#This Row],[Beneficio (€)]]</f>
        <v>3.204468525815904</v>
      </c>
      <c r="T162" s="3" t="str">
        <f>IF(Ventas[[#This Row],[Margen (%)]]&gt;20%,"Beneficio","Perdidas")</f>
        <v>Beneficio</v>
      </c>
    </row>
    <row r="163" spans="1:20" x14ac:dyDescent="0.25">
      <c r="A163" s="12">
        <v>45027</v>
      </c>
      <c r="B163" s="1" t="s">
        <v>58</v>
      </c>
      <c r="C163" s="1" t="s">
        <v>59</v>
      </c>
      <c r="D163" s="1" t="s">
        <v>19</v>
      </c>
      <c r="E163" s="1" t="s">
        <v>20</v>
      </c>
      <c r="F163">
        <v>527</v>
      </c>
      <c r="G163">
        <v>9.9499999999999993</v>
      </c>
      <c r="H163">
        <v>5243.65</v>
      </c>
      <c r="I163" s="1" t="s">
        <v>55</v>
      </c>
      <c r="J163" s="1" t="s">
        <v>27</v>
      </c>
      <c r="K163" s="1" t="s">
        <v>41</v>
      </c>
      <c r="L163">
        <v>3663.75</v>
      </c>
      <c r="M163">
        <v>30.1</v>
      </c>
      <c r="N163">
        <v>2023</v>
      </c>
      <c r="O163">
        <f t="shared" si="2"/>
        <v>2</v>
      </c>
      <c r="P163" s="13" t="s">
        <v>62</v>
      </c>
      <c r="Q163">
        <v>1579.9</v>
      </c>
      <c r="R163" s="3" t="s">
        <v>25</v>
      </c>
      <c r="S163" s="7">
        <f>Ventas[[#This Row],[Costo Material (€)]]/Ventas[[#This Row],[Beneficio (€)]]</f>
        <v>2.3189758845496549</v>
      </c>
      <c r="T163" s="3" t="str">
        <f>IF(Ventas[[#This Row],[Margen (%)]]&gt;20%,"Beneficio","Perdidas")</f>
        <v>Beneficio</v>
      </c>
    </row>
    <row r="164" spans="1:20" x14ac:dyDescent="0.25">
      <c r="A164" s="12">
        <v>45618</v>
      </c>
      <c r="B164" s="1" t="s">
        <v>51</v>
      </c>
      <c r="C164" s="1" t="s">
        <v>52</v>
      </c>
      <c r="D164" s="1" t="s">
        <v>44</v>
      </c>
      <c r="E164" s="1" t="s">
        <v>38</v>
      </c>
      <c r="F164">
        <v>595</v>
      </c>
      <c r="G164">
        <v>7.33</v>
      </c>
      <c r="H164">
        <v>4361.3500000000004</v>
      </c>
      <c r="I164" s="1" t="s">
        <v>26</v>
      </c>
      <c r="J164" s="1" t="s">
        <v>34</v>
      </c>
      <c r="K164" s="1" t="s">
        <v>28</v>
      </c>
      <c r="L164">
        <v>2789.76</v>
      </c>
      <c r="M164">
        <v>36</v>
      </c>
      <c r="N164">
        <v>2024</v>
      </c>
      <c r="O164">
        <f t="shared" si="2"/>
        <v>4</v>
      </c>
      <c r="P164" s="13" t="s">
        <v>69</v>
      </c>
      <c r="Q164">
        <v>1571.59</v>
      </c>
      <c r="R164" s="3" t="s">
        <v>25</v>
      </c>
      <c r="S164" s="7">
        <f>Ventas[[#This Row],[Costo Material (€)]]/Ventas[[#This Row],[Beneficio (€)]]</f>
        <v>1.7751194650004138</v>
      </c>
      <c r="T164" s="3" t="str">
        <f>IF(Ventas[[#This Row],[Margen (%)]]&gt;20%,"Beneficio","Perdidas")</f>
        <v>Beneficio</v>
      </c>
    </row>
    <row r="165" spans="1:20" x14ac:dyDescent="0.25">
      <c r="A165" s="12">
        <v>45339</v>
      </c>
      <c r="B165" s="1" t="s">
        <v>42</v>
      </c>
      <c r="C165" s="1" t="s">
        <v>43</v>
      </c>
      <c r="D165" s="1" t="s">
        <v>45</v>
      </c>
      <c r="E165" s="1" t="s">
        <v>20</v>
      </c>
      <c r="F165">
        <v>742</v>
      </c>
      <c r="G165">
        <v>6.84</v>
      </c>
      <c r="H165">
        <v>5075.28</v>
      </c>
      <c r="I165" s="1" t="s">
        <v>55</v>
      </c>
      <c r="J165" s="1" t="s">
        <v>56</v>
      </c>
      <c r="K165" s="1" t="s">
        <v>23</v>
      </c>
      <c r="L165">
        <v>3504.44</v>
      </c>
      <c r="M165">
        <v>31</v>
      </c>
      <c r="N165">
        <v>2024</v>
      </c>
      <c r="O165">
        <f t="shared" si="2"/>
        <v>1</v>
      </c>
      <c r="P165" s="13" t="s">
        <v>60</v>
      </c>
      <c r="Q165">
        <v>1570.84</v>
      </c>
      <c r="R165" s="3" t="s">
        <v>25</v>
      </c>
      <c r="S165" s="7">
        <f>Ventas[[#This Row],[Costo Material (€)]]/Ventas[[#This Row],[Beneficio (€)]]</f>
        <v>2.2309337679203485</v>
      </c>
      <c r="T165" s="3" t="str">
        <f>IF(Ventas[[#This Row],[Margen (%)]]&gt;20%,"Beneficio","Perdidas")</f>
        <v>Beneficio</v>
      </c>
    </row>
    <row r="166" spans="1:20" x14ac:dyDescent="0.25">
      <c r="A166" s="12">
        <v>45127</v>
      </c>
      <c r="B166" s="1" t="s">
        <v>17</v>
      </c>
      <c r="C166" s="1" t="s">
        <v>18</v>
      </c>
      <c r="D166" s="1" t="s">
        <v>37</v>
      </c>
      <c r="E166" s="1" t="s">
        <v>38</v>
      </c>
      <c r="F166">
        <v>528</v>
      </c>
      <c r="G166">
        <v>11.47</v>
      </c>
      <c r="H166">
        <v>6056.16</v>
      </c>
      <c r="I166" s="1" t="s">
        <v>46</v>
      </c>
      <c r="J166" s="1" t="s">
        <v>27</v>
      </c>
      <c r="K166" s="1" t="s">
        <v>41</v>
      </c>
      <c r="L166">
        <v>4490.21</v>
      </c>
      <c r="M166">
        <v>25.9</v>
      </c>
      <c r="N166">
        <v>2023</v>
      </c>
      <c r="O166">
        <f t="shared" si="2"/>
        <v>3</v>
      </c>
      <c r="P166" s="13" t="s">
        <v>65</v>
      </c>
      <c r="Q166">
        <v>1565.95</v>
      </c>
      <c r="R166" s="3" t="s">
        <v>25</v>
      </c>
      <c r="S166" s="7">
        <f>Ventas[[#This Row],[Costo Material (€)]]/Ventas[[#This Row],[Beneficio (€)]]</f>
        <v>2.8674031737922667</v>
      </c>
      <c r="T166" s="3" t="str">
        <f>IF(Ventas[[#This Row],[Margen (%)]]&gt;20%,"Beneficio","Perdidas")</f>
        <v>Beneficio</v>
      </c>
    </row>
    <row r="167" spans="1:20" x14ac:dyDescent="0.25">
      <c r="A167" s="12">
        <v>45170</v>
      </c>
      <c r="B167" s="1" t="s">
        <v>17</v>
      </c>
      <c r="C167" s="1" t="s">
        <v>18</v>
      </c>
      <c r="D167" s="1" t="s">
        <v>48</v>
      </c>
      <c r="E167" s="1" t="s">
        <v>38</v>
      </c>
      <c r="F167">
        <v>641</v>
      </c>
      <c r="G167">
        <v>8.2200000000000006</v>
      </c>
      <c r="H167">
        <v>5269.02</v>
      </c>
      <c r="I167" s="1" t="s">
        <v>21</v>
      </c>
      <c r="J167" s="1" t="s">
        <v>22</v>
      </c>
      <c r="K167" s="1" t="s">
        <v>41</v>
      </c>
      <c r="L167">
        <v>3704.28</v>
      </c>
      <c r="M167">
        <v>29.7</v>
      </c>
      <c r="N167">
        <v>2023</v>
      </c>
      <c r="O167">
        <f t="shared" si="2"/>
        <v>3</v>
      </c>
      <c r="P167" s="13" t="s">
        <v>67</v>
      </c>
      <c r="Q167">
        <v>1564.74</v>
      </c>
      <c r="R167" s="3" t="s">
        <v>25</v>
      </c>
      <c r="S167" s="7">
        <f>Ventas[[#This Row],[Costo Material (€)]]/Ventas[[#This Row],[Beneficio (€)]]</f>
        <v>2.3673453736723036</v>
      </c>
      <c r="T167" s="3" t="str">
        <f>IF(Ventas[[#This Row],[Margen (%)]]&gt;20%,"Beneficio","Perdidas")</f>
        <v>Beneficio</v>
      </c>
    </row>
    <row r="168" spans="1:20" x14ac:dyDescent="0.25">
      <c r="A168" s="12">
        <v>45217</v>
      </c>
      <c r="B168" s="1" t="s">
        <v>35</v>
      </c>
      <c r="C168" s="1" t="s">
        <v>36</v>
      </c>
      <c r="D168" s="1" t="s">
        <v>48</v>
      </c>
      <c r="E168" s="1" t="s">
        <v>38</v>
      </c>
      <c r="F168">
        <v>544</v>
      </c>
      <c r="G168">
        <v>9.23</v>
      </c>
      <c r="H168">
        <v>5021.12</v>
      </c>
      <c r="I168" s="1" t="s">
        <v>26</v>
      </c>
      <c r="J168" s="1" t="s">
        <v>22</v>
      </c>
      <c r="K168" s="1" t="s">
        <v>28</v>
      </c>
      <c r="L168">
        <v>3462.32</v>
      </c>
      <c r="M168">
        <v>31</v>
      </c>
      <c r="N168">
        <v>2023</v>
      </c>
      <c r="O168">
        <f t="shared" si="2"/>
        <v>4</v>
      </c>
      <c r="P168" s="13" t="s">
        <v>68</v>
      </c>
      <c r="Q168">
        <v>1558.8</v>
      </c>
      <c r="R168" s="3" t="s">
        <v>25</v>
      </c>
      <c r="S168" s="7">
        <f>Ventas[[#This Row],[Costo Material (€)]]/Ventas[[#This Row],[Beneficio (€)]]</f>
        <v>2.2211444701052092</v>
      </c>
      <c r="T168" s="3" t="str">
        <f>IF(Ventas[[#This Row],[Margen (%)]]&gt;20%,"Beneficio","Perdidas")</f>
        <v>Beneficio</v>
      </c>
    </row>
    <row r="169" spans="1:20" x14ac:dyDescent="0.25">
      <c r="A169" s="12">
        <v>45296</v>
      </c>
      <c r="B169" s="1" t="s">
        <v>42</v>
      </c>
      <c r="C169" s="1" t="s">
        <v>43</v>
      </c>
      <c r="D169" s="1" t="s">
        <v>53</v>
      </c>
      <c r="E169" s="1" t="s">
        <v>50</v>
      </c>
      <c r="F169">
        <v>875</v>
      </c>
      <c r="G169">
        <v>10.44</v>
      </c>
      <c r="H169">
        <v>9135</v>
      </c>
      <c r="I169" s="1" t="s">
        <v>21</v>
      </c>
      <c r="J169" s="1" t="s">
        <v>47</v>
      </c>
      <c r="K169" s="1" t="s">
        <v>41</v>
      </c>
      <c r="L169">
        <v>7577.16</v>
      </c>
      <c r="M169">
        <v>17.100000000000001</v>
      </c>
      <c r="N169">
        <v>2024</v>
      </c>
      <c r="O169">
        <f t="shared" si="2"/>
        <v>1</v>
      </c>
      <c r="P169" s="13" t="s">
        <v>24</v>
      </c>
      <c r="Q169">
        <v>1557.84</v>
      </c>
      <c r="R169" s="3" t="s">
        <v>29</v>
      </c>
      <c r="S169" s="7">
        <f>Ventas[[#This Row],[Costo Material (€)]]/Ventas[[#This Row],[Beneficio (€)]]</f>
        <v>4.8638884609459252</v>
      </c>
      <c r="T169" s="3" t="str">
        <f>IF(Ventas[[#This Row],[Margen (%)]]&gt;20%,"Beneficio","Perdidas")</f>
        <v>Beneficio</v>
      </c>
    </row>
    <row r="170" spans="1:20" x14ac:dyDescent="0.25">
      <c r="A170" s="12">
        <v>45065</v>
      </c>
      <c r="B170" s="1" t="s">
        <v>42</v>
      </c>
      <c r="C170" s="1" t="s">
        <v>43</v>
      </c>
      <c r="D170" s="1" t="s">
        <v>44</v>
      </c>
      <c r="E170" s="1" t="s">
        <v>38</v>
      </c>
      <c r="F170">
        <v>437</v>
      </c>
      <c r="G170">
        <v>10.3</v>
      </c>
      <c r="H170">
        <v>4501.1000000000004</v>
      </c>
      <c r="I170" s="1" t="s">
        <v>21</v>
      </c>
      <c r="J170" s="1" t="s">
        <v>56</v>
      </c>
      <c r="K170" s="1" t="s">
        <v>41</v>
      </c>
      <c r="L170">
        <v>2957.98</v>
      </c>
      <c r="M170">
        <v>34.299999999999997</v>
      </c>
      <c r="N170">
        <v>2023</v>
      </c>
      <c r="O170">
        <f t="shared" si="2"/>
        <v>2</v>
      </c>
      <c r="P170" s="13" t="s">
        <v>63</v>
      </c>
      <c r="Q170">
        <v>1543.12</v>
      </c>
      <c r="R170" s="3" t="s">
        <v>25</v>
      </c>
      <c r="S170" s="7">
        <f>Ventas[[#This Row],[Costo Material (€)]]/Ventas[[#This Row],[Beneficio (€)]]</f>
        <v>1.9168826792472395</v>
      </c>
      <c r="T170" s="3" t="str">
        <f>IF(Ventas[[#This Row],[Margen (%)]]&gt;20%,"Beneficio","Perdidas")</f>
        <v>Beneficio</v>
      </c>
    </row>
    <row r="171" spans="1:20" x14ac:dyDescent="0.25">
      <c r="A171" s="12">
        <v>45054</v>
      </c>
      <c r="B171" s="1" t="s">
        <v>17</v>
      </c>
      <c r="C171" s="1" t="s">
        <v>18</v>
      </c>
      <c r="D171" s="1" t="s">
        <v>44</v>
      </c>
      <c r="E171" s="1" t="s">
        <v>38</v>
      </c>
      <c r="F171">
        <v>475</v>
      </c>
      <c r="G171">
        <v>9.7100000000000009</v>
      </c>
      <c r="H171">
        <v>4612.25</v>
      </c>
      <c r="I171" s="1" t="s">
        <v>54</v>
      </c>
      <c r="J171" s="1" t="s">
        <v>47</v>
      </c>
      <c r="K171" s="1" t="s">
        <v>41</v>
      </c>
      <c r="L171">
        <v>3075.72</v>
      </c>
      <c r="M171">
        <v>33.299999999999997</v>
      </c>
      <c r="N171">
        <v>2023</v>
      </c>
      <c r="O171">
        <f t="shared" si="2"/>
        <v>2</v>
      </c>
      <c r="P171" s="13" t="s">
        <v>63</v>
      </c>
      <c r="Q171">
        <v>1536.53</v>
      </c>
      <c r="R171" s="3" t="s">
        <v>25</v>
      </c>
      <c r="S171" s="7">
        <f>Ventas[[#This Row],[Costo Material (€)]]/Ventas[[#This Row],[Beneficio (€)]]</f>
        <v>2.0017311734883143</v>
      </c>
      <c r="T171" s="3" t="str">
        <f>IF(Ventas[[#This Row],[Margen (%)]]&gt;20%,"Beneficio","Perdidas")</f>
        <v>Beneficio</v>
      </c>
    </row>
    <row r="172" spans="1:20" x14ac:dyDescent="0.25">
      <c r="A172" s="12">
        <v>45030</v>
      </c>
      <c r="B172" s="1" t="s">
        <v>51</v>
      </c>
      <c r="C172" s="1" t="s">
        <v>52</v>
      </c>
      <c r="D172" s="1" t="s">
        <v>49</v>
      </c>
      <c r="E172" s="1" t="s">
        <v>50</v>
      </c>
      <c r="F172">
        <v>866</v>
      </c>
      <c r="G172">
        <v>5.63</v>
      </c>
      <c r="H172">
        <v>4875.58</v>
      </c>
      <c r="I172" s="1" t="s">
        <v>26</v>
      </c>
      <c r="J172" s="1" t="s">
        <v>34</v>
      </c>
      <c r="K172" s="1" t="s">
        <v>28</v>
      </c>
      <c r="L172">
        <v>3339.76</v>
      </c>
      <c r="M172">
        <v>31.5</v>
      </c>
      <c r="N172">
        <v>2023</v>
      </c>
      <c r="O172">
        <f t="shared" si="2"/>
        <v>2</v>
      </c>
      <c r="P172" s="13" t="s">
        <v>62</v>
      </c>
      <c r="Q172">
        <v>1535.82</v>
      </c>
      <c r="R172" s="3" t="s">
        <v>25</v>
      </c>
      <c r="S172" s="7">
        <f>Ventas[[#This Row],[Costo Material (€)]]/Ventas[[#This Row],[Beneficio (€)]]</f>
        <v>2.1745777499967445</v>
      </c>
      <c r="T172" s="3" t="str">
        <f>IF(Ventas[[#This Row],[Margen (%)]]&gt;20%,"Beneficio","Perdidas")</f>
        <v>Beneficio</v>
      </c>
    </row>
    <row r="173" spans="1:20" x14ac:dyDescent="0.25">
      <c r="A173" s="12">
        <v>45034</v>
      </c>
      <c r="B173" s="1" t="s">
        <v>30</v>
      </c>
      <c r="C173" s="1" t="s">
        <v>31</v>
      </c>
      <c r="D173" s="1" t="s">
        <v>32</v>
      </c>
      <c r="E173" s="1" t="s">
        <v>20</v>
      </c>
      <c r="F173">
        <v>382</v>
      </c>
      <c r="G173">
        <v>11.36</v>
      </c>
      <c r="H173">
        <v>4339.5200000000004</v>
      </c>
      <c r="I173" s="1" t="s">
        <v>55</v>
      </c>
      <c r="J173" s="1" t="s">
        <v>27</v>
      </c>
      <c r="K173" s="1" t="s">
        <v>23</v>
      </c>
      <c r="L173">
        <v>2809.4</v>
      </c>
      <c r="M173">
        <v>35.299999999999997</v>
      </c>
      <c r="N173">
        <v>2023</v>
      </c>
      <c r="O173">
        <f t="shared" si="2"/>
        <v>2</v>
      </c>
      <c r="P173" s="13" t="s">
        <v>62</v>
      </c>
      <c r="Q173">
        <v>1530.12</v>
      </c>
      <c r="R173" s="3" t="s">
        <v>25</v>
      </c>
      <c r="S173" s="7">
        <f>Ventas[[#This Row],[Costo Material (€)]]/Ventas[[#This Row],[Beneficio (€)]]</f>
        <v>1.8360651452173689</v>
      </c>
      <c r="T173" s="3" t="str">
        <f>IF(Ventas[[#This Row],[Margen (%)]]&gt;20%,"Beneficio","Perdidas")</f>
        <v>Beneficio</v>
      </c>
    </row>
    <row r="174" spans="1:20" x14ac:dyDescent="0.25">
      <c r="A174" s="12">
        <v>45017</v>
      </c>
      <c r="B174" s="1" t="s">
        <v>17</v>
      </c>
      <c r="C174" s="1" t="s">
        <v>18</v>
      </c>
      <c r="D174" s="1" t="s">
        <v>45</v>
      </c>
      <c r="E174" s="1" t="s">
        <v>20</v>
      </c>
      <c r="F174">
        <v>984</v>
      </c>
      <c r="G174">
        <v>4.8</v>
      </c>
      <c r="H174">
        <v>4723.2</v>
      </c>
      <c r="I174" s="1" t="s">
        <v>33</v>
      </c>
      <c r="J174" s="1" t="s">
        <v>34</v>
      </c>
      <c r="K174" s="1" t="s">
        <v>23</v>
      </c>
      <c r="L174">
        <v>3195.14</v>
      </c>
      <c r="M174">
        <v>32.4</v>
      </c>
      <c r="N174">
        <v>2023</v>
      </c>
      <c r="O174">
        <f t="shared" si="2"/>
        <v>2</v>
      </c>
      <c r="P174" s="13" t="s">
        <v>62</v>
      </c>
      <c r="Q174">
        <v>1528.06</v>
      </c>
      <c r="R174" s="3" t="s">
        <v>25</v>
      </c>
      <c r="S174" s="7">
        <f>Ventas[[#This Row],[Costo Material (€)]]/Ventas[[#This Row],[Beneficio (€)]]</f>
        <v>2.0909781029540726</v>
      </c>
      <c r="T174" s="3" t="str">
        <f>IF(Ventas[[#This Row],[Margen (%)]]&gt;20%,"Beneficio","Perdidas")</f>
        <v>Beneficio</v>
      </c>
    </row>
    <row r="175" spans="1:20" x14ac:dyDescent="0.25">
      <c r="A175" s="12">
        <v>45172</v>
      </c>
      <c r="B175" s="1" t="s">
        <v>51</v>
      </c>
      <c r="C175" s="1" t="s">
        <v>52</v>
      </c>
      <c r="D175" s="1" t="s">
        <v>45</v>
      </c>
      <c r="E175" s="1" t="s">
        <v>20</v>
      </c>
      <c r="F175">
        <v>474</v>
      </c>
      <c r="G175">
        <v>8.49</v>
      </c>
      <c r="H175">
        <v>4024.26</v>
      </c>
      <c r="I175" s="1" t="s">
        <v>57</v>
      </c>
      <c r="J175" s="1" t="s">
        <v>40</v>
      </c>
      <c r="K175" s="1" t="s">
        <v>41</v>
      </c>
      <c r="L175">
        <v>2500.5100000000002</v>
      </c>
      <c r="M175">
        <v>37.9</v>
      </c>
      <c r="N175">
        <v>2023</v>
      </c>
      <c r="O175">
        <f t="shared" si="2"/>
        <v>3</v>
      </c>
      <c r="P175" s="13" t="s">
        <v>67</v>
      </c>
      <c r="Q175">
        <v>1523.75</v>
      </c>
      <c r="R175" s="3" t="s">
        <v>25</v>
      </c>
      <c r="S175" s="7">
        <f>Ventas[[#This Row],[Costo Material (€)]]/Ventas[[#This Row],[Beneficio (€)]]</f>
        <v>1.6410237899917968</v>
      </c>
      <c r="T175" s="3" t="str">
        <f>IF(Ventas[[#This Row],[Margen (%)]]&gt;20%,"Beneficio","Perdidas")</f>
        <v>Beneficio</v>
      </c>
    </row>
    <row r="176" spans="1:20" x14ac:dyDescent="0.25">
      <c r="A176" s="12">
        <v>44969</v>
      </c>
      <c r="B176" s="1" t="s">
        <v>17</v>
      </c>
      <c r="C176" s="1" t="s">
        <v>18</v>
      </c>
      <c r="D176" s="1" t="s">
        <v>49</v>
      </c>
      <c r="E176" s="1" t="s">
        <v>50</v>
      </c>
      <c r="F176">
        <v>911</v>
      </c>
      <c r="G176">
        <v>10.81</v>
      </c>
      <c r="H176">
        <v>9847.91</v>
      </c>
      <c r="I176" s="1" t="s">
        <v>21</v>
      </c>
      <c r="J176" s="1" t="s">
        <v>47</v>
      </c>
      <c r="K176" s="1" t="s">
        <v>23</v>
      </c>
      <c r="L176">
        <v>8329.15</v>
      </c>
      <c r="M176">
        <v>15.4</v>
      </c>
      <c r="N176">
        <v>2023</v>
      </c>
      <c r="O176">
        <f t="shared" si="2"/>
        <v>1</v>
      </c>
      <c r="P176" s="13" t="s">
        <v>60</v>
      </c>
      <c r="Q176">
        <v>1518.76</v>
      </c>
      <c r="R176" s="3" t="s">
        <v>29</v>
      </c>
      <c r="S176" s="7">
        <f>Ventas[[#This Row],[Costo Material (€)]]/Ventas[[#This Row],[Beneficio (€)]]</f>
        <v>5.4841778819563327</v>
      </c>
      <c r="T176" s="3" t="str">
        <f>IF(Ventas[[#This Row],[Margen (%)]]&gt;20%,"Beneficio","Perdidas")</f>
        <v>Beneficio</v>
      </c>
    </row>
    <row r="177" spans="1:20" x14ac:dyDescent="0.25">
      <c r="A177" s="12">
        <v>45152</v>
      </c>
      <c r="B177" s="1" t="s">
        <v>35</v>
      </c>
      <c r="C177" s="1" t="s">
        <v>36</v>
      </c>
      <c r="D177" s="1" t="s">
        <v>32</v>
      </c>
      <c r="E177" s="1" t="s">
        <v>20</v>
      </c>
      <c r="F177">
        <v>725</v>
      </c>
      <c r="G177">
        <v>6.72</v>
      </c>
      <c r="H177">
        <v>4872</v>
      </c>
      <c r="I177" s="1" t="s">
        <v>39</v>
      </c>
      <c r="J177" s="1" t="s">
        <v>40</v>
      </c>
      <c r="K177" s="1" t="s">
        <v>28</v>
      </c>
      <c r="L177">
        <v>3353.89</v>
      </c>
      <c r="M177">
        <v>31.2</v>
      </c>
      <c r="N177">
        <v>2023</v>
      </c>
      <c r="O177">
        <f t="shared" si="2"/>
        <v>3</v>
      </c>
      <c r="P177" s="13" t="s">
        <v>66</v>
      </c>
      <c r="Q177">
        <v>1518.11</v>
      </c>
      <c r="R177" s="3" t="s">
        <v>25</v>
      </c>
      <c r="S177" s="7">
        <f>Ventas[[#This Row],[Costo Material (€)]]/Ventas[[#This Row],[Beneficio (€)]]</f>
        <v>2.2092536113983834</v>
      </c>
      <c r="T177" s="3" t="str">
        <f>IF(Ventas[[#This Row],[Margen (%)]]&gt;20%,"Beneficio","Perdidas")</f>
        <v>Beneficio</v>
      </c>
    </row>
    <row r="178" spans="1:20" x14ac:dyDescent="0.25">
      <c r="A178" s="12">
        <v>44957</v>
      </c>
      <c r="B178" s="1" t="s">
        <v>58</v>
      </c>
      <c r="C178" s="1" t="s">
        <v>59</v>
      </c>
      <c r="D178" s="1" t="s">
        <v>45</v>
      </c>
      <c r="E178" s="1" t="s">
        <v>20</v>
      </c>
      <c r="F178">
        <v>843</v>
      </c>
      <c r="G178">
        <v>6.96</v>
      </c>
      <c r="H178">
        <v>5867.28</v>
      </c>
      <c r="I178" s="1" t="s">
        <v>46</v>
      </c>
      <c r="J178" s="1" t="s">
        <v>22</v>
      </c>
      <c r="K178" s="1" t="s">
        <v>28</v>
      </c>
      <c r="L178">
        <v>4357.92</v>
      </c>
      <c r="M178">
        <v>25.7</v>
      </c>
      <c r="N178">
        <v>2023</v>
      </c>
      <c r="O178">
        <f t="shared" si="2"/>
        <v>1</v>
      </c>
      <c r="P178" s="13" t="s">
        <v>24</v>
      </c>
      <c r="Q178">
        <v>1509.36</v>
      </c>
      <c r="R178" s="3" t="s">
        <v>25</v>
      </c>
      <c r="S178" s="7">
        <f>Ventas[[#This Row],[Costo Material (€)]]/Ventas[[#This Row],[Beneficio (€)]]</f>
        <v>2.88726347591032</v>
      </c>
      <c r="T178" s="3" t="str">
        <f>IF(Ventas[[#This Row],[Margen (%)]]&gt;20%,"Beneficio","Perdidas")</f>
        <v>Beneficio</v>
      </c>
    </row>
    <row r="179" spans="1:20" x14ac:dyDescent="0.25">
      <c r="A179" s="12">
        <v>45113</v>
      </c>
      <c r="B179" s="1" t="s">
        <v>30</v>
      </c>
      <c r="C179" s="1" t="s">
        <v>31</v>
      </c>
      <c r="D179" s="1" t="s">
        <v>49</v>
      </c>
      <c r="E179" s="1" t="s">
        <v>50</v>
      </c>
      <c r="F179">
        <v>874</v>
      </c>
      <c r="G179">
        <v>8.7100000000000009</v>
      </c>
      <c r="H179">
        <v>7612.54</v>
      </c>
      <c r="I179" s="1" t="s">
        <v>46</v>
      </c>
      <c r="J179" s="1" t="s">
        <v>40</v>
      </c>
      <c r="K179" s="1" t="s">
        <v>28</v>
      </c>
      <c r="L179">
        <v>6111.95</v>
      </c>
      <c r="M179">
        <v>19.7</v>
      </c>
      <c r="N179">
        <v>2023</v>
      </c>
      <c r="O179">
        <f t="shared" si="2"/>
        <v>3</v>
      </c>
      <c r="P179" s="13" t="s">
        <v>65</v>
      </c>
      <c r="Q179">
        <v>1500.59</v>
      </c>
      <c r="R179" s="3" t="s">
        <v>29</v>
      </c>
      <c r="S179" s="7">
        <f>Ventas[[#This Row],[Costo Material (€)]]/Ventas[[#This Row],[Beneficio (€)]]</f>
        <v>4.073031274365416</v>
      </c>
      <c r="T179" s="3" t="str">
        <f>IF(Ventas[[#This Row],[Margen (%)]]&gt;20%,"Beneficio","Perdidas")</f>
        <v>Beneficio</v>
      </c>
    </row>
    <row r="180" spans="1:20" x14ac:dyDescent="0.25">
      <c r="A180" s="12">
        <v>45097</v>
      </c>
      <c r="B180" s="1" t="s">
        <v>51</v>
      </c>
      <c r="C180" s="1" t="s">
        <v>52</v>
      </c>
      <c r="D180" s="1" t="s">
        <v>45</v>
      </c>
      <c r="E180" s="1" t="s">
        <v>20</v>
      </c>
      <c r="F180">
        <v>883</v>
      </c>
      <c r="G180">
        <v>10.46</v>
      </c>
      <c r="H180">
        <v>9236.18</v>
      </c>
      <c r="I180" s="1" t="s">
        <v>39</v>
      </c>
      <c r="J180" s="1" t="s">
        <v>27</v>
      </c>
      <c r="K180" s="1" t="s">
        <v>28</v>
      </c>
      <c r="L180">
        <v>7744.36</v>
      </c>
      <c r="M180">
        <v>16.2</v>
      </c>
      <c r="N180">
        <v>2023</v>
      </c>
      <c r="O180">
        <f t="shared" si="2"/>
        <v>2</v>
      </c>
      <c r="P180" s="13" t="s">
        <v>64</v>
      </c>
      <c r="Q180">
        <v>1491.82</v>
      </c>
      <c r="R180" s="3" t="s">
        <v>29</v>
      </c>
      <c r="S180" s="7">
        <f>Ventas[[#This Row],[Costo Material (€)]]/Ventas[[#This Row],[Beneficio (€)]]</f>
        <v>5.191216098456918</v>
      </c>
      <c r="T180" s="3" t="str">
        <f>IF(Ventas[[#This Row],[Margen (%)]]&gt;20%,"Beneficio","Perdidas")</f>
        <v>Beneficio</v>
      </c>
    </row>
    <row r="181" spans="1:20" x14ac:dyDescent="0.25">
      <c r="A181" s="12">
        <v>44929</v>
      </c>
      <c r="B181" s="1" t="s">
        <v>51</v>
      </c>
      <c r="C181" s="1" t="s">
        <v>52</v>
      </c>
      <c r="D181" s="1" t="s">
        <v>32</v>
      </c>
      <c r="E181" s="1" t="s">
        <v>20</v>
      </c>
      <c r="F181">
        <v>454</v>
      </c>
      <c r="G181">
        <v>11.22</v>
      </c>
      <c r="H181">
        <v>5093.88</v>
      </c>
      <c r="I181" s="1" t="s">
        <v>46</v>
      </c>
      <c r="J181" s="1" t="s">
        <v>34</v>
      </c>
      <c r="K181" s="1" t="s">
        <v>23</v>
      </c>
      <c r="L181">
        <v>3602.94</v>
      </c>
      <c r="M181">
        <v>29.3</v>
      </c>
      <c r="N181">
        <v>2023</v>
      </c>
      <c r="O181">
        <f t="shared" si="2"/>
        <v>1</v>
      </c>
      <c r="P181" s="13" t="s">
        <v>24</v>
      </c>
      <c r="Q181">
        <v>1490.94</v>
      </c>
      <c r="R181" s="3" t="s">
        <v>25</v>
      </c>
      <c r="S181" s="7">
        <f>Ventas[[#This Row],[Costo Material (€)]]/Ventas[[#This Row],[Beneficio (€)]]</f>
        <v>2.4165559982293048</v>
      </c>
      <c r="T181" s="3" t="str">
        <f>IF(Ventas[[#This Row],[Margen (%)]]&gt;20%,"Beneficio","Perdidas")</f>
        <v>Beneficio</v>
      </c>
    </row>
    <row r="182" spans="1:20" x14ac:dyDescent="0.25">
      <c r="A182" s="12">
        <v>45780</v>
      </c>
      <c r="B182" s="1" t="s">
        <v>30</v>
      </c>
      <c r="C182" s="1" t="s">
        <v>31</v>
      </c>
      <c r="D182" s="1" t="s">
        <v>19</v>
      </c>
      <c r="E182" s="1" t="s">
        <v>20</v>
      </c>
      <c r="F182">
        <v>569</v>
      </c>
      <c r="G182">
        <v>11.87</v>
      </c>
      <c r="H182">
        <v>6754.03</v>
      </c>
      <c r="I182" s="1" t="s">
        <v>46</v>
      </c>
      <c r="J182" s="1" t="s">
        <v>40</v>
      </c>
      <c r="K182" s="1" t="s">
        <v>28</v>
      </c>
      <c r="L182">
        <v>5274.51</v>
      </c>
      <c r="M182">
        <v>21.9</v>
      </c>
      <c r="N182">
        <v>2025</v>
      </c>
      <c r="O182">
        <f t="shared" si="2"/>
        <v>2</v>
      </c>
      <c r="P182" s="13" t="s">
        <v>63</v>
      </c>
      <c r="Q182">
        <v>1479.52</v>
      </c>
      <c r="R182" s="3" t="s">
        <v>29</v>
      </c>
      <c r="S182" s="7">
        <f>Ventas[[#This Row],[Costo Material (€)]]/Ventas[[#This Row],[Beneficio (€)]]</f>
        <v>3.5650143289715586</v>
      </c>
      <c r="T182" s="3" t="str">
        <f>IF(Ventas[[#This Row],[Margen (%)]]&gt;20%,"Beneficio","Perdidas")</f>
        <v>Beneficio</v>
      </c>
    </row>
    <row r="183" spans="1:20" x14ac:dyDescent="0.25">
      <c r="A183" s="12">
        <v>45237</v>
      </c>
      <c r="B183" s="1" t="s">
        <v>58</v>
      </c>
      <c r="C183" s="1" t="s">
        <v>59</v>
      </c>
      <c r="D183" s="1" t="s">
        <v>32</v>
      </c>
      <c r="E183" s="1" t="s">
        <v>20</v>
      </c>
      <c r="F183">
        <v>630</v>
      </c>
      <c r="G183">
        <v>10.199999999999999</v>
      </c>
      <c r="H183">
        <v>6426</v>
      </c>
      <c r="I183" s="1" t="s">
        <v>57</v>
      </c>
      <c r="J183" s="1" t="s">
        <v>27</v>
      </c>
      <c r="K183" s="1" t="s">
        <v>28</v>
      </c>
      <c r="L183">
        <v>4951.58</v>
      </c>
      <c r="M183">
        <v>22.9</v>
      </c>
      <c r="N183">
        <v>2023</v>
      </c>
      <c r="O183">
        <f t="shared" si="2"/>
        <v>4</v>
      </c>
      <c r="P183" s="13" t="s">
        <v>69</v>
      </c>
      <c r="Q183">
        <v>1474.42</v>
      </c>
      <c r="R183" s="3" t="s">
        <v>29</v>
      </c>
      <c r="S183" s="7">
        <f>Ventas[[#This Row],[Costo Material (€)]]/Ventas[[#This Row],[Beneficio (€)]]</f>
        <v>3.3583239511129799</v>
      </c>
      <c r="T183" s="3" t="str">
        <f>IF(Ventas[[#This Row],[Margen (%)]]&gt;20%,"Beneficio","Perdidas")</f>
        <v>Beneficio</v>
      </c>
    </row>
    <row r="184" spans="1:20" x14ac:dyDescent="0.25">
      <c r="A184" s="12">
        <v>44927</v>
      </c>
      <c r="B184" s="1" t="s">
        <v>35</v>
      </c>
      <c r="C184" s="1" t="s">
        <v>36</v>
      </c>
      <c r="D184" s="1" t="s">
        <v>37</v>
      </c>
      <c r="E184" s="1" t="s">
        <v>38</v>
      </c>
      <c r="F184">
        <v>630</v>
      </c>
      <c r="G184">
        <v>9.6199999999999992</v>
      </c>
      <c r="H184">
        <v>6060.6</v>
      </c>
      <c r="I184" s="1" t="s">
        <v>26</v>
      </c>
      <c r="J184" s="1" t="s">
        <v>40</v>
      </c>
      <c r="K184" s="1" t="s">
        <v>41</v>
      </c>
      <c r="L184">
        <v>4596.97</v>
      </c>
      <c r="M184">
        <v>24.1</v>
      </c>
      <c r="N184">
        <v>2023</v>
      </c>
      <c r="O184">
        <f t="shared" si="2"/>
        <v>1</v>
      </c>
      <c r="P184" s="13" t="s">
        <v>24</v>
      </c>
      <c r="Q184">
        <v>1463.63</v>
      </c>
      <c r="R184" s="3" t="s">
        <v>29</v>
      </c>
      <c r="S184" s="7">
        <f>Ventas[[#This Row],[Costo Material (€)]]/Ventas[[#This Row],[Beneficio (€)]]</f>
        <v>3.1408006121765748</v>
      </c>
      <c r="T184" s="3" t="str">
        <f>IF(Ventas[[#This Row],[Margen (%)]]&gt;20%,"Beneficio","Perdidas")</f>
        <v>Beneficio</v>
      </c>
    </row>
    <row r="185" spans="1:20" x14ac:dyDescent="0.25">
      <c r="A185" s="12">
        <v>45269</v>
      </c>
      <c r="B185" s="1" t="s">
        <v>42</v>
      </c>
      <c r="C185" s="1" t="s">
        <v>43</v>
      </c>
      <c r="D185" s="1" t="s">
        <v>45</v>
      </c>
      <c r="E185" s="1" t="s">
        <v>20</v>
      </c>
      <c r="F185">
        <v>722</v>
      </c>
      <c r="G185">
        <v>7.55</v>
      </c>
      <c r="H185">
        <v>5451.1</v>
      </c>
      <c r="I185" s="1" t="s">
        <v>54</v>
      </c>
      <c r="J185" s="1" t="s">
        <v>34</v>
      </c>
      <c r="K185" s="1" t="s">
        <v>23</v>
      </c>
      <c r="L185">
        <v>3988.87</v>
      </c>
      <c r="M185">
        <v>26.8</v>
      </c>
      <c r="N185">
        <v>2023</v>
      </c>
      <c r="O185">
        <f t="shared" si="2"/>
        <v>4</v>
      </c>
      <c r="P185" s="13" t="s">
        <v>70</v>
      </c>
      <c r="Q185">
        <v>1462.23</v>
      </c>
      <c r="R185" s="3" t="s">
        <v>25</v>
      </c>
      <c r="S185" s="7">
        <f>Ventas[[#This Row],[Costo Material (€)]]/Ventas[[#This Row],[Beneficio (€)]]</f>
        <v>2.7279360976043439</v>
      </c>
      <c r="T185" s="3" t="str">
        <f>IF(Ventas[[#This Row],[Margen (%)]]&gt;20%,"Beneficio","Perdidas")</f>
        <v>Beneficio</v>
      </c>
    </row>
    <row r="186" spans="1:20" x14ac:dyDescent="0.25">
      <c r="A186" s="12">
        <v>45005</v>
      </c>
      <c r="B186" s="1" t="s">
        <v>51</v>
      </c>
      <c r="C186" s="1" t="s">
        <v>52</v>
      </c>
      <c r="D186" s="1" t="s">
        <v>37</v>
      </c>
      <c r="E186" s="1" t="s">
        <v>38</v>
      </c>
      <c r="F186">
        <v>912</v>
      </c>
      <c r="G186">
        <v>5.33</v>
      </c>
      <c r="H186">
        <v>4860.96</v>
      </c>
      <c r="I186" s="1" t="s">
        <v>26</v>
      </c>
      <c r="J186" s="1" t="s">
        <v>47</v>
      </c>
      <c r="K186" s="1" t="s">
        <v>41</v>
      </c>
      <c r="L186">
        <v>3406.22</v>
      </c>
      <c r="M186">
        <v>29.9</v>
      </c>
      <c r="N186">
        <v>2023</v>
      </c>
      <c r="O186">
        <f t="shared" si="2"/>
        <v>1</v>
      </c>
      <c r="P186" s="13" t="s">
        <v>61</v>
      </c>
      <c r="Q186">
        <v>1454.74</v>
      </c>
      <c r="R186" s="3" t="s">
        <v>25</v>
      </c>
      <c r="S186" s="7">
        <f>Ventas[[#This Row],[Costo Material (€)]]/Ventas[[#This Row],[Beneficio (€)]]</f>
        <v>2.3414630793131419</v>
      </c>
      <c r="T186" s="3" t="str">
        <f>IF(Ventas[[#This Row],[Margen (%)]]&gt;20%,"Beneficio","Perdidas")</f>
        <v>Beneficio</v>
      </c>
    </row>
    <row r="187" spans="1:20" x14ac:dyDescent="0.25">
      <c r="A187" s="12">
        <v>44945</v>
      </c>
      <c r="B187" s="1" t="s">
        <v>42</v>
      </c>
      <c r="C187" s="1" t="s">
        <v>43</v>
      </c>
      <c r="D187" s="1" t="s">
        <v>19</v>
      </c>
      <c r="E187" s="1" t="s">
        <v>20</v>
      </c>
      <c r="F187">
        <v>923</v>
      </c>
      <c r="G187">
        <v>7.49</v>
      </c>
      <c r="H187">
        <v>6913.27</v>
      </c>
      <c r="I187" s="1" t="s">
        <v>46</v>
      </c>
      <c r="J187" s="1" t="s">
        <v>22</v>
      </c>
      <c r="K187" s="1" t="s">
        <v>41</v>
      </c>
      <c r="L187">
        <v>5461.02</v>
      </c>
      <c r="M187">
        <v>21</v>
      </c>
      <c r="N187">
        <v>2023</v>
      </c>
      <c r="O187">
        <f t="shared" si="2"/>
        <v>1</v>
      </c>
      <c r="P187" s="13" t="s">
        <v>24</v>
      </c>
      <c r="Q187">
        <v>1452.25</v>
      </c>
      <c r="R187" s="3" t="s">
        <v>29</v>
      </c>
      <c r="S187" s="7">
        <f>Ventas[[#This Row],[Costo Material (€)]]/Ventas[[#This Row],[Beneficio (€)]]</f>
        <v>3.760385608538475</v>
      </c>
      <c r="T187" s="3" t="str">
        <f>IF(Ventas[[#This Row],[Margen (%)]]&gt;20%,"Beneficio","Perdidas")</f>
        <v>Beneficio</v>
      </c>
    </row>
    <row r="188" spans="1:20" x14ac:dyDescent="0.25">
      <c r="A188" s="12">
        <v>45323</v>
      </c>
      <c r="B188" s="1" t="s">
        <v>35</v>
      </c>
      <c r="C188" s="1" t="s">
        <v>36</v>
      </c>
      <c r="D188" s="1" t="s">
        <v>44</v>
      </c>
      <c r="E188" s="1" t="s">
        <v>38</v>
      </c>
      <c r="F188">
        <v>870</v>
      </c>
      <c r="G188">
        <v>8.2100000000000009</v>
      </c>
      <c r="H188">
        <v>7142.7</v>
      </c>
      <c r="I188" s="1" t="s">
        <v>55</v>
      </c>
      <c r="J188" s="1" t="s">
        <v>27</v>
      </c>
      <c r="K188" s="1" t="s">
        <v>41</v>
      </c>
      <c r="L188">
        <v>5693.37</v>
      </c>
      <c r="M188">
        <v>20.3</v>
      </c>
      <c r="N188">
        <v>2024</v>
      </c>
      <c r="O188">
        <f t="shared" si="2"/>
        <v>1</v>
      </c>
      <c r="P188" s="13" t="s">
        <v>60</v>
      </c>
      <c r="Q188">
        <v>1449.33</v>
      </c>
      <c r="R188" s="3" t="s">
        <v>29</v>
      </c>
      <c r="S188" s="7">
        <f>Ventas[[#This Row],[Costo Material (€)]]/Ventas[[#This Row],[Beneficio (€)]]</f>
        <v>3.9282772039494112</v>
      </c>
      <c r="T188" s="3" t="str">
        <f>IF(Ventas[[#This Row],[Margen (%)]]&gt;20%,"Beneficio","Perdidas")</f>
        <v>Beneficio</v>
      </c>
    </row>
    <row r="189" spans="1:20" x14ac:dyDescent="0.25">
      <c r="A189" s="12">
        <v>45090</v>
      </c>
      <c r="B189" s="1" t="s">
        <v>51</v>
      </c>
      <c r="C189" s="1" t="s">
        <v>52</v>
      </c>
      <c r="D189" s="1" t="s">
        <v>19</v>
      </c>
      <c r="E189" s="1" t="s">
        <v>20</v>
      </c>
      <c r="F189">
        <v>376</v>
      </c>
      <c r="G189">
        <v>11.28</v>
      </c>
      <c r="H189">
        <v>4241.28</v>
      </c>
      <c r="I189" s="1" t="s">
        <v>54</v>
      </c>
      <c r="J189" s="1" t="s">
        <v>34</v>
      </c>
      <c r="K189" s="1" t="s">
        <v>41</v>
      </c>
      <c r="L189">
        <v>2798.03</v>
      </c>
      <c r="M189">
        <v>34</v>
      </c>
      <c r="N189">
        <v>2023</v>
      </c>
      <c r="O189">
        <f t="shared" si="2"/>
        <v>2</v>
      </c>
      <c r="P189" s="13" t="s">
        <v>64</v>
      </c>
      <c r="Q189">
        <v>1443.25</v>
      </c>
      <c r="R189" s="3" t="s">
        <v>25</v>
      </c>
      <c r="S189" s="7">
        <f>Ventas[[#This Row],[Costo Material (€)]]/Ventas[[#This Row],[Beneficio (€)]]</f>
        <v>1.938700848778798</v>
      </c>
      <c r="T189" s="3" t="str">
        <f>IF(Ventas[[#This Row],[Margen (%)]]&gt;20%,"Beneficio","Perdidas")</f>
        <v>Beneficio</v>
      </c>
    </row>
    <row r="190" spans="1:20" x14ac:dyDescent="0.25">
      <c r="A190" s="12">
        <v>45615</v>
      </c>
      <c r="B190" s="1" t="s">
        <v>58</v>
      </c>
      <c r="C190" s="1" t="s">
        <v>59</v>
      </c>
      <c r="D190" s="1" t="s">
        <v>44</v>
      </c>
      <c r="E190" s="1" t="s">
        <v>38</v>
      </c>
      <c r="F190">
        <v>899</v>
      </c>
      <c r="G190">
        <v>5</v>
      </c>
      <c r="H190">
        <v>4495</v>
      </c>
      <c r="I190" s="1" t="s">
        <v>21</v>
      </c>
      <c r="J190" s="1" t="s">
        <v>22</v>
      </c>
      <c r="K190" s="1" t="s">
        <v>41</v>
      </c>
      <c r="L190">
        <v>3056.72</v>
      </c>
      <c r="M190">
        <v>32</v>
      </c>
      <c r="N190">
        <v>2024</v>
      </c>
      <c r="O190">
        <f t="shared" si="2"/>
        <v>4</v>
      </c>
      <c r="P190" s="13" t="s">
        <v>69</v>
      </c>
      <c r="Q190">
        <v>1438.28</v>
      </c>
      <c r="R190" s="3" t="s">
        <v>25</v>
      </c>
      <c r="S190" s="7">
        <f>Ventas[[#This Row],[Costo Material (€)]]/Ventas[[#This Row],[Beneficio (€)]]</f>
        <v>2.1252607280918876</v>
      </c>
      <c r="T190" s="3" t="str">
        <f>IF(Ventas[[#This Row],[Margen (%)]]&gt;20%,"Beneficio","Perdidas")</f>
        <v>Beneficio</v>
      </c>
    </row>
    <row r="191" spans="1:20" x14ac:dyDescent="0.25">
      <c r="A191" s="12">
        <v>44932</v>
      </c>
      <c r="B191" s="1" t="s">
        <v>17</v>
      </c>
      <c r="C191" s="1" t="s">
        <v>18</v>
      </c>
      <c r="D191" s="1" t="s">
        <v>19</v>
      </c>
      <c r="E191" s="1" t="s">
        <v>20</v>
      </c>
      <c r="F191">
        <v>575</v>
      </c>
      <c r="G191">
        <v>7.42</v>
      </c>
      <c r="H191">
        <v>4266.5</v>
      </c>
      <c r="I191" s="1" t="s">
        <v>39</v>
      </c>
      <c r="J191" s="1" t="s">
        <v>22</v>
      </c>
      <c r="K191" s="1" t="s">
        <v>23</v>
      </c>
      <c r="L191">
        <v>2829.7</v>
      </c>
      <c r="M191">
        <v>33.700000000000003</v>
      </c>
      <c r="N191">
        <v>2023</v>
      </c>
      <c r="O191">
        <f t="shared" si="2"/>
        <v>1</v>
      </c>
      <c r="P191" s="13" t="s">
        <v>24</v>
      </c>
      <c r="Q191">
        <v>1436.8</v>
      </c>
      <c r="R191" s="3" t="s">
        <v>25</v>
      </c>
      <c r="S191" s="7">
        <f>Ventas[[#This Row],[Costo Material (€)]]/Ventas[[#This Row],[Beneficio (€)]]</f>
        <v>1.969445991091314</v>
      </c>
      <c r="T191" s="3" t="str">
        <f>IF(Ventas[[#This Row],[Margen (%)]]&gt;20%,"Beneficio","Perdidas")</f>
        <v>Beneficio</v>
      </c>
    </row>
    <row r="192" spans="1:20" x14ac:dyDescent="0.25">
      <c r="A192" s="12">
        <v>44941</v>
      </c>
      <c r="B192" s="1" t="s">
        <v>58</v>
      </c>
      <c r="C192" s="1" t="s">
        <v>59</v>
      </c>
      <c r="D192" s="1" t="s">
        <v>32</v>
      </c>
      <c r="E192" s="1" t="s">
        <v>20</v>
      </c>
      <c r="F192">
        <v>701</v>
      </c>
      <c r="G192">
        <v>5.34</v>
      </c>
      <c r="H192">
        <v>3743.34</v>
      </c>
      <c r="I192" s="1" t="s">
        <v>57</v>
      </c>
      <c r="J192" s="1" t="s">
        <v>40</v>
      </c>
      <c r="K192" s="1" t="s">
        <v>41</v>
      </c>
      <c r="L192">
        <v>2314.11</v>
      </c>
      <c r="M192">
        <v>38.200000000000003</v>
      </c>
      <c r="N192">
        <v>2023</v>
      </c>
      <c r="O192">
        <f t="shared" si="2"/>
        <v>1</v>
      </c>
      <c r="P192" s="13" t="s">
        <v>24</v>
      </c>
      <c r="Q192">
        <v>1429.23</v>
      </c>
      <c r="R192" s="3" t="s">
        <v>25</v>
      </c>
      <c r="S192" s="7">
        <f>Ventas[[#This Row],[Costo Material (€)]]/Ventas[[#This Row],[Beneficio (€)]]</f>
        <v>1.6191305808022503</v>
      </c>
      <c r="T192" s="3" t="str">
        <f>IF(Ventas[[#This Row],[Margen (%)]]&gt;20%,"Beneficio","Perdidas")</f>
        <v>Beneficio</v>
      </c>
    </row>
    <row r="193" spans="1:20" x14ac:dyDescent="0.25">
      <c r="A193" s="12">
        <v>45127</v>
      </c>
      <c r="B193" s="1" t="s">
        <v>35</v>
      </c>
      <c r="C193" s="1" t="s">
        <v>36</v>
      </c>
      <c r="D193" s="1" t="s">
        <v>19</v>
      </c>
      <c r="E193" s="1" t="s">
        <v>20</v>
      </c>
      <c r="F193">
        <v>422</v>
      </c>
      <c r="G193">
        <v>9.07</v>
      </c>
      <c r="H193">
        <v>3827.54</v>
      </c>
      <c r="I193" s="1" t="s">
        <v>57</v>
      </c>
      <c r="J193" s="1" t="s">
        <v>27</v>
      </c>
      <c r="K193" s="1" t="s">
        <v>28</v>
      </c>
      <c r="L193">
        <v>2407.6</v>
      </c>
      <c r="M193">
        <v>37.1</v>
      </c>
      <c r="N193">
        <v>2023</v>
      </c>
      <c r="O193">
        <f t="shared" si="2"/>
        <v>3</v>
      </c>
      <c r="P193" s="13" t="s">
        <v>65</v>
      </c>
      <c r="Q193">
        <v>1419.94</v>
      </c>
      <c r="R193" s="3" t="s">
        <v>25</v>
      </c>
      <c r="S193" s="7">
        <f>Ventas[[#This Row],[Costo Material (€)]]/Ventas[[#This Row],[Beneficio (€)]]</f>
        <v>1.6955646013211825</v>
      </c>
      <c r="T193" s="3" t="str">
        <f>IF(Ventas[[#This Row],[Margen (%)]]&gt;20%,"Beneficio","Perdidas")</f>
        <v>Beneficio</v>
      </c>
    </row>
    <row r="194" spans="1:20" x14ac:dyDescent="0.25">
      <c r="A194" s="12">
        <v>44941</v>
      </c>
      <c r="B194" s="1" t="s">
        <v>30</v>
      </c>
      <c r="C194" s="1" t="s">
        <v>31</v>
      </c>
      <c r="D194" s="1" t="s">
        <v>19</v>
      </c>
      <c r="E194" s="1" t="s">
        <v>20</v>
      </c>
      <c r="F194">
        <v>944</v>
      </c>
      <c r="G194">
        <v>5.24</v>
      </c>
      <c r="H194">
        <v>4946.5600000000004</v>
      </c>
      <c r="I194" s="1" t="s">
        <v>33</v>
      </c>
      <c r="J194" s="1" t="s">
        <v>40</v>
      </c>
      <c r="K194" s="1" t="s">
        <v>23</v>
      </c>
      <c r="L194">
        <v>3530.4</v>
      </c>
      <c r="M194">
        <v>28.6</v>
      </c>
      <c r="N194">
        <v>2023</v>
      </c>
      <c r="O194">
        <f t="shared" ref="O194:O257" si="3">ROUNDUP(MONTH(A194)/3,0)</f>
        <v>1</v>
      </c>
      <c r="P194" s="13" t="s">
        <v>24</v>
      </c>
      <c r="Q194">
        <v>1416.16</v>
      </c>
      <c r="R194" s="3" t="s">
        <v>25</v>
      </c>
      <c r="S194" s="7">
        <f>Ventas[[#This Row],[Costo Material (€)]]/Ventas[[#This Row],[Beneficio (€)]]</f>
        <v>2.492938650999887</v>
      </c>
      <c r="T194" s="3" t="str">
        <f>IF(Ventas[[#This Row],[Margen (%)]]&gt;20%,"Beneficio","Perdidas")</f>
        <v>Beneficio</v>
      </c>
    </row>
    <row r="195" spans="1:20" x14ac:dyDescent="0.25">
      <c r="A195" s="12">
        <v>44945</v>
      </c>
      <c r="B195" s="1" t="s">
        <v>35</v>
      </c>
      <c r="C195" s="1" t="s">
        <v>36</v>
      </c>
      <c r="D195" s="1" t="s">
        <v>37</v>
      </c>
      <c r="E195" s="1" t="s">
        <v>38</v>
      </c>
      <c r="F195">
        <v>801</v>
      </c>
      <c r="G195">
        <v>9.27</v>
      </c>
      <c r="H195">
        <v>7425.27</v>
      </c>
      <c r="I195" s="1" t="s">
        <v>55</v>
      </c>
      <c r="J195" s="1" t="s">
        <v>47</v>
      </c>
      <c r="K195" s="1" t="s">
        <v>41</v>
      </c>
      <c r="L195">
        <v>6017.7</v>
      </c>
      <c r="M195">
        <v>19</v>
      </c>
      <c r="N195">
        <v>2023</v>
      </c>
      <c r="O195">
        <f t="shared" si="3"/>
        <v>1</v>
      </c>
      <c r="P195" s="13" t="s">
        <v>24</v>
      </c>
      <c r="Q195">
        <v>1407.57</v>
      </c>
      <c r="R195" s="3" t="s">
        <v>29</v>
      </c>
      <c r="S195" s="7">
        <f>Ventas[[#This Row],[Costo Material (€)]]/Ventas[[#This Row],[Beneficio (€)]]</f>
        <v>4.2752403077644452</v>
      </c>
      <c r="T195" s="3" t="str">
        <f>IF(Ventas[[#This Row],[Margen (%)]]&gt;20%,"Beneficio","Perdidas")</f>
        <v>Beneficio</v>
      </c>
    </row>
    <row r="196" spans="1:20" x14ac:dyDescent="0.25">
      <c r="A196" s="12">
        <v>44957</v>
      </c>
      <c r="B196" s="1" t="s">
        <v>17</v>
      </c>
      <c r="C196" s="1" t="s">
        <v>18</v>
      </c>
      <c r="D196" s="1" t="s">
        <v>45</v>
      </c>
      <c r="E196" s="1" t="s">
        <v>20</v>
      </c>
      <c r="F196">
        <v>892</v>
      </c>
      <c r="G196">
        <v>6.11</v>
      </c>
      <c r="H196">
        <v>5450.12</v>
      </c>
      <c r="I196" s="1" t="s">
        <v>55</v>
      </c>
      <c r="J196" s="1" t="s">
        <v>47</v>
      </c>
      <c r="K196" s="1" t="s">
        <v>28</v>
      </c>
      <c r="L196">
        <v>4045.13</v>
      </c>
      <c r="M196">
        <v>25.8</v>
      </c>
      <c r="N196">
        <v>2023</v>
      </c>
      <c r="O196">
        <f t="shared" si="3"/>
        <v>1</v>
      </c>
      <c r="P196" s="13" t="s">
        <v>24</v>
      </c>
      <c r="Q196">
        <v>1404.99</v>
      </c>
      <c r="R196" s="3" t="s">
        <v>25</v>
      </c>
      <c r="S196" s="7">
        <f>Ventas[[#This Row],[Costo Material (€)]]/Ventas[[#This Row],[Beneficio (€)]]</f>
        <v>2.8791165773421876</v>
      </c>
      <c r="T196" s="3" t="str">
        <f>IF(Ventas[[#This Row],[Margen (%)]]&gt;20%,"Beneficio","Perdidas")</f>
        <v>Beneficio</v>
      </c>
    </row>
    <row r="197" spans="1:20" x14ac:dyDescent="0.25">
      <c r="A197" s="12">
        <v>45884</v>
      </c>
      <c r="B197" s="1" t="s">
        <v>17</v>
      </c>
      <c r="C197" s="1" t="s">
        <v>18</v>
      </c>
      <c r="D197" s="1" t="s">
        <v>49</v>
      </c>
      <c r="E197" s="1" t="s">
        <v>50</v>
      </c>
      <c r="F197">
        <v>523</v>
      </c>
      <c r="G197">
        <v>8.6</v>
      </c>
      <c r="H197">
        <v>4497.8</v>
      </c>
      <c r="I197" s="1" t="s">
        <v>33</v>
      </c>
      <c r="J197" s="1" t="s">
        <v>40</v>
      </c>
      <c r="K197" s="1" t="s">
        <v>41</v>
      </c>
      <c r="L197">
        <v>3094.23</v>
      </c>
      <c r="M197">
        <v>31.2</v>
      </c>
      <c r="N197">
        <v>2025</v>
      </c>
      <c r="O197">
        <f t="shared" si="3"/>
        <v>3</v>
      </c>
      <c r="P197" s="13" t="s">
        <v>66</v>
      </c>
      <c r="Q197">
        <v>1403.57</v>
      </c>
      <c r="R197" s="3" t="s">
        <v>25</v>
      </c>
      <c r="S197" s="7">
        <f>Ventas[[#This Row],[Costo Material (€)]]/Ventas[[#This Row],[Beneficio (€)]]</f>
        <v>2.2045427018246331</v>
      </c>
      <c r="T197" s="3" t="str">
        <f>IF(Ventas[[#This Row],[Margen (%)]]&gt;20%,"Beneficio","Perdidas")</f>
        <v>Beneficio</v>
      </c>
    </row>
    <row r="198" spans="1:20" x14ac:dyDescent="0.25">
      <c r="A198" s="12">
        <v>45002</v>
      </c>
      <c r="B198" s="1" t="s">
        <v>58</v>
      </c>
      <c r="C198" s="1" t="s">
        <v>59</v>
      </c>
      <c r="D198" s="1" t="s">
        <v>44</v>
      </c>
      <c r="E198" s="1" t="s">
        <v>38</v>
      </c>
      <c r="F198">
        <v>635</v>
      </c>
      <c r="G198">
        <v>8.93</v>
      </c>
      <c r="H198">
        <v>5670.55</v>
      </c>
      <c r="I198" s="1" t="s">
        <v>54</v>
      </c>
      <c r="J198" s="1" t="s">
        <v>47</v>
      </c>
      <c r="K198" s="1" t="s">
        <v>23</v>
      </c>
      <c r="L198">
        <v>4267.22</v>
      </c>
      <c r="M198">
        <v>24.7</v>
      </c>
      <c r="N198">
        <v>2023</v>
      </c>
      <c r="O198">
        <f t="shared" si="3"/>
        <v>1</v>
      </c>
      <c r="P198" s="13" t="s">
        <v>61</v>
      </c>
      <c r="Q198">
        <v>1403.33</v>
      </c>
      <c r="R198" s="3" t="s">
        <v>29</v>
      </c>
      <c r="S198" s="7">
        <f>Ventas[[#This Row],[Costo Material (€)]]/Ventas[[#This Row],[Beneficio (€)]]</f>
        <v>3.0407815695524221</v>
      </c>
      <c r="T198" s="3" t="str">
        <f>IF(Ventas[[#This Row],[Margen (%)]]&gt;20%,"Beneficio","Perdidas")</f>
        <v>Beneficio</v>
      </c>
    </row>
    <row r="199" spans="1:20" x14ac:dyDescent="0.25">
      <c r="A199" s="12">
        <v>45047</v>
      </c>
      <c r="B199" s="1" t="s">
        <v>51</v>
      </c>
      <c r="C199" s="1" t="s">
        <v>52</v>
      </c>
      <c r="D199" s="1" t="s">
        <v>53</v>
      </c>
      <c r="E199" s="1" t="s">
        <v>50</v>
      </c>
      <c r="F199">
        <v>658</v>
      </c>
      <c r="G199">
        <v>8.23</v>
      </c>
      <c r="H199">
        <v>5415.34</v>
      </c>
      <c r="I199" s="1" t="s">
        <v>39</v>
      </c>
      <c r="J199" s="1" t="s">
        <v>34</v>
      </c>
      <c r="K199" s="1" t="s">
        <v>28</v>
      </c>
      <c r="L199">
        <v>4022.67</v>
      </c>
      <c r="M199">
        <v>25.7</v>
      </c>
      <c r="N199">
        <v>2023</v>
      </c>
      <c r="O199">
        <f t="shared" si="3"/>
        <v>2</v>
      </c>
      <c r="P199" s="13" t="s">
        <v>63</v>
      </c>
      <c r="Q199">
        <v>1392.67</v>
      </c>
      <c r="R199" s="3" t="s">
        <v>25</v>
      </c>
      <c r="S199" s="7">
        <f>Ventas[[#This Row],[Costo Material (€)]]/Ventas[[#This Row],[Beneficio (€)]]</f>
        <v>2.8884588596006231</v>
      </c>
      <c r="T199" s="3" t="str">
        <f>IF(Ventas[[#This Row],[Margen (%)]]&gt;20%,"Beneficio","Perdidas")</f>
        <v>Beneficio</v>
      </c>
    </row>
    <row r="200" spans="1:20" x14ac:dyDescent="0.25">
      <c r="A200" s="12">
        <v>45074</v>
      </c>
      <c r="B200" s="1" t="s">
        <v>58</v>
      </c>
      <c r="C200" s="1" t="s">
        <v>59</v>
      </c>
      <c r="D200" s="1" t="s">
        <v>45</v>
      </c>
      <c r="E200" s="1" t="s">
        <v>20</v>
      </c>
      <c r="F200">
        <v>941</v>
      </c>
      <c r="G200">
        <v>7.38</v>
      </c>
      <c r="H200">
        <v>6944.58</v>
      </c>
      <c r="I200" s="1" t="s">
        <v>21</v>
      </c>
      <c r="J200" s="1" t="s">
        <v>27</v>
      </c>
      <c r="K200" s="1" t="s">
        <v>41</v>
      </c>
      <c r="L200">
        <v>5552.88</v>
      </c>
      <c r="M200">
        <v>20</v>
      </c>
      <c r="N200">
        <v>2023</v>
      </c>
      <c r="O200">
        <f t="shared" si="3"/>
        <v>2</v>
      </c>
      <c r="P200" s="13" t="s">
        <v>63</v>
      </c>
      <c r="Q200">
        <v>1391.7</v>
      </c>
      <c r="R200" s="3" t="s">
        <v>29</v>
      </c>
      <c r="S200" s="7">
        <f>Ventas[[#This Row],[Costo Material (€)]]/Ventas[[#This Row],[Beneficio (€)]]</f>
        <v>3.9899978443630091</v>
      </c>
      <c r="T200" s="3" t="str">
        <f>IF(Ventas[[#This Row],[Margen (%)]]&gt;20%,"Beneficio","Perdidas")</f>
        <v>Beneficio</v>
      </c>
    </row>
    <row r="201" spans="1:20" x14ac:dyDescent="0.25">
      <c r="A201" s="12">
        <v>44932</v>
      </c>
      <c r="B201" s="1" t="s">
        <v>51</v>
      </c>
      <c r="C201" s="1" t="s">
        <v>52</v>
      </c>
      <c r="D201" s="1" t="s">
        <v>44</v>
      </c>
      <c r="E201" s="1" t="s">
        <v>38</v>
      </c>
      <c r="F201">
        <v>552</v>
      </c>
      <c r="G201">
        <v>7.27</v>
      </c>
      <c r="H201">
        <v>4013.04</v>
      </c>
      <c r="I201" s="1" t="s">
        <v>21</v>
      </c>
      <c r="J201" s="1" t="s">
        <v>40</v>
      </c>
      <c r="K201" s="1" t="s">
        <v>23</v>
      </c>
      <c r="L201">
        <v>2623.37</v>
      </c>
      <c r="M201">
        <v>34.6</v>
      </c>
      <c r="N201">
        <v>2023</v>
      </c>
      <c r="O201">
        <f t="shared" si="3"/>
        <v>1</v>
      </c>
      <c r="P201" s="13" t="s">
        <v>24</v>
      </c>
      <c r="Q201">
        <v>1389.67</v>
      </c>
      <c r="R201" s="3" t="s">
        <v>25</v>
      </c>
      <c r="S201" s="7">
        <f>Ventas[[#This Row],[Costo Material (€)]]/Ventas[[#This Row],[Beneficio (€)]]</f>
        <v>1.8877647211208415</v>
      </c>
      <c r="T201" s="3" t="str">
        <f>IF(Ventas[[#This Row],[Margen (%)]]&gt;20%,"Beneficio","Perdidas")</f>
        <v>Beneficio</v>
      </c>
    </row>
    <row r="202" spans="1:20" x14ac:dyDescent="0.25">
      <c r="A202" s="12">
        <v>45007</v>
      </c>
      <c r="B202" s="1" t="s">
        <v>30</v>
      </c>
      <c r="C202" s="1" t="s">
        <v>31</v>
      </c>
      <c r="D202" s="1" t="s">
        <v>48</v>
      </c>
      <c r="E202" s="1" t="s">
        <v>38</v>
      </c>
      <c r="F202">
        <v>853</v>
      </c>
      <c r="G202">
        <v>6.36</v>
      </c>
      <c r="H202">
        <v>5425.08</v>
      </c>
      <c r="I202" s="1" t="s">
        <v>55</v>
      </c>
      <c r="J202" s="1" t="s">
        <v>34</v>
      </c>
      <c r="K202" s="1" t="s">
        <v>28</v>
      </c>
      <c r="L202">
        <v>4042.86</v>
      </c>
      <c r="M202">
        <v>25.5</v>
      </c>
      <c r="N202">
        <v>2023</v>
      </c>
      <c r="O202">
        <f t="shared" si="3"/>
        <v>1</v>
      </c>
      <c r="P202" s="13" t="s">
        <v>61</v>
      </c>
      <c r="Q202">
        <v>1382.22</v>
      </c>
      <c r="R202" s="3" t="s">
        <v>25</v>
      </c>
      <c r="S202" s="7">
        <f>Ventas[[#This Row],[Costo Material (€)]]/Ventas[[#This Row],[Beneficio (€)]]</f>
        <v>2.9249034162434344</v>
      </c>
      <c r="T202" s="3" t="str">
        <f>IF(Ventas[[#This Row],[Margen (%)]]&gt;20%,"Beneficio","Perdidas")</f>
        <v>Beneficio</v>
      </c>
    </row>
    <row r="203" spans="1:20" x14ac:dyDescent="0.25">
      <c r="A203" s="12">
        <v>45016</v>
      </c>
      <c r="B203" s="1" t="s">
        <v>17</v>
      </c>
      <c r="C203" s="1" t="s">
        <v>18</v>
      </c>
      <c r="D203" s="1" t="s">
        <v>49</v>
      </c>
      <c r="E203" s="1" t="s">
        <v>50</v>
      </c>
      <c r="F203">
        <v>908</v>
      </c>
      <c r="G203">
        <v>9.6999999999999993</v>
      </c>
      <c r="H203">
        <v>8807.6</v>
      </c>
      <c r="I203" s="1" t="s">
        <v>57</v>
      </c>
      <c r="J203" s="1" t="s">
        <v>27</v>
      </c>
      <c r="K203" s="1" t="s">
        <v>41</v>
      </c>
      <c r="L203">
        <v>7433.41</v>
      </c>
      <c r="M203">
        <v>15.6</v>
      </c>
      <c r="N203">
        <v>2023</v>
      </c>
      <c r="O203">
        <f t="shared" si="3"/>
        <v>1</v>
      </c>
      <c r="P203" s="13" t="s">
        <v>61</v>
      </c>
      <c r="Q203">
        <v>1374.19</v>
      </c>
      <c r="R203" s="3" t="s">
        <v>29</v>
      </c>
      <c r="S203" s="7">
        <f>Ventas[[#This Row],[Costo Material (€)]]/Ventas[[#This Row],[Beneficio (€)]]</f>
        <v>5.4093029348197845</v>
      </c>
      <c r="T203" s="3" t="str">
        <f>IF(Ventas[[#This Row],[Margen (%)]]&gt;20%,"Beneficio","Perdidas")</f>
        <v>Beneficio</v>
      </c>
    </row>
    <row r="204" spans="1:20" x14ac:dyDescent="0.25">
      <c r="A204" s="12">
        <v>44937</v>
      </c>
      <c r="B204" s="1" t="s">
        <v>42</v>
      </c>
      <c r="C204" s="1" t="s">
        <v>43</v>
      </c>
      <c r="D204" s="1" t="s">
        <v>37</v>
      </c>
      <c r="E204" s="1" t="s">
        <v>38</v>
      </c>
      <c r="F204">
        <v>446</v>
      </c>
      <c r="G204">
        <v>8.8800000000000008</v>
      </c>
      <c r="H204">
        <v>3960.48</v>
      </c>
      <c r="I204" s="1" t="s">
        <v>21</v>
      </c>
      <c r="J204" s="1" t="s">
        <v>27</v>
      </c>
      <c r="K204" s="1" t="s">
        <v>41</v>
      </c>
      <c r="L204">
        <v>2589.58</v>
      </c>
      <c r="M204">
        <v>34.6</v>
      </c>
      <c r="N204">
        <v>2023</v>
      </c>
      <c r="O204">
        <f t="shared" si="3"/>
        <v>1</v>
      </c>
      <c r="P204" s="13" t="s">
        <v>24</v>
      </c>
      <c r="Q204">
        <v>1370.9</v>
      </c>
      <c r="R204" s="3" t="s">
        <v>25</v>
      </c>
      <c r="S204" s="7">
        <f>Ventas[[#This Row],[Costo Material (€)]]/Ventas[[#This Row],[Beneficio (€)]]</f>
        <v>1.8889634546648186</v>
      </c>
      <c r="T204" s="3" t="str">
        <f>IF(Ventas[[#This Row],[Margen (%)]]&gt;20%,"Beneficio","Perdidas")</f>
        <v>Beneficio</v>
      </c>
    </row>
    <row r="205" spans="1:20" x14ac:dyDescent="0.25">
      <c r="A205" s="12">
        <v>45002</v>
      </c>
      <c r="B205" s="1" t="s">
        <v>17</v>
      </c>
      <c r="C205" s="1" t="s">
        <v>18</v>
      </c>
      <c r="D205" s="1" t="s">
        <v>49</v>
      </c>
      <c r="E205" s="1" t="s">
        <v>50</v>
      </c>
      <c r="F205">
        <v>356</v>
      </c>
      <c r="G205">
        <v>11.6</v>
      </c>
      <c r="H205">
        <v>4129.6000000000004</v>
      </c>
      <c r="I205" s="1" t="s">
        <v>54</v>
      </c>
      <c r="J205" s="1" t="s">
        <v>47</v>
      </c>
      <c r="K205" s="1" t="s">
        <v>28</v>
      </c>
      <c r="L205">
        <v>2763.32</v>
      </c>
      <c r="M205">
        <v>33.1</v>
      </c>
      <c r="N205">
        <v>2023</v>
      </c>
      <c r="O205">
        <f t="shared" si="3"/>
        <v>1</v>
      </c>
      <c r="P205" s="13" t="s">
        <v>61</v>
      </c>
      <c r="Q205">
        <v>1366.28</v>
      </c>
      <c r="R205" s="3" t="s">
        <v>25</v>
      </c>
      <c r="S205" s="7">
        <f>Ventas[[#This Row],[Costo Material (€)]]/Ventas[[#This Row],[Beneficio (€)]]</f>
        <v>2.0225136867991922</v>
      </c>
      <c r="T205" s="3" t="str">
        <f>IF(Ventas[[#This Row],[Margen (%)]]&gt;20%,"Beneficio","Perdidas")</f>
        <v>Beneficio</v>
      </c>
    </row>
    <row r="206" spans="1:20" x14ac:dyDescent="0.25">
      <c r="A206" s="12">
        <v>45391</v>
      </c>
      <c r="B206" s="1" t="s">
        <v>51</v>
      </c>
      <c r="C206" s="1" t="s">
        <v>52</v>
      </c>
      <c r="D206" s="1" t="s">
        <v>19</v>
      </c>
      <c r="E206" s="1" t="s">
        <v>20</v>
      </c>
      <c r="F206">
        <v>339</v>
      </c>
      <c r="G206">
        <v>10.119999999999999</v>
      </c>
      <c r="H206">
        <v>3430.68</v>
      </c>
      <c r="I206" s="1" t="s">
        <v>54</v>
      </c>
      <c r="J206" s="1" t="s">
        <v>22</v>
      </c>
      <c r="K206" s="1" t="s">
        <v>28</v>
      </c>
      <c r="L206">
        <v>2066.27</v>
      </c>
      <c r="M206">
        <v>39.799999999999997</v>
      </c>
      <c r="N206">
        <v>2024</v>
      </c>
      <c r="O206">
        <f t="shared" si="3"/>
        <v>2</v>
      </c>
      <c r="P206" s="13" t="s">
        <v>62</v>
      </c>
      <c r="Q206">
        <v>1364.41</v>
      </c>
      <c r="R206" s="3" t="s">
        <v>25</v>
      </c>
      <c r="S206" s="7">
        <f>Ventas[[#This Row],[Costo Material (€)]]/Ventas[[#This Row],[Beneficio (€)]]</f>
        <v>1.5144054939497658</v>
      </c>
      <c r="T206" s="3" t="str">
        <f>IF(Ventas[[#This Row],[Margen (%)]]&gt;20%,"Beneficio","Perdidas")</f>
        <v>Beneficio</v>
      </c>
    </row>
    <row r="207" spans="1:20" x14ac:dyDescent="0.25">
      <c r="A207" s="12">
        <v>45092</v>
      </c>
      <c r="B207" s="1" t="s">
        <v>42</v>
      </c>
      <c r="C207" s="1" t="s">
        <v>43</v>
      </c>
      <c r="D207" s="1" t="s">
        <v>19</v>
      </c>
      <c r="E207" s="1" t="s">
        <v>20</v>
      </c>
      <c r="F207">
        <v>467</v>
      </c>
      <c r="G207">
        <v>7.56</v>
      </c>
      <c r="H207">
        <v>3530.52</v>
      </c>
      <c r="I207" s="1" t="s">
        <v>21</v>
      </c>
      <c r="J207" s="1" t="s">
        <v>34</v>
      </c>
      <c r="K207" s="1" t="s">
        <v>28</v>
      </c>
      <c r="L207">
        <v>2167.0100000000002</v>
      </c>
      <c r="M207">
        <v>38.6</v>
      </c>
      <c r="N207">
        <v>2023</v>
      </c>
      <c r="O207">
        <f t="shared" si="3"/>
        <v>2</v>
      </c>
      <c r="P207" s="13" t="s">
        <v>64</v>
      </c>
      <c r="Q207">
        <v>1363.51</v>
      </c>
      <c r="R207" s="3" t="s">
        <v>25</v>
      </c>
      <c r="S207" s="7">
        <f>Ventas[[#This Row],[Costo Material (€)]]/Ventas[[#This Row],[Beneficio (€)]]</f>
        <v>1.5892879406825033</v>
      </c>
      <c r="T207" s="3" t="str">
        <f>IF(Ventas[[#This Row],[Margen (%)]]&gt;20%,"Beneficio","Perdidas")</f>
        <v>Beneficio</v>
      </c>
    </row>
    <row r="208" spans="1:20" x14ac:dyDescent="0.25">
      <c r="A208" s="12">
        <v>44951</v>
      </c>
      <c r="B208" s="1" t="s">
        <v>30</v>
      </c>
      <c r="C208" s="1" t="s">
        <v>31</v>
      </c>
      <c r="D208" s="1" t="s">
        <v>48</v>
      </c>
      <c r="E208" s="1" t="s">
        <v>38</v>
      </c>
      <c r="F208">
        <v>343</v>
      </c>
      <c r="G208">
        <v>10.57</v>
      </c>
      <c r="H208">
        <v>3625.51</v>
      </c>
      <c r="I208" s="1" t="s">
        <v>57</v>
      </c>
      <c r="J208" s="1" t="s">
        <v>34</v>
      </c>
      <c r="K208" s="1" t="s">
        <v>41</v>
      </c>
      <c r="L208">
        <v>2270.0300000000002</v>
      </c>
      <c r="M208">
        <v>37.4</v>
      </c>
      <c r="N208">
        <v>2023</v>
      </c>
      <c r="O208">
        <f t="shared" si="3"/>
        <v>1</v>
      </c>
      <c r="P208" s="13" t="s">
        <v>24</v>
      </c>
      <c r="Q208">
        <v>1355.48</v>
      </c>
      <c r="R208" s="3" t="s">
        <v>25</v>
      </c>
      <c r="S208" s="7">
        <f>Ventas[[#This Row],[Costo Material (€)]]/Ventas[[#This Row],[Beneficio (€)]]</f>
        <v>1.6747056393307169</v>
      </c>
      <c r="T208" s="3" t="str">
        <f>IF(Ventas[[#This Row],[Margen (%)]]&gt;20%,"Beneficio","Perdidas")</f>
        <v>Beneficio</v>
      </c>
    </row>
    <row r="209" spans="1:20" x14ac:dyDescent="0.25">
      <c r="A209" s="12">
        <v>45051</v>
      </c>
      <c r="B209" s="1" t="s">
        <v>51</v>
      </c>
      <c r="C209" s="1" t="s">
        <v>52</v>
      </c>
      <c r="D209" s="1" t="s">
        <v>45</v>
      </c>
      <c r="E209" s="1" t="s">
        <v>20</v>
      </c>
      <c r="F209">
        <v>743</v>
      </c>
      <c r="G209">
        <v>6.22</v>
      </c>
      <c r="H209">
        <v>4621.46</v>
      </c>
      <c r="I209" s="1" t="s">
        <v>54</v>
      </c>
      <c r="J209" s="1" t="s">
        <v>40</v>
      </c>
      <c r="K209" s="1" t="s">
        <v>28</v>
      </c>
      <c r="L209">
        <v>3275.31</v>
      </c>
      <c r="M209">
        <v>29.1</v>
      </c>
      <c r="N209">
        <v>2023</v>
      </c>
      <c r="O209">
        <f t="shared" si="3"/>
        <v>2</v>
      </c>
      <c r="P209" s="13" t="s">
        <v>63</v>
      </c>
      <c r="Q209">
        <v>1346.15</v>
      </c>
      <c r="R209" s="3" t="s">
        <v>25</v>
      </c>
      <c r="S209" s="7">
        <f>Ventas[[#This Row],[Costo Material (€)]]/Ventas[[#This Row],[Beneficio (€)]]</f>
        <v>2.4330943802696576</v>
      </c>
      <c r="T209" s="3" t="str">
        <f>IF(Ventas[[#This Row],[Margen (%)]]&gt;20%,"Beneficio","Perdidas")</f>
        <v>Beneficio</v>
      </c>
    </row>
    <row r="210" spans="1:20" x14ac:dyDescent="0.25">
      <c r="A210" s="12">
        <v>44977</v>
      </c>
      <c r="B210" s="1" t="s">
        <v>58</v>
      </c>
      <c r="C210" s="1" t="s">
        <v>59</v>
      </c>
      <c r="D210" s="1" t="s">
        <v>45</v>
      </c>
      <c r="E210" s="1" t="s">
        <v>20</v>
      </c>
      <c r="F210">
        <v>947</v>
      </c>
      <c r="G210">
        <v>5.64</v>
      </c>
      <c r="H210">
        <v>5341.08</v>
      </c>
      <c r="I210" s="1" t="s">
        <v>33</v>
      </c>
      <c r="J210" s="1" t="s">
        <v>47</v>
      </c>
      <c r="K210" s="1" t="s">
        <v>28</v>
      </c>
      <c r="L210">
        <v>3998.35</v>
      </c>
      <c r="M210">
        <v>25.1</v>
      </c>
      <c r="N210">
        <v>2023</v>
      </c>
      <c r="O210">
        <f t="shared" si="3"/>
        <v>1</v>
      </c>
      <c r="P210" s="13" t="s">
        <v>60</v>
      </c>
      <c r="Q210">
        <v>1342.73</v>
      </c>
      <c r="R210" s="3" t="s">
        <v>25</v>
      </c>
      <c r="S210" s="7">
        <f>Ventas[[#This Row],[Costo Material (€)]]/Ventas[[#This Row],[Beneficio (€)]]</f>
        <v>2.9777766192756547</v>
      </c>
      <c r="T210" s="3" t="str">
        <f>IF(Ventas[[#This Row],[Margen (%)]]&gt;20%,"Beneficio","Perdidas")</f>
        <v>Beneficio</v>
      </c>
    </row>
    <row r="211" spans="1:20" x14ac:dyDescent="0.25">
      <c r="A211" s="12">
        <v>45072</v>
      </c>
      <c r="B211" s="1" t="s">
        <v>42</v>
      </c>
      <c r="C211" s="1" t="s">
        <v>43</v>
      </c>
      <c r="D211" s="1" t="s">
        <v>44</v>
      </c>
      <c r="E211" s="1" t="s">
        <v>38</v>
      </c>
      <c r="F211">
        <v>370</v>
      </c>
      <c r="G211">
        <v>11.59</v>
      </c>
      <c r="H211">
        <v>4288.3</v>
      </c>
      <c r="I211" s="1" t="s">
        <v>39</v>
      </c>
      <c r="J211" s="1" t="s">
        <v>47</v>
      </c>
      <c r="K211" s="1" t="s">
        <v>23</v>
      </c>
      <c r="L211">
        <v>2945.61</v>
      </c>
      <c r="M211">
        <v>31.3</v>
      </c>
      <c r="N211">
        <v>2023</v>
      </c>
      <c r="O211">
        <f t="shared" si="3"/>
        <v>2</v>
      </c>
      <c r="P211" s="13" t="s">
        <v>63</v>
      </c>
      <c r="Q211">
        <v>1342.69</v>
      </c>
      <c r="R211" s="3" t="s">
        <v>25</v>
      </c>
      <c r="S211" s="7">
        <f>Ventas[[#This Row],[Costo Material (€)]]/Ventas[[#This Row],[Beneficio (€)]]</f>
        <v>2.1938124213332935</v>
      </c>
      <c r="T211" s="3" t="str">
        <f>IF(Ventas[[#This Row],[Margen (%)]]&gt;20%,"Beneficio","Perdidas")</f>
        <v>Beneficio</v>
      </c>
    </row>
    <row r="212" spans="1:20" x14ac:dyDescent="0.25">
      <c r="A212" s="12">
        <v>45171</v>
      </c>
      <c r="B212" s="1" t="s">
        <v>35</v>
      </c>
      <c r="C212" s="1" t="s">
        <v>36</v>
      </c>
      <c r="D212" s="1" t="s">
        <v>37</v>
      </c>
      <c r="E212" s="1" t="s">
        <v>38</v>
      </c>
      <c r="F212">
        <v>935</v>
      </c>
      <c r="G212">
        <v>8.16</v>
      </c>
      <c r="H212">
        <v>7629.6</v>
      </c>
      <c r="I212" s="1" t="s">
        <v>26</v>
      </c>
      <c r="J212" s="1" t="s">
        <v>56</v>
      </c>
      <c r="K212" s="1" t="s">
        <v>23</v>
      </c>
      <c r="L212">
        <v>6288.94</v>
      </c>
      <c r="M212">
        <v>17.600000000000001</v>
      </c>
      <c r="N212">
        <v>2023</v>
      </c>
      <c r="O212">
        <f t="shared" si="3"/>
        <v>3</v>
      </c>
      <c r="P212" s="13" t="s">
        <v>67</v>
      </c>
      <c r="Q212">
        <v>1340.66</v>
      </c>
      <c r="R212" s="3" t="s">
        <v>29</v>
      </c>
      <c r="S212" s="7">
        <f>Ventas[[#This Row],[Costo Material (€)]]/Ventas[[#This Row],[Beneficio (€)]]</f>
        <v>4.6909283487237623</v>
      </c>
      <c r="T212" s="3" t="str">
        <f>IF(Ventas[[#This Row],[Margen (%)]]&gt;20%,"Beneficio","Perdidas")</f>
        <v>Beneficio</v>
      </c>
    </row>
    <row r="213" spans="1:20" x14ac:dyDescent="0.25">
      <c r="A213" s="12">
        <v>45248</v>
      </c>
      <c r="B213" s="1" t="s">
        <v>58</v>
      </c>
      <c r="C213" s="1" t="s">
        <v>59</v>
      </c>
      <c r="D213" s="1" t="s">
        <v>19</v>
      </c>
      <c r="E213" s="1" t="s">
        <v>20</v>
      </c>
      <c r="F213">
        <v>630</v>
      </c>
      <c r="G213">
        <v>11.42</v>
      </c>
      <c r="H213">
        <v>7194.6</v>
      </c>
      <c r="I213" s="1" t="s">
        <v>55</v>
      </c>
      <c r="J213" s="1" t="s">
        <v>34</v>
      </c>
      <c r="K213" s="1" t="s">
        <v>28</v>
      </c>
      <c r="L213">
        <v>5854.62</v>
      </c>
      <c r="M213">
        <v>18.600000000000001</v>
      </c>
      <c r="N213">
        <v>2023</v>
      </c>
      <c r="O213">
        <f t="shared" si="3"/>
        <v>4</v>
      </c>
      <c r="P213" s="13" t="s">
        <v>69</v>
      </c>
      <c r="Q213">
        <v>1339.98</v>
      </c>
      <c r="R213" s="3" t="s">
        <v>29</v>
      </c>
      <c r="S213" s="7">
        <f>Ventas[[#This Row],[Costo Material (€)]]/Ventas[[#This Row],[Beneficio (€)]]</f>
        <v>4.3691846146957412</v>
      </c>
      <c r="T213" s="3" t="str">
        <f>IF(Ventas[[#This Row],[Margen (%)]]&gt;20%,"Beneficio","Perdidas")</f>
        <v>Beneficio</v>
      </c>
    </row>
    <row r="214" spans="1:20" x14ac:dyDescent="0.25">
      <c r="A214" s="12">
        <v>45136</v>
      </c>
      <c r="B214" s="1" t="s">
        <v>17</v>
      </c>
      <c r="C214" s="1" t="s">
        <v>18</v>
      </c>
      <c r="D214" s="1" t="s">
        <v>19</v>
      </c>
      <c r="E214" s="1" t="s">
        <v>20</v>
      </c>
      <c r="F214">
        <v>568</v>
      </c>
      <c r="G214">
        <v>9.24</v>
      </c>
      <c r="H214">
        <v>5248.32</v>
      </c>
      <c r="I214" s="1" t="s">
        <v>55</v>
      </c>
      <c r="J214" s="1" t="s">
        <v>22</v>
      </c>
      <c r="K214" s="1" t="s">
        <v>28</v>
      </c>
      <c r="L214">
        <v>3917.27</v>
      </c>
      <c r="M214">
        <v>25.4</v>
      </c>
      <c r="N214">
        <v>2023</v>
      </c>
      <c r="O214">
        <f t="shared" si="3"/>
        <v>3</v>
      </c>
      <c r="P214" s="13" t="s">
        <v>65</v>
      </c>
      <c r="Q214">
        <v>1331.05</v>
      </c>
      <c r="R214" s="3" t="s">
        <v>25</v>
      </c>
      <c r="S214" s="7">
        <f>Ventas[[#This Row],[Costo Material (€)]]/Ventas[[#This Row],[Beneficio (€)]]</f>
        <v>2.9429923744412307</v>
      </c>
      <c r="T214" s="3" t="str">
        <f>IF(Ventas[[#This Row],[Margen (%)]]&gt;20%,"Beneficio","Perdidas")</f>
        <v>Beneficio</v>
      </c>
    </row>
    <row r="215" spans="1:20" x14ac:dyDescent="0.25">
      <c r="A215" s="12">
        <v>44963</v>
      </c>
      <c r="B215" s="1" t="s">
        <v>51</v>
      </c>
      <c r="C215" s="1" t="s">
        <v>52</v>
      </c>
      <c r="D215" s="1" t="s">
        <v>48</v>
      </c>
      <c r="E215" s="1" t="s">
        <v>38</v>
      </c>
      <c r="F215">
        <v>852</v>
      </c>
      <c r="G215">
        <v>8.4700000000000006</v>
      </c>
      <c r="H215">
        <v>7216.44</v>
      </c>
      <c r="I215" s="1" t="s">
        <v>26</v>
      </c>
      <c r="J215" s="1" t="s">
        <v>34</v>
      </c>
      <c r="K215" s="1" t="s">
        <v>28</v>
      </c>
      <c r="L215">
        <v>5887.04</v>
      </c>
      <c r="M215">
        <v>18.399999999999999</v>
      </c>
      <c r="N215">
        <v>2023</v>
      </c>
      <c r="O215">
        <f t="shared" si="3"/>
        <v>1</v>
      </c>
      <c r="P215" s="13" t="s">
        <v>60</v>
      </c>
      <c r="Q215">
        <v>1329.4</v>
      </c>
      <c r="R215" s="3" t="s">
        <v>29</v>
      </c>
      <c r="S215" s="7">
        <f>Ventas[[#This Row],[Costo Material (€)]]/Ventas[[#This Row],[Beneficio (€)]]</f>
        <v>4.4283436136602976</v>
      </c>
      <c r="T215" s="3" t="str">
        <f>IF(Ventas[[#This Row],[Margen (%)]]&gt;20%,"Beneficio","Perdidas")</f>
        <v>Beneficio</v>
      </c>
    </row>
    <row r="216" spans="1:20" x14ac:dyDescent="0.25">
      <c r="A216" s="12">
        <v>45086</v>
      </c>
      <c r="B216" s="1" t="s">
        <v>51</v>
      </c>
      <c r="C216" s="1" t="s">
        <v>52</v>
      </c>
      <c r="D216" s="1" t="s">
        <v>19</v>
      </c>
      <c r="E216" s="1" t="s">
        <v>20</v>
      </c>
      <c r="F216">
        <v>400</v>
      </c>
      <c r="G216">
        <v>10.039999999999999</v>
      </c>
      <c r="H216">
        <v>4016</v>
      </c>
      <c r="I216" s="1" t="s">
        <v>54</v>
      </c>
      <c r="J216" s="1" t="s">
        <v>34</v>
      </c>
      <c r="K216" s="1" t="s">
        <v>23</v>
      </c>
      <c r="L216">
        <v>2693.77</v>
      </c>
      <c r="M216">
        <v>32.9</v>
      </c>
      <c r="N216">
        <v>2023</v>
      </c>
      <c r="O216">
        <f t="shared" si="3"/>
        <v>2</v>
      </c>
      <c r="P216" s="13" t="s">
        <v>64</v>
      </c>
      <c r="Q216">
        <v>1322.23</v>
      </c>
      <c r="R216" s="3" t="s">
        <v>25</v>
      </c>
      <c r="S216" s="7">
        <f>Ventas[[#This Row],[Costo Material (€)]]/Ventas[[#This Row],[Beneficio (€)]]</f>
        <v>2.0372930579399955</v>
      </c>
      <c r="T216" s="3" t="str">
        <f>IF(Ventas[[#This Row],[Margen (%)]]&gt;20%,"Beneficio","Perdidas")</f>
        <v>Beneficio</v>
      </c>
    </row>
    <row r="217" spans="1:20" x14ac:dyDescent="0.25">
      <c r="A217" s="12">
        <v>45008</v>
      </c>
      <c r="B217" s="1" t="s">
        <v>42</v>
      </c>
      <c r="C217" s="1" t="s">
        <v>43</v>
      </c>
      <c r="D217" s="1" t="s">
        <v>48</v>
      </c>
      <c r="E217" s="1" t="s">
        <v>38</v>
      </c>
      <c r="F217">
        <v>469</v>
      </c>
      <c r="G217">
        <v>10.33</v>
      </c>
      <c r="H217">
        <v>4844.7700000000004</v>
      </c>
      <c r="I217" s="1" t="s">
        <v>26</v>
      </c>
      <c r="J217" s="1" t="s">
        <v>22</v>
      </c>
      <c r="K217" s="1" t="s">
        <v>28</v>
      </c>
      <c r="L217">
        <v>3522.78</v>
      </c>
      <c r="M217">
        <v>27.3</v>
      </c>
      <c r="N217">
        <v>2023</v>
      </c>
      <c r="O217">
        <f t="shared" si="3"/>
        <v>1</v>
      </c>
      <c r="P217" s="13" t="s">
        <v>61</v>
      </c>
      <c r="Q217">
        <v>1321.99</v>
      </c>
      <c r="R217" s="3" t="s">
        <v>25</v>
      </c>
      <c r="S217" s="7">
        <f>Ventas[[#This Row],[Costo Material (€)]]/Ventas[[#This Row],[Beneficio (€)]]</f>
        <v>2.6647554066218353</v>
      </c>
      <c r="T217" s="3" t="str">
        <f>IF(Ventas[[#This Row],[Margen (%)]]&gt;20%,"Beneficio","Perdidas")</f>
        <v>Beneficio</v>
      </c>
    </row>
    <row r="218" spans="1:20" x14ac:dyDescent="0.25">
      <c r="A218" s="12">
        <v>45237</v>
      </c>
      <c r="B218" s="1" t="s">
        <v>17</v>
      </c>
      <c r="C218" s="1" t="s">
        <v>18</v>
      </c>
      <c r="D218" s="1" t="s">
        <v>37</v>
      </c>
      <c r="E218" s="1" t="s">
        <v>38</v>
      </c>
      <c r="F218">
        <v>950</v>
      </c>
      <c r="G218">
        <v>5.69</v>
      </c>
      <c r="H218">
        <v>5405.5</v>
      </c>
      <c r="I218" s="1" t="s">
        <v>57</v>
      </c>
      <c r="J218" s="1" t="s">
        <v>47</v>
      </c>
      <c r="K218" s="1" t="s">
        <v>23</v>
      </c>
      <c r="L218">
        <v>4084.2</v>
      </c>
      <c r="M218">
        <v>24.4</v>
      </c>
      <c r="N218">
        <v>2023</v>
      </c>
      <c r="O218">
        <f t="shared" si="3"/>
        <v>4</v>
      </c>
      <c r="P218" s="13" t="s">
        <v>69</v>
      </c>
      <c r="Q218">
        <v>1321.3</v>
      </c>
      <c r="R218" s="3" t="s">
        <v>29</v>
      </c>
      <c r="S218" s="7">
        <f>Ventas[[#This Row],[Costo Material (€)]]/Ventas[[#This Row],[Beneficio (€)]]</f>
        <v>3.0910466964353289</v>
      </c>
      <c r="T218" s="3" t="str">
        <f>IF(Ventas[[#This Row],[Margen (%)]]&gt;20%,"Beneficio","Perdidas")</f>
        <v>Beneficio</v>
      </c>
    </row>
    <row r="219" spans="1:20" x14ac:dyDescent="0.25">
      <c r="A219" s="12">
        <v>44937</v>
      </c>
      <c r="B219" s="1" t="s">
        <v>51</v>
      </c>
      <c r="C219" s="1" t="s">
        <v>52</v>
      </c>
      <c r="D219" s="1" t="s">
        <v>32</v>
      </c>
      <c r="E219" s="1" t="s">
        <v>20</v>
      </c>
      <c r="F219">
        <v>987</v>
      </c>
      <c r="G219">
        <v>3.58</v>
      </c>
      <c r="H219">
        <v>3533.46</v>
      </c>
      <c r="I219" s="1" t="s">
        <v>57</v>
      </c>
      <c r="J219" s="1" t="s">
        <v>34</v>
      </c>
      <c r="K219" s="1" t="s">
        <v>28</v>
      </c>
      <c r="L219">
        <v>2215.62</v>
      </c>
      <c r="M219">
        <v>37.299999999999997</v>
      </c>
      <c r="N219">
        <v>2023</v>
      </c>
      <c r="O219">
        <f t="shared" si="3"/>
        <v>1</v>
      </c>
      <c r="P219" s="13" t="s">
        <v>24</v>
      </c>
      <c r="Q219">
        <v>1317.84</v>
      </c>
      <c r="R219" s="3" t="s">
        <v>25</v>
      </c>
      <c r="S219" s="7">
        <f>Ventas[[#This Row],[Costo Material (€)]]/Ventas[[#This Row],[Beneficio (€)]]</f>
        <v>1.6812511382261883</v>
      </c>
      <c r="T219" s="3" t="str">
        <f>IF(Ventas[[#This Row],[Margen (%)]]&gt;20%,"Beneficio","Perdidas")</f>
        <v>Beneficio</v>
      </c>
    </row>
    <row r="220" spans="1:20" x14ac:dyDescent="0.25">
      <c r="A220" s="12">
        <v>45030</v>
      </c>
      <c r="B220" s="1" t="s">
        <v>58</v>
      </c>
      <c r="C220" s="1" t="s">
        <v>59</v>
      </c>
      <c r="D220" s="1" t="s">
        <v>44</v>
      </c>
      <c r="E220" s="1" t="s">
        <v>38</v>
      </c>
      <c r="F220">
        <v>873</v>
      </c>
      <c r="G220">
        <v>3.95</v>
      </c>
      <c r="H220">
        <v>3448.35</v>
      </c>
      <c r="I220" s="1" t="s">
        <v>46</v>
      </c>
      <c r="J220" s="1" t="s">
        <v>27</v>
      </c>
      <c r="K220" s="1" t="s">
        <v>28</v>
      </c>
      <c r="L220">
        <v>2131.6999999999998</v>
      </c>
      <c r="M220">
        <v>38.200000000000003</v>
      </c>
      <c r="N220">
        <v>2023</v>
      </c>
      <c r="O220">
        <f t="shared" si="3"/>
        <v>2</v>
      </c>
      <c r="P220" s="13" t="s">
        <v>62</v>
      </c>
      <c r="Q220">
        <v>1316.65</v>
      </c>
      <c r="R220" s="3" t="s">
        <v>25</v>
      </c>
      <c r="S220" s="7">
        <f>Ventas[[#This Row],[Costo Material (€)]]/Ventas[[#This Row],[Beneficio (€)]]</f>
        <v>1.6190331523183836</v>
      </c>
      <c r="T220" s="3" t="str">
        <f>IF(Ventas[[#This Row],[Margen (%)]]&gt;20%,"Beneficio","Perdidas")</f>
        <v>Beneficio</v>
      </c>
    </row>
    <row r="221" spans="1:20" x14ac:dyDescent="0.25">
      <c r="A221" s="12">
        <v>45140</v>
      </c>
      <c r="B221" s="1" t="s">
        <v>51</v>
      </c>
      <c r="C221" s="1" t="s">
        <v>52</v>
      </c>
      <c r="D221" s="1" t="s">
        <v>53</v>
      </c>
      <c r="E221" s="1" t="s">
        <v>50</v>
      </c>
      <c r="F221">
        <v>625</v>
      </c>
      <c r="G221">
        <v>6.04</v>
      </c>
      <c r="H221">
        <v>3775</v>
      </c>
      <c r="I221" s="1" t="s">
        <v>26</v>
      </c>
      <c r="J221" s="1" t="s">
        <v>47</v>
      </c>
      <c r="K221" s="1" t="s">
        <v>41</v>
      </c>
      <c r="L221">
        <v>2461.83</v>
      </c>
      <c r="M221">
        <v>34.799999999999997</v>
      </c>
      <c r="N221">
        <v>2023</v>
      </c>
      <c r="O221">
        <f t="shared" si="3"/>
        <v>3</v>
      </c>
      <c r="P221" s="13" t="s">
        <v>66</v>
      </c>
      <c r="Q221">
        <v>1313.17</v>
      </c>
      <c r="R221" s="3" t="s">
        <v>25</v>
      </c>
      <c r="S221" s="7">
        <f>Ventas[[#This Row],[Costo Material (€)]]/Ventas[[#This Row],[Beneficio (€)]]</f>
        <v>1.8747229985455043</v>
      </c>
      <c r="T221" s="3" t="str">
        <f>IF(Ventas[[#This Row],[Margen (%)]]&gt;20%,"Beneficio","Perdidas")</f>
        <v>Beneficio</v>
      </c>
    </row>
    <row r="222" spans="1:20" x14ac:dyDescent="0.25">
      <c r="A222" s="12">
        <v>44949</v>
      </c>
      <c r="B222" s="1" t="s">
        <v>58</v>
      </c>
      <c r="C222" s="1" t="s">
        <v>59</v>
      </c>
      <c r="D222" s="1" t="s">
        <v>45</v>
      </c>
      <c r="E222" s="1" t="s">
        <v>20</v>
      </c>
      <c r="F222">
        <v>495</v>
      </c>
      <c r="G222">
        <v>7.67</v>
      </c>
      <c r="H222">
        <v>3796.65</v>
      </c>
      <c r="I222" s="1" t="s">
        <v>57</v>
      </c>
      <c r="J222" s="1" t="s">
        <v>27</v>
      </c>
      <c r="K222" s="1" t="s">
        <v>41</v>
      </c>
      <c r="L222">
        <v>2484.5100000000002</v>
      </c>
      <c r="M222">
        <v>34.6</v>
      </c>
      <c r="N222">
        <v>2023</v>
      </c>
      <c r="O222">
        <f t="shared" si="3"/>
        <v>1</v>
      </c>
      <c r="P222" s="13" t="s">
        <v>24</v>
      </c>
      <c r="Q222">
        <v>1312.14</v>
      </c>
      <c r="R222" s="3" t="s">
        <v>25</v>
      </c>
      <c r="S222" s="7">
        <f>Ventas[[#This Row],[Costo Material (€)]]/Ventas[[#This Row],[Beneficio (€)]]</f>
        <v>1.8934793543371897</v>
      </c>
      <c r="T222" s="3" t="str">
        <f>IF(Ventas[[#This Row],[Margen (%)]]&gt;20%,"Beneficio","Perdidas")</f>
        <v>Beneficio</v>
      </c>
    </row>
    <row r="223" spans="1:20" x14ac:dyDescent="0.25">
      <c r="A223" s="12">
        <v>45170</v>
      </c>
      <c r="B223" s="1" t="s">
        <v>17</v>
      </c>
      <c r="C223" s="1" t="s">
        <v>18</v>
      </c>
      <c r="D223" s="1" t="s">
        <v>19</v>
      </c>
      <c r="E223" s="1" t="s">
        <v>20</v>
      </c>
      <c r="F223">
        <v>551</v>
      </c>
      <c r="G223">
        <v>7.74</v>
      </c>
      <c r="H223">
        <v>4264.74</v>
      </c>
      <c r="I223" s="1" t="s">
        <v>46</v>
      </c>
      <c r="J223" s="1" t="s">
        <v>47</v>
      </c>
      <c r="K223" s="1" t="s">
        <v>41</v>
      </c>
      <c r="L223">
        <v>2955.84</v>
      </c>
      <c r="M223">
        <v>30.7</v>
      </c>
      <c r="N223">
        <v>2023</v>
      </c>
      <c r="O223">
        <f t="shared" si="3"/>
        <v>3</v>
      </c>
      <c r="P223" s="13" t="s">
        <v>67</v>
      </c>
      <c r="Q223">
        <v>1308.9000000000001</v>
      </c>
      <c r="R223" s="3" t="s">
        <v>25</v>
      </c>
      <c r="S223" s="7">
        <f>Ventas[[#This Row],[Costo Material (€)]]/Ventas[[#This Row],[Beneficio (€)]]</f>
        <v>2.2582626633050653</v>
      </c>
      <c r="T223" s="3" t="str">
        <f>IF(Ventas[[#This Row],[Margen (%)]]&gt;20%,"Beneficio","Perdidas")</f>
        <v>Beneficio</v>
      </c>
    </row>
    <row r="224" spans="1:20" x14ac:dyDescent="0.25">
      <c r="A224" s="12">
        <v>45231</v>
      </c>
      <c r="B224" s="1" t="s">
        <v>35</v>
      </c>
      <c r="C224" s="1" t="s">
        <v>36</v>
      </c>
      <c r="D224" s="1" t="s">
        <v>19</v>
      </c>
      <c r="E224" s="1" t="s">
        <v>20</v>
      </c>
      <c r="F224">
        <v>923</v>
      </c>
      <c r="G224">
        <v>6.05</v>
      </c>
      <c r="H224">
        <v>5584.15</v>
      </c>
      <c r="I224" s="1" t="s">
        <v>57</v>
      </c>
      <c r="J224" s="1" t="s">
        <v>40</v>
      </c>
      <c r="K224" s="1" t="s">
        <v>23</v>
      </c>
      <c r="L224">
        <v>4284.08</v>
      </c>
      <c r="M224">
        <v>23.3</v>
      </c>
      <c r="N224">
        <v>2023</v>
      </c>
      <c r="O224">
        <f t="shared" si="3"/>
        <v>4</v>
      </c>
      <c r="P224" s="13" t="s">
        <v>69</v>
      </c>
      <c r="Q224">
        <v>1300.07</v>
      </c>
      <c r="R224" s="3" t="s">
        <v>29</v>
      </c>
      <c r="S224" s="7">
        <f>Ventas[[#This Row],[Costo Material (€)]]/Ventas[[#This Row],[Beneficio (€)]]</f>
        <v>3.2952687162998915</v>
      </c>
      <c r="T224" s="3" t="str">
        <f>IF(Ventas[[#This Row],[Margen (%)]]&gt;20%,"Beneficio","Perdidas")</f>
        <v>Beneficio</v>
      </c>
    </row>
    <row r="225" spans="1:20" x14ac:dyDescent="0.25">
      <c r="A225" s="12">
        <v>44940</v>
      </c>
      <c r="B225" s="1" t="s">
        <v>58</v>
      </c>
      <c r="C225" s="1" t="s">
        <v>59</v>
      </c>
      <c r="D225" s="1" t="s">
        <v>53</v>
      </c>
      <c r="E225" s="1" t="s">
        <v>50</v>
      </c>
      <c r="F225">
        <v>496</v>
      </c>
      <c r="G225">
        <v>9.09</v>
      </c>
      <c r="H225">
        <v>4508.6400000000003</v>
      </c>
      <c r="I225" s="1" t="s">
        <v>26</v>
      </c>
      <c r="J225" s="1" t="s">
        <v>34</v>
      </c>
      <c r="K225" s="1" t="s">
        <v>41</v>
      </c>
      <c r="L225">
        <v>3208.86</v>
      </c>
      <c r="M225">
        <v>28.8</v>
      </c>
      <c r="N225">
        <v>2023</v>
      </c>
      <c r="O225">
        <f t="shared" si="3"/>
        <v>1</v>
      </c>
      <c r="P225" s="13" t="s">
        <v>24</v>
      </c>
      <c r="Q225">
        <v>1299.78</v>
      </c>
      <c r="R225" s="3" t="s">
        <v>25</v>
      </c>
      <c r="S225" s="7">
        <f>Ventas[[#This Row],[Costo Material (€)]]/Ventas[[#This Row],[Beneficio (€)]]</f>
        <v>2.4687716382772469</v>
      </c>
      <c r="T225" s="3" t="str">
        <f>IF(Ventas[[#This Row],[Margen (%)]]&gt;20%,"Beneficio","Perdidas")</f>
        <v>Beneficio</v>
      </c>
    </row>
    <row r="226" spans="1:20" x14ac:dyDescent="0.25">
      <c r="A226" s="12">
        <v>44962</v>
      </c>
      <c r="B226" s="1" t="s">
        <v>17</v>
      </c>
      <c r="C226" s="1" t="s">
        <v>18</v>
      </c>
      <c r="D226" s="1" t="s">
        <v>53</v>
      </c>
      <c r="E226" s="1" t="s">
        <v>50</v>
      </c>
      <c r="F226">
        <v>645</v>
      </c>
      <c r="G226">
        <v>5.87</v>
      </c>
      <c r="H226">
        <v>3786.15</v>
      </c>
      <c r="I226" s="1" t="s">
        <v>54</v>
      </c>
      <c r="J226" s="1" t="s">
        <v>22</v>
      </c>
      <c r="K226" s="1" t="s">
        <v>28</v>
      </c>
      <c r="L226">
        <v>2487.52</v>
      </c>
      <c r="M226">
        <v>34.299999999999997</v>
      </c>
      <c r="N226">
        <v>2023</v>
      </c>
      <c r="O226">
        <f t="shared" si="3"/>
        <v>1</v>
      </c>
      <c r="P226" s="13" t="s">
        <v>60</v>
      </c>
      <c r="Q226">
        <v>1298.6300000000001</v>
      </c>
      <c r="R226" s="3" t="s">
        <v>25</v>
      </c>
      <c r="S226" s="7">
        <f>Ventas[[#This Row],[Costo Material (€)]]/Ventas[[#This Row],[Beneficio (€)]]</f>
        <v>1.9154955607062827</v>
      </c>
      <c r="T226" s="3" t="str">
        <f>IF(Ventas[[#This Row],[Margen (%)]]&gt;20%,"Beneficio","Perdidas")</f>
        <v>Beneficio</v>
      </c>
    </row>
    <row r="227" spans="1:20" x14ac:dyDescent="0.25">
      <c r="A227" s="12">
        <v>45418</v>
      </c>
      <c r="B227" s="1" t="s">
        <v>51</v>
      </c>
      <c r="C227" s="1" t="s">
        <v>52</v>
      </c>
      <c r="D227" s="1" t="s">
        <v>19</v>
      </c>
      <c r="E227" s="1" t="s">
        <v>20</v>
      </c>
      <c r="F227">
        <v>801</v>
      </c>
      <c r="G227">
        <v>4.5999999999999996</v>
      </c>
      <c r="H227">
        <v>3684.6</v>
      </c>
      <c r="I227" s="1" t="s">
        <v>21</v>
      </c>
      <c r="J227" s="1" t="s">
        <v>40</v>
      </c>
      <c r="K227" s="1" t="s">
        <v>41</v>
      </c>
      <c r="L227">
        <v>2387.54</v>
      </c>
      <c r="M227">
        <v>35.200000000000003</v>
      </c>
      <c r="N227">
        <v>2024</v>
      </c>
      <c r="O227">
        <f t="shared" si="3"/>
        <v>2</v>
      </c>
      <c r="P227" s="13" t="s">
        <v>63</v>
      </c>
      <c r="Q227">
        <v>1297.06</v>
      </c>
      <c r="R227" s="3" t="s">
        <v>25</v>
      </c>
      <c r="S227" s="7">
        <f>Ventas[[#This Row],[Costo Material (€)]]/Ventas[[#This Row],[Beneficio (€)]]</f>
        <v>1.8407321172497804</v>
      </c>
      <c r="T227" s="3" t="str">
        <f>IF(Ventas[[#This Row],[Margen (%)]]&gt;20%,"Beneficio","Perdidas")</f>
        <v>Beneficio</v>
      </c>
    </row>
    <row r="228" spans="1:20" x14ac:dyDescent="0.25">
      <c r="A228" s="12">
        <v>45083</v>
      </c>
      <c r="B228" s="1" t="s">
        <v>17</v>
      </c>
      <c r="C228" s="1" t="s">
        <v>18</v>
      </c>
      <c r="D228" s="1" t="s">
        <v>44</v>
      </c>
      <c r="E228" s="1" t="s">
        <v>38</v>
      </c>
      <c r="F228">
        <v>453</v>
      </c>
      <c r="G228">
        <v>8.9499999999999993</v>
      </c>
      <c r="H228">
        <v>4054.35</v>
      </c>
      <c r="I228" s="1" t="s">
        <v>26</v>
      </c>
      <c r="J228" s="1" t="s">
        <v>47</v>
      </c>
      <c r="K228" s="1" t="s">
        <v>23</v>
      </c>
      <c r="L228">
        <v>2765.07</v>
      </c>
      <c r="M228">
        <v>31.8</v>
      </c>
      <c r="N228">
        <v>2023</v>
      </c>
      <c r="O228">
        <f t="shared" si="3"/>
        <v>2</v>
      </c>
      <c r="P228" s="13" t="s">
        <v>64</v>
      </c>
      <c r="Q228">
        <v>1289.28</v>
      </c>
      <c r="R228" s="3" t="s">
        <v>25</v>
      </c>
      <c r="S228" s="7">
        <f>Ventas[[#This Row],[Costo Material (€)]]/Ventas[[#This Row],[Beneficio (€)]]</f>
        <v>2.1446621370067014</v>
      </c>
      <c r="T228" s="3" t="str">
        <f>IF(Ventas[[#This Row],[Margen (%)]]&gt;20%,"Beneficio","Perdidas")</f>
        <v>Beneficio</v>
      </c>
    </row>
    <row r="229" spans="1:20" x14ac:dyDescent="0.25">
      <c r="A229" s="12">
        <v>44955</v>
      </c>
      <c r="B229" s="1" t="s">
        <v>35</v>
      </c>
      <c r="C229" s="1" t="s">
        <v>36</v>
      </c>
      <c r="D229" s="1" t="s">
        <v>49</v>
      </c>
      <c r="E229" s="1" t="s">
        <v>50</v>
      </c>
      <c r="F229">
        <v>401</v>
      </c>
      <c r="G229">
        <v>10.210000000000001</v>
      </c>
      <c r="H229">
        <v>4094.21</v>
      </c>
      <c r="I229" s="1" t="s">
        <v>46</v>
      </c>
      <c r="J229" s="1" t="s">
        <v>27</v>
      </c>
      <c r="K229" s="1" t="s">
        <v>23</v>
      </c>
      <c r="L229">
        <v>2805.92</v>
      </c>
      <c r="M229">
        <v>31.5</v>
      </c>
      <c r="N229">
        <v>2023</v>
      </c>
      <c r="O229">
        <f t="shared" si="3"/>
        <v>1</v>
      </c>
      <c r="P229" s="13" t="s">
        <v>24</v>
      </c>
      <c r="Q229">
        <v>1288.29</v>
      </c>
      <c r="R229" s="3" t="s">
        <v>25</v>
      </c>
      <c r="S229" s="7">
        <f>Ventas[[#This Row],[Costo Material (€)]]/Ventas[[#This Row],[Beneficio (€)]]</f>
        <v>2.1780189243105204</v>
      </c>
      <c r="T229" s="3" t="str">
        <f>IF(Ventas[[#This Row],[Margen (%)]]&gt;20%,"Beneficio","Perdidas")</f>
        <v>Beneficio</v>
      </c>
    </row>
    <row r="230" spans="1:20" x14ac:dyDescent="0.25">
      <c r="A230" s="12">
        <v>44982</v>
      </c>
      <c r="B230" s="1" t="s">
        <v>17</v>
      </c>
      <c r="C230" s="1" t="s">
        <v>18</v>
      </c>
      <c r="D230" s="1" t="s">
        <v>44</v>
      </c>
      <c r="E230" s="1" t="s">
        <v>38</v>
      </c>
      <c r="F230">
        <v>869</v>
      </c>
      <c r="G230">
        <v>7.98</v>
      </c>
      <c r="H230">
        <v>6934.62</v>
      </c>
      <c r="I230" s="1" t="s">
        <v>57</v>
      </c>
      <c r="J230" s="1" t="s">
        <v>34</v>
      </c>
      <c r="K230" s="1" t="s">
        <v>41</v>
      </c>
      <c r="L230">
        <v>5647.21</v>
      </c>
      <c r="M230">
        <v>18.600000000000001</v>
      </c>
      <c r="N230">
        <v>2023</v>
      </c>
      <c r="O230">
        <f t="shared" si="3"/>
        <v>1</v>
      </c>
      <c r="P230" s="13" t="s">
        <v>60</v>
      </c>
      <c r="Q230">
        <v>1287.4100000000001</v>
      </c>
      <c r="R230" s="3" t="s">
        <v>29</v>
      </c>
      <c r="S230" s="7">
        <f>Ventas[[#This Row],[Costo Material (€)]]/Ventas[[#This Row],[Beneficio (€)]]</f>
        <v>4.386489152639796</v>
      </c>
      <c r="T230" s="3" t="str">
        <f>IF(Ventas[[#This Row],[Margen (%)]]&gt;20%,"Beneficio","Perdidas")</f>
        <v>Beneficio</v>
      </c>
    </row>
    <row r="231" spans="1:20" x14ac:dyDescent="0.25">
      <c r="A231" s="12">
        <v>45230</v>
      </c>
      <c r="B231" s="1" t="s">
        <v>51</v>
      </c>
      <c r="C231" s="1" t="s">
        <v>52</v>
      </c>
      <c r="D231" s="1" t="s">
        <v>53</v>
      </c>
      <c r="E231" s="1" t="s">
        <v>50</v>
      </c>
      <c r="F231">
        <v>994</v>
      </c>
      <c r="G231">
        <v>9.4600000000000009</v>
      </c>
      <c r="H231">
        <v>9403.24</v>
      </c>
      <c r="I231" s="1" t="s">
        <v>57</v>
      </c>
      <c r="J231" s="1" t="s">
        <v>56</v>
      </c>
      <c r="K231" s="1" t="s">
        <v>23</v>
      </c>
      <c r="L231">
        <v>8118.92</v>
      </c>
      <c r="M231">
        <v>13.7</v>
      </c>
      <c r="N231">
        <v>2023</v>
      </c>
      <c r="O231">
        <f t="shared" si="3"/>
        <v>4</v>
      </c>
      <c r="P231" s="13" t="s">
        <v>68</v>
      </c>
      <c r="Q231">
        <v>1284.32</v>
      </c>
      <c r="R231" s="3" t="s">
        <v>29</v>
      </c>
      <c r="S231" s="7">
        <f>Ventas[[#This Row],[Costo Material (€)]]/Ventas[[#This Row],[Beneficio (€)]]</f>
        <v>6.3215709480503302</v>
      </c>
      <c r="T231" s="3" t="str">
        <f>IF(Ventas[[#This Row],[Margen (%)]]&gt;20%,"Beneficio","Perdidas")</f>
        <v>Beneficio</v>
      </c>
    </row>
    <row r="232" spans="1:20" x14ac:dyDescent="0.25">
      <c r="A232" s="12">
        <v>45088</v>
      </c>
      <c r="B232" s="1" t="s">
        <v>58</v>
      </c>
      <c r="C232" s="1" t="s">
        <v>59</v>
      </c>
      <c r="D232" s="1" t="s">
        <v>32</v>
      </c>
      <c r="E232" s="1" t="s">
        <v>20</v>
      </c>
      <c r="F232">
        <v>512</v>
      </c>
      <c r="G232">
        <v>8.5</v>
      </c>
      <c r="H232">
        <v>4352</v>
      </c>
      <c r="I232" s="1" t="s">
        <v>39</v>
      </c>
      <c r="J232" s="1" t="s">
        <v>27</v>
      </c>
      <c r="K232" s="1" t="s">
        <v>28</v>
      </c>
      <c r="L232">
        <v>3068.13</v>
      </c>
      <c r="M232">
        <v>29.5</v>
      </c>
      <c r="N232">
        <v>2023</v>
      </c>
      <c r="O232">
        <f t="shared" si="3"/>
        <v>2</v>
      </c>
      <c r="P232" s="13" t="s">
        <v>64</v>
      </c>
      <c r="Q232">
        <v>1283.8699999999999</v>
      </c>
      <c r="R232" s="3" t="s">
        <v>25</v>
      </c>
      <c r="S232" s="7">
        <f>Ventas[[#This Row],[Costo Material (€)]]/Ventas[[#This Row],[Beneficio (€)]]</f>
        <v>2.389751298807512</v>
      </c>
      <c r="T232" s="3" t="str">
        <f>IF(Ventas[[#This Row],[Margen (%)]]&gt;20%,"Beneficio","Perdidas")</f>
        <v>Beneficio</v>
      </c>
    </row>
    <row r="233" spans="1:20" x14ac:dyDescent="0.25">
      <c r="A233" s="12">
        <v>45132</v>
      </c>
      <c r="B233" s="1" t="s">
        <v>42</v>
      </c>
      <c r="C233" s="1" t="s">
        <v>43</v>
      </c>
      <c r="D233" s="1" t="s">
        <v>19</v>
      </c>
      <c r="E233" s="1" t="s">
        <v>20</v>
      </c>
      <c r="F233">
        <v>513</v>
      </c>
      <c r="G233">
        <v>8.58</v>
      </c>
      <c r="H233">
        <v>4401.54</v>
      </c>
      <c r="I233" s="1" t="s">
        <v>54</v>
      </c>
      <c r="J233" s="1" t="s">
        <v>22</v>
      </c>
      <c r="K233" s="1" t="s">
        <v>28</v>
      </c>
      <c r="L233">
        <v>3117.71</v>
      </c>
      <c r="M233">
        <v>29.2</v>
      </c>
      <c r="N233">
        <v>2023</v>
      </c>
      <c r="O233">
        <f t="shared" si="3"/>
        <v>3</v>
      </c>
      <c r="P233" s="13" t="s">
        <v>65</v>
      </c>
      <c r="Q233">
        <v>1283.83</v>
      </c>
      <c r="R233" s="3" t="s">
        <v>25</v>
      </c>
      <c r="S233" s="7">
        <f>Ventas[[#This Row],[Costo Material (€)]]/Ventas[[#This Row],[Beneficio (€)]]</f>
        <v>2.4284445759952642</v>
      </c>
      <c r="T233" s="3" t="str">
        <f>IF(Ventas[[#This Row],[Margen (%)]]&gt;20%,"Beneficio","Perdidas")</f>
        <v>Beneficio</v>
      </c>
    </row>
    <row r="234" spans="1:20" x14ac:dyDescent="0.25">
      <c r="A234" s="12">
        <v>45006</v>
      </c>
      <c r="B234" s="1" t="s">
        <v>30</v>
      </c>
      <c r="C234" s="1" t="s">
        <v>31</v>
      </c>
      <c r="D234" s="1" t="s">
        <v>37</v>
      </c>
      <c r="E234" s="1" t="s">
        <v>38</v>
      </c>
      <c r="F234">
        <v>897</v>
      </c>
      <c r="G234">
        <v>7.71</v>
      </c>
      <c r="H234">
        <v>6915.87</v>
      </c>
      <c r="I234" s="1" t="s">
        <v>26</v>
      </c>
      <c r="J234" s="1" t="s">
        <v>56</v>
      </c>
      <c r="K234" s="1" t="s">
        <v>23</v>
      </c>
      <c r="L234">
        <v>5633.59</v>
      </c>
      <c r="M234">
        <v>18.5</v>
      </c>
      <c r="N234">
        <v>2023</v>
      </c>
      <c r="O234">
        <f t="shared" si="3"/>
        <v>1</v>
      </c>
      <c r="P234" s="13" t="s">
        <v>61</v>
      </c>
      <c r="Q234">
        <v>1282.28</v>
      </c>
      <c r="R234" s="3" t="s">
        <v>29</v>
      </c>
      <c r="S234" s="7">
        <f>Ventas[[#This Row],[Costo Material (€)]]/Ventas[[#This Row],[Beneficio (€)]]</f>
        <v>4.393416414511651</v>
      </c>
      <c r="T234" s="3" t="str">
        <f>IF(Ventas[[#This Row],[Margen (%)]]&gt;20%,"Beneficio","Perdidas")</f>
        <v>Beneficio</v>
      </c>
    </row>
    <row r="235" spans="1:20" x14ac:dyDescent="0.25">
      <c r="A235" s="12">
        <v>45400</v>
      </c>
      <c r="B235" s="1" t="s">
        <v>58</v>
      </c>
      <c r="C235" s="1" t="s">
        <v>59</v>
      </c>
      <c r="D235" s="1" t="s">
        <v>53</v>
      </c>
      <c r="E235" s="1" t="s">
        <v>50</v>
      </c>
      <c r="F235">
        <v>505</v>
      </c>
      <c r="G235">
        <v>10.93</v>
      </c>
      <c r="H235">
        <v>5519.65</v>
      </c>
      <c r="I235" s="1" t="s">
        <v>46</v>
      </c>
      <c r="J235" s="1" t="s">
        <v>22</v>
      </c>
      <c r="K235" s="1" t="s">
        <v>23</v>
      </c>
      <c r="L235">
        <v>4237.6099999999997</v>
      </c>
      <c r="M235">
        <v>23.2</v>
      </c>
      <c r="N235">
        <v>2024</v>
      </c>
      <c r="O235">
        <f t="shared" si="3"/>
        <v>2</v>
      </c>
      <c r="P235" s="13" t="s">
        <v>62</v>
      </c>
      <c r="Q235">
        <v>1282.04</v>
      </c>
      <c r="R235" s="3" t="s">
        <v>29</v>
      </c>
      <c r="S235" s="7">
        <f>Ventas[[#This Row],[Costo Material (€)]]/Ventas[[#This Row],[Beneficio (€)]]</f>
        <v>3.3053648872110073</v>
      </c>
      <c r="T235" s="3" t="str">
        <f>IF(Ventas[[#This Row],[Margen (%)]]&gt;20%,"Beneficio","Perdidas")</f>
        <v>Beneficio</v>
      </c>
    </row>
    <row r="236" spans="1:20" x14ac:dyDescent="0.25">
      <c r="A236" s="12">
        <v>45443</v>
      </c>
      <c r="B236" s="1" t="s">
        <v>51</v>
      </c>
      <c r="C236" s="1" t="s">
        <v>52</v>
      </c>
      <c r="D236" s="1" t="s">
        <v>19</v>
      </c>
      <c r="E236" s="1" t="s">
        <v>20</v>
      </c>
      <c r="F236">
        <v>571</v>
      </c>
      <c r="G236">
        <v>9.8000000000000007</v>
      </c>
      <c r="H236">
        <v>5595.8</v>
      </c>
      <c r="I236" s="1" t="s">
        <v>26</v>
      </c>
      <c r="J236" s="1" t="s">
        <v>40</v>
      </c>
      <c r="K236" s="1" t="s">
        <v>23</v>
      </c>
      <c r="L236">
        <v>4314.66</v>
      </c>
      <c r="M236">
        <v>22.9</v>
      </c>
      <c r="N236">
        <v>2024</v>
      </c>
      <c r="O236">
        <f t="shared" si="3"/>
        <v>2</v>
      </c>
      <c r="P236" s="13" t="s">
        <v>63</v>
      </c>
      <c r="Q236">
        <v>1281.1400000000001</v>
      </c>
      <c r="R236" s="3" t="s">
        <v>29</v>
      </c>
      <c r="S236" s="7">
        <f>Ventas[[#This Row],[Costo Material (€)]]/Ventas[[#This Row],[Beneficio (€)]]</f>
        <v>3.367828652606272</v>
      </c>
      <c r="T236" s="3" t="str">
        <f>IF(Ventas[[#This Row],[Margen (%)]]&gt;20%,"Beneficio","Perdidas")</f>
        <v>Beneficio</v>
      </c>
    </row>
    <row r="237" spans="1:20" x14ac:dyDescent="0.25">
      <c r="A237" s="12">
        <v>45387</v>
      </c>
      <c r="B237" s="1" t="s">
        <v>42</v>
      </c>
      <c r="C237" s="1" t="s">
        <v>43</v>
      </c>
      <c r="D237" s="1" t="s">
        <v>53</v>
      </c>
      <c r="E237" s="1" t="s">
        <v>50</v>
      </c>
      <c r="F237">
        <v>703</v>
      </c>
      <c r="G237">
        <v>5.72</v>
      </c>
      <c r="H237">
        <v>4021.16</v>
      </c>
      <c r="I237" s="1" t="s">
        <v>21</v>
      </c>
      <c r="J237" s="1" t="s">
        <v>22</v>
      </c>
      <c r="K237" s="1" t="s">
        <v>41</v>
      </c>
      <c r="L237">
        <v>2741.87</v>
      </c>
      <c r="M237">
        <v>31.8</v>
      </c>
      <c r="N237">
        <v>2024</v>
      </c>
      <c r="O237">
        <f t="shared" si="3"/>
        <v>2</v>
      </c>
      <c r="P237" s="13" t="s">
        <v>62</v>
      </c>
      <c r="Q237">
        <v>1279.29</v>
      </c>
      <c r="R237" s="3" t="s">
        <v>25</v>
      </c>
      <c r="S237" s="7">
        <f>Ventas[[#This Row],[Costo Material (€)]]/Ventas[[#This Row],[Beneficio (€)]]</f>
        <v>2.1432747852324336</v>
      </c>
      <c r="T237" s="3" t="str">
        <f>IF(Ventas[[#This Row],[Margen (%)]]&gt;20%,"Beneficio","Perdidas")</f>
        <v>Beneficio</v>
      </c>
    </row>
    <row r="238" spans="1:20" x14ac:dyDescent="0.25">
      <c r="A238" s="12">
        <v>44973</v>
      </c>
      <c r="B238" s="1" t="s">
        <v>35</v>
      </c>
      <c r="C238" s="1" t="s">
        <v>36</v>
      </c>
      <c r="D238" s="1" t="s">
        <v>44</v>
      </c>
      <c r="E238" s="1" t="s">
        <v>38</v>
      </c>
      <c r="F238">
        <v>459</v>
      </c>
      <c r="G238">
        <v>10.53</v>
      </c>
      <c r="H238">
        <v>4833.2700000000004</v>
      </c>
      <c r="I238" s="1" t="s">
        <v>57</v>
      </c>
      <c r="J238" s="1" t="s">
        <v>27</v>
      </c>
      <c r="K238" s="1" t="s">
        <v>41</v>
      </c>
      <c r="L238">
        <v>3566.53</v>
      </c>
      <c r="M238">
        <v>26.2</v>
      </c>
      <c r="N238">
        <v>2023</v>
      </c>
      <c r="O238">
        <f t="shared" si="3"/>
        <v>1</v>
      </c>
      <c r="P238" s="13" t="s">
        <v>60</v>
      </c>
      <c r="Q238">
        <v>1266.74</v>
      </c>
      <c r="R238" s="3" t="s">
        <v>25</v>
      </c>
      <c r="S238" s="7">
        <f>Ventas[[#This Row],[Costo Material (€)]]/Ventas[[#This Row],[Beneficio (€)]]</f>
        <v>2.8155185752403811</v>
      </c>
      <c r="T238" s="3" t="str">
        <f>IF(Ventas[[#This Row],[Margen (%)]]&gt;20%,"Beneficio","Perdidas")</f>
        <v>Beneficio</v>
      </c>
    </row>
    <row r="239" spans="1:20" x14ac:dyDescent="0.25">
      <c r="A239" s="12">
        <v>44941</v>
      </c>
      <c r="B239" s="1" t="s">
        <v>35</v>
      </c>
      <c r="C239" s="1" t="s">
        <v>36</v>
      </c>
      <c r="D239" s="1" t="s">
        <v>48</v>
      </c>
      <c r="E239" s="1" t="s">
        <v>38</v>
      </c>
      <c r="F239">
        <v>569</v>
      </c>
      <c r="G239">
        <v>10.029999999999999</v>
      </c>
      <c r="H239">
        <v>5707.07</v>
      </c>
      <c r="I239" s="1" t="s">
        <v>21</v>
      </c>
      <c r="J239" s="1" t="s">
        <v>40</v>
      </c>
      <c r="K239" s="1" t="s">
        <v>23</v>
      </c>
      <c r="L239">
        <v>4440.55</v>
      </c>
      <c r="M239">
        <v>22.2</v>
      </c>
      <c r="N239">
        <v>2023</v>
      </c>
      <c r="O239">
        <f t="shared" si="3"/>
        <v>1</v>
      </c>
      <c r="P239" s="13" t="s">
        <v>24</v>
      </c>
      <c r="Q239">
        <v>1266.52</v>
      </c>
      <c r="R239" s="3" t="s">
        <v>29</v>
      </c>
      <c r="S239" s="7">
        <f>Ventas[[#This Row],[Costo Material (€)]]/Ventas[[#This Row],[Beneficio (€)]]</f>
        <v>3.506103338281275</v>
      </c>
      <c r="T239" s="3" t="str">
        <f>IF(Ventas[[#This Row],[Margen (%)]]&gt;20%,"Beneficio","Perdidas")</f>
        <v>Beneficio</v>
      </c>
    </row>
    <row r="240" spans="1:20" x14ac:dyDescent="0.25">
      <c r="A240" s="12">
        <v>45101</v>
      </c>
      <c r="B240" s="1" t="s">
        <v>17</v>
      </c>
      <c r="C240" s="1" t="s">
        <v>18</v>
      </c>
      <c r="D240" s="1" t="s">
        <v>45</v>
      </c>
      <c r="E240" s="1" t="s">
        <v>20</v>
      </c>
      <c r="F240">
        <v>308</v>
      </c>
      <c r="G240">
        <v>10.78</v>
      </c>
      <c r="H240">
        <v>3320.24</v>
      </c>
      <c r="I240" s="1" t="s">
        <v>55</v>
      </c>
      <c r="J240" s="1" t="s">
        <v>56</v>
      </c>
      <c r="K240" s="1" t="s">
        <v>28</v>
      </c>
      <c r="L240">
        <v>2056.2199999999998</v>
      </c>
      <c r="M240">
        <v>38.1</v>
      </c>
      <c r="N240">
        <v>2023</v>
      </c>
      <c r="O240">
        <f t="shared" si="3"/>
        <v>2</v>
      </c>
      <c r="P240" s="13" t="s">
        <v>64</v>
      </c>
      <c r="Q240">
        <v>1264.02</v>
      </c>
      <c r="R240" s="3" t="s">
        <v>25</v>
      </c>
      <c r="S240" s="7">
        <f>Ventas[[#This Row],[Costo Material (€)]]/Ventas[[#This Row],[Beneficio (€)]]</f>
        <v>1.626730589705859</v>
      </c>
      <c r="T240" s="3" t="str">
        <f>IF(Ventas[[#This Row],[Margen (%)]]&gt;20%,"Beneficio","Perdidas")</f>
        <v>Beneficio</v>
      </c>
    </row>
    <row r="241" spans="1:20" x14ac:dyDescent="0.25">
      <c r="A241" s="12">
        <v>44939</v>
      </c>
      <c r="B241" s="1" t="s">
        <v>30</v>
      </c>
      <c r="C241" s="1" t="s">
        <v>31</v>
      </c>
      <c r="D241" s="1" t="s">
        <v>53</v>
      </c>
      <c r="E241" s="1" t="s">
        <v>50</v>
      </c>
      <c r="F241">
        <v>823</v>
      </c>
      <c r="G241">
        <v>4.83</v>
      </c>
      <c r="H241">
        <v>3975.09</v>
      </c>
      <c r="I241" s="1" t="s">
        <v>39</v>
      </c>
      <c r="J241" s="1" t="s">
        <v>47</v>
      </c>
      <c r="K241" s="1" t="s">
        <v>28</v>
      </c>
      <c r="L241">
        <v>2713.01</v>
      </c>
      <c r="M241">
        <v>31.7</v>
      </c>
      <c r="N241">
        <v>2023</v>
      </c>
      <c r="O241">
        <f t="shared" si="3"/>
        <v>1</v>
      </c>
      <c r="P241" s="13" t="s">
        <v>24</v>
      </c>
      <c r="Q241">
        <v>1262.08</v>
      </c>
      <c r="R241" s="3" t="s">
        <v>25</v>
      </c>
      <c r="S241" s="7">
        <f>Ventas[[#This Row],[Costo Material (€)]]/Ventas[[#This Row],[Beneficio (€)]]</f>
        <v>2.149633937626775</v>
      </c>
      <c r="T241" s="3" t="str">
        <f>IF(Ventas[[#This Row],[Margen (%)]]&gt;20%,"Beneficio","Perdidas")</f>
        <v>Beneficio</v>
      </c>
    </row>
    <row r="242" spans="1:20" x14ac:dyDescent="0.25">
      <c r="A242" s="12">
        <v>44954</v>
      </c>
      <c r="B242" s="1" t="s">
        <v>30</v>
      </c>
      <c r="C242" s="1" t="s">
        <v>31</v>
      </c>
      <c r="D242" s="1" t="s">
        <v>53</v>
      </c>
      <c r="E242" s="1" t="s">
        <v>50</v>
      </c>
      <c r="F242">
        <v>781</v>
      </c>
      <c r="G242">
        <v>6.4</v>
      </c>
      <c r="H242">
        <v>4998.3999999999996</v>
      </c>
      <c r="I242" s="1" t="s">
        <v>21</v>
      </c>
      <c r="J242" s="1" t="s">
        <v>22</v>
      </c>
      <c r="K242" s="1" t="s">
        <v>23</v>
      </c>
      <c r="L242">
        <v>3737.43</v>
      </c>
      <c r="M242">
        <v>25.2</v>
      </c>
      <c r="N242">
        <v>2023</v>
      </c>
      <c r="O242">
        <f t="shared" si="3"/>
        <v>1</v>
      </c>
      <c r="P242" s="13" t="s">
        <v>24</v>
      </c>
      <c r="Q242">
        <v>1260.97</v>
      </c>
      <c r="R242" s="3" t="s">
        <v>25</v>
      </c>
      <c r="S242" s="7">
        <f>Ventas[[#This Row],[Costo Material (€)]]/Ventas[[#This Row],[Beneficio (€)]]</f>
        <v>2.9639325281331037</v>
      </c>
      <c r="T242" s="3" t="str">
        <f>IF(Ventas[[#This Row],[Margen (%)]]&gt;20%,"Beneficio","Perdidas")</f>
        <v>Beneficio</v>
      </c>
    </row>
    <row r="243" spans="1:20" x14ac:dyDescent="0.25">
      <c r="A243" s="12">
        <v>45253</v>
      </c>
      <c r="B243" s="1" t="s">
        <v>30</v>
      </c>
      <c r="C243" s="1" t="s">
        <v>31</v>
      </c>
      <c r="D243" s="1" t="s">
        <v>44</v>
      </c>
      <c r="E243" s="1" t="s">
        <v>38</v>
      </c>
      <c r="F243">
        <v>884</v>
      </c>
      <c r="G243">
        <v>10.9</v>
      </c>
      <c r="H243">
        <v>9635.6</v>
      </c>
      <c r="I243" s="1" t="s">
        <v>55</v>
      </c>
      <c r="J243" s="1" t="s">
        <v>22</v>
      </c>
      <c r="K243" s="1" t="s">
        <v>23</v>
      </c>
      <c r="L243">
        <v>8379.32</v>
      </c>
      <c r="M243">
        <v>13</v>
      </c>
      <c r="N243">
        <v>2023</v>
      </c>
      <c r="O243">
        <f t="shared" si="3"/>
        <v>4</v>
      </c>
      <c r="P243" s="13" t="s">
        <v>69</v>
      </c>
      <c r="Q243">
        <v>1256.28</v>
      </c>
      <c r="R243" s="3" t="s">
        <v>29</v>
      </c>
      <c r="S243" s="7">
        <f>Ventas[[#This Row],[Costo Material (€)]]/Ventas[[#This Row],[Beneficio (€)]]</f>
        <v>6.6699461903397328</v>
      </c>
      <c r="T243" s="3" t="str">
        <f>IF(Ventas[[#This Row],[Margen (%)]]&gt;20%,"Beneficio","Perdidas")</f>
        <v>Beneficio</v>
      </c>
    </row>
    <row r="244" spans="1:20" x14ac:dyDescent="0.25">
      <c r="A244" s="12">
        <v>45063</v>
      </c>
      <c r="B244" s="1" t="s">
        <v>30</v>
      </c>
      <c r="C244" s="1" t="s">
        <v>31</v>
      </c>
      <c r="D244" s="1" t="s">
        <v>49</v>
      </c>
      <c r="E244" s="1" t="s">
        <v>50</v>
      </c>
      <c r="F244">
        <v>623</v>
      </c>
      <c r="G244">
        <v>6.62</v>
      </c>
      <c r="H244">
        <v>4124.26</v>
      </c>
      <c r="I244" s="1" t="s">
        <v>55</v>
      </c>
      <c r="J244" s="1" t="s">
        <v>40</v>
      </c>
      <c r="K244" s="1" t="s">
        <v>23</v>
      </c>
      <c r="L244">
        <v>2871.12</v>
      </c>
      <c r="M244">
        <v>30.4</v>
      </c>
      <c r="N244">
        <v>2023</v>
      </c>
      <c r="O244">
        <f t="shared" si="3"/>
        <v>2</v>
      </c>
      <c r="P244" s="13" t="s">
        <v>63</v>
      </c>
      <c r="Q244">
        <v>1253.1400000000001</v>
      </c>
      <c r="R244" s="3" t="s">
        <v>25</v>
      </c>
      <c r="S244" s="7">
        <f>Ventas[[#This Row],[Costo Material (€)]]/Ventas[[#This Row],[Beneficio (€)]]</f>
        <v>2.2911406546754551</v>
      </c>
      <c r="T244" s="3" t="str">
        <f>IF(Ventas[[#This Row],[Margen (%)]]&gt;20%,"Beneficio","Perdidas")</f>
        <v>Beneficio</v>
      </c>
    </row>
    <row r="245" spans="1:20" x14ac:dyDescent="0.25">
      <c r="A245" s="12">
        <v>45096</v>
      </c>
      <c r="B245" s="1" t="s">
        <v>17</v>
      </c>
      <c r="C245" s="1" t="s">
        <v>18</v>
      </c>
      <c r="D245" s="1" t="s">
        <v>44</v>
      </c>
      <c r="E245" s="1" t="s">
        <v>38</v>
      </c>
      <c r="F245">
        <v>903</v>
      </c>
      <c r="G245">
        <v>7.96</v>
      </c>
      <c r="H245">
        <v>7187.88</v>
      </c>
      <c r="I245" s="1" t="s">
        <v>33</v>
      </c>
      <c r="J245" s="1" t="s">
        <v>56</v>
      </c>
      <c r="K245" s="1" t="s">
        <v>41</v>
      </c>
      <c r="L245">
        <v>5938.28</v>
      </c>
      <c r="M245">
        <v>17.399999999999999</v>
      </c>
      <c r="N245">
        <v>2023</v>
      </c>
      <c r="O245">
        <f t="shared" si="3"/>
        <v>2</v>
      </c>
      <c r="P245" s="13" t="s">
        <v>64</v>
      </c>
      <c r="Q245">
        <v>1249.5999999999999</v>
      </c>
      <c r="R245" s="3" t="s">
        <v>29</v>
      </c>
      <c r="S245" s="7">
        <f>Ventas[[#This Row],[Costo Material (€)]]/Ventas[[#This Row],[Beneficio (€)]]</f>
        <v>4.7521446862996157</v>
      </c>
      <c r="T245" s="3" t="str">
        <f>IF(Ventas[[#This Row],[Margen (%)]]&gt;20%,"Beneficio","Perdidas")</f>
        <v>Beneficio</v>
      </c>
    </row>
    <row r="246" spans="1:20" x14ac:dyDescent="0.25">
      <c r="A246" s="12">
        <v>45128</v>
      </c>
      <c r="B246" s="1" t="s">
        <v>51</v>
      </c>
      <c r="C246" s="1" t="s">
        <v>52</v>
      </c>
      <c r="D246" s="1" t="s">
        <v>44</v>
      </c>
      <c r="E246" s="1" t="s">
        <v>38</v>
      </c>
      <c r="F246">
        <v>684</v>
      </c>
      <c r="G246">
        <v>5.26</v>
      </c>
      <c r="H246">
        <v>3597.84</v>
      </c>
      <c r="I246" s="1" t="s">
        <v>46</v>
      </c>
      <c r="J246" s="1" t="s">
        <v>34</v>
      </c>
      <c r="K246" s="1" t="s">
        <v>41</v>
      </c>
      <c r="L246">
        <v>2356.92</v>
      </c>
      <c r="M246">
        <v>34.5</v>
      </c>
      <c r="N246">
        <v>2023</v>
      </c>
      <c r="O246">
        <f t="shared" si="3"/>
        <v>3</v>
      </c>
      <c r="P246" s="13" t="s">
        <v>65</v>
      </c>
      <c r="Q246">
        <v>1240.92</v>
      </c>
      <c r="R246" s="3" t="s">
        <v>25</v>
      </c>
      <c r="S246" s="7">
        <f>Ventas[[#This Row],[Costo Material (€)]]/Ventas[[#This Row],[Beneficio (€)]]</f>
        <v>1.8993327531186539</v>
      </c>
      <c r="T246" s="3" t="str">
        <f>IF(Ventas[[#This Row],[Margen (%)]]&gt;20%,"Beneficio","Perdidas")</f>
        <v>Beneficio</v>
      </c>
    </row>
    <row r="247" spans="1:20" x14ac:dyDescent="0.25">
      <c r="A247" s="12">
        <v>44972</v>
      </c>
      <c r="B247" s="1" t="s">
        <v>42</v>
      </c>
      <c r="C247" s="1" t="s">
        <v>43</v>
      </c>
      <c r="D247" s="1" t="s">
        <v>44</v>
      </c>
      <c r="E247" s="1" t="s">
        <v>38</v>
      </c>
      <c r="F247">
        <v>953</v>
      </c>
      <c r="G247">
        <v>9.1199999999999992</v>
      </c>
      <c r="H247">
        <v>8691.36</v>
      </c>
      <c r="I247" s="1" t="s">
        <v>26</v>
      </c>
      <c r="J247" s="1" t="s">
        <v>56</v>
      </c>
      <c r="K247" s="1" t="s">
        <v>28</v>
      </c>
      <c r="L247">
        <v>7450.64</v>
      </c>
      <c r="M247">
        <v>14.3</v>
      </c>
      <c r="N247">
        <v>2023</v>
      </c>
      <c r="O247">
        <f t="shared" si="3"/>
        <v>1</v>
      </c>
      <c r="P247" s="13" t="s">
        <v>60</v>
      </c>
      <c r="Q247">
        <v>1240.72</v>
      </c>
      <c r="R247" s="3" t="s">
        <v>29</v>
      </c>
      <c r="S247" s="7">
        <f>Ventas[[#This Row],[Costo Material (€)]]/Ventas[[#This Row],[Beneficio (€)]]</f>
        <v>6.0050938164936492</v>
      </c>
      <c r="T247" s="3" t="str">
        <f>IF(Ventas[[#This Row],[Margen (%)]]&gt;20%,"Beneficio","Perdidas")</f>
        <v>Beneficio</v>
      </c>
    </row>
    <row r="248" spans="1:20" x14ac:dyDescent="0.25">
      <c r="A248" s="12">
        <v>44931</v>
      </c>
      <c r="B248" s="1" t="s">
        <v>42</v>
      </c>
      <c r="C248" s="1" t="s">
        <v>43</v>
      </c>
      <c r="D248" s="1" t="s">
        <v>19</v>
      </c>
      <c r="E248" s="1" t="s">
        <v>20</v>
      </c>
      <c r="F248">
        <v>889</v>
      </c>
      <c r="G248">
        <v>9.48</v>
      </c>
      <c r="H248">
        <v>8427.7199999999993</v>
      </c>
      <c r="I248" s="1" t="s">
        <v>26</v>
      </c>
      <c r="J248" s="1" t="s">
        <v>40</v>
      </c>
      <c r="K248" s="1" t="s">
        <v>28</v>
      </c>
      <c r="L248">
        <v>7187.3</v>
      </c>
      <c r="M248">
        <v>14.7</v>
      </c>
      <c r="N248">
        <v>2023</v>
      </c>
      <c r="O248">
        <f t="shared" si="3"/>
        <v>1</v>
      </c>
      <c r="P248" s="13" t="s">
        <v>24</v>
      </c>
      <c r="Q248">
        <v>1240.42</v>
      </c>
      <c r="R248" s="3" t="s">
        <v>29</v>
      </c>
      <c r="S248" s="7">
        <f>Ventas[[#This Row],[Costo Material (€)]]/Ventas[[#This Row],[Beneficio (€)]]</f>
        <v>5.7942471098498896</v>
      </c>
      <c r="T248" s="3" t="str">
        <f>IF(Ventas[[#This Row],[Margen (%)]]&gt;20%,"Beneficio","Perdidas")</f>
        <v>Beneficio</v>
      </c>
    </row>
    <row r="249" spans="1:20" x14ac:dyDescent="0.25">
      <c r="A249" s="12">
        <v>45069</v>
      </c>
      <c r="B249" s="1" t="s">
        <v>51</v>
      </c>
      <c r="C249" s="1" t="s">
        <v>52</v>
      </c>
      <c r="D249" s="1" t="s">
        <v>48</v>
      </c>
      <c r="E249" s="1" t="s">
        <v>38</v>
      </c>
      <c r="F249">
        <v>764</v>
      </c>
      <c r="G249">
        <v>5.97</v>
      </c>
      <c r="H249">
        <v>4561.08</v>
      </c>
      <c r="I249" s="1" t="s">
        <v>57</v>
      </c>
      <c r="J249" s="1" t="s">
        <v>47</v>
      </c>
      <c r="K249" s="1" t="s">
        <v>23</v>
      </c>
      <c r="L249">
        <v>3321.1</v>
      </c>
      <c r="M249">
        <v>27.2</v>
      </c>
      <c r="N249">
        <v>2023</v>
      </c>
      <c r="O249">
        <f t="shared" si="3"/>
        <v>2</v>
      </c>
      <c r="P249" s="13" t="s">
        <v>63</v>
      </c>
      <c r="Q249">
        <v>1239.98</v>
      </c>
      <c r="R249" s="3" t="s">
        <v>25</v>
      </c>
      <c r="S249" s="7">
        <f>Ventas[[#This Row],[Costo Material (€)]]/Ventas[[#This Row],[Beneficio (€)]]</f>
        <v>2.6783496508008193</v>
      </c>
      <c r="T249" s="3" t="str">
        <f>IF(Ventas[[#This Row],[Margen (%)]]&gt;20%,"Beneficio","Perdidas")</f>
        <v>Beneficio</v>
      </c>
    </row>
    <row r="250" spans="1:20" x14ac:dyDescent="0.25">
      <c r="A250" s="12">
        <v>45034</v>
      </c>
      <c r="B250" s="1" t="s">
        <v>17</v>
      </c>
      <c r="C250" s="1" t="s">
        <v>18</v>
      </c>
      <c r="D250" s="1" t="s">
        <v>45</v>
      </c>
      <c r="E250" s="1" t="s">
        <v>20</v>
      </c>
      <c r="F250">
        <v>966</v>
      </c>
      <c r="G250">
        <v>4.8899999999999997</v>
      </c>
      <c r="H250">
        <v>4723.74</v>
      </c>
      <c r="I250" s="1" t="s">
        <v>39</v>
      </c>
      <c r="J250" s="1" t="s">
        <v>22</v>
      </c>
      <c r="K250" s="1" t="s">
        <v>41</v>
      </c>
      <c r="L250">
        <v>3488.24</v>
      </c>
      <c r="M250">
        <v>26.2</v>
      </c>
      <c r="N250">
        <v>2023</v>
      </c>
      <c r="O250">
        <f t="shared" si="3"/>
        <v>2</v>
      </c>
      <c r="P250" s="13" t="s">
        <v>62</v>
      </c>
      <c r="Q250">
        <v>1235.5</v>
      </c>
      <c r="R250" s="3" t="s">
        <v>25</v>
      </c>
      <c r="S250" s="7">
        <f>Ventas[[#This Row],[Costo Material (€)]]/Ventas[[#This Row],[Beneficio (€)]]</f>
        <v>2.8233427762039658</v>
      </c>
      <c r="T250" s="3" t="str">
        <f>IF(Ventas[[#This Row],[Margen (%)]]&gt;20%,"Beneficio","Perdidas")</f>
        <v>Beneficio</v>
      </c>
    </row>
    <row r="251" spans="1:20" x14ac:dyDescent="0.25">
      <c r="A251" s="12">
        <v>44962</v>
      </c>
      <c r="B251" s="1" t="s">
        <v>30</v>
      </c>
      <c r="C251" s="1" t="s">
        <v>31</v>
      </c>
      <c r="D251" s="1" t="s">
        <v>48</v>
      </c>
      <c r="E251" s="1" t="s">
        <v>38</v>
      </c>
      <c r="F251">
        <v>978</v>
      </c>
      <c r="G251">
        <v>7.36</v>
      </c>
      <c r="H251">
        <v>7198.08</v>
      </c>
      <c r="I251" s="1" t="s">
        <v>21</v>
      </c>
      <c r="J251" s="1" t="s">
        <v>47</v>
      </c>
      <c r="K251" s="1" t="s">
        <v>41</v>
      </c>
      <c r="L251">
        <v>5962.74</v>
      </c>
      <c r="M251">
        <v>17.2</v>
      </c>
      <c r="N251">
        <v>2023</v>
      </c>
      <c r="O251">
        <f t="shared" si="3"/>
        <v>1</v>
      </c>
      <c r="P251" s="13" t="s">
        <v>60</v>
      </c>
      <c r="Q251">
        <v>1235.3399999999999</v>
      </c>
      <c r="R251" s="3" t="s">
        <v>29</v>
      </c>
      <c r="S251" s="7">
        <f>Ventas[[#This Row],[Costo Material (€)]]/Ventas[[#This Row],[Beneficio (€)]]</f>
        <v>4.8268007188304436</v>
      </c>
      <c r="T251" s="3" t="str">
        <f>IF(Ventas[[#This Row],[Margen (%)]]&gt;20%,"Beneficio","Perdidas")</f>
        <v>Beneficio</v>
      </c>
    </row>
    <row r="252" spans="1:20" x14ac:dyDescent="0.25">
      <c r="A252" s="12">
        <v>45309</v>
      </c>
      <c r="B252" s="1" t="s">
        <v>58</v>
      </c>
      <c r="C252" s="1" t="s">
        <v>59</v>
      </c>
      <c r="D252" s="1" t="s">
        <v>45</v>
      </c>
      <c r="E252" s="1" t="s">
        <v>20</v>
      </c>
      <c r="F252">
        <v>555</v>
      </c>
      <c r="G252">
        <v>8.24</v>
      </c>
      <c r="H252">
        <v>4573.2</v>
      </c>
      <c r="I252" s="1" t="s">
        <v>55</v>
      </c>
      <c r="J252" s="1" t="s">
        <v>27</v>
      </c>
      <c r="K252" s="1" t="s">
        <v>28</v>
      </c>
      <c r="L252">
        <v>3341.63</v>
      </c>
      <c r="M252">
        <v>26.9</v>
      </c>
      <c r="N252">
        <v>2024</v>
      </c>
      <c r="O252">
        <f t="shared" si="3"/>
        <v>1</v>
      </c>
      <c r="P252" s="13" t="s">
        <v>24</v>
      </c>
      <c r="Q252">
        <v>1231.57</v>
      </c>
      <c r="R252" s="3" t="s">
        <v>25</v>
      </c>
      <c r="S252" s="7">
        <f>Ventas[[#This Row],[Costo Material (€)]]/Ventas[[#This Row],[Beneficio (€)]]</f>
        <v>2.713309028313454</v>
      </c>
      <c r="T252" s="3" t="str">
        <f>IF(Ventas[[#This Row],[Margen (%)]]&gt;20%,"Beneficio","Perdidas")</f>
        <v>Beneficio</v>
      </c>
    </row>
    <row r="253" spans="1:20" x14ac:dyDescent="0.25">
      <c r="A253" s="12">
        <v>45506</v>
      </c>
      <c r="B253" s="1" t="s">
        <v>58</v>
      </c>
      <c r="C253" s="1" t="s">
        <v>59</v>
      </c>
      <c r="D253" s="1" t="s">
        <v>48</v>
      </c>
      <c r="E253" s="1" t="s">
        <v>38</v>
      </c>
      <c r="F253">
        <v>798</v>
      </c>
      <c r="G253">
        <v>11.52</v>
      </c>
      <c r="H253">
        <v>9192.9599999999991</v>
      </c>
      <c r="I253" s="1" t="s">
        <v>54</v>
      </c>
      <c r="J253" s="1" t="s">
        <v>47</v>
      </c>
      <c r="K253" s="1" t="s">
        <v>41</v>
      </c>
      <c r="L253">
        <v>7961.73</v>
      </c>
      <c r="M253">
        <v>13.4</v>
      </c>
      <c r="N253">
        <v>2024</v>
      </c>
      <c r="O253">
        <f t="shared" si="3"/>
        <v>3</v>
      </c>
      <c r="P253" s="13" t="s">
        <v>66</v>
      </c>
      <c r="Q253">
        <v>1231.23</v>
      </c>
      <c r="R253" s="3" t="s">
        <v>29</v>
      </c>
      <c r="S253" s="7">
        <f>Ventas[[#This Row],[Costo Material (€)]]/Ventas[[#This Row],[Beneficio (€)]]</f>
        <v>6.466484734777417</v>
      </c>
      <c r="T253" s="3" t="str">
        <f>IF(Ventas[[#This Row],[Margen (%)]]&gt;20%,"Beneficio","Perdidas")</f>
        <v>Beneficio</v>
      </c>
    </row>
    <row r="254" spans="1:20" x14ac:dyDescent="0.25">
      <c r="A254" s="12">
        <v>44940</v>
      </c>
      <c r="B254" s="1" t="s">
        <v>17</v>
      </c>
      <c r="C254" s="1" t="s">
        <v>18</v>
      </c>
      <c r="D254" s="1" t="s">
        <v>48</v>
      </c>
      <c r="E254" s="1" t="s">
        <v>38</v>
      </c>
      <c r="F254">
        <v>356</v>
      </c>
      <c r="G254">
        <v>9.19</v>
      </c>
      <c r="H254">
        <v>3271.64</v>
      </c>
      <c r="I254" s="1" t="s">
        <v>54</v>
      </c>
      <c r="J254" s="1" t="s">
        <v>34</v>
      </c>
      <c r="K254" s="1" t="s">
        <v>23</v>
      </c>
      <c r="L254">
        <v>2041.26</v>
      </c>
      <c r="M254">
        <v>37.6</v>
      </c>
      <c r="N254">
        <v>2023</v>
      </c>
      <c r="O254">
        <f t="shared" si="3"/>
        <v>1</v>
      </c>
      <c r="P254" s="13" t="s">
        <v>24</v>
      </c>
      <c r="Q254">
        <v>1230.3800000000001</v>
      </c>
      <c r="R254" s="3" t="s">
        <v>25</v>
      </c>
      <c r="S254" s="7">
        <f>Ventas[[#This Row],[Costo Material (€)]]/Ventas[[#This Row],[Beneficio (€)]]</f>
        <v>1.6590484240641101</v>
      </c>
      <c r="T254" s="3" t="str">
        <f>IF(Ventas[[#This Row],[Margen (%)]]&gt;20%,"Beneficio","Perdidas")</f>
        <v>Beneficio</v>
      </c>
    </row>
    <row r="255" spans="1:20" x14ac:dyDescent="0.25">
      <c r="A255" s="12">
        <v>44977</v>
      </c>
      <c r="B255" s="1" t="s">
        <v>17</v>
      </c>
      <c r="C255" s="1" t="s">
        <v>18</v>
      </c>
      <c r="D255" s="1" t="s">
        <v>19</v>
      </c>
      <c r="E255" s="1" t="s">
        <v>20</v>
      </c>
      <c r="F255">
        <v>717</v>
      </c>
      <c r="G255">
        <v>11.01</v>
      </c>
      <c r="H255">
        <v>7894.17</v>
      </c>
      <c r="I255" s="1" t="s">
        <v>33</v>
      </c>
      <c r="J255" s="1" t="s">
        <v>22</v>
      </c>
      <c r="K255" s="1" t="s">
        <v>23</v>
      </c>
      <c r="L255">
        <v>6666.53</v>
      </c>
      <c r="M255">
        <v>15.6</v>
      </c>
      <c r="N255">
        <v>2023</v>
      </c>
      <c r="O255">
        <f t="shared" si="3"/>
        <v>1</v>
      </c>
      <c r="P255" s="13" t="s">
        <v>60</v>
      </c>
      <c r="Q255">
        <v>1227.6400000000001</v>
      </c>
      <c r="R255" s="3" t="s">
        <v>29</v>
      </c>
      <c r="S255" s="7">
        <f>Ventas[[#This Row],[Costo Material (€)]]/Ventas[[#This Row],[Beneficio (€)]]</f>
        <v>5.4303623212016543</v>
      </c>
      <c r="T255" s="3" t="str">
        <f>IF(Ventas[[#This Row],[Margen (%)]]&gt;20%,"Beneficio","Perdidas")</f>
        <v>Beneficio</v>
      </c>
    </row>
    <row r="256" spans="1:20" x14ac:dyDescent="0.25">
      <c r="A256" s="12">
        <v>44959</v>
      </c>
      <c r="B256" s="1" t="s">
        <v>17</v>
      </c>
      <c r="C256" s="1" t="s">
        <v>18</v>
      </c>
      <c r="D256" s="1" t="s">
        <v>44</v>
      </c>
      <c r="E256" s="1" t="s">
        <v>38</v>
      </c>
      <c r="F256">
        <v>392</v>
      </c>
      <c r="G256">
        <v>8.27</v>
      </c>
      <c r="H256">
        <v>3241.84</v>
      </c>
      <c r="I256" s="1" t="s">
        <v>54</v>
      </c>
      <c r="J256" s="1" t="s">
        <v>40</v>
      </c>
      <c r="K256" s="1" t="s">
        <v>41</v>
      </c>
      <c r="L256">
        <v>2014.4</v>
      </c>
      <c r="M256">
        <v>37.9</v>
      </c>
      <c r="N256">
        <v>2023</v>
      </c>
      <c r="O256">
        <f t="shared" si="3"/>
        <v>1</v>
      </c>
      <c r="P256" s="13" t="s">
        <v>60</v>
      </c>
      <c r="Q256">
        <v>1227.44</v>
      </c>
      <c r="R256" s="3" t="s">
        <v>25</v>
      </c>
      <c r="S256" s="7">
        <f>Ventas[[#This Row],[Costo Material (€)]]/Ventas[[#This Row],[Beneficio (€)]]</f>
        <v>1.6411392817571531</v>
      </c>
      <c r="T256" s="3" t="str">
        <f>IF(Ventas[[#This Row],[Margen (%)]]&gt;20%,"Beneficio","Perdidas")</f>
        <v>Beneficio</v>
      </c>
    </row>
    <row r="257" spans="1:20" x14ac:dyDescent="0.25">
      <c r="A257" s="12">
        <v>45393</v>
      </c>
      <c r="B257" s="1" t="s">
        <v>42</v>
      </c>
      <c r="C257" s="1" t="s">
        <v>43</v>
      </c>
      <c r="D257" s="1" t="s">
        <v>48</v>
      </c>
      <c r="E257" s="1" t="s">
        <v>38</v>
      </c>
      <c r="F257">
        <v>605</v>
      </c>
      <c r="G257">
        <v>5.73</v>
      </c>
      <c r="H257">
        <v>3466.65</v>
      </c>
      <c r="I257" s="1" t="s">
        <v>39</v>
      </c>
      <c r="J257" s="1" t="s">
        <v>27</v>
      </c>
      <c r="K257" s="1" t="s">
        <v>23</v>
      </c>
      <c r="L257">
        <v>2241.2199999999998</v>
      </c>
      <c r="M257">
        <v>35.299999999999997</v>
      </c>
      <c r="N257">
        <v>2024</v>
      </c>
      <c r="O257">
        <f t="shared" si="3"/>
        <v>2</v>
      </c>
      <c r="P257" s="13" t="s">
        <v>62</v>
      </c>
      <c r="Q257">
        <v>1225.43</v>
      </c>
      <c r="R257" s="3" t="s">
        <v>25</v>
      </c>
      <c r="S257" s="7">
        <f>Ventas[[#This Row],[Costo Material (€)]]/Ventas[[#This Row],[Beneficio (€)]]</f>
        <v>1.8289253568135264</v>
      </c>
      <c r="T257" s="3" t="str">
        <f>IF(Ventas[[#This Row],[Margen (%)]]&gt;20%,"Beneficio","Perdidas")</f>
        <v>Beneficio</v>
      </c>
    </row>
    <row r="258" spans="1:20" x14ac:dyDescent="0.25">
      <c r="A258" s="12">
        <v>45137</v>
      </c>
      <c r="B258" s="1" t="s">
        <v>35</v>
      </c>
      <c r="C258" s="1" t="s">
        <v>36</v>
      </c>
      <c r="D258" s="1" t="s">
        <v>48</v>
      </c>
      <c r="E258" s="1" t="s">
        <v>38</v>
      </c>
      <c r="F258">
        <v>599</v>
      </c>
      <c r="G258">
        <v>10.89</v>
      </c>
      <c r="H258">
        <v>6523.11</v>
      </c>
      <c r="I258" s="1" t="s">
        <v>21</v>
      </c>
      <c r="J258" s="1" t="s">
        <v>40</v>
      </c>
      <c r="K258" s="1" t="s">
        <v>41</v>
      </c>
      <c r="L258">
        <v>5299.67</v>
      </c>
      <c r="M258">
        <v>18.8</v>
      </c>
      <c r="N258">
        <v>2023</v>
      </c>
      <c r="O258">
        <f t="shared" ref="O258:O321" si="4">ROUNDUP(MONTH(A258)/3,0)</f>
        <v>3</v>
      </c>
      <c r="P258" s="13" t="s">
        <v>65</v>
      </c>
      <c r="Q258">
        <v>1223.44</v>
      </c>
      <c r="R258" s="3" t="s">
        <v>29</v>
      </c>
      <c r="S258" s="7">
        <f>Ventas[[#This Row],[Costo Material (€)]]/Ventas[[#This Row],[Beneficio (€)]]</f>
        <v>4.3317776106715487</v>
      </c>
      <c r="T258" s="3" t="str">
        <f>IF(Ventas[[#This Row],[Margen (%)]]&gt;20%,"Beneficio","Perdidas")</f>
        <v>Beneficio</v>
      </c>
    </row>
    <row r="259" spans="1:20" x14ac:dyDescent="0.25">
      <c r="A259" s="12">
        <v>45176</v>
      </c>
      <c r="B259" s="1" t="s">
        <v>17</v>
      </c>
      <c r="C259" s="1" t="s">
        <v>18</v>
      </c>
      <c r="D259" s="1" t="s">
        <v>19</v>
      </c>
      <c r="E259" s="1" t="s">
        <v>20</v>
      </c>
      <c r="F259">
        <v>996</v>
      </c>
      <c r="G259">
        <v>5.1100000000000003</v>
      </c>
      <c r="H259">
        <v>5089.5600000000004</v>
      </c>
      <c r="I259" s="1" t="s">
        <v>39</v>
      </c>
      <c r="J259" s="1" t="s">
        <v>56</v>
      </c>
      <c r="K259" s="1" t="s">
        <v>28</v>
      </c>
      <c r="L259">
        <v>3867.19</v>
      </c>
      <c r="M259">
        <v>24</v>
      </c>
      <c r="N259">
        <v>2023</v>
      </c>
      <c r="O259">
        <f t="shared" si="4"/>
        <v>3</v>
      </c>
      <c r="P259" s="13" t="s">
        <v>67</v>
      </c>
      <c r="Q259">
        <v>1222.3699999999999</v>
      </c>
      <c r="R259" s="3" t="s">
        <v>29</v>
      </c>
      <c r="S259" s="7">
        <f>Ventas[[#This Row],[Costo Material (€)]]/Ventas[[#This Row],[Beneficio (€)]]</f>
        <v>3.1636820275366708</v>
      </c>
      <c r="T259" s="3" t="str">
        <f>IF(Ventas[[#This Row],[Margen (%)]]&gt;20%,"Beneficio","Perdidas")</f>
        <v>Beneficio</v>
      </c>
    </row>
    <row r="260" spans="1:20" x14ac:dyDescent="0.25">
      <c r="A260" s="12">
        <v>45649</v>
      </c>
      <c r="B260" s="1" t="s">
        <v>42</v>
      </c>
      <c r="C260" s="1" t="s">
        <v>43</v>
      </c>
      <c r="D260" s="1" t="s">
        <v>37</v>
      </c>
      <c r="E260" s="1" t="s">
        <v>38</v>
      </c>
      <c r="F260">
        <v>587</v>
      </c>
      <c r="G260">
        <v>5.47</v>
      </c>
      <c r="H260">
        <v>3210.89</v>
      </c>
      <c r="I260" s="1" t="s">
        <v>57</v>
      </c>
      <c r="J260" s="1" t="s">
        <v>34</v>
      </c>
      <c r="K260" s="1" t="s">
        <v>28</v>
      </c>
      <c r="L260">
        <v>1988.81</v>
      </c>
      <c r="M260">
        <v>38.1</v>
      </c>
      <c r="N260">
        <v>2024</v>
      </c>
      <c r="O260">
        <f t="shared" si="4"/>
        <v>4</v>
      </c>
      <c r="P260" s="13" t="s">
        <v>70</v>
      </c>
      <c r="Q260">
        <v>1222.08</v>
      </c>
      <c r="R260" s="3" t="s">
        <v>25</v>
      </c>
      <c r="S260" s="7">
        <f>Ventas[[#This Row],[Costo Material (€)]]/Ventas[[#This Row],[Beneficio (€)]]</f>
        <v>1.6273975517151087</v>
      </c>
      <c r="T260" s="3" t="str">
        <f>IF(Ventas[[#This Row],[Margen (%)]]&gt;20%,"Beneficio","Perdidas")</f>
        <v>Beneficio</v>
      </c>
    </row>
    <row r="261" spans="1:20" x14ac:dyDescent="0.25">
      <c r="A261" s="12">
        <v>45440</v>
      </c>
      <c r="B261" s="1" t="s">
        <v>51</v>
      </c>
      <c r="C261" s="1" t="s">
        <v>52</v>
      </c>
      <c r="D261" s="1" t="s">
        <v>45</v>
      </c>
      <c r="E261" s="1" t="s">
        <v>20</v>
      </c>
      <c r="F261">
        <v>454</v>
      </c>
      <c r="G261">
        <v>8.82</v>
      </c>
      <c r="H261">
        <v>4004.28</v>
      </c>
      <c r="I261" s="1" t="s">
        <v>57</v>
      </c>
      <c r="J261" s="1" t="s">
        <v>56</v>
      </c>
      <c r="K261" s="1" t="s">
        <v>41</v>
      </c>
      <c r="L261">
        <v>2783.02</v>
      </c>
      <c r="M261">
        <v>30.5</v>
      </c>
      <c r="N261">
        <v>2024</v>
      </c>
      <c r="O261">
        <f t="shared" si="4"/>
        <v>2</v>
      </c>
      <c r="P261" s="13" t="s">
        <v>63</v>
      </c>
      <c r="Q261">
        <v>1221.26</v>
      </c>
      <c r="R261" s="3" t="s">
        <v>25</v>
      </c>
      <c r="S261" s="7">
        <f>Ventas[[#This Row],[Costo Material (€)]]/Ventas[[#This Row],[Beneficio (€)]]</f>
        <v>2.2788104089219332</v>
      </c>
      <c r="T261" s="3" t="str">
        <f>IF(Ventas[[#This Row],[Margen (%)]]&gt;20%,"Beneficio","Perdidas")</f>
        <v>Beneficio</v>
      </c>
    </row>
    <row r="262" spans="1:20" x14ac:dyDescent="0.25">
      <c r="A262" s="12">
        <v>44938</v>
      </c>
      <c r="B262" s="1" t="s">
        <v>17</v>
      </c>
      <c r="C262" s="1" t="s">
        <v>18</v>
      </c>
      <c r="D262" s="1" t="s">
        <v>45</v>
      </c>
      <c r="E262" s="1" t="s">
        <v>20</v>
      </c>
      <c r="F262">
        <v>899</v>
      </c>
      <c r="G262">
        <v>10.92</v>
      </c>
      <c r="H262">
        <v>9817.08</v>
      </c>
      <c r="I262" s="1" t="s">
        <v>33</v>
      </c>
      <c r="J262" s="1" t="s">
        <v>34</v>
      </c>
      <c r="K262" s="1" t="s">
        <v>23</v>
      </c>
      <c r="L262">
        <v>8601.48</v>
      </c>
      <c r="M262">
        <v>12.4</v>
      </c>
      <c r="N262">
        <v>2023</v>
      </c>
      <c r="O262">
        <f t="shared" si="4"/>
        <v>1</v>
      </c>
      <c r="P262" s="13" t="s">
        <v>24</v>
      </c>
      <c r="Q262">
        <v>1215.5999999999999</v>
      </c>
      <c r="R262" s="3" t="s">
        <v>29</v>
      </c>
      <c r="S262" s="7">
        <f>Ventas[[#This Row],[Costo Material (€)]]/Ventas[[#This Row],[Beneficio (€)]]</f>
        <v>7.0759131293188551</v>
      </c>
      <c r="T262" s="3" t="str">
        <f>IF(Ventas[[#This Row],[Margen (%)]]&gt;20%,"Beneficio","Perdidas")</f>
        <v>Beneficio</v>
      </c>
    </row>
    <row r="263" spans="1:20" x14ac:dyDescent="0.25">
      <c r="A263" s="12">
        <v>44972</v>
      </c>
      <c r="B263" s="1" t="s">
        <v>58</v>
      </c>
      <c r="C263" s="1" t="s">
        <v>59</v>
      </c>
      <c r="D263" s="1" t="s">
        <v>32</v>
      </c>
      <c r="E263" s="1" t="s">
        <v>20</v>
      </c>
      <c r="F263">
        <v>870</v>
      </c>
      <c r="G263">
        <v>8.48</v>
      </c>
      <c r="H263">
        <v>7377.6</v>
      </c>
      <c r="I263" s="1" t="s">
        <v>57</v>
      </c>
      <c r="J263" s="1" t="s">
        <v>27</v>
      </c>
      <c r="K263" s="1" t="s">
        <v>28</v>
      </c>
      <c r="L263">
        <v>6166.59</v>
      </c>
      <c r="M263">
        <v>16.399999999999999</v>
      </c>
      <c r="N263">
        <v>2023</v>
      </c>
      <c r="O263">
        <f t="shared" si="4"/>
        <v>1</v>
      </c>
      <c r="P263" s="13" t="s">
        <v>60</v>
      </c>
      <c r="Q263">
        <v>1211.01</v>
      </c>
      <c r="R263" s="3" t="s">
        <v>29</v>
      </c>
      <c r="S263" s="7">
        <f>Ventas[[#This Row],[Costo Material (€)]]/Ventas[[#This Row],[Beneficio (€)]]</f>
        <v>5.0921049372011797</v>
      </c>
      <c r="T263" s="3" t="str">
        <f>IF(Ventas[[#This Row],[Margen (%)]]&gt;20%,"Beneficio","Perdidas")</f>
        <v>Beneficio</v>
      </c>
    </row>
    <row r="264" spans="1:20" x14ac:dyDescent="0.25">
      <c r="A264" s="12">
        <v>44955</v>
      </c>
      <c r="B264" s="1" t="s">
        <v>58</v>
      </c>
      <c r="C264" s="1" t="s">
        <v>59</v>
      </c>
      <c r="D264" s="1" t="s">
        <v>45</v>
      </c>
      <c r="E264" s="1" t="s">
        <v>20</v>
      </c>
      <c r="F264">
        <v>865</v>
      </c>
      <c r="G264">
        <v>8.15</v>
      </c>
      <c r="H264">
        <v>7049.75</v>
      </c>
      <c r="I264" s="1" t="s">
        <v>46</v>
      </c>
      <c r="J264" s="1" t="s">
        <v>22</v>
      </c>
      <c r="K264" s="1" t="s">
        <v>23</v>
      </c>
      <c r="L264">
        <v>5840.69</v>
      </c>
      <c r="M264">
        <v>17.2</v>
      </c>
      <c r="N264">
        <v>2023</v>
      </c>
      <c r="O264">
        <f t="shared" si="4"/>
        <v>1</v>
      </c>
      <c r="P264" s="13" t="s">
        <v>24</v>
      </c>
      <c r="Q264">
        <v>1209.06</v>
      </c>
      <c r="R264" s="3" t="s">
        <v>29</v>
      </c>
      <c r="S264" s="7">
        <f>Ventas[[#This Row],[Costo Material (€)]]/Ventas[[#This Row],[Beneficio (€)]]</f>
        <v>4.8307693580136633</v>
      </c>
      <c r="T264" s="3" t="str">
        <f>IF(Ventas[[#This Row],[Margen (%)]]&gt;20%,"Beneficio","Perdidas")</f>
        <v>Beneficio</v>
      </c>
    </row>
    <row r="265" spans="1:20" x14ac:dyDescent="0.25">
      <c r="A265" s="12">
        <v>45135</v>
      </c>
      <c r="B265" s="1" t="s">
        <v>42</v>
      </c>
      <c r="C265" s="1" t="s">
        <v>43</v>
      </c>
      <c r="D265" s="1" t="s">
        <v>49</v>
      </c>
      <c r="E265" s="1" t="s">
        <v>50</v>
      </c>
      <c r="F265">
        <v>908</v>
      </c>
      <c r="G265">
        <v>5.23</v>
      </c>
      <c r="H265">
        <v>4748.84</v>
      </c>
      <c r="I265" s="1" t="s">
        <v>54</v>
      </c>
      <c r="J265" s="1" t="s">
        <v>56</v>
      </c>
      <c r="K265" s="1" t="s">
        <v>23</v>
      </c>
      <c r="L265">
        <v>3541.77</v>
      </c>
      <c r="M265">
        <v>25.4</v>
      </c>
      <c r="N265">
        <v>2023</v>
      </c>
      <c r="O265">
        <f t="shared" si="4"/>
        <v>3</v>
      </c>
      <c r="P265" s="13" t="s">
        <v>65</v>
      </c>
      <c r="Q265">
        <v>1207.07</v>
      </c>
      <c r="R265" s="3" t="s">
        <v>25</v>
      </c>
      <c r="S265" s="7">
        <f>Ventas[[#This Row],[Costo Material (€)]]/Ventas[[#This Row],[Beneficio (€)]]</f>
        <v>2.9341877438756661</v>
      </c>
      <c r="T265" s="3" t="str">
        <f>IF(Ventas[[#This Row],[Margen (%)]]&gt;20%,"Beneficio","Perdidas")</f>
        <v>Beneficio</v>
      </c>
    </row>
    <row r="266" spans="1:20" x14ac:dyDescent="0.25">
      <c r="A266" s="12">
        <v>45016</v>
      </c>
      <c r="B266" s="1" t="s">
        <v>58</v>
      </c>
      <c r="C266" s="1" t="s">
        <v>59</v>
      </c>
      <c r="D266" s="1" t="s">
        <v>44</v>
      </c>
      <c r="E266" s="1" t="s">
        <v>38</v>
      </c>
      <c r="F266">
        <v>735</v>
      </c>
      <c r="G266">
        <v>11.74</v>
      </c>
      <c r="H266">
        <v>8628.9</v>
      </c>
      <c r="I266" s="1" t="s">
        <v>26</v>
      </c>
      <c r="J266" s="1" t="s">
        <v>56</v>
      </c>
      <c r="K266" s="1" t="s">
        <v>28</v>
      </c>
      <c r="L266">
        <v>7423.64</v>
      </c>
      <c r="M266">
        <v>14</v>
      </c>
      <c r="N266">
        <v>2023</v>
      </c>
      <c r="O266">
        <f t="shared" si="4"/>
        <v>1</v>
      </c>
      <c r="P266" s="13" t="s">
        <v>61</v>
      </c>
      <c r="Q266">
        <v>1205.26</v>
      </c>
      <c r="R266" s="3" t="s">
        <v>29</v>
      </c>
      <c r="S266" s="7">
        <f>Ventas[[#This Row],[Costo Material (€)]]/Ventas[[#This Row],[Beneficio (€)]]</f>
        <v>6.1593681031478686</v>
      </c>
      <c r="T266" s="3" t="str">
        <f>IF(Ventas[[#This Row],[Margen (%)]]&gt;20%,"Beneficio","Perdidas")</f>
        <v>Beneficio</v>
      </c>
    </row>
    <row r="267" spans="1:20" x14ac:dyDescent="0.25">
      <c r="A267" s="12">
        <v>44985</v>
      </c>
      <c r="B267" s="1" t="s">
        <v>17</v>
      </c>
      <c r="C267" s="1" t="s">
        <v>18</v>
      </c>
      <c r="D267" s="1" t="s">
        <v>32</v>
      </c>
      <c r="E267" s="1" t="s">
        <v>20</v>
      </c>
      <c r="F267">
        <v>404</v>
      </c>
      <c r="G267">
        <v>9.32</v>
      </c>
      <c r="H267">
        <v>3765.28</v>
      </c>
      <c r="I267" s="1" t="s">
        <v>46</v>
      </c>
      <c r="J267" s="1" t="s">
        <v>34</v>
      </c>
      <c r="K267" s="1" t="s">
        <v>23</v>
      </c>
      <c r="L267">
        <v>2562.14</v>
      </c>
      <c r="M267">
        <v>32</v>
      </c>
      <c r="N267">
        <v>2023</v>
      </c>
      <c r="O267">
        <f t="shared" si="4"/>
        <v>1</v>
      </c>
      <c r="P267" s="13" t="s">
        <v>60</v>
      </c>
      <c r="Q267">
        <v>1203.1400000000001</v>
      </c>
      <c r="R267" s="3" t="s">
        <v>25</v>
      </c>
      <c r="S267" s="7">
        <f>Ventas[[#This Row],[Costo Material (€)]]/Ventas[[#This Row],[Beneficio (€)]]</f>
        <v>2.1295443589274727</v>
      </c>
      <c r="T267" s="3" t="str">
        <f>IF(Ventas[[#This Row],[Margen (%)]]&gt;20%,"Beneficio","Perdidas")</f>
        <v>Beneficio</v>
      </c>
    </row>
    <row r="268" spans="1:20" x14ac:dyDescent="0.25">
      <c r="A268" s="12">
        <v>45328</v>
      </c>
      <c r="B268" s="1" t="s">
        <v>42</v>
      </c>
      <c r="C268" s="1" t="s">
        <v>43</v>
      </c>
      <c r="D268" s="1" t="s">
        <v>53</v>
      </c>
      <c r="E268" s="1" t="s">
        <v>50</v>
      </c>
      <c r="F268">
        <v>547</v>
      </c>
      <c r="G268">
        <v>5.75</v>
      </c>
      <c r="H268">
        <v>3145.25</v>
      </c>
      <c r="I268" s="1" t="s">
        <v>26</v>
      </c>
      <c r="J268" s="1" t="s">
        <v>56</v>
      </c>
      <c r="K268" s="1" t="s">
        <v>23</v>
      </c>
      <c r="L268">
        <v>1945.52</v>
      </c>
      <c r="M268">
        <v>38.1</v>
      </c>
      <c r="N268">
        <v>2024</v>
      </c>
      <c r="O268">
        <f t="shared" si="4"/>
        <v>1</v>
      </c>
      <c r="P268" s="13" t="s">
        <v>60</v>
      </c>
      <c r="Q268">
        <v>1199.73</v>
      </c>
      <c r="R268" s="3" t="s">
        <v>25</v>
      </c>
      <c r="S268" s="7">
        <f>Ventas[[#This Row],[Costo Material (€)]]/Ventas[[#This Row],[Beneficio (€)]]</f>
        <v>1.6216315337617631</v>
      </c>
      <c r="T268" s="3" t="str">
        <f>IF(Ventas[[#This Row],[Margen (%)]]&gt;20%,"Beneficio","Perdidas")</f>
        <v>Beneficio</v>
      </c>
    </row>
    <row r="269" spans="1:20" x14ac:dyDescent="0.25">
      <c r="A269" s="12">
        <v>44943</v>
      </c>
      <c r="B269" s="1" t="s">
        <v>42</v>
      </c>
      <c r="C269" s="1" t="s">
        <v>43</v>
      </c>
      <c r="D269" s="1" t="s">
        <v>49</v>
      </c>
      <c r="E269" s="1" t="s">
        <v>50</v>
      </c>
      <c r="F269">
        <v>518</v>
      </c>
      <c r="G269">
        <v>11.45</v>
      </c>
      <c r="H269">
        <v>5931.1</v>
      </c>
      <c r="I269" s="1" t="s">
        <v>39</v>
      </c>
      <c r="J269" s="1" t="s">
        <v>47</v>
      </c>
      <c r="K269" s="1" t="s">
        <v>41</v>
      </c>
      <c r="L269">
        <v>4732.0200000000004</v>
      </c>
      <c r="M269">
        <v>20.2</v>
      </c>
      <c r="N269">
        <v>2023</v>
      </c>
      <c r="O269">
        <f t="shared" si="4"/>
        <v>1</v>
      </c>
      <c r="P269" s="13" t="s">
        <v>24</v>
      </c>
      <c r="Q269">
        <v>1199.08</v>
      </c>
      <c r="R269" s="3" t="s">
        <v>29</v>
      </c>
      <c r="S269" s="7">
        <f>Ventas[[#This Row],[Costo Material (€)]]/Ventas[[#This Row],[Beneficio (€)]]</f>
        <v>3.9463755545918544</v>
      </c>
      <c r="T269" s="3" t="str">
        <f>IF(Ventas[[#This Row],[Margen (%)]]&gt;20%,"Beneficio","Perdidas")</f>
        <v>Beneficio</v>
      </c>
    </row>
    <row r="270" spans="1:20" x14ac:dyDescent="0.25">
      <c r="A270" s="12">
        <v>45039</v>
      </c>
      <c r="B270" s="1" t="s">
        <v>35</v>
      </c>
      <c r="C270" s="1" t="s">
        <v>36</v>
      </c>
      <c r="D270" s="1" t="s">
        <v>53</v>
      </c>
      <c r="E270" s="1" t="s">
        <v>50</v>
      </c>
      <c r="F270">
        <v>502</v>
      </c>
      <c r="G270">
        <v>7.07</v>
      </c>
      <c r="H270">
        <v>3549.14</v>
      </c>
      <c r="I270" s="1" t="s">
        <v>54</v>
      </c>
      <c r="J270" s="1" t="s">
        <v>56</v>
      </c>
      <c r="K270" s="1" t="s">
        <v>23</v>
      </c>
      <c r="L270">
        <v>2351.58</v>
      </c>
      <c r="M270">
        <v>33.700000000000003</v>
      </c>
      <c r="N270">
        <v>2023</v>
      </c>
      <c r="O270">
        <f t="shared" si="4"/>
        <v>2</v>
      </c>
      <c r="P270" s="13" t="s">
        <v>62</v>
      </c>
      <c r="Q270">
        <v>1197.56</v>
      </c>
      <c r="R270" s="3" t="s">
        <v>25</v>
      </c>
      <c r="S270" s="7">
        <f>Ventas[[#This Row],[Costo Material (€)]]/Ventas[[#This Row],[Beneficio (€)]]</f>
        <v>1.9636427402384848</v>
      </c>
      <c r="T270" s="3" t="str">
        <f>IF(Ventas[[#This Row],[Margen (%)]]&gt;20%,"Beneficio","Perdidas")</f>
        <v>Beneficio</v>
      </c>
    </row>
    <row r="271" spans="1:20" x14ac:dyDescent="0.25">
      <c r="A271" s="12">
        <v>45342</v>
      </c>
      <c r="B271" s="1" t="s">
        <v>42</v>
      </c>
      <c r="C271" s="1" t="s">
        <v>43</v>
      </c>
      <c r="D271" s="1" t="s">
        <v>53</v>
      </c>
      <c r="E271" s="1" t="s">
        <v>50</v>
      </c>
      <c r="F271">
        <v>978</v>
      </c>
      <c r="G271">
        <v>4.25</v>
      </c>
      <c r="H271">
        <v>4156.5</v>
      </c>
      <c r="I271" s="1" t="s">
        <v>57</v>
      </c>
      <c r="J271" s="1" t="s">
        <v>22</v>
      </c>
      <c r="K271" s="1" t="s">
        <v>23</v>
      </c>
      <c r="L271">
        <v>2960.34</v>
      </c>
      <c r="M271">
        <v>28.8</v>
      </c>
      <c r="N271">
        <v>2024</v>
      </c>
      <c r="O271">
        <f t="shared" si="4"/>
        <v>1</v>
      </c>
      <c r="P271" s="13" t="s">
        <v>60</v>
      </c>
      <c r="Q271">
        <v>1196.1600000000001</v>
      </c>
      <c r="R271" s="3" t="s">
        <v>25</v>
      </c>
      <c r="S271" s="7">
        <f>Ventas[[#This Row],[Costo Material (€)]]/Ventas[[#This Row],[Beneficio (€)]]</f>
        <v>2.4748695826645264</v>
      </c>
      <c r="T271" s="3" t="str">
        <f>IF(Ventas[[#This Row],[Margen (%)]]&gt;20%,"Beneficio","Perdidas")</f>
        <v>Beneficio</v>
      </c>
    </row>
    <row r="272" spans="1:20" x14ac:dyDescent="0.25">
      <c r="A272" s="12">
        <v>45113</v>
      </c>
      <c r="B272" s="1" t="s">
        <v>51</v>
      </c>
      <c r="C272" s="1" t="s">
        <v>52</v>
      </c>
      <c r="D272" s="1" t="s">
        <v>49</v>
      </c>
      <c r="E272" s="1" t="s">
        <v>50</v>
      </c>
      <c r="F272">
        <v>858</v>
      </c>
      <c r="G272">
        <v>7.13</v>
      </c>
      <c r="H272">
        <v>6117.54</v>
      </c>
      <c r="I272" s="1" t="s">
        <v>54</v>
      </c>
      <c r="J272" s="1" t="s">
        <v>47</v>
      </c>
      <c r="K272" s="1" t="s">
        <v>28</v>
      </c>
      <c r="L272">
        <v>4922.62</v>
      </c>
      <c r="M272">
        <v>19.5</v>
      </c>
      <c r="N272">
        <v>2023</v>
      </c>
      <c r="O272">
        <f t="shared" si="4"/>
        <v>3</v>
      </c>
      <c r="P272" s="13" t="s">
        <v>65</v>
      </c>
      <c r="Q272">
        <v>1194.92</v>
      </c>
      <c r="R272" s="3" t="s">
        <v>29</v>
      </c>
      <c r="S272" s="7">
        <f>Ventas[[#This Row],[Costo Material (€)]]/Ventas[[#This Row],[Beneficio (€)]]</f>
        <v>4.1196230710005688</v>
      </c>
      <c r="T272" s="3" t="str">
        <f>IF(Ventas[[#This Row],[Margen (%)]]&gt;20%,"Beneficio","Perdidas")</f>
        <v>Beneficio</v>
      </c>
    </row>
    <row r="273" spans="1:20" x14ac:dyDescent="0.25">
      <c r="A273" s="12">
        <v>44964</v>
      </c>
      <c r="B273" s="1" t="s">
        <v>35</v>
      </c>
      <c r="C273" s="1" t="s">
        <v>36</v>
      </c>
      <c r="D273" s="1" t="s">
        <v>45</v>
      </c>
      <c r="E273" s="1" t="s">
        <v>20</v>
      </c>
      <c r="F273">
        <v>451</v>
      </c>
      <c r="G273">
        <v>7.5</v>
      </c>
      <c r="H273">
        <v>3382.5</v>
      </c>
      <c r="I273" s="1" t="s">
        <v>46</v>
      </c>
      <c r="J273" s="1" t="s">
        <v>34</v>
      </c>
      <c r="K273" s="1" t="s">
        <v>28</v>
      </c>
      <c r="L273">
        <v>2189.08</v>
      </c>
      <c r="M273">
        <v>35.299999999999997</v>
      </c>
      <c r="N273">
        <v>2023</v>
      </c>
      <c r="O273">
        <f t="shared" si="4"/>
        <v>1</v>
      </c>
      <c r="P273" s="13" t="s">
        <v>60</v>
      </c>
      <c r="Q273">
        <v>1193.42</v>
      </c>
      <c r="R273" s="3" t="s">
        <v>25</v>
      </c>
      <c r="S273" s="7">
        <f>Ventas[[#This Row],[Costo Material (€)]]/Ventas[[#This Row],[Beneficio (€)]]</f>
        <v>1.8342913643143233</v>
      </c>
      <c r="T273" s="3" t="str">
        <f>IF(Ventas[[#This Row],[Margen (%)]]&gt;20%,"Beneficio","Perdidas")</f>
        <v>Beneficio</v>
      </c>
    </row>
    <row r="274" spans="1:20" x14ac:dyDescent="0.25">
      <c r="A274" s="12">
        <v>45082</v>
      </c>
      <c r="B274" s="1" t="s">
        <v>42</v>
      </c>
      <c r="C274" s="1" t="s">
        <v>43</v>
      </c>
      <c r="D274" s="1" t="s">
        <v>32</v>
      </c>
      <c r="E274" s="1" t="s">
        <v>20</v>
      </c>
      <c r="F274">
        <v>767</v>
      </c>
      <c r="G274">
        <v>10.59</v>
      </c>
      <c r="H274">
        <v>8122.53</v>
      </c>
      <c r="I274" s="1" t="s">
        <v>54</v>
      </c>
      <c r="J274" s="1" t="s">
        <v>47</v>
      </c>
      <c r="K274" s="1" t="s">
        <v>28</v>
      </c>
      <c r="L274">
        <v>6934.04</v>
      </c>
      <c r="M274">
        <v>14.6</v>
      </c>
      <c r="N274">
        <v>2023</v>
      </c>
      <c r="O274">
        <f t="shared" si="4"/>
        <v>2</v>
      </c>
      <c r="P274" s="13" t="s">
        <v>64</v>
      </c>
      <c r="Q274">
        <v>1188.49</v>
      </c>
      <c r="R274" s="3" t="s">
        <v>29</v>
      </c>
      <c r="S274" s="7">
        <f>Ventas[[#This Row],[Costo Material (€)]]/Ventas[[#This Row],[Beneficio (€)]]</f>
        <v>5.8343275921547511</v>
      </c>
      <c r="T274" s="3" t="str">
        <f>IF(Ventas[[#This Row],[Margen (%)]]&gt;20%,"Beneficio","Perdidas")</f>
        <v>Beneficio</v>
      </c>
    </row>
    <row r="275" spans="1:20" x14ac:dyDescent="0.25">
      <c r="A275" s="12">
        <v>45009</v>
      </c>
      <c r="B275" s="1" t="s">
        <v>30</v>
      </c>
      <c r="C275" s="1" t="s">
        <v>31</v>
      </c>
      <c r="D275" s="1" t="s">
        <v>44</v>
      </c>
      <c r="E275" s="1" t="s">
        <v>38</v>
      </c>
      <c r="F275">
        <v>707</v>
      </c>
      <c r="G275">
        <v>6.86</v>
      </c>
      <c r="H275">
        <v>4850.0200000000004</v>
      </c>
      <c r="I275" s="1" t="s">
        <v>21</v>
      </c>
      <c r="J275" s="1" t="s">
        <v>27</v>
      </c>
      <c r="K275" s="1" t="s">
        <v>41</v>
      </c>
      <c r="L275">
        <v>3665.32</v>
      </c>
      <c r="M275">
        <v>24.4</v>
      </c>
      <c r="N275">
        <v>2023</v>
      </c>
      <c r="O275">
        <f t="shared" si="4"/>
        <v>1</v>
      </c>
      <c r="P275" s="13" t="s">
        <v>61</v>
      </c>
      <c r="Q275">
        <v>1184.7</v>
      </c>
      <c r="R275" s="3" t="s">
        <v>29</v>
      </c>
      <c r="S275" s="7">
        <f>Ventas[[#This Row],[Costo Material (€)]]/Ventas[[#This Row],[Beneficio (€)]]</f>
        <v>3.0938803072507808</v>
      </c>
      <c r="T275" s="3" t="str">
        <f>IF(Ventas[[#This Row],[Margen (%)]]&gt;20%,"Beneficio","Perdidas")</f>
        <v>Beneficio</v>
      </c>
    </row>
    <row r="276" spans="1:20" x14ac:dyDescent="0.25">
      <c r="A276" s="12">
        <v>45111</v>
      </c>
      <c r="B276" s="1" t="s">
        <v>30</v>
      </c>
      <c r="C276" s="1" t="s">
        <v>31</v>
      </c>
      <c r="D276" s="1" t="s">
        <v>44</v>
      </c>
      <c r="E276" s="1" t="s">
        <v>38</v>
      </c>
      <c r="F276">
        <v>884</v>
      </c>
      <c r="G276">
        <v>3.73</v>
      </c>
      <c r="H276">
        <v>3297.32</v>
      </c>
      <c r="I276" s="1" t="s">
        <v>57</v>
      </c>
      <c r="J276" s="1" t="s">
        <v>47</v>
      </c>
      <c r="K276" s="1" t="s">
        <v>41</v>
      </c>
      <c r="L276">
        <v>2118.37</v>
      </c>
      <c r="M276">
        <v>35.799999999999997</v>
      </c>
      <c r="N276">
        <v>2023</v>
      </c>
      <c r="O276">
        <f t="shared" si="4"/>
        <v>3</v>
      </c>
      <c r="P276" s="13" t="s">
        <v>65</v>
      </c>
      <c r="Q276">
        <v>1178.95</v>
      </c>
      <c r="R276" s="3" t="s">
        <v>25</v>
      </c>
      <c r="S276" s="7">
        <f>Ventas[[#This Row],[Costo Material (€)]]/Ventas[[#This Row],[Beneficio (€)]]</f>
        <v>1.7968276856524872</v>
      </c>
      <c r="T276" s="3" t="str">
        <f>IF(Ventas[[#This Row],[Margen (%)]]&gt;20%,"Beneficio","Perdidas")</f>
        <v>Beneficio</v>
      </c>
    </row>
    <row r="277" spans="1:20" x14ac:dyDescent="0.25">
      <c r="A277" s="12">
        <v>45303</v>
      </c>
      <c r="B277" s="1" t="s">
        <v>30</v>
      </c>
      <c r="C277" s="1" t="s">
        <v>31</v>
      </c>
      <c r="D277" s="1" t="s">
        <v>19</v>
      </c>
      <c r="E277" s="1" t="s">
        <v>20</v>
      </c>
      <c r="F277">
        <v>882</v>
      </c>
      <c r="G277">
        <v>8.84</v>
      </c>
      <c r="H277">
        <v>7796.88</v>
      </c>
      <c r="I277" s="1" t="s">
        <v>57</v>
      </c>
      <c r="J277" s="1" t="s">
        <v>40</v>
      </c>
      <c r="K277" s="1" t="s">
        <v>23</v>
      </c>
      <c r="L277">
        <v>6628.89</v>
      </c>
      <c r="M277">
        <v>15</v>
      </c>
      <c r="N277">
        <v>2024</v>
      </c>
      <c r="O277">
        <f t="shared" si="4"/>
        <v>1</v>
      </c>
      <c r="P277" s="13" t="s">
        <v>24</v>
      </c>
      <c r="Q277">
        <v>1167.99</v>
      </c>
      <c r="R277" s="3" t="s">
        <v>29</v>
      </c>
      <c r="S277" s="7">
        <f>Ventas[[#This Row],[Costo Material (€)]]/Ventas[[#This Row],[Beneficio (€)]]</f>
        <v>5.6754681118845198</v>
      </c>
      <c r="T277" s="3" t="str">
        <f>IF(Ventas[[#This Row],[Margen (%)]]&gt;20%,"Beneficio","Perdidas")</f>
        <v>Beneficio</v>
      </c>
    </row>
    <row r="278" spans="1:20" x14ac:dyDescent="0.25">
      <c r="A278" s="12">
        <v>45520</v>
      </c>
      <c r="B278" s="1" t="s">
        <v>51</v>
      </c>
      <c r="C278" s="1" t="s">
        <v>52</v>
      </c>
      <c r="D278" s="1" t="s">
        <v>44</v>
      </c>
      <c r="E278" s="1" t="s">
        <v>38</v>
      </c>
      <c r="F278">
        <v>642</v>
      </c>
      <c r="G278">
        <v>8.1999999999999993</v>
      </c>
      <c r="H278">
        <v>5264.4</v>
      </c>
      <c r="I278" s="1" t="s">
        <v>21</v>
      </c>
      <c r="J278" s="1" t="s">
        <v>56</v>
      </c>
      <c r="K278" s="1" t="s">
        <v>28</v>
      </c>
      <c r="L278">
        <v>4101.49</v>
      </c>
      <c r="M278">
        <v>22.1</v>
      </c>
      <c r="N278">
        <v>2024</v>
      </c>
      <c r="O278">
        <f t="shared" si="4"/>
        <v>3</v>
      </c>
      <c r="P278" s="13" t="s">
        <v>66</v>
      </c>
      <c r="Q278">
        <v>1162.9100000000001</v>
      </c>
      <c r="R278" s="3" t="s">
        <v>29</v>
      </c>
      <c r="S278" s="7">
        <f>Ventas[[#This Row],[Costo Material (€)]]/Ventas[[#This Row],[Beneficio (€)]]</f>
        <v>3.5269195380553953</v>
      </c>
      <c r="T278" s="3" t="str">
        <f>IF(Ventas[[#This Row],[Margen (%)]]&gt;20%,"Beneficio","Perdidas")</f>
        <v>Beneficio</v>
      </c>
    </row>
    <row r="279" spans="1:20" x14ac:dyDescent="0.25">
      <c r="A279" s="12">
        <v>45028</v>
      </c>
      <c r="B279" s="1" t="s">
        <v>58</v>
      </c>
      <c r="C279" s="1" t="s">
        <v>59</v>
      </c>
      <c r="D279" s="1" t="s">
        <v>48</v>
      </c>
      <c r="E279" s="1" t="s">
        <v>38</v>
      </c>
      <c r="F279">
        <v>418</v>
      </c>
      <c r="G279">
        <v>9.83</v>
      </c>
      <c r="H279">
        <v>4108.9399999999996</v>
      </c>
      <c r="I279" s="1" t="s">
        <v>39</v>
      </c>
      <c r="J279" s="1" t="s">
        <v>47</v>
      </c>
      <c r="K279" s="1" t="s">
        <v>23</v>
      </c>
      <c r="L279">
        <v>2946.17</v>
      </c>
      <c r="M279">
        <v>28.3</v>
      </c>
      <c r="N279">
        <v>2023</v>
      </c>
      <c r="O279">
        <f t="shared" si="4"/>
        <v>2</v>
      </c>
      <c r="P279" s="13" t="s">
        <v>62</v>
      </c>
      <c r="Q279">
        <v>1162.77</v>
      </c>
      <c r="R279" s="3" t="s">
        <v>25</v>
      </c>
      <c r="S279" s="7">
        <f>Ventas[[#This Row],[Costo Material (€)]]/Ventas[[#This Row],[Beneficio (€)]]</f>
        <v>2.533751300773154</v>
      </c>
      <c r="T279" s="3" t="str">
        <f>IF(Ventas[[#This Row],[Margen (%)]]&gt;20%,"Beneficio","Perdidas")</f>
        <v>Beneficio</v>
      </c>
    </row>
    <row r="280" spans="1:20" x14ac:dyDescent="0.25">
      <c r="A280" s="12">
        <v>44964</v>
      </c>
      <c r="B280" s="1" t="s">
        <v>51</v>
      </c>
      <c r="C280" s="1" t="s">
        <v>52</v>
      </c>
      <c r="D280" s="1" t="s">
        <v>19</v>
      </c>
      <c r="E280" s="1" t="s">
        <v>20</v>
      </c>
      <c r="F280">
        <v>807</v>
      </c>
      <c r="G280">
        <v>6.57</v>
      </c>
      <c r="H280">
        <v>5301.99</v>
      </c>
      <c r="I280" s="1" t="s">
        <v>39</v>
      </c>
      <c r="J280" s="1" t="s">
        <v>56</v>
      </c>
      <c r="K280" s="1" t="s">
        <v>41</v>
      </c>
      <c r="L280">
        <v>4142.8100000000004</v>
      </c>
      <c r="M280">
        <v>21.9</v>
      </c>
      <c r="N280">
        <v>2023</v>
      </c>
      <c r="O280">
        <f t="shared" si="4"/>
        <v>1</v>
      </c>
      <c r="P280" s="13" t="s">
        <v>60</v>
      </c>
      <c r="Q280">
        <v>1159.18</v>
      </c>
      <c r="R280" s="3" t="s">
        <v>29</v>
      </c>
      <c r="S280" s="7">
        <f>Ventas[[#This Row],[Costo Material (€)]]/Ventas[[#This Row],[Beneficio (€)]]</f>
        <v>3.5739143187425597</v>
      </c>
      <c r="T280" s="3" t="str">
        <f>IF(Ventas[[#This Row],[Margen (%)]]&gt;20%,"Beneficio","Perdidas")</f>
        <v>Beneficio</v>
      </c>
    </row>
    <row r="281" spans="1:20" x14ac:dyDescent="0.25">
      <c r="A281" s="12">
        <v>44965</v>
      </c>
      <c r="B281" s="1" t="s">
        <v>51</v>
      </c>
      <c r="C281" s="1" t="s">
        <v>52</v>
      </c>
      <c r="D281" s="1" t="s">
        <v>44</v>
      </c>
      <c r="E281" s="1" t="s">
        <v>38</v>
      </c>
      <c r="F281">
        <v>733</v>
      </c>
      <c r="G281">
        <v>6</v>
      </c>
      <c r="H281">
        <v>4398</v>
      </c>
      <c r="I281" s="1" t="s">
        <v>21</v>
      </c>
      <c r="J281" s="1" t="s">
        <v>22</v>
      </c>
      <c r="K281" s="1" t="s">
        <v>28</v>
      </c>
      <c r="L281">
        <v>3241.26</v>
      </c>
      <c r="M281">
        <v>26.3</v>
      </c>
      <c r="N281">
        <v>2023</v>
      </c>
      <c r="O281">
        <f t="shared" si="4"/>
        <v>1</v>
      </c>
      <c r="P281" s="13" t="s">
        <v>60</v>
      </c>
      <c r="Q281">
        <v>1156.74</v>
      </c>
      <c r="R281" s="3" t="s">
        <v>25</v>
      </c>
      <c r="S281" s="7">
        <f>Ventas[[#This Row],[Costo Material (€)]]/Ventas[[#This Row],[Beneficio (€)]]</f>
        <v>2.8020644224285496</v>
      </c>
      <c r="T281" s="3" t="str">
        <f>IF(Ventas[[#This Row],[Margen (%)]]&gt;20%,"Beneficio","Perdidas")</f>
        <v>Beneficio</v>
      </c>
    </row>
    <row r="282" spans="1:20" x14ac:dyDescent="0.25">
      <c r="A282" s="12">
        <v>45147</v>
      </c>
      <c r="B282" s="1" t="s">
        <v>30</v>
      </c>
      <c r="C282" s="1" t="s">
        <v>31</v>
      </c>
      <c r="D282" s="1" t="s">
        <v>53</v>
      </c>
      <c r="E282" s="1" t="s">
        <v>50</v>
      </c>
      <c r="F282">
        <v>330</v>
      </c>
      <c r="G282">
        <v>10.99</v>
      </c>
      <c r="H282">
        <v>3626.7</v>
      </c>
      <c r="I282" s="1" t="s">
        <v>26</v>
      </c>
      <c r="J282" s="1" t="s">
        <v>27</v>
      </c>
      <c r="K282" s="1" t="s">
        <v>41</v>
      </c>
      <c r="L282">
        <v>2472.34</v>
      </c>
      <c r="M282">
        <v>31.8</v>
      </c>
      <c r="N282">
        <v>2023</v>
      </c>
      <c r="O282">
        <f t="shared" si="4"/>
        <v>3</v>
      </c>
      <c r="P282" s="13" t="s">
        <v>66</v>
      </c>
      <c r="Q282">
        <v>1154.3599999999999</v>
      </c>
      <c r="R282" s="3" t="s">
        <v>25</v>
      </c>
      <c r="S282" s="7">
        <f>Ventas[[#This Row],[Costo Material (€)]]/Ventas[[#This Row],[Beneficio (€)]]</f>
        <v>2.1417408780623033</v>
      </c>
      <c r="T282" s="3" t="str">
        <f>IF(Ventas[[#This Row],[Margen (%)]]&gt;20%,"Beneficio","Perdidas")</f>
        <v>Beneficio</v>
      </c>
    </row>
    <row r="283" spans="1:20" x14ac:dyDescent="0.25">
      <c r="A283" s="12">
        <v>45165</v>
      </c>
      <c r="B283" s="1" t="s">
        <v>30</v>
      </c>
      <c r="C283" s="1" t="s">
        <v>31</v>
      </c>
      <c r="D283" s="1" t="s">
        <v>32</v>
      </c>
      <c r="E283" s="1" t="s">
        <v>20</v>
      </c>
      <c r="F283">
        <v>297</v>
      </c>
      <c r="G283">
        <v>10.76</v>
      </c>
      <c r="H283">
        <v>3195.72</v>
      </c>
      <c r="I283" s="1" t="s">
        <v>39</v>
      </c>
      <c r="J283" s="1" t="s">
        <v>27</v>
      </c>
      <c r="K283" s="1" t="s">
        <v>23</v>
      </c>
      <c r="L283">
        <v>2041.88</v>
      </c>
      <c r="M283">
        <v>36.1</v>
      </c>
      <c r="N283">
        <v>2023</v>
      </c>
      <c r="O283">
        <f t="shared" si="4"/>
        <v>3</v>
      </c>
      <c r="P283" s="13" t="s">
        <v>66</v>
      </c>
      <c r="Q283">
        <v>1153.8399999999999</v>
      </c>
      <c r="R283" s="3" t="s">
        <v>25</v>
      </c>
      <c r="S283" s="7">
        <f>Ventas[[#This Row],[Costo Material (€)]]/Ventas[[#This Row],[Beneficio (€)]]</f>
        <v>1.7696387714067812</v>
      </c>
      <c r="T283" s="3" t="str">
        <f>IF(Ventas[[#This Row],[Margen (%)]]&gt;20%,"Beneficio","Perdidas")</f>
        <v>Beneficio</v>
      </c>
    </row>
    <row r="284" spans="1:20" x14ac:dyDescent="0.25">
      <c r="A284" s="12">
        <v>45073</v>
      </c>
      <c r="B284" s="1" t="s">
        <v>35</v>
      </c>
      <c r="C284" s="1" t="s">
        <v>36</v>
      </c>
      <c r="D284" s="1" t="s">
        <v>32</v>
      </c>
      <c r="E284" s="1" t="s">
        <v>20</v>
      </c>
      <c r="F284">
        <v>774</v>
      </c>
      <c r="G284">
        <v>9.16</v>
      </c>
      <c r="H284">
        <v>7089.84</v>
      </c>
      <c r="I284" s="1" t="s">
        <v>26</v>
      </c>
      <c r="J284" s="1" t="s">
        <v>56</v>
      </c>
      <c r="K284" s="1" t="s">
        <v>41</v>
      </c>
      <c r="L284">
        <v>5940.22</v>
      </c>
      <c r="M284">
        <v>16.2</v>
      </c>
      <c r="N284">
        <v>2023</v>
      </c>
      <c r="O284">
        <f t="shared" si="4"/>
        <v>2</v>
      </c>
      <c r="P284" s="13" t="s">
        <v>63</v>
      </c>
      <c r="Q284">
        <v>1149.6199999999999</v>
      </c>
      <c r="R284" s="3" t="s">
        <v>29</v>
      </c>
      <c r="S284" s="7">
        <f>Ventas[[#This Row],[Costo Material (€)]]/Ventas[[#This Row],[Beneficio (€)]]</f>
        <v>5.1671160905342646</v>
      </c>
      <c r="T284" s="3" t="str">
        <f>IF(Ventas[[#This Row],[Margen (%)]]&gt;20%,"Beneficio","Perdidas")</f>
        <v>Beneficio</v>
      </c>
    </row>
    <row r="285" spans="1:20" x14ac:dyDescent="0.25">
      <c r="A285" s="12">
        <v>45163</v>
      </c>
      <c r="B285" s="1" t="s">
        <v>58</v>
      </c>
      <c r="C285" s="1" t="s">
        <v>59</v>
      </c>
      <c r="D285" s="1" t="s">
        <v>32</v>
      </c>
      <c r="E285" s="1" t="s">
        <v>20</v>
      </c>
      <c r="F285">
        <v>658</v>
      </c>
      <c r="G285">
        <v>7.12</v>
      </c>
      <c r="H285">
        <v>4684.96</v>
      </c>
      <c r="I285" s="1" t="s">
        <v>57</v>
      </c>
      <c r="J285" s="1" t="s">
        <v>34</v>
      </c>
      <c r="K285" s="1" t="s">
        <v>41</v>
      </c>
      <c r="L285">
        <v>3542.12</v>
      </c>
      <c r="M285">
        <v>24.4</v>
      </c>
      <c r="N285">
        <v>2023</v>
      </c>
      <c r="O285">
        <f t="shared" si="4"/>
        <v>3</v>
      </c>
      <c r="P285" s="13" t="s">
        <v>66</v>
      </c>
      <c r="Q285">
        <v>1142.8399999999999</v>
      </c>
      <c r="R285" s="3" t="s">
        <v>29</v>
      </c>
      <c r="S285" s="7">
        <f>Ventas[[#This Row],[Costo Material (€)]]/Ventas[[#This Row],[Beneficio (€)]]</f>
        <v>3.0994014910223653</v>
      </c>
      <c r="T285" s="3" t="str">
        <f>IF(Ventas[[#This Row],[Margen (%)]]&gt;20%,"Beneficio","Perdidas")</f>
        <v>Beneficio</v>
      </c>
    </row>
    <row r="286" spans="1:20" x14ac:dyDescent="0.25">
      <c r="A286" s="12">
        <v>44945</v>
      </c>
      <c r="B286" s="1" t="s">
        <v>51</v>
      </c>
      <c r="C286" s="1" t="s">
        <v>52</v>
      </c>
      <c r="D286" s="1" t="s">
        <v>49</v>
      </c>
      <c r="E286" s="1" t="s">
        <v>50</v>
      </c>
      <c r="F286">
        <v>710</v>
      </c>
      <c r="G286">
        <v>4.34</v>
      </c>
      <c r="H286">
        <v>3081.4</v>
      </c>
      <c r="I286" s="1" t="s">
        <v>55</v>
      </c>
      <c r="J286" s="1" t="s">
        <v>56</v>
      </c>
      <c r="K286" s="1" t="s">
        <v>41</v>
      </c>
      <c r="L286">
        <v>1939.2</v>
      </c>
      <c r="M286">
        <v>37.1</v>
      </c>
      <c r="N286">
        <v>2023</v>
      </c>
      <c r="O286">
        <f t="shared" si="4"/>
        <v>1</v>
      </c>
      <c r="P286" s="13" t="s">
        <v>24</v>
      </c>
      <c r="Q286">
        <v>1142.2</v>
      </c>
      <c r="R286" s="3" t="s">
        <v>25</v>
      </c>
      <c r="S286" s="7">
        <f>Ventas[[#This Row],[Costo Material (€)]]/Ventas[[#This Row],[Beneficio (€)]]</f>
        <v>1.6977762213272631</v>
      </c>
      <c r="T286" s="3" t="str">
        <f>IF(Ventas[[#This Row],[Margen (%)]]&gt;20%,"Beneficio","Perdidas")</f>
        <v>Beneficio</v>
      </c>
    </row>
    <row r="287" spans="1:20" x14ac:dyDescent="0.25">
      <c r="A287" s="12">
        <v>45430</v>
      </c>
      <c r="B287" s="1" t="s">
        <v>51</v>
      </c>
      <c r="C287" s="1" t="s">
        <v>52</v>
      </c>
      <c r="D287" s="1" t="s">
        <v>19</v>
      </c>
      <c r="E287" s="1" t="s">
        <v>20</v>
      </c>
      <c r="F287">
        <v>645</v>
      </c>
      <c r="G287">
        <v>6.17</v>
      </c>
      <c r="H287">
        <v>3979.65</v>
      </c>
      <c r="I287" s="1" t="s">
        <v>26</v>
      </c>
      <c r="J287" s="1" t="s">
        <v>34</v>
      </c>
      <c r="K287" s="1" t="s">
        <v>23</v>
      </c>
      <c r="L287">
        <v>2839.94</v>
      </c>
      <c r="M287">
        <v>28.6</v>
      </c>
      <c r="N287">
        <v>2024</v>
      </c>
      <c r="O287">
        <f t="shared" si="4"/>
        <v>2</v>
      </c>
      <c r="P287" s="13" t="s">
        <v>63</v>
      </c>
      <c r="Q287">
        <v>1139.71</v>
      </c>
      <c r="R287" s="3" t="s">
        <v>25</v>
      </c>
      <c r="S287" s="7">
        <f>Ventas[[#This Row],[Costo Material (€)]]/Ventas[[#This Row],[Beneficio (€)]]</f>
        <v>2.4918093199147151</v>
      </c>
      <c r="T287" s="3" t="str">
        <f>IF(Ventas[[#This Row],[Margen (%)]]&gt;20%,"Beneficio","Perdidas")</f>
        <v>Beneficio</v>
      </c>
    </row>
    <row r="288" spans="1:20" x14ac:dyDescent="0.25">
      <c r="A288" s="12">
        <v>45045</v>
      </c>
      <c r="B288" s="1" t="s">
        <v>35</v>
      </c>
      <c r="C288" s="1" t="s">
        <v>36</v>
      </c>
      <c r="D288" s="1" t="s">
        <v>53</v>
      </c>
      <c r="E288" s="1" t="s">
        <v>50</v>
      </c>
      <c r="F288">
        <v>533</v>
      </c>
      <c r="G288">
        <v>11.13</v>
      </c>
      <c r="H288">
        <v>5932.29</v>
      </c>
      <c r="I288" s="1" t="s">
        <v>33</v>
      </c>
      <c r="J288" s="1" t="s">
        <v>34</v>
      </c>
      <c r="K288" s="1" t="s">
        <v>23</v>
      </c>
      <c r="L288">
        <v>4793.7700000000004</v>
      </c>
      <c r="M288">
        <v>19.2</v>
      </c>
      <c r="N288">
        <v>2023</v>
      </c>
      <c r="O288">
        <f t="shared" si="4"/>
        <v>2</v>
      </c>
      <c r="P288" s="13" t="s">
        <v>62</v>
      </c>
      <c r="Q288">
        <v>1138.52</v>
      </c>
      <c r="R288" s="3" t="s">
        <v>29</v>
      </c>
      <c r="S288" s="7">
        <f>Ventas[[#This Row],[Costo Material (€)]]/Ventas[[#This Row],[Beneficio (€)]]</f>
        <v>4.2105277026314871</v>
      </c>
      <c r="T288" s="3" t="str">
        <f>IF(Ventas[[#This Row],[Margen (%)]]&gt;20%,"Beneficio","Perdidas")</f>
        <v>Beneficio</v>
      </c>
    </row>
    <row r="289" spans="1:20" x14ac:dyDescent="0.25">
      <c r="A289" s="12">
        <v>44945</v>
      </c>
      <c r="B289" s="1" t="s">
        <v>30</v>
      </c>
      <c r="C289" s="1" t="s">
        <v>31</v>
      </c>
      <c r="D289" s="1" t="s">
        <v>44</v>
      </c>
      <c r="E289" s="1" t="s">
        <v>38</v>
      </c>
      <c r="F289">
        <v>903</v>
      </c>
      <c r="G289">
        <v>3.65</v>
      </c>
      <c r="H289">
        <v>3295.95</v>
      </c>
      <c r="I289" s="1" t="s">
        <v>39</v>
      </c>
      <c r="J289" s="1" t="s">
        <v>56</v>
      </c>
      <c r="K289" s="1" t="s">
        <v>41</v>
      </c>
      <c r="L289">
        <v>2162.9699999999998</v>
      </c>
      <c r="M289">
        <v>34.4</v>
      </c>
      <c r="N289">
        <v>2023</v>
      </c>
      <c r="O289">
        <f t="shared" si="4"/>
        <v>1</v>
      </c>
      <c r="P289" s="13" t="s">
        <v>24</v>
      </c>
      <c r="Q289">
        <v>1132.98</v>
      </c>
      <c r="R289" s="3" t="s">
        <v>25</v>
      </c>
      <c r="S289" s="7">
        <f>Ventas[[#This Row],[Costo Material (€)]]/Ventas[[#This Row],[Beneficio (€)]]</f>
        <v>1.9090981305936554</v>
      </c>
      <c r="T289" s="3" t="str">
        <f>IF(Ventas[[#This Row],[Margen (%)]]&gt;20%,"Beneficio","Perdidas")</f>
        <v>Beneficio</v>
      </c>
    </row>
    <row r="290" spans="1:20" x14ac:dyDescent="0.25">
      <c r="A290" s="12">
        <v>45037</v>
      </c>
      <c r="B290" s="1" t="s">
        <v>35</v>
      </c>
      <c r="C290" s="1" t="s">
        <v>36</v>
      </c>
      <c r="D290" s="1" t="s">
        <v>32</v>
      </c>
      <c r="E290" s="1" t="s">
        <v>20</v>
      </c>
      <c r="F290">
        <v>629</v>
      </c>
      <c r="G290">
        <v>4.55</v>
      </c>
      <c r="H290">
        <v>2861.95</v>
      </c>
      <c r="I290" s="1" t="s">
        <v>54</v>
      </c>
      <c r="J290" s="1" t="s">
        <v>40</v>
      </c>
      <c r="K290" s="1" t="s">
        <v>41</v>
      </c>
      <c r="L290">
        <v>1729.48</v>
      </c>
      <c r="M290">
        <v>39.6</v>
      </c>
      <c r="N290">
        <v>2023</v>
      </c>
      <c r="O290">
        <f t="shared" si="4"/>
        <v>2</v>
      </c>
      <c r="P290" s="13" t="s">
        <v>62</v>
      </c>
      <c r="Q290">
        <v>1132.47</v>
      </c>
      <c r="R290" s="3" t="s">
        <v>25</v>
      </c>
      <c r="S290" s="7">
        <f>Ventas[[#This Row],[Costo Material (€)]]/Ventas[[#This Row],[Beneficio (€)]]</f>
        <v>1.5271751128065203</v>
      </c>
      <c r="T290" s="3" t="str">
        <f>IF(Ventas[[#This Row],[Margen (%)]]&gt;20%,"Beneficio","Perdidas")</f>
        <v>Beneficio</v>
      </c>
    </row>
    <row r="291" spans="1:20" x14ac:dyDescent="0.25">
      <c r="A291" s="12">
        <v>44933</v>
      </c>
      <c r="B291" s="1" t="s">
        <v>35</v>
      </c>
      <c r="C291" s="1" t="s">
        <v>36</v>
      </c>
      <c r="D291" s="1" t="s">
        <v>19</v>
      </c>
      <c r="E291" s="1" t="s">
        <v>20</v>
      </c>
      <c r="F291">
        <v>413</v>
      </c>
      <c r="G291">
        <v>8.34</v>
      </c>
      <c r="H291">
        <v>3444.42</v>
      </c>
      <c r="I291" s="1" t="s">
        <v>55</v>
      </c>
      <c r="J291" s="1" t="s">
        <v>27</v>
      </c>
      <c r="K291" s="1" t="s">
        <v>23</v>
      </c>
      <c r="L291">
        <v>2318.25</v>
      </c>
      <c r="M291">
        <v>32.700000000000003</v>
      </c>
      <c r="N291">
        <v>2023</v>
      </c>
      <c r="O291">
        <f t="shared" si="4"/>
        <v>1</v>
      </c>
      <c r="P291" s="13" t="s">
        <v>24</v>
      </c>
      <c r="Q291">
        <v>1126.17</v>
      </c>
      <c r="R291" s="3" t="s">
        <v>25</v>
      </c>
      <c r="S291" s="7">
        <f>Ventas[[#This Row],[Costo Material (€)]]/Ventas[[#This Row],[Beneficio (€)]]</f>
        <v>2.0585257998348383</v>
      </c>
      <c r="T291" s="3" t="str">
        <f>IF(Ventas[[#This Row],[Margen (%)]]&gt;20%,"Beneficio","Perdidas")</f>
        <v>Beneficio</v>
      </c>
    </row>
    <row r="292" spans="1:20" x14ac:dyDescent="0.25">
      <c r="A292" s="12">
        <v>45782</v>
      </c>
      <c r="B292" s="1" t="s">
        <v>17</v>
      </c>
      <c r="C292" s="1" t="s">
        <v>18</v>
      </c>
      <c r="D292" s="1" t="s">
        <v>32</v>
      </c>
      <c r="E292" s="1" t="s">
        <v>20</v>
      </c>
      <c r="F292">
        <v>699</v>
      </c>
      <c r="G292">
        <v>7.62</v>
      </c>
      <c r="H292">
        <v>5326.38</v>
      </c>
      <c r="I292" s="1" t="s">
        <v>57</v>
      </c>
      <c r="J292" s="1" t="s">
        <v>27</v>
      </c>
      <c r="K292" s="1" t="s">
        <v>41</v>
      </c>
      <c r="L292">
        <v>4203.4399999999996</v>
      </c>
      <c r="M292">
        <v>21.1</v>
      </c>
      <c r="N292">
        <v>2025</v>
      </c>
      <c r="O292">
        <f t="shared" si="4"/>
        <v>2</v>
      </c>
      <c r="P292" s="13" t="s">
        <v>63</v>
      </c>
      <c r="Q292">
        <v>1122.94</v>
      </c>
      <c r="R292" s="3" t="s">
        <v>29</v>
      </c>
      <c r="S292" s="7">
        <f>Ventas[[#This Row],[Costo Material (€)]]/Ventas[[#This Row],[Beneficio (€)]]</f>
        <v>3.743245409371827</v>
      </c>
      <c r="T292" s="3" t="str">
        <f>IF(Ventas[[#This Row],[Margen (%)]]&gt;20%,"Beneficio","Perdidas")</f>
        <v>Beneficio</v>
      </c>
    </row>
    <row r="293" spans="1:20" x14ac:dyDescent="0.25">
      <c r="A293" s="12">
        <v>44936</v>
      </c>
      <c r="B293" s="1" t="s">
        <v>30</v>
      </c>
      <c r="C293" s="1" t="s">
        <v>31</v>
      </c>
      <c r="D293" s="1" t="s">
        <v>32</v>
      </c>
      <c r="E293" s="1" t="s">
        <v>20</v>
      </c>
      <c r="F293">
        <v>818</v>
      </c>
      <c r="G293">
        <v>3.71</v>
      </c>
      <c r="H293">
        <v>3034.78</v>
      </c>
      <c r="I293" s="1" t="s">
        <v>39</v>
      </c>
      <c r="J293" s="1" t="s">
        <v>22</v>
      </c>
      <c r="K293" s="1" t="s">
        <v>41</v>
      </c>
      <c r="L293">
        <v>1912.3</v>
      </c>
      <c r="M293">
        <v>37</v>
      </c>
      <c r="N293">
        <v>2023</v>
      </c>
      <c r="O293">
        <f t="shared" si="4"/>
        <v>1</v>
      </c>
      <c r="P293" s="13" t="s">
        <v>24</v>
      </c>
      <c r="Q293">
        <v>1122.48</v>
      </c>
      <c r="R293" s="3" t="s">
        <v>25</v>
      </c>
      <c r="S293" s="7">
        <f>Ventas[[#This Row],[Costo Material (€)]]/Ventas[[#This Row],[Beneficio (€)]]</f>
        <v>1.7036383721758961</v>
      </c>
      <c r="T293" s="3" t="str">
        <f>IF(Ventas[[#This Row],[Margen (%)]]&gt;20%,"Beneficio","Perdidas")</f>
        <v>Beneficio</v>
      </c>
    </row>
    <row r="294" spans="1:20" x14ac:dyDescent="0.25">
      <c r="A294" s="12">
        <v>44949</v>
      </c>
      <c r="B294" s="1" t="s">
        <v>17</v>
      </c>
      <c r="C294" s="1" t="s">
        <v>18</v>
      </c>
      <c r="D294" s="1" t="s">
        <v>32</v>
      </c>
      <c r="E294" s="1" t="s">
        <v>20</v>
      </c>
      <c r="F294">
        <v>706</v>
      </c>
      <c r="G294">
        <v>6.12</v>
      </c>
      <c r="H294">
        <v>4320.72</v>
      </c>
      <c r="I294" s="1" t="s">
        <v>57</v>
      </c>
      <c r="J294" s="1" t="s">
        <v>27</v>
      </c>
      <c r="K294" s="1" t="s">
        <v>23</v>
      </c>
      <c r="L294">
        <v>3199.04</v>
      </c>
      <c r="M294">
        <v>26</v>
      </c>
      <c r="N294">
        <v>2023</v>
      </c>
      <c r="O294">
        <f t="shared" si="4"/>
        <v>1</v>
      </c>
      <c r="P294" s="13" t="s">
        <v>24</v>
      </c>
      <c r="Q294">
        <v>1121.68</v>
      </c>
      <c r="R294" s="3" t="s">
        <v>25</v>
      </c>
      <c r="S294" s="7">
        <f>Ventas[[#This Row],[Costo Material (€)]]/Ventas[[#This Row],[Beneficio (€)]]</f>
        <v>2.8520077027316169</v>
      </c>
      <c r="T294" s="3" t="str">
        <f>IF(Ventas[[#This Row],[Margen (%)]]&gt;20%,"Beneficio","Perdidas")</f>
        <v>Beneficio</v>
      </c>
    </row>
    <row r="295" spans="1:20" x14ac:dyDescent="0.25">
      <c r="A295" s="12">
        <v>44990</v>
      </c>
      <c r="B295" s="1" t="s">
        <v>30</v>
      </c>
      <c r="C295" s="1" t="s">
        <v>31</v>
      </c>
      <c r="D295" s="1" t="s">
        <v>32</v>
      </c>
      <c r="E295" s="1" t="s">
        <v>20</v>
      </c>
      <c r="F295">
        <v>536</v>
      </c>
      <c r="G295">
        <v>11.08</v>
      </c>
      <c r="H295">
        <v>5938.88</v>
      </c>
      <c r="I295" s="1" t="s">
        <v>46</v>
      </c>
      <c r="J295" s="1" t="s">
        <v>40</v>
      </c>
      <c r="K295" s="1" t="s">
        <v>41</v>
      </c>
      <c r="L295">
        <v>4819.95</v>
      </c>
      <c r="M295">
        <v>18.8</v>
      </c>
      <c r="N295">
        <v>2023</v>
      </c>
      <c r="O295">
        <f t="shared" si="4"/>
        <v>1</v>
      </c>
      <c r="P295" s="13" t="s">
        <v>61</v>
      </c>
      <c r="Q295">
        <v>1118.93</v>
      </c>
      <c r="R295" s="3" t="s">
        <v>29</v>
      </c>
      <c r="S295" s="7">
        <f>Ventas[[#This Row],[Costo Material (€)]]/Ventas[[#This Row],[Beneficio (€)]]</f>
        <v>4.3076421223847783</v>
      </c>
      <c r="T295" s="3" t="str">
        <f>IF(Ventas[[#This Row],[Margen (%)]]&gt;20%,"Beneficio","Perdidas")</f>
        <v>Beneficio</v>
      </c>
    </row>
    <row r="296" spans="1:20" x14ac:dyDescent="0.25">
      <c r="A296" s="12">
        <v>44997</v>
      </c>
      <c r="B296" s="1" t="s">
        <v>17</v>
      </c>
      <c r="C296" s="1" t="s">
        <v>18</v>
      </c>
      <c r="D296" s="1" t="s">
        <v>45</v>
      </c>
      <c r="E296" s="1" t="s">
        <v>20</v>
      </c>
      <c r="F296">
        <v>570</v>
      </c>
      <c r="G296">
        <v>6.98</v>
      </c>
      <c r="H296">
        <v>3978.6</v>
      </c>
      <c r="I296" s="1" t="s">
        <v>57</v>
      </c>
      <c r="J296" s="1" t="s">
        <v>56</v>
      </c>
      <c r="K296" s="1" t="s">
        <v>28</v>
      </c>
      <c r="L296">
        <v>2864.01</v>
      </c>
      <c r="M296">
        <v>28</v>
      </c>
      <c r="N296">
        <v>2023</v>
      </c>
      <c r="O296">
        <f t="shared" si="4"/>
        <v>1</v>
      </c>
      <c r="P296" s="13" t="s">
        <v>61</v>
      </c>
      <c r="Q296">
        <v>1114.5899999999999</v>
      </c>
      <c r="R296" s="3" t="s">
        <v>25</v>
      </c>
      <c r="S296" s="7">
        <f>Ventas[[#This Row],[Costo Material (€)]]/Ventas[[#This Row],[Beneficio (€)]]</f>
        <v>2.5695636960676125</v>
      </c>
      <c r="T296" s="3" t="str">
        <f>IF(Ventas[[#This Row],[Margen (%)]]&gt;20%,"Beneficio","Perdidas")</f>
        <v>Beneficio</v>
      </c>
    </row>
    <row r="297" spans="1:20" x14ac:dyDescent="0.25">
      <c r="A297" s="12">
        <v>45125</v>
      </c>
      <c r="B297" s="1" t="s">
        <v>30</v>
      </c>
      <c r="C297" s="1" t="s">
        <v>31</v>
      </c>
      <c r="D297" s="1" t="s">
        <v>19</v>
      </c>
      <c r="E297" s="1" t="s">
        <v>20</v>
      </c>
      <c r="F297">
        <v>675</v>
      </c>
      <c r="G297">
        <v>6.34</v>
      </c>
      <c r="H297">
        <v>4279.5</v>
      </c>
      <c r="I297" s="1" t="s">
        <v>46</v>
      </c>
      <c r="J297" s="1" t="s">
        <v>56</v>
      </c>
      <c r="K297" s="1" t="s">
        <v>28</v>
      </c>
      <c r="L297">
        <v>3167.16</v>
      </c>
      <c r="M297">
        <v>26</v>
      </c>
      <c r="N297">
        <v>2023</v>
      </c>
      <c r="O297">
        <f t="shared" si="4"/>
        <v>3</v>
      </c>
      <c r="P297" s="13" t="s">
        <v>65</v>
      </c>
      <c r="Q297">
        <v>1112.3399999999999</v>
      </c>
      <c r="R297" s="3" t="s">
        <v>25</v>
      </c>
      <c r="S297" s="7">
        <f>Ventas[[#This Row],[Costo Material (€)]]/Ventas[[#This Row],[Beneficio (€)]]</f>
        <v>2.8472948918496144</v>
      </c>
      <c r="T297" s="3" t="str">
        <f>IF(Ventas[[#This Row],[Margen (%)]]&gt;20%,"Beneficio","Perdidas")</f>
        <v>Beneficio</v>
      </c>
    </row>
    <row r="298" spans="1:20" x14ac:dyDescent="0.25">
      <c r="A298" s="12">
        <v>44970</v>
      </c>
      <c r="B298" s="1" t="s">
        <v>51</v>
      </c>
      <c r="C298" s="1" t="s">
        <v>52</v>
      </c>
      <c r="D298" s="1" t="s">
        <v>44</v>
      </c>
      <c r="E298" s="1" t="s">
        <v>38</v>
      </c>
      <c r="F298">
        <v>769</v>
      </c>
      <c r="G298">
        <v>4.45</v>
      </c>
      <c r="H298">
        <v>3422.05</v>
      </c>
      <c r="I298" s="1" t="s">
        <v>46</v>
      </c>
      <c r="J298" s="1" t="s">
        <v>27</v>
      </c>
      <c r="K298" s="1" t="s">
        <v>41</v>
      </c>
      <c r="L298">
        <v>2310.54</v>
      </c>
      <c r="M298">
        <v>32.5</v>
      </c>
      <c r="N298">
        <v>2023</v>
      </c>
      <c r="O298">
        <f t="shared" si="4"/>
        <v>1</v>
      </c>
      <c r="P298" s="13" t="s">
        <v>60</v>
      </c>
      <c r="Q298">
        <v>1111.51</v>
      </c>
      <c r="R298" s="3" t="s">
        <v>25</v>
      </c>
      <c r="S298" s="7">
        <f>Ventas[[#This Row],[Costo Material (€)]]/Ventas[[#This Row],[Beneficio (€)]]</f>
        <v>2.0787397324360555</v>
      </c>
      <c r="T298" s="3" t="str">
        <f>IF(Ventas[[#This Row],[Margen (%)]]&gt;20%,"Beneficio","Perdidas")</f>
        <v>Beneficio</v>
      </c>
    </row>
    <row r="299" spans="1:20" x14ac:dyDescent="0.25">
      <c r="A299" s="12">
        <v>45305</v>
      </c>
      <c r="B299" s="1" t="s">
        <v>17</v>
      </c>
      <c r="C299" s="1" t="s">
        <v>18</v>
      </c>
      <c r="D299" s="1" t="s">
        <v>48</v>
      </c>
      <c r="E299" s="1" t="s">
        <v>38</v>
      </c>
      <c r="F299">
        <v>442</v>
      </c>
      <c r="G299">
        <v>11.26</v>
      </c>
      <c r="H299">
        <v>4976.92</v>
      </c>
      <c r="I299" s="1" t="s">
        <v>46</v>
      </c>
      <c r="J299" s="1" t="s">
        <v>22</v>
      </c>
      <c r="K299" s="1" t="s">
        <v>28</v>
      </c>
      <c r="L299">
        <v>3866.2</v>
      </c>
      <c r="M299">
        <v>22.3</v>
      </c>
      <c r="N299">
        <v>2024</v>
      </c>
      <c r="O299">
        <f t="shared" si="4"/>
        <v>1</v>
      </c>
      <c r="P299" s="13" t="s">
        <v>24</v>
      </c>
      <c r="Q299">
        <v>1110.72</v>
      </c>
      <c r="R299" s="3" t="s">
        <v>29</v>
      </c>
      <c r="S299" s="7">
        <f>Ventas[[#This Row],[Costo Material (€)]]/Ventas[[#This Row],[Beneficio (€)]]</f>
        <v>3.4808052434456926</v>
      </c>
      <c r="T299" s="3" t="str">
        <f>IF(Ventas[[#This Row],[Margen (%)]]&gt;20%,"Beneficio","Perdidas")</f>
        <v>Beneficio</v>
      </c>
    </row>
    <row r="300" spans="1:20" x14ac:dyDescent="0.25">
      <c r="A300" s="12">
        <v>45178</v>
      </c>
      <c r="B300" s="1" t="s">
        <v>35</v>
      </c>
      <c r="C300" s="1" t="s">
        <v>36</v>
      </c>
      <c r="D300" s="1" t="s">
        <v>37</v>
      </c>
      <c r="E300" s="1" t="s">
        <v>38</v>
      </c>
      <c r="F300">
        <v>603</v>
      </c>
      <c r="G300">
        <v>5.22</v>
      </c>
      <c r="H300">
        <v>3147.66</v>
      </c>
      <c r="I300" s="1" t="s">
        <v>26</v>
      </c>
      <c r="J300" s="1" t="s">
        <v>27</v>
      </c>
      <c r="K300" s="1" t="s">
        <v>23</v>
      </c>
      <c r="L300">
        <v>2037.19</v>
      </c>
      <c r="M300">
        <v>35.299999999999997</v>
      </c>
      <c r="N300">
        <v>2023</v>
      </c>
      <c r="O300">
        <f t="shared" si="4"/>
        <v>3</v>
      </c>
      <c r="P300" s="13" t="s">
        <v>67</v>
      </c>
      <c r="Q300">
        <v>1110.47</v>
      </c>
      <c r="R300" s="3" t="s">
        <v>25</v>
      </c>
      <c r="S300" s="7">
        <f>Ventas[[#This Row],[Costo Material (€)]]/Ventas[[#This Row],[Beneficio (€)]]</f>
        <v>1.8345295235350798</v>
      </c>
      <c r="T300" s="3" t="str">
        <f>IF(Ventas[[#This Row],[Margen (%)]]&gt;20%,"Beneficio","Perdidas")</f>
        <v>Beneficio</v>
      </c>
    </row>
    <row r="301" spans="1:20" x14ac:dyDescent="0.25">
      <c r="A301" s="12">
        <v>45027</v>
      </c>
      <c r="B301" s="1" t="s">
        <v>30</v>
      </c>
      <c r="C301" s="1" t="s">
        <v>31</v>
      </c>
      <c r="D301" s="1" t="s">
        <v>32</v>
      </c>
      <c r="E301" s="1" t="s">
        <v>20</v>
      </c>
      <c r="F301">
        <v>756</v>
      </c>
      <c r="G301">
        <v>5.85</v>
      </c>
      <c r="H301">
        <v>4422.6000000000004</v>
      </c>
      <c r="I301" s="1" t="s">
        <v>33</v>
      </c>
      <c r="J301" s="1" t="s">
        <v>56</v>
      </c>
      <c r="K301" s="1" t="s">
        <v>41</v>
      </c>
      <c r="L301">
        <v>3318.82</v>
      </c>
      <c r="M301">
        <v>25</v>
      </c>
      <c r="N301">
        <v>2023</v>
      </c>
      <c r="O301">
        <f t="shared" si="4"/>
        <v>2</v>
      </c>
      <c r="P301" s="13" t="s">
        <v>62</v>
      </c>
      <c r="Q301">
        <v>1103.78</v>
      </c>
      <c r="R301" s="3" t="s">
        <v>29</v>
      </c>
      <c r="S301" s="7">
        <f>Ventas[[#This Row],[Costo Material (€)]]/Ventas[[#This Row],[Beneficio (€)]]</f>
        <v>3.0067767127507294</v>
      </c>
      <c r="T301" s="3" t="str">
        <f>IF(Ventas[[#This Row],[Margen (%)]]&gt;20%,"Beneficio","Perdidas")</f>
        <v>Beneficio</v>
      </c>
    </row>
    <row r="302" spans="1:20" x14ac:dyDescent="0.25">
      <c r="A302" s="12">
        <v>45114</v>
      </c>
      <c r="B302" s="1" t="s">
        <v>42</v>
      </c>
      <c r="C302" s="1" t="s">
        <v>43</v>
      </c>
      <c r="D302" s="1" t="s">
        <v>48</v>
      </c>
      <c r="E302" s="1" t="s">
        <v>38</v>
      </c>
      <c r="F302">
        <v>402</v>
      </c>
      <c r="G302">
        <v>7.43</v>
      </c>
      <c r="H302">
        <v>2986.86</v>
      </c>
      <c r="I302" s="1" t="s">
        <v>55</v>
      </c>
      <c r="J302" s="1" t="s">
        <v>56</v>
      </c>
      <c r="K302" s="1" t="s">
        <v>23</v>
      </c>
      <c r="L302">
        <v>1889.58</v>
      </c>
      <c r="M302">
        <v>36.700000000000003</v>
      </c>
      <c r="N302">
        <v>2023</v>
      </c>
      <c r="O302">
        <f t="shared" si="4"/>
        <v>3</v>
      </c>
      <c r="P302" s="13" t="s">
        <v>65</v>
      </c>
      <c r="Q302">
        <v>1097.28</v>
      </c>
      <c r="R302" s="3" t="s">
        <v>25</v>
      </c>
      <c r="S302" s="7">
        <f>Ventas[[#This Row],[Costo Material (€)]]/Ventas[[#This Row],[Beneficio (€)]]</f>
        <v>1.7220581802274715</v>
      </c>
      <c r="T302" s="3" t="str">
        <f>IF(Ventas[[#This Row],[Margen (%)]]&gt;20%,"Beneficio","Perdidas")</f>
        <v>Beneficio</v>
      </c>
    </row>
    <row r="303" spans="1:20" x14ac:dyDescent="0.25">
      <c r="A303" s="12">
        <v>45377</v>
      </c>
      <c r="B303" s="1" t="s">
        <v>35</v>
      </c>
      <c r="C303" s="1" t="s">
        <v>36</v>
      </c>
      <c r="D303" s="1" t="s">
        <v>32</v>
      </c>
      <c r="E303" s="1" t="s">
        <v>20</v>
      </c>
      <c r="F303">
        <v>742</v>
      </c>
      <c r="G303">
        <v>8.36</v>
      </c>
      <c r="H303">
        <v>6203.12</v>
      </c>
      <c r="I303" s="1" t="s">
        <v>39</v>
      </c>
      <c r="J303" s="1" t="s">
        <v>56</v>
      </c>
      <c r="K303" s="1" t="s">
        <v>28</v>
      </c>
      <c r="L303">
        <v>5105.8500000000004</v>
      </c>
      <c r="M303">
        <v>17.7</v>
      </c>
      <c r="N303">
        <v>2024</v>
      </c>
      <c r="O303">
        <f t="shared" si="4"/>
        <v>1</v>
      </c>
      <c r="P303" s="13" t="s">
        <v>61</v>
      </c>
      <c r="Q303">
        <v>1097.27</v>
      </c>
      <c r="R303" s="3" t="s">
        <v>29</v>
      </c>
      <c r="S303" s="7">
        <f>Ventas[[#This Row],[Costo Material (€)]]/Ventas[[#This Row],[Beneficio (€)]]</f>
        <v>4.6532302897190307</v>
      </c>
      <c r="T303" s="3" t="str">
        <f>IF(Ventas[[#This Row],[Margen (%)]]&gt;20%,"Beneficio","Perdidas")</f>
        <v>Beneficio</v>
      </c>
    </row>
    <row r="304" spans="1:20" x14ac:dyDescent="0.25">
      <c r="A304" s="12">
        <v>45353</v>
      </c>
      <c r="B304" s="1" t="s">
        <v>58</v>
      </c>
      <c r="C304" s="1" t="s">
        <v>59</v>
      </c>
      <c r="D304" s="1" t="s">
        <v>45</v>
      </c>
      <c r="E304" s="1" t="s">
        <v>20</v>
      </c>
      <c r="F304">
        <v>616</v>
      </c>
      <c r="G304">
        <v>5.52</v>
      </c>
      <c r="H304">
        <v>3400.32</v>
      </c>
      <c r="I304" s="1" t="s">
        <v>33</v>
      </c>
      <c r="J304" s="1" t="s">
        <v>34</v>
      </c>
      <c r="K304" s="1" t="s">
        <v>28</v>
      </c>
      <c r="L304">
        <v>2304.5100000000002</v>
      </c>
      <c r="M304">
        <v>32.200000000000003</v>
      </c>
      <c r="N304">
        <v>2024</v>
      </c>
      <c r="O304">
        <f t="shared" si="4"/>
        <v>1</v>
      </c>
      <c r="P304" s="13" t="s">
        <v>61</v>
      </c>
      <c r="Q304">
        <v>1095.81</v>
      </c>
      <c r="R304" s="3" t="s">
        <v>25</v>
      </c>
      <c r="S304" s="7">
        <f>Ventas[[#This Row],[Costo Material (€)]]/Ventas[[#This Row],[Beneficio (€)]]</f>
        <v>2.1030196840693187</v>
      </c>
      <c r="T304" s="3" t="str">
        <f>IF(Ventas[[#This Row],[Margen (%)]]&gt;20%,"Beneficio","Perdidas")</f>
        <v>Beneficio</v>
      </c>
    </row>
    <row r="305" spans="1:20" x14ac:dyDescent="0.25">
      <c r="A305" s="12">
        <v>45713</v>
      </c>
      <c r="B305" s="1" t="s">
        <v>42</v>
      </c>
      <c r="C305" s="1" t="s">
        <v>43</v>
      </c>
      <c r="D305" s="1" t="s">
        <v>48</v>
      </c>
      <c r="E305" s="1" t="s">
        <v>38</v>
      </c>
      <c r="F305">
        <v>754</v>
      </c>
      <c r="G305">
        <v>4.24</v>
      </c>
      <c r="H305">
        <v>3196.96</v>
      </c>
      <c r="I305" s="1" t="s">
        <v>33</v>
      </c>
      <c r="J305" s="1" t="s">
        <v>22</v>
      </c>
      <c r="K305" s="1" t="s">
        <v>23</v>
      </c>
      <c r="L305">
        <v>2106.9299999999998</v>
      </c>
      <c r="M305">
        <v>34.1</v>
      </c>
      <c r="N305">
        <v>2025</v>
      </c>
      <c r="O305">
        <f t="shared" si="4"/>
        <v>1</v>
      </c>
      <c r="P305" s="13" t="s">
        <v>60</v>
      </c>
      <c r="Q305">
        <v>1090.03</v>
      </c>
      <c r="R305" s="3" t="s">
        <v>25</v>
      </c>
      <c r="S305" s="7">
        <f>Ventas[[#This Row],[Costo Material (€)]]/Ventas[[#This Row],[Beneficio (€)]]</f>
        <v>1.9329101033916496</v>
      </c>
      <c r="T305" s="3" t="str">
        <f>IF(Ventas[[#This Row],[Margen (%)]]&gt;20%,"Beneficio","Perdidas")</f>
        <v>Beneficio</v>
      </c>
    </row>
    <row r="306" spans="1:20" x14ac:dyDescent="0.25">
      <c r="A306" s="12">
        <v>45013</v>
      </c>
      <c r="B306" s="1" t="s">
        <v>17</v>
      </c>
      <c r="C306" s="1" t="s">
        <v>18</v>
      </c>
      <c r="D306" s="1" t="s">
        <v>19</v>
      </c>
      <c r="E306" s="1" t="s">
        <v>20</v>
      </c>
      <c r="F306">
        <v>731</v>
      </c>
      <c r="G306">
        <v>11.05</v>
      </c>
      <c r="H306">
        <v>8077.55</v>
      </c>
      <c r="I306" s="1" t="s">
        <v>55</v>
      </c>
      <c r="J306" s="1" t="s">
        <v>27</v>
      </c>
      <c r="K306" s="1" t="s">
        <v>23</v>
      </c>
      <c r="L306">
        <v>6987.53</v>
      </c>
      <c r="M306">
        <v>13.5</v>
      </c>
      <c r="N306">
        <v>2023</v>
      </c>
      <c r="O306">
        <f t="shared" si="4"/>
        <v>1</v>
      </c>
      <c r="P306" s="13" t="s">
        <v>61</v>
      </c>
      <c r="Q306">
        <v>1090.02</v>
      </c>
      <c r="R306" s="3" t="s">
        <v>29</v>
      </c>
      <c r="S306" s="7">
        <f>Ventas[[#This Row],[Costo Material (€)]]/Ventas[[#This Row],[Beneficio (€)]]</f>
        <v>6.4104603585255315</v>
      </c>
      <c r="T306" s="3" t="str">
        <f>IF(Ventas[[#This Row],[Margen (%)]]&gt;20%,"Beneficio","Perdidas")</f>
        <v>Beneficio</v>
      </c>
    </row>
    <row r="307" spans="1:20" x14ac:dyDescent="0.25">
      <c r="A307" s="12">
        <v>45094</v>
      </c>
      <c r="B307" s="1" t="s">
        <v>58</v>
      </c>
      <c r="C307" s="1" t="s">
        <v>59</v>
      </c>
      <c r="D307" s="1" t="s">
        <v>44</v>
      </c>
      <c r="E307" s="1" t="s">
        <v>38</v>
      </c>
      <c r="F307">
        <v>406</v>
      </c>
      <c r="G307">
        <v>11.72</v>
      </c>
      <c r="H307">
        <v>4758.32</v>
      </c>
      <c r="I307" s="1" t="s">
        <v>46</v>
      </c>
      <c r="J307" s="1" t="s">
        <v>40</v>
      </c>
      <c r="K307" s="1" t="s">
        <v>41</v>
      </c>
      <c r="L307">
        <v>3674.17</v>
      </c>
      <c r="M307">
        <v>22.8</v>
      </c>
      <c r="N307">
        <v>2023</v>
      </c>
      <c r="O307">
        <f t="shared" si="4"/>
        <v>2</v>
      </c>
      <c r="P307" s="13" t="s">
        <v>64</v>
      </c>
      <c r="Q307">
        <v>1084.1500000000001</v>
      </c>
      <c r="R307" s="3" t="s">
        <v>29</v>
      </c>
      <c r="S307" s="7">
        <f>Ventas[[#This Row],[Costo Material (€)]]/Ventas[[#This Row],[Beneficio (€)]]</f>
        <v>3.3889867638241937</v>
      </c>
      <c r="T307" s="3" t="str">
        <f>IF(Ventas[[#This Row],[Margen (%)]]&gt;20%,"Beneficio","Perdidas")</f>
        <v>Beneficio</v>
      </c>
    </row>
    <row r="308" spans="1:20" x14ac:dyDescent="0.25">
      <c r="A308" s="12">
        <v>45100</v>
      </c>
      <c r="B308" s="1" t="s">
        <v>42</v>
      </c>
      <c r="C308" s="1" t="s">
        <v>43</v>
      </c>
      <c r="D308" s="1" t="s">
        <v>19</v>
      </c>
      <c r="E308" s="1" t="s">
        <v>20</v>
      </c>
      <c r="F308">
        <v>585</v>
      </c>
      <c r="G308">
        <v>7.41</v>
      </c>
      <c r="H308">
        <v>4334.8500000000004</v>
      </c>
      <c r="I308" s="1" t="s">
        <v>26</v>
      </c>
      <c r="J308" s="1" t="s">
        <v>34</v>
      </c>
      <c r="K308" s="1" t="s">
        <v>41</v>
      </c>
      <c r="L308">
        <v>3254.21</v>
      </c>
      <c r="M308">
        <v>24.9</v>
      </c>
      <c r="N308">
        <v>2023</v>
      </c>
      <c r="O308">
        <f t="shared" si="4"/>
        <v>2</v>
      </c>
      <c r="P308" s="13" t="s">
        <v>64</v>
      </c>
      <c r="Q308">
        <v>1080.6400000000001</v>
      </c>
      <c r="R308" s="3" t="s">
        <v>29</v>
      </c>
      <c r="S308" s="7">
        <f>Ventas[[#This Row],[Costo Material (€)]]/Ventas[[#This Row],[Beneficio (€)]]</f>
        <v>3.0113728901391768</v>
      </c>
      <c r="T308" s="3" t="str">
        <f>IF(Ventas[[#This Row],[Margen (%)]]&gt;20%,"Beneficio","Perdidas")</f>
        <v>Beneficio</v>
      </c>
    </row>
    <row r="309" spans="1:20" x14ac:dyDescent="0.25">
      <c r="A309" s="12">
        <v>45211</v>
      </c>
      <c r="B309" s="1" t="s">
        <v>51</v>
      </c>
      <c r="C309" s="1" t="s">
        <v>52</v>
      </c>
      <c r="D309" s="1" t="s">
        <v>19</v>
      </c>
      <c r="E309" s="1" t="s">
        <v>20</v>
      </c>
      <c r="F309">
        <v>661</v>
      </c>
      <c r="G309">
        <v>10.19</v>
      </c>
      <c r="H309">
        <v>6735.59</v>
      </c>
      <c r="I309" s="1" t="s">
        <v>39</v>
      </c>
      <c r="J309" s="1" t="s">
        <v>34</v>
      </c>
      <c r="K309" s="1" t="s">
        <v>28</v>
      </c>
      <c r="L309">
        <v>5659.92</v>
      </c>
      <c r="M309">
        <v>16</v>
      </c>
      <c r="N309">
        <v>2023</v>
      </c>
      <c r="O309">
        <f t="shared" si="4"/>
        <v>4</v>
      </c>
      <c r="P309" s="13" t="s">
        <v>68</v>
      </c>
      <c r="Q309">
        <v>1075.67</v>
      </c>
      <c r="R309" s="3" t="s">
        <v>29</v>
      </c>
      <c r="S309" s="7">
        <f>Ventas[[#This Row],[Costo Material (€)]]/Ventas[[#This Row],[Beneficio (€)]]</f>
        <v>5.2617624364349656</v>
      </c>
      <c r="T309" s="3" t="str">
        <f>IF(Ventas[[#This Row],[Margen (%)]]&gt;20%,"Beneficio","Perdidas")</f>
        <v>Beneficio</v>
      </c>
    </row>
    <row r="310" spans="1:20" x14ac:dyDescent="0.25">
      <c r="A310" s="12">
        <v>45182</v>
      </c>
      <c r="B310" s="1" t="s">
        <v>51</v>
      </c>
      <c r="C310" s="1" t="s">
        <v>52</v>
      </c>
      <c r="D310" s="1" t="s">
        <v>49</v>
      </c>
      <c r="E310" s="1" t="s">
        <v>50</v>
      </c>
      <c r="F310">
        <v>891</v>
      </c>
      <c r="G310">
        <v>9.77</v>
      </c>
      <c r="H310">
        <v>8705.07</v>
      </c>
      <c r="I310" s="1" t="s">
        <v>54</v>
      </c>
      <c r="J310" s="1" t="s">
        <v>22</v>
      </c>
      <c r="K310" s="1" t="s">
        <v>28</v>
      </c>
      <c r="L310">
        <v>7633.56</v>
      </c>
      <c r="M310">
        <v>12.3</v>
      </c>
      <c r="N310">
        <v>2023</v>
      </c>
      <c r="O310">
        <f t="shared" si="4"/>
        <v>3</v>
      </c>
      <c r="P310" s="13" t="s">
        <v>67</v>
      </c>
      <c r="Q310">
        <v>1071.51</v>
      </c>
      <c r="R310" s="3" t="s">
        <v>29</v>
      </c>
      <c r="S310" s="7">
        <f>Ventas[[#This Row],[Costo Material (€)]]/Ventas[[#This Row],[Beneficio (€)]]</f>
        <v>7.1241145672928861</v>
      </c>
      <c r="T310" s="3" t="str">
        <f>IF(Ventas[[#This Row],[Margen (%)]]&gt;20%,"Beneficio","Perdidas")</f>
        <v>Beneficio</v>
      </c>
    </row>
    <row r="311" spans="1:20" x14ac:dyDescent="0.25">
      <c r="A311" s="12">
        <v>45037</v>
      </c>
      <c r="B311" s="1" t="s">
        <v>58</v>
      </c>
      <c r="C311" s="1" t="s">
        <v>59</v>
      </c>
      <c r="D311" s="1" t="s">
        <v>49</v>
      </c>
      <c r="E311" s="1" t="s">
        <v>50</v>
      </c>
      <c r="F311">
        <v>477</v>
      </c>
      <c r="G311">
        <v>5.77</v>
      </c>
      <c r="H311">
        <v>2752.29</v>
      </c>
      <c r="I311" s="1" t="s">
        <v>57</v>
      </c>
      <c r="J311" s="1" t="s">
        <v>27</v>
      </c>
      <c r="K311" s="1" t="s">
        <v>41</v>
      </c>
      <c r="L311">
        <v>1680.8</v>
      </c>
      <c r="M311">
        <v>38.9</v>
      </c>
      <c r="N311">
        <v>2023</v>
      </c>
      <c r="O311">
        <f t="shared" si="4"/>
        <v>2</v>
      </c>
      <c r="P311" s="13" t="s">
        <v>62</v>
      </c>
      <c r="Q311">
        <v>1071.49</v>
      </c>
      <c r="R311" s="3" t="s">
        <v>25</v>
      </c>
      <c r="S311" s="7">
        <f>Ventas[[#This Row],[Costo Material (€)]]/Ventas[[#This Row],[Beneficio (€)]]</f>
        <v>1.5686567303474601</v>
      </c>
      <c r="T311" s="3" t="str">
        <f>IF(Ventas[[#This Row],[Margen (%)]]&gt;20%,"Beneficio","Perdidas")</f>
        <v>Beneficio</v>
      </c>
    </row>
    <row r="312" spans="1:20" x14ac:dyDescent="0.25">
      <c r="A312" s="12">
        <v>45004</v>
      </c>
      <c r="B312" s="1" t="s">
        <v>58</v>
      </c>
      <c r="C312" s="1" t="s">
        <v>59</v>
      </c>
      <c r="D312" s="1" t="s">
        <v>32</v>
      </c>
      <c r="E312" s="1" t="s">
        <v>20</v>
      </c>
      <c r="F312">
        <v>448</v>
      </c>
      <c r="G312">
        <v>6.81</v>
      </c>
      <c r="H312">
        <v>3050.88</v>
      </c>
      <c r="I312" s="1" t="s">
        <v>33</v>
      </c>
      <c r="J312" s="1" t="s">
        <v>56</v>
      </c>
      <c r="K312" s="1" t="s">
        <v>23</v>
      </c>
      <c r="L312">
        <v>1982.63</v>
      </c>
      <c r="M312">
        <v>35</v>
      </c>
      <c r="N312">
        <v>2023</v>
      </c>
      <c r="O312">
        <f t="shared" si="4"/>
        <v>1</v>
      </c>
      <c r="P312" s="13" t="s">
        <v>61</v>
      </c>
      <c r="Q312">
        <v>1068.25</v>
      </c>
      <c r="R312" s="3" t="s">
        <v>25</v>
      </c>
      <c r="S312" s="7">
        <f>Ventas[[#This Row],[Costo Material (€)]]/Ventas[[#This Row],[Beneficio (€)]]</f>
        <v>1.8559606833606366</v>
      </c>
      <c r="T312" s="3" t="str">
        <f>IF(Ventas[[#This Row],[Margen (%)]]&gt;20%,"Beneficio","Perdidas")</f>
        <v>Beneficio</v>
      </c>
    </row>
    <row r="313" spans="1:20" x14ac:dyDescent="0.25">
      <c r="A313" s="12">
        <v>45504</v>
      </c>
      <c r="B313" s="1" t="s">
        <v>17</v>
      </c>
      <c r="C313" s="1" t="s">
        <v>18</v>
      </c>
      <c r="D313" s="1" t="s">
        <v>32</v>
      </c>
      <c r="E313" s="1" t="s">
        <v>20</v>
      </c>
      <c r="F313">
        <v>833</v>
      </c>
      <c r="G313">
        <v>5.44</v>
      </c>
      <c r="H313">
        <v>4531.5200000000004</v>
      </c>
      <c r="I313" s="1" t="s">
        <v>33</v>
      </c>
      <c r="J313" s="1" t="s">
        <v>56</v>
      </c>
      <c r="K313" s="1" t="s">
        <v>41</v>
      </c>
      <c r="L313">
        <v>3464.01</v>
      </c>
      <c r="M313">
        <v>23.6</v>
      </c>
      <c r="N313">
        <v>2024</v>
      </c>
      <c r="O313">
        <f t="shared" si="4"/>
        <v>3</v>
      </c>
      <c r="P313" s="13" t="s">
        <v>65</v>
      </c>
      <c r="Q313">
        <v>1067.51</v>
      </c>
      <c r="R313" s="3" t="s">
        <v>29</v>
      </c>
      <c r="S313" s="7">
        <f>Ventas[[#This Row],[Costo Material (€)]]/Ventas[[#This Row],[Beneficio (€)]]</f>
        <v>3.2449438412754916</v>
      </c>
      <c r="T313" s="3" t="str">
        <f>IF(Ventas[[#This Row],[Margen (%)]]&gt;20%,"Beneficio","Perdidas")</f>
        <v>Beneficio</v>
      </c>
    </row>
    <row r="314" spans="1:20" x14ac:dyDescent="0.25">
      <c r="A314" s="12">
        <v>45026</v>
      </c>
      <c r="B314" s="1" t="s">
        <v>58</v>
      </c>
      <c r="C314" s="1" t="s">
        <v>59</v>
      </c>
      <c r="D314" s="1" t="s">
        <v>37</v>
      </c>
      <c r="E314" s="1" t="s">
        <v>38</v>
      </c>
      <c r="F314">
        <v>588</v>
      </c>
      <c r="G314">
        <v>10.24</v>
      </c>
      <c r="H314">
        <v>6021.12</v>
      </c>
      <c r="I314" s="1" t="s">
        <v>21</v>
      </c>
      <c r="J314" s="1" t="s">
        <v>27</v>
      </c>
      <c r="K314" s="1" t="s">
        <v>28</v>
      </c>
      <c r="L314">
        <v>4956.1499999999996</v>
      </c>
      <c r="M314">
        <v>17.7</v>
      </c>
      <c r="N314">
        <v>2023</v>
      </c>
      <c r="O314">
        <f t="shared" si="4"/>
        <v>2</v>
      </c>
      <c r="P314" s="13" t="s">
        <v>62</v>
      </c>
      <c r="Q314">
        <v>1064.97</v>
      </c>
      <c r="R314" s="3" t="s">
        <v>29</v>
      </c>
      <c r="S314" s="7">
        <f>Ventas[[#This Row],[Costo Material (€)]]/Ventas[[#This Row],[Beneficio (€)]]</f>
        <v>4.6537930645933683</v>
      </c>
      <c r="T314" s="3" t="str">
        <f>IF(Ventas[[#This Row],[Margen (%)]]&gt;20%,"Beneficio","Perdidas")</f>
        <v>Beneficio</v>
      </c>
    </row>
    <row r="315" spans="1:20" x14ac:dyDescent="0.25">
      <c r="A315" s="12">
        <v>44960</v>
      </c>
      <c r="B315" s="1" t="s">
        <v>35</v>
      </c>
      <c r="C315" s="1" t="s">
        <v>36</v>
      </c>
      <c r="D315" s="1" t="s">
        <v>37</v>
      </c>
      <c r="E315" s="1" t="s">
        <v>38</v>
      </c>
      <c r="F315">
        <v>848</v>
      </c>
      <c r="G315">
        <v>11.73</v>
      </c>
      <c r="H315">
        <v>9947.0400000000009</v>
      </c>
      <c r="I315" s="1" t="s">
        <v>54</v>
      </c>
      <c r="J315" s="1" t="s">
        <v>27</v>
      </c>
      <c r="K315" s="1" t="s">
        <v>41</v>
      </c>
      <c r="L315">
        <v>8883.86</v>
      </c>
      <c r="M315">
        <v>10.7</v>
      </c>
      <c r="N315">
        <v>2023</v>
      </c>
      <c r="O315">
        <f t="shared" si="4"/>
        <v>1</v>
      </c>
      <c r="P315" s="13" t="s">
        <v>60</v>
      </c>
      <c r="Q315">
        <v>1063.18</v>
      </c>
      <c r="R315" s="3" t="s">
        <v>29</v>
      </c>
      <c r="S315" s="7">
        <f>Ventas[[#This Row],[Costo Material (€)]]/Ventas[[#This Row],[Beneficio (€)]]</f>
        <v>8.3559322033898304</v>
      </c>
      <c r="T315" s="3" t="str">
        <f>IF(Ventas[[#This Row],[Margen (%)]]&gt;20%,"Beneficio","Perdidas")</f>
        <v>Beneficio</v>
      </c>
    </row>
    <row r="316" spans="1:20" x14ac:dyDescent="0.25">
      <c r="A316" s="12">
        <v>44985</v>
      </c>
      <c r="B316" s="1" t="s">
        <v>35</v>
      </c>
      <c r="C316" s="1" t="s">
        <v>36</v>
      </c>
      <c r="D316" s="1" t="s">
        <v>45</v>
      </c>
      <c r="E316" s="1" t="s">
        <v>20</v>
      </c>
      <c r="F316">
        <v>465</v>
      </c>
      <c r="G316">
        <v>9.57</v>
      </c>
      <c r="H316">
        <v>4450.05</v>
      </c>
      <c r="I316" s="1" t="s">
        <v>54</v>
      </c>
      <c r="J316" s="1" t="s">
        <v>56</v>
      </c>
      <c r="K316" s="1" t="s">
        <v>41</v>
      </c>
      <c r="L316">
        <v>3387.72</v>
      </c>
      <c r="M316">
        <v>23.9</v>
      </c>
      <c r="N316">
        <v>2023</v>
      </c>
      <c r="O316">
        <f t="shared" si="4"/>
        <v>1</v>
      </c>
      <c r="P316" s="13" t="s">
        <v>60</v>
      </c>
      <c r="Q316">
        <v>1062.33</v>
      </c>
      <c r="R316" s="3" t="s">
        <v>29</v>
      </c>
      <c r="S316" s="7">
        <f>Ventas[[#This Row],[Costo Material (€)]]/Ventas[[#This Row],[Beneficio (€)]]</f>
        <v>3.1889525853548331</v>
      </c>
      <c r="T316" s="3" t="str">
        <f>IF(Ventas[[#This Row],[Margen (%)]]&gt;20%,"Beneficio","Perdidas")</f>
        <v>Beneficio</v>
      </c>
    </row>
    <row r="317" spans="1:20" x14ac:dyDescent="0.25">
      <c r="A317" s="12">
        <v>45292</v>
      </c>
      <c r="B317" s="1" t="s">
        <v>17</v>
      </c>
      <c r="C317" s="1" t="s">
        <v>18</v>
      </c>
      <c r="D317" s="1" t="s">
        <v>19</v>
      </c>
      <c r="E317" s="1" t="s">
        <v>20</v>
      </c>
      <c r="F317">
        <v>653</v>
      </c>
      <c r="G317">
        <v>7.08</v>
      </c>
      <c r="H317">
        <v>4623.24</v>
      </c>
      <c r="I317" s="1" t="s">
        <v>55</v>
      </c>
      <c r="J317" s="1" t="s">
        <v>34</v>
      </c>
      <c r="K317" s="1" t="s">
        <v>23</v>
      </c>
      <c r="L317">
        <v>3561.79</v>
      </c>
      <c r="M317">
        <v>23</v>
      </c>
      <c r="N317">
        <v>2024</v>
      </c>
      <c r="O317">
        <f t="shared" si="4"/>
        <v>1</v>
      </c>
      <c r="P317" s="13" t="s">
        <v>24</v>
      </c>
      <c r="Q317">
        <v>1061.45</v>
      </c>
      <c r="R317" s="3" t="s">
        <v>29</v>
      </c>
      <c r="S317" s="7">
        <f>Ventas[[#This Row],[Costo Material (€)]]/Ventas[[#This Row],[Beneficio (€)]]</f>
        <v>3.355589052710914</v>
      </c>
      <c r="T317" s="3" t="str">
        <f>IF(Ventas[[#This Row],[Margen (%)]]&gt;20%,"Beneficio","Perdidas")</f>
        <v>Beneficio</v>
      </c>
    </row>
    <row r="318" spans="1:20" x14ac:dyDescent="0.25">
      <c r="A318" s="12">
        <v>45090</v>
      </c>
      <c r="B318" s="1" t="s">
        <v>30</v>
      </c>
      <c r="C318" s="1" t="s">
        <v>31</v>
      </c>
      <c r="D318" s="1" t="s">
        <v>48</v>
      </c>
      <c r="E318" s="1" t="s">
        <v>38</v>
      </c>
      <c r="F318">
        <v>528</v>
      </c>
      <c r="G318">
        <v>9.66</v>
      </c>
      <c r="H318">
        <v>5100.4799999999996</v>
      </c>
      <c r="I318" s="1" t="s">
        <v>54</v>
      </c>
      <c r="J318" s="1" t="s">
        <v>56</v>
      </c>
      <c r="K318" s="1" t="s">
        <v>23</v>
      </c>
      <c r="L318">
        <v>4039.08</v>
      </c>
      <c r="M318">
        <v>20.8</v>
      </c>
      <c r="N318">
        <v>2023</v>
      </c>
      <c r="O318">
        <f t="shared" si="4"/>
        <v>2</v>
      </c>
      <c r="P318" s="13" t="s">
        <v>64</v>
      </c>
      <c r="Q318">
        <v>1061.4000000000001</v>
      </c>
      <c r="R318" s="3" t="s">
        <v>29</v>
      </c>
      <c r="S318" s="7">
        <f>Ventas[[#This Row],[Costo Material (€)]]/Ventas[[#This Row],[Beneficio (€)]]</f>
        <v>3.8054267947993212</v>
      </c>
      <c r="T318" s="3" t="str">
        <f>IF(Ventas[[#This Row],[Margen (%)]]&gt;20%,"Beneficio","Perdidas")</f>
        <v>Beneficio</v>
      </c>
    </row>
    <row r="319" spans="1:20" x14ac:dyDescent="0.25">
      <c r="A319" s="12">
        <v>45056</v>
      </c>
      <c r="B319" s="1" t="s">
        <v>17</v>
      </c>
      <c r="C319" s="1" t="s">
        <v>18</v>
      </c>
      <c r="D319" s="1" t="s">
        <v>48</v>
      </c>
      <c r="E319" s="1" t="s">
        <v>38</v>
      </c>
      <c r="F319">
        <v>733</v>
      </c>
      <c r="G319">
        <v>4.01</v>
      </c>
      <c r="H319">
        <v>2939.33</v>
      </c>
      <c r="I319" s="1" t="s">
        <v>26</v>
      </c>
      <c r="J319" s="1" t="s">
        <v>40</v>
      </c>
      <c r="K319" s="1" t="s">
        <v>41</v>
      </c>
      <c r="L319">
        <v>1878.74</v>
      </c>
      <c r="M319">
        <v>36.1</v>
      </c>
      <c r="N319">
        <v>2023</v>
      </c>
      <c r="O319">
        <f t="shared" si="4"/>
        <v>2</v>
      </c>
      <c r="P319" s="13" t="s">
        <v>63</v>
      </c>
      <c r="Q319">
        <v>1060.5899999999999</v>
      </c>
      <c r="R319" s="3" t="s">
        <v>25</v>
      </c>
      <c r="S319" s="7">
        <f>Ventas[[#This Row],[Costo Material (€)]]/Ventas[[#This Row],[Beneficio (€)]]</f>
        <v>1.771410252783828</v>
      </c>
      <c r="T319" s="3" t="str">
        <f>IF(Ventas[[#This Row],[Margen (%)]]&gt;20%,"Beneficio","Perdidas")</f>
        <v>Beneficio</v>
      </c>
    </row>
    <row r="320" spans="1:20" x14ac:dyDescent="0.25">
      <c r="A320" s="12">
        <v>45127</v>
      </c>
      <c r="B320" s="1" t="s">
        <v>42</v>
      </c>
      <c r="C320" s="1" t="s">
        <v>43</v>
      </c>
      <c r="D320" s="1" t="s">
        <v>32</v>
      </c>
      <c r="E320" s="1" t="s">
        <v>20</v>
      </c>
      <c r="F320">
        <v>423</v>
      </c>
      <c r="G320">
        <v>7.59</v>
      </c>
      <c r="H320">
        <v>3210.57</v>
      </c>
      <c r="I320" s="1" t="s">
        <v>26</v>
      </c>
      <c r="J320" s="1" t="s">
        <v>22</v>
      </c>
      <c r="K320" s="1" t="s">
        <v>23</v>
      </c>
      <c r="L320">
        <v>2155.37</v>
      </c>
      <c r="M320">
        <v>32.9</v>
      </c>
      <c r="N320">
        <v>2023</v>
      </c>
      <c r="O320">
        <f t="shared" si="4"/>
        <v>3</v>
      </c>
      <c r="P320" s="13" t="s">
        <v>65</v>
      </c>
      <c r="Q320">
        <v>1055.2</v>
      </c>
      <c r="R320" s="3" t="s">
        <v>25</v>
      </c>
      <c r="S320" s="7">
        <f>Ventas[[#This Row],[Costo Material (€)]]/Ventas[[#This Row],[Beneficio (€)]]</f>
        <v>2.042617513267627</v>
      </c>
      <c r="T320" s="3" t="str">
        <f>IF(Ventas[[#This Row],[Margen (%)]]&gt;20%,"Beneficio","Perdidas")</f>
        <v>Beneficio</v>
      </c>
    </row>
    <row r="321" spans="1:20" x14ac:dyDescent="0.25">
      <c r="A321" s="12">
        <v>45487</v>
      </c>
      <c r="B321" s="1" t="s">
        <v>17</v>
      </c>
      <c r="C321" s="1" t="s">
        <v>18</v>
      </c>
      <c r="D321" s="1" t="s">
        <v>37</v>
      </c>
      <c r="E321" s="1" t="s">
        <v>38</v>
      </c>
      <c r="F321">
        <v>383</v>
      </c>
      <c r="G321">
        <v>10.68</v>
      </c>
      <c r="H321">
        <v>4090.44</v>
      </c>
      <c r="I321" s="1" t="s">
        <v>26</v>
      </c>
      <c r="J321" s="1" t="s">
        <v>40</v>
      </c>
      <c r="K321" s="1" t="s">
        <v>41</v>
      </c>
      <c r="L321">
        <v>3035.26</v>
      </c>
      <c r="M321">
        <v>25.8</v>
      </c>
      <c r="N321">
        <v>2024</v>
      </c>
      <c r="O321">
        <f t="shared" si="4"/>
        <v>3</v>
      </c>
      <c r="P321" s="13" t="s">
        <v>65</v>
      </c>
      <c r="Q321">
        <v>1055.18</v>
      </c>
      <c r="R321" s="3" t="s">
        <v>25</v>
      </c>
      <c r="S321" s="7">
        <f>Ventas[[#This Row],[Costo Material (€)]]/Ventas[[#This Row],[Beneficio (€)]]</f>
        <v>2.8765329138156521</v>
      </c>
      <c r="T321" s="3" t="str">
        <f>IF(Ventas[[#This Row],[Margen (%)]]&gt;20%,"Beneficio","Perdidas")</f>
        <v>Beneficio</v>
      </c>
    </row>
    <row r="322" spans="1:20" x14ac:dyDescent="0.25">
      <c r="A322" s="12">
        <v>45205</v>
      </c>
      <c r="B322" s="1" t="s">
        <v>42</v>
      </c>
      <c r="C322" s="1" t="s">
        <v>43</v>
      </c>
      <c r="D322" s="1" t="s">
        <v>49</v>
      </c>
      <c r="E322" s="1" t="s">
        <v>50</v>
      </c>
      <c r="F322">
        <v>374</v>
      </c>
      <c r="G322">
        <v>7.64</v>
      </c>
      <c r="H322">
        <v>2857.36</v>
      </c>
      <c r="I322" s="1" t="s">
        <v>54</v>
      </c>
      <c r="J322" s="1" t="s">
        <v>22</v>
      </c>
      <c r="K322" s="1" t="s">
        <v>28</v>
      </c>
      <c r="L322">
        <v>1803.74</v>
      </c>
      <c r="M322">
        <v>36.9</v>
      </c>
      <c r="N322">
        <v>2023</v>
      </c>
      <c r="O322">
        <f t="shared" ref="O322:O385" si="5">ROUNDUP(MONTH(A322)/3,0)</f>
        <v>4</v>
      </c>
      <c r="P322" s="13" t="s">
        <v>68</v>
      </c>
      <c r="Q322">
        <v>1053.6199999999999</v>
      </c>
      <c r="R322" s="3" t="s">
        <v>25</v>
      </c>
      <c r="S322" s="7">
        <f>Ventas[[#This Row],[Costo Material (€)]]/Ventas[[#This Row],[Beneficio (€)]]</f>
        <v>1.7119454831912835</v>
      </c>
      <c r="T322" s="3" t="str">
        <f>IF(Ventas[[#This Row],[Margen (%)]]&gt;20%,"Beneficio","Perdidas")</f>
        <v>Beneficio</v>
      </c>
    </row>
    <row r="323" spans="1:20" x14ac:dyDescent="0.25">
      <c r="A323" s="12">
        <v>45009</v>
      </c>
      <c r="B323" s="1" t="s">
        <v>17</v>
      </c>
      <c r="C323" s="1" t="s">
        <v>18</v>
      </c>
      <c r="D323" s="1" t="s">
        <v>19</v>
      </c>
      <c r="E323" s="1" t="s">
        <v>20</v>
      </c>
      <c r="F323">
        <v>980</v>
      </c>
      <c r="G323">
        <v>3.42</v>
      </c>
      <c r="H323">
        <v>3351.6</v>
      </c>
      <c r="I323" s="1" t="s">
        <v>26</v>
      </c>
      <c r="J323" s="1" t="s">
        <v>47</v>
      </c>
      <c r="K323" s="1" t="s">
        <v>41</v>
      </c>
      <c r="L323">
        <v>2301.19</v>
      </c>
      <c r="M323">
        <v>31.3</v>
      </c>
      <c r="N323">
        <v>2023</v>
      </c>
      <c r="O323">
        <f t="shared" si="5"/>
        <v>1</v>
      </c>
      <c r="P323" s="13" t="s">
        <v>61</v>
      </c>
      <c r="Q323">
        <v>1050.4100000000001</v>
      </c>
      <c r="R323" s="3" t="s">
        <v>25</v>
      </c>
      <c r="S323" s="7">
        <f>Ventas[[#This Row],[Costo Material (€)]]/Ventas[[#This Row],[Beneficio (€)]]</f>
        <v>2.1907540864995574</v>
      </c>
      <c r="T323" s="3" t="str">
        <f>IF(Ventas[[#This Row],[Margen (%)]]&gt;20%,"Beneficio","Perdidas")</f>
        <v>Beneficio</v>
      </c>
    </row>
    <row r="324" spans="1:20" x14ac:dyDescent="0.25">
      <c r="A324" s="12">
        <v>45162</v>
      </c>
      <c r="B324" s="1" t="s">
        <v>30</v>
      </c>
      <c r="C324" s="1" t="s">
        <v>31</v>
      </c>
      <c r="D324" s="1" t="s">
        <v>45</v>
      </c>
      <c r="E324" s="1" t="s">
        <v>20</v>
      </c>
      <c r="F324">
        <v>956</v>
      </c>
      <c r="G324">
        <v>5.43</v>
      </c>
      <c r="H324">
        <v>5191.08</v>
      </c>
      <c r="I324" s="1" t="s">
        <v>21</v>
      </c>
      <c r="J324" s="1" t="s">
        <v>40</v>
      </c>
      <c r="K324" s="1" t="s">
        <v>41</v>
      </c>
      <c r="L324">
        <v>4143.6400000000003</v>
      </c>
      <c r="M324">
        <v>20.2</v>
      </c>
      <c r="N324">
        <v>2023</v>
      </c>
      <c r="O324">
        <f t="shared" si="5"/>
        <v>3</v>
      </c>
      <c r="P324" s="13" t="s">
        <v>66</v>
      </c>
      <c r="Q324">
        <v>1047.44</v>
      </c>
      <c r="R324" s="3" t="s">
        <v>29</v>
      </c>
      <c r="S324" s="7">
        <f>Ventas[[#This Row],[Costo Material (€)]]/Ventas[[#This Row],[Beneficio (€)]]</f>
        <v>3.9559688383105476</v>
      </c>
      <c r="T324" s="3" t="str">
        <f>IF(Ventas[[#This Row],[Margen (%)]]&gt;20%,"Beneficio","Perdidas")</f>
        <v>Beneficio</v>
      </c>
    </row>
    <row r="325" spans="1:20" x14ac:dyDescent="0.25">
      <c r="A325" s="12">
        <v>45147</v>
      </c>
      <c r="B325" s="1" t="s">
        <v>51</v>
      </c>
      <c r="C325" s="1" t="s">
        <v>52</v>
      </c>
      <c r="D325" s="1" t="s">
        <v>45</v>
      </c>
      <c r="E325" s="1" t="s">
        <v>20</v>
      </c>
      <c r="F325">
        <v>946</v>
      </c>
      <c r="G325">
        <v>7.23</v>
      </c>
      <c r="H325">
        <v>6839.58</v>
      </c>
      <c r="I325" s="1" t="s">
        <v>26</v>
      </c>
      <c r="J325" s="1" t="s">
        <v>47</v>
      </c>
      <c r="K325" s="1" t="s">
        <v>41</v>
      </c>
      <c r="L325">
        <v>5792.84</v>
      </c>
      <c r="M325">
        <v>15.3</v>
      </c>
      <c r="N325">
        <v>2023</v>
      </c>
      <c r="O325">
        <f t="shared" si="5"/>
        <v>3</v>
      </c>
      <c r="P325" s="13" t="s">
        <v>66</v>
      </c>
      <c r="Q325">
        <v>1046.74</v>
      </c>
      <c r="R325" s="3" t="s">
        <v>29</v>
      </c>
      <c r="S325" s="7">
        <f>Ventas[[#This Row],[Costo Material (€)]]/Ventas[[#This Row],[Beneficio (€)]]</f>
        <v>5.5341727649655121</v>
      </c>
      <c r="T325" s="3" t="str">
        <f>IF(Ventas[[#This Row],[Margen (%)]]&gt;20%,"Beneficio","Perdidas")</f>
        <v>Beneficio</v>
      </c>
    </row>
    <row r="326" spans="1:20" x14ac:dyDescent="0.25">
      <c r="A326" s="12">
        <v>45067</v>
      </c>
      <c r="B326" s="1" t="s">
        <v>35</v>
      </c>
      <c r="C326" s="1" t="s">
        <v>36</v>
      </c>
      <c r="D326" s="1" t="s">
        <v>44</v>
      </c>
      <c r="E326" s="1" t="s">
        <v>38</v>
      </c>
      <c r="F326">
        <v>886</v>
      </c>
      <c r="G326">
        <v>4.33</v>
      </c>
      <c r="H326">
        <v>3836.38</v>
      </c>
      <c r="I326" s="1" t="s">
        <v>33</v>
      </c>
      <c r="J326" s="1" t="s">
        <v>27</v>
      </c>
      <c r="K326" s="1" t="s">
        <v>41</v>
      </c>
      <c r="L326">
        <v>2789.85</v>
      </c>
      <c r="M326">
        <v>27.3</v>
      </c>
      <c r="N326">
        <v>2023</v>
      </c>
      <c r="O326">
        <f t="shared" si="5"/>
        <v>2</v>
      </c>
      <c r="P326" s="13" t="s">
        <v>63</v>
      </c>
      <c r="Q326">
        <v>1046.53</v>
      </c>
      <c r="R326" s="3" t="s">
        <v>25</v>
      </c>
      <c r="S326" s="7">
        <f>Ventas[[#This Row],[Costo Material (€)]]/Ventas[[#This Row],[Beneficio (€)]]</f>
        <v>2.665809866893448</v>
      </c>
      <c r="T326" s="3" t="str">
        <f>IF(Ventas[[#This Row],[Margen (%)]]&gt;20%,"Beneficio","Perdidas")</f>
        <v>Beneficio</v>
      </c>
    </row>
    <row r="327" spans="1:20" x14ac:dyDescent="0.25">
      <c r="A327" s="12">
        <v>45093</v>
      </c>
      <c r="B327" s="1" t="s">
        <v>51</v>
      </c>
      <c r="C327" s="1" t="s">
        <v>52</v>
      </c>
      <c r="D327" s="1" t="s">
        <v>19</v>
      </c>
      <c r="E327" s="1" t="s">
        <v>20</v>
      </c>
      <c r="F327">
        <v>739</v>
      </c>
      <c r="G327">
        <v>4.8099999999999996</v>
      </c>
      <c r="H327">
        <v>3554.59</v>
      </c>
      <c r="I327" s="1" t="s">
        <v>54</v>
      </c>
      <c r="J327" s="1" t="s">
        <v>56</v>
      </c>
      <c r="K327" s="1" t="s">
        <v>23</v>
      </c>
      <c r="L327">
        <v>2510.17</v>
      </c>
      <c r="M327">
        <v>29.4</v>
      </c>
      <c r="N327">
        <v>2023</v>
      </c>
      <c r="O327">
        <f t="shared" si="5"/>
        <v>2</v>
      </c>
      <c r="P327" s="13" t="s">
        <v>64</v>
      </c>
      <c r="Q327">
        <v>1044.42</v>
      </c>
      <c r="R327" s="3" t="s">
        <v>25</v>
      </c>
      <c r="S327" s="7">
        <f>Ventas[[#This Row],[Costo Material (€)]]/Ventas[[#This Row],[Beneficio (€)]]</f>
        <v>2.403410505352253</v>
      </c>
      <c r="T327" s="3" t="str">
        <f>IF(Ventas[[#This Row],[Margen (%)]]&gt;20%,"Beneficio","Perdidas")</f>
        <v>Beneficio</v>
      </c>
    </row>
    <row r="328" spans="1:20" x14ac:dyDescent="0.25">
      <c r="A328" s="12">
        <v>44988</v>
      </c>
      <c r="B328" s="1" t="s">
        <v>30</v>
      </c>
      <c r="C328" s="1" t="s">
        <v>31</v>
      </c>
      <c r="D328" s="1" t="s">
        <v>48</v>
      </c>
      <c r="E328" s="1" t="s">
        <v>38</v>
      </c>
      <c r="F328">
        <v>470</v>
      </c>
      <c r="G328">
        <v>8.5500000000000007</v>
      </c>
      <c r="H328">
        <v>4018.5</v>
      </c>
      <c r="I328" s="1" t="s">
        <v>57</v>
      </c>
      <c r="J328" s="1" t="s">
        <v>27</v>
      </c>
      <c r="K328" s="1" t="s">
        <v>41</v>
      </c>
      <c r="L328">
        <v>2975.53</v>
      </c>
      <c r="M328">
        <v>26</v>
      </c>
      <c r="N328">
        <v>2023</v>
      </c>
      <c r="O328">
        <f t="shared" si="5"/>
        <v>1</v>
      </c>
      <c r="P328" s="13" t="s">
        <v>61</v>
      </c>
      <c r="Q328">
        <v>1042.97</v>
      </c>
      <c r="R328" s="3" t="s">
        <v>25</v>
      </c>
      <c r="S328" s="7">
        <f>Ventas[[#This Row],[Costo Material (€)]]/Ventas[[#This Row],[Beneficio (€)]]</f>
        <v>2.8529392024698699</v>
      </c>
      <c r="T328" s="3" t="str">
        <f>IF(Ventas[[#This Row],[Margen (%)]]&gt;20%,"Beneficio","Perdidas")</f>
        <v>Beneficio</v>
      </c>
    </row>
    <row r="329" spans="1:20" x14ac:dyDescent="0.25">
      <c r="A329" s="12">
        <v>45253</v>
      </c>
      <c r="B329" s="1" t="s">
        <v>17</v>
      </c>
      <c r="C329" s="1" t="s">
        <v>18</v>
      </c>
      <c r="D329" s="1" t="s">
        <v>19</v>
      </c>
      <c r="E329" s="1" t="s">
        <v>20</v>
      </c>
      <c r="F329">
        <v>446</v>
      </c>
      <c r="G329">
        <v>5.84</v>
      </c>
      <c r="H329">
        <v>2604.64</v>
      </c>
      <c r="I329" s="1" t="s">
        <v>33</v>
      </c>
      <c r="J329" s="1" t="s">
        <v>47</v>
      </c>
      <c r="K329" s="1" t="s">
        <v>23</v>
      </c>
      <c r="L329">
        <v>1564.3</v>
      </c>
      <c r="M329">
        <v>39.9</v>
      </c>
      <c r="N329">
        <v>2023</v>
      </c>
      <c r="O329">
        <f t="shared" si="5"/>
        <v>4</v>
      </c>
      <c r="P329" s="13" t="s">
        <v>69</v>
      </c>
      <c r="Q329">
        <v>1040.3399999999999</v>
      </c>
      <c r="R329" s="3" t="s">
        <v>25</v>
      </c>
      <c r="S329" s="7">
        <f>Ventas[[#This Row],[Costo Material (€)]]/Ventas[[#This Row],[Beneficio (€)]]</f>
        <v>1.5036430397754581</v>
      </c>
      <c r="T329" s="3" t="str">
        <f>IF(Ventas[[#This Row],[Margen (%)]]&gt;20%,"Beneficio","Perdidas")</f>
        <v>Beneficio</v>
      </c>
    </row>
    <row r="330" spans="1:20" x14ac:dyDescent="0.25">
      <c r="A330" s="12">
        <v>45203</v>
      </c>
      <c r="B330" s="1" t="s">
        <v>51</v>
      </c>
      <c r="C330" s="1" t="s">
        <v>52</v>
      </c>
      <c r="D330" s="1" t="s">
        <v>37</v>
      </c>
      <c r="E330" s="1" t="s">
        <v>38</v>
      </c>
      <c r="F330">
        <v>849</v>
      </c>
      <c r="G330">
        <v>7.8</v>
      </c>
      <c r="H330">
        <v>6622.2</v>
      </c>
      <c r="I330" s="1" t="s">
        <v>39</v>
      </c>
      <c r="J330" s="1" t="s">
        <v>56</v>
      </c>
      <c r="K330" s="1" t="s">
        <v>28</v>
      </c>
      <c r="L330">
        <v>5584.73</v>
      </c>
      <c r="M330">
        <v>15.7</v>
      </c>
      <c r="N330">
        <v>2023</v>
      </c>
      <c r="O330">
        <f t="shared" si="5"/>
        <v>4</v>
      </c>
      <c r="P330" s="13" t="s">
        <v>68</v>
      </c>
      <c r="Q330">
        <v>1037.47</v>
      </c>
      <c r="R330" s="3" t="s">
        <v>29</v>
      </c>
      <c r="S330" s="7">
        <f>Ventas[[#This Row],[Costo Material (€)]]/Ventas[[#This Row],[Beneficio (€)]]</f>
        <v>5.3830279429766641</v>
      </c>
      <c r="T330" s="3" t="str">
        <f>IF(Ventas[[#This Row],[Margen (%)]]&gt;20%,"Beneficio","Perdidas")</f>
        <v>Beneficio</v>
      </c>
    </row>
    <row r="331" spans="1:20" x14ac:dyDescent="0.25">
      <c r="A331" s="12">
        <v>45225</v>
      </c>
      <c r="B331" s="1" t="s">
        <v>42</v>
      </c>
      <c r="C331" s="1" t="s">
        <v>43</v>
      </c>
      <c r="D331" s="1" t="s">
        <v>48</v>
      </c>
      <c r="E331" s="1" t="s">
        <v>38</v>
      </c>
      <c r="F331">
        <v>707</v>
      </c>
      <c r="G331">
        <v>7.28</v>
      </c>
      <c r="H331">
        <v>5146.96</v>
      </c>
      <c r="I331" s="1" t="s">
        <v>55</v>
      </c>
      <c r="J331" s="1" t="s">
        <v>47</v>
      </c>
      <c r="K331" s="1" t="s">
        <v>41</v>
      </c>
      <c r="L331">
        <v>4110.75</v>
      </c>
      <c r="M331">
        <v>20.100000000000001</v>
      </c>
      <c r="N331">
        <v>2023</v>
      </c>
      <c r="O331">
        <f t="shared" si="5"/>
        <v>4</v>
      </c>
      <c r="P331" s="13" t="s">
        <v>68</v>
      </c>
      <c r="Q331">
        <v>1036.21</v>
      </c>
      <c r="R331" s="3" t="s">
        <v>29</v>
      </c>
      <c r="S331" s="7">
        <f>Ventas[[#This Row],[Costo Material (€)]]/Ventas[[#This Row],[Beneficio (€)]]</f>
        <v>3.9671012632574478</v>
      </c>
      <c r="T331" s="3" t="str">
        <f>IF(Ventas[[#This Row],[Margen (%)]]&gt;20%,"Beneficio","Perdidas")</f>
        <v>Beneficio</v>
      </c>
    </row>
    <row r="332" spans="1:20" x14ac:dyDescent="0.25">
      <c r="A332" s="12">
        <v>44986</v>
      </c>
      <c r="B332" s="1" t="s">
        <v>42</v>
      </c>
      <c r="C332" s="1" t="s">
        <v>43</v>
      </c>
      <c r="D332" s="1" t="s">
        <v>32</v>
      </c>
      <c r="E332" s="1" t="s">
        <v>20</v>
      </c>
      <c r="F332">
        <v>801</v>
      </c>
      <c r="G332">
        <v>4.1100000000000003</v>
      </c>
      <c r="H332">
        <v>3292.11</v>
      </c>
      <c r="I332" s="1" t="s">
        <v>55</v>
      </c>
      <c r="J332" s="1" t="s">
        <v>40</v>
      </c>
      <c r="K332" s="1" t="s">
        <v>23</v>
      </c>
      <c r="L332">
        <v>2257.8000000000002</v>
      </c>
      <c r="M332">
        <v>31.4</v>
      </c>
      <c r="N332">
        <v>2023</v>
      </c>
      <c r="O332">
        <f t="shared" si="5"/>
        <v>1</v>
      </c>
      <c r="P332" s="13" t="s">
        <v>61</v>
      </c>
      <c r="Q332">
        <v>1034.31</v>
      </c>
      <c r="R332" s="3" t="s">
        <v>25</v>
      </c>
      <c r="S332" s="7">
        <f>Ventas[[#This Row],[Costo Material (€)]]/Ventas[[#This Row],[Beneficio (€)]]</f>
        <v>2.1829045450590252</v>
      </c>
      <c r="T332" s="3" t="str">
        <f>IF(Ventas[[#This Row],[Margen (%)]]&gt;20%,"Beneficio","Perdidas")</f>
        <v>Beneficio</v>
      </c>
    </row>
    <row r="333" spans="1:20" x14ac:dyDescent="0.25">
      <c r="A333" s="12">
        <v>44987</v>
      </c>
      <c r="B333" s="1" t="s">
        <v>35</v>
      </c>
      <c r="C333" s="1" t="s">
        <v>36</v>
      </c>
      <c r="D333" s="1" t="s">
        <v>37</v>
      </c>
      <c r="E333" s="1" t="s">
        <v>38</v>
      </c>
      <c r="F333">
        <v>759</v>
      </c>
      <c r="G333">
        <v>6.39</v>
      </c>
      <c r="H333">
        <v>4850.01</v>
      </c>
      <c r="I333" s="1" t="s">
        <v>54</v>
      </c>
      <c r="J333" s="1" t="s">
        <v>40</v>
      </c>
      <c r="K333" s="1" t="s">
        <v>41</v>
      </c>
      <c r="L333">
        <v>3818.31</v>
      </c>
      <c r="M333">
        <v>21.3</v>
      </c>
      <c r="N333">
        <v>2023</v>
      </c>
      <c r="O333">
        <f t="shared" si="5"/>
        <v>1</v>
      </c>
      <c r="P333" s="13" t="s">
        <v>61</v>
      </c>
      <c r="Q333">
        <v>1031.7</v>
      </c>
      <c r="R333" s="3" t="s">
        <v>29</v>
      </c>
      <c r="S333" s="7">
        <f>Ventas[[#This Row],[Costo Material (€)]]/Ventas[[#This Row],[Beneficio (€)]]</f>
        <v>3.7009886594940387</v>
      </c>
      <c r="T333" s="3" t="str">
        <f>IF(Ventas[[#This Row],[Margen (%)]]&gt;20%,"Beneficio","Perdidas")</f>
        <v>Beneficio</v>
      </c>
    </row>
    <row r="334" spans="1:20" x14ac:dyDescent="0.25">
      <c r="A334" s="12">
        <v>45179</v>
      </c>
      <c r="B334" s="1" t="s">
        <v>35</v>
      </c>
      <c r="C334" s="1" t="s">
        <v>36</v>
      </c>
      <c r="D334" s="1" t="s">
        <v>48</v>
      </c>
      <c r="E334" s="1" t="s">
        <v>38</v>
      </c>
      <c r="F334">
        <v>696</v>
      </c>
      <c r="G334">
        <v>7.79</v>
      </c>
      <c r="H334">
        <v>5421.84</v>
      </c>
      <c r="I334" s="1" t="s">
        <v>57</v>
      </c>
      <c r="J334" s="1" t="s">
        <v>56</v>
      </c>
      <c r="K334" s="1" t="s">
        <v>23</v>
      </c>
      <c r="L334">
        <v>4393.6099999999997</v>
      </c>
      <c r="M334">
        <v>19</v>
      </c>
      <c r="N334">
        <v>2023</v>
      </c>
      <c r="O334">
        <f t="shared" si="5"/>
        <v>3</v>
      </c>
      <c r="P334" s="13" t="s">
        <v>67</v>
      </c>
      <c r="Q334">
        <v>1028.23</v>
      </c>
      <c r="R334" s="3" t="s">
        <v>29</v>
      </c>
      <c r="S334" s="7">
        <f>Ventas[[#This Row],[Costo Material (€)]]/Ventas[[#This Row],[Beneficio (€)]]</f>
        <v>4.2729836709685571</v>
      </c>
      <c r="T334" s="3" t="str">
        <f>IF(Ventas[[#This Row],[Margen (%)]]&gt;20%,"Beneficio","Perdidas")</f>
        <v>Beneficio</v>
      </c>
    </row>
    <row r="335" spans="1:20" x14ac:dyDescent="0.25">
      <c r="A335" s="12">
        <v>45161</v>
      </c>
      <c r="B335" s="1" t="s">
        <v>42</v>
      </c>
      <c r="C335" s="1" t="s">
        <v>43</v>
      </c>
      <c r="D335" s="1" t="s">
        <v>48</v>
      </c>
      <c r="E335" s="1" t="s">
        <v>38</v>
      </c>
      <c r="F335">
        <v>747</v>
      </c>
      <c r="G335">
        <v>5.0199999999999996</v>
      </c>
      <c r="H335">
        <v>3749.94</v>
      </c>
      <c r="I335" s="1" t="s">
        <v>39</v>
      </c>
      <c r="J335" s="1" t="s">
        <v>56</v>
      </c>
      <c r="K335" s="1" t="s">
        <v>23</v>
      </c>
      <c r="L335">
        <v>2721.8</v>
      </c>
      <c r="M335">
        <v>27.4</v>
      </c>
      <c r="N335">
        <v>2023</v>
      </c>
      <c r="O335">
        <f t="shared" si="5"/>
        <v>3</v>
      </c>
      <c r="P335" s="13" t="s">
        <v>66</v>
      </c>
      <c r="Q335">
        <v>1028.1400000000001</v>
      </c>
      <c r="R335" s="3" t="s">
        <v>25</v>
      </c>
      <c r="S335" s="7">
        <f>Ventas[[#This Row],[Costo Material (€)]]/Ventas[[#This Row],[Beneficio (€)]]</f>
        <v>2.6473048417530687</v>
      </c>
      <c r="T335" s="3" t="str">
        <f>IF(Ventas[[#This Row],[Margen (%)]]&gt;20%,"Beneficio","Perdidas")</f>
        <v>Beneficio</v>
      </c>
    </row>
    <row r="336" spans="1:20" x14ac:dyDescent="0.25">
      <c r="A336" s="12">
        <v>45260</v>
      </c>
      <c r="B336" s="1" t="s">
        <v>51</v>
      </c>
      <c r="C336" s="1" t="s">
        <v>52</v>
      </c>
      <c r="D336" s="1" t="s">
        <v>53</v>
      </c>
      <c r="E336" s="1" t="s">
        <v>50</v>
      </c>
      <c r="F336">
        <v>313</v>
      </c>
      <c r="G336">
        <v>8.33</v>
      </c>
      <c r="H336">
        <v>2607.29</v>
      </c>
      <c r="I336" s="1" t="s">
        <v>26</v>
      </c>
      <c r="J336" s="1" t="s">
        <v>47</v>
      </c>
      <c r="K336" s="1" t="s">
        <v>23</v>
      </c>
      <c r="L336">
        <v>1579.36</v>
      </c>
      <c r="M336">
        <v>39.4</v>
      </c>
      <c r="N336">
        <v>2023</v>
      </c>
      <c r="O336">
        <f t="shared" si="5"/>
        <v>4</v>
      </c>
      <c r="P336" s="13" t="s">
        <v>69</v>
      </c>
      <c r="Q336">
        <v>1027.93</v>
      </c>
      <c r="R336" s="3" t="s">
        <v>25</v>
      </c>
      <c r="S336" s="7">
        <f>Ventas[[#This Row],[Costo Material (€)]]/Ventas[[#This Row],[Beneficio (€)]]</f>
        <v>1.5364470343311314</v>
      </c>
      <c r="T336" s="3" t="str">
        <f>IF(Ventas[[#This Row],[Margen (%)]]&gt;20%,"Beneficio","Perdidas")</f>
        <v>Beneficio</v>
      </c>
    </row>
    <row r="337" spans="1:20" x14ac:dyDescent="0.25">
      <c r="A337" s="12">
        <v>45016</v>
      </c>
      <c r="B337" s="1" t="s">
        <v>42</v>
      </c>
      <c r="C337" s="1" t="s">
        <v>43</v>
      </c>
      <c r="D337" s="1" t="s">
        <v>44</v>
      </c>
      <c r="E337" s="1" t="s">
        <v>38</v>
      </c>
      <c r="F337">
        <v>834</v>
      </c>
      <c r="G337">
        <v>3.99</v>
      </c>
      <c r="H337">
        <v>3327.66</v>
      </c>
      <c r="I337" s="1" t="s">
        <v>39</v>
      </c>
      <c r="J337" s="1" t="s">
        <v>27</v>
      </c>
      <c r="K337" s="1" t="s">
        <v>41</v>
      </c>
      <c r="L337">
        <v>2308.02</v>
      </c>
      <c r="M337">
        <v>30.6</v>
      </c>
      <c r="N337">
        <v>2023</v>
      </c>
      <c r="O337">
        <f t="shared" si="5"/>
        <v>1</v>
      </c>
      <c r="P337" s="13" t="s">
        <v>61</v>
      </c>
      <c r="Q337">
        <v>1019.64</v>
      </c>
      <c r="R337" s="3" t="s">
        <v>25</v>
      </c>
      <c r="S337" s="7">
        <f>Ventas[[#This Row],[Costo Material (€)]]/Ventas[[#This Row],[Beneficio (€)]]</f>
        <v>2.2635636106861243</v>
      </c>
      <c r="T337" s="3" t="str">
        <f>IF(Ventas[[#This Row],[Margen (%)]]&gt;20%,"Beneficio","Perdidas")</f>
        <v>Beneficio</v>
      </c>
    </row>
    <row r="338" spans="1:20" x14ac:dyDescent="0.25">
      <c r="A338" s="12">
        <v>45117</v>
      </c>
      <c r="B338" s="1" t="s">
        <v>30</v>
      </c>
      <c r="C338" s="1" t="s">
        <v>31</v>
      </c>
      <c r="D338" s="1" t="s">
        <v>37</v>
      </c>
      <c r="E338" s="1" t="s">
        <v>38</v>
      </c>
      <c r="F338">
        <v>628</v>
      </c>
      <c r="G338">
        <v>11.58</v>
      </c>
      <c r="H338">
        <v>7272.24</v>
      </c>
      <c r="I338" s="1" t="s">
        <v>55</v>
      </c>
      <c r="J338" s="1" t="s">
        <v>56</v>
      </c>
      <c r="K338" s="1" t="s">
        <v>41</v>
      </c>
      <c r="L338">
        <v>6254.21</v>
      </c>
      <c r="M338">
        <v>14</v>
      </c>
      <c r="N338">
        <v>2023</v>
      </c>
      <c r="O338">
        <f t="shared" si="5"/>
        <v>3</v>
      </c>
      <c r="P338" s="13" t="s">
        <v>65</v>
      </c>
      <c r="Q338">
        <v>1018.03</v>
      </c>
      <c r="R338" s="3" t="s">
        <v>29</v>
      </c>
      <c r="S338" s="7">
        <f>Ventas[[#This Row],[Costo Material (€)]]/Ventas[[#This Row],[Beneficio (€)]]</f>
        <v>6.1434437099103167</v>
      </c>
      <c r="T338" s="3" t="str">
        <f>IF(Ventas[[#This Row],[Margen (%)]]&gt;20%,"Beneficio","Perdidas")</f>
        <v>Beneficio</v>
      </c>
    </row>
    <row r="339" spans="1:20" x14ac:dyDescent="0.25">
      <c r="A339" s="12">
        <v>45027</v>
      </c>
      <c r="B339" s="1" t="s">
        <v>35</v>
      </c>
      <c r="C339" s="1" t="s">
        <v>36</v>
      </c>
      <c r="D339" s="1" t="s">
        <v>45</v>
      </c>
      <c r="E339" s="1" t="s">
        <v>20</v>
      </c>
      <c r="F339">
        <v>975</v>
      </c>
      <c r="G339">
        <v>3.81</v>
      </c>
      <c r="H339">
        <v>3714.75</v>
      </c>
      <c r="I339" s="1" t="s">
        <v>21</v>
      </c>
      <c r="J339" s="1" t="s">
        <v>22</v>
      </c>
      <c r="K339" s="1" t="s">
        <v>28</v>
      </c>
      <c r="L339">
        <v>2701.66</v>
      </c>
      <c r="M339">
        <v>27.3</v>
      </c>
      <c r="N339">
        <v>2023</v>
      </c>
      <c r="O339">
        <f t="shared" si="5"/>
        <v>2</v>
      </c>
      <c r="P339" s="13" t="s">
        <v>62</v>
      </c>
      <c r="Q339">
        <v>1013.09</v>
      </c>
      <c r="R339" s="3" t="s">
        <v>25</v>
      </c>
      <c r="S339" s="7">
        <f>Ventas[[#This Row],[Costo Material (€)]]/Ventas[[#This Row],[Beneficio (€)]]</f>
        <v>2.6667522135249579</v>
      </c>
      <c r="T339" s="3" t="str">
        <f>IF(Ventas[[#This Row],[Margen (%)]]&gt;20%,"Beneficio","Perdidas")</f>
        <v>Beneficio</v>
      </c>
    </row>
    <row r="340" spans="1:20" x14ac:dyDescent="0.25">
      <c r="A340" s="12">
        <v>45051</v>
      </c>
      <c r="B340" s="1" t="s">
        <v>51</v>
      </c>
      <c r="C340" s="1" t="s">
        <v>52</v>
      </c>
      <c r="D340" s="1" t="s">
        <v>45</v>
      </c>
      <c r="E340" s="1" t="s">
        <v>20</v>
      </c>
      <c r="F340">
        <v>421</v>
      </c>
      <c r="G340">
        <v>7.21</v>
      </c>
      <c r="H340">
        <v>3035.41</v>
      </c>
      <c r="I340" s="1" t="s">
        <v>39</v>
      </c>
      <c r="J340" s="1" t="s">
        <v>56</v>
      </c>
      <c r="K340" s="1" t="s">
        <v>23</v>
      </c>
      <c r="L340">
        <v>2028.45</v>
      </c>
      <c r="M340">
        <v>33.200000000000003</v>
      </c>
      <c r="N340">
        <v>2023</v>
      </c>
      <c r="O340">
        <f t="shared" si="5"/>
        <v>2</v>
      </c>
      <c r="P340" s="13" t="s">
        <v>63</v>
      </c>
      <c r="Q340">
        <v>1006.96</v>
      </c>
      <c r="R340" s="3" t="s">
        <v>25</v>
      </c>
      <c r="S340" s="7">
        <f>Ventas[[#This Row],[Costo Material (€)]]/Ventas[[#This Row],[Beneficio (€)]]</f>
        <v>2.0144295701914672</v>
      </c>
      <c r="T340" s="3" t="str">
        <f>IF(Ventas[[#This Row],[Margen (%)]]&gt;20%,"Beneficio","Perdidas")</f>
        <v>Beneficio</v>
      </c>
    </row>
    <row r="341" spans="1:20" x14ac:dyDescent="0.25">
      <c r="A341" s="12">
        <v>45058</v>
      </c>
      <c r="B341" s="1" t="s">
        <v>35</v>
      </c>
      <c r="C341" s="1" t="s">
        <v>36</v>
      </c>
      <c r="D341" s="1" t="s">
        <v>32</v>
      </c>
      <c r="E341" s="1" t="s">
        <v>20</v>
      </c>
      <c r="F341">
        <v>558</v>
      </c>
      <c r="G341">
        <v>9.4700000000000006</v>
      </c>
      <c r="H341">
        <v>5284.26</v>
      </c>
      <c r="I341" s="1" t="s">
        <v>33</v>
      </c>
      <c r="J341" s="1" t="s">
        <v>40</v>
      </c>
      <c r="K341" s="1" t="s">
        <v>28</v>
      </c>
      <c r="L341">
        <v>4278</v>
      </c>
      <c r="M341">
        <v>19</v>
      </c>
      <c r="N341">
        <v>2023</v>
      </c>
      <c r="O341">
        <f t="shared" si="5"/>
        <v>2</v>
      </c>
      <c r="P341" s="13" t="s">
        <v>63</v>
      </c>
      <c r="Q341">
        <v>1006.26</v>
      </c>
      <c r="R341" s="3" t="s">
        <v>29</v>
      </c>
      <c r="S341" s="7">
        <f>Ventas[[#This Row],[Costo Material (€)]]/Ventas[[#This Row],[Beneficio (€)]]</f>
        <v>4.251386321626617</v>
      </c>
      <c r="T341" s="3" t="str">
        <f>IF(Ventas[[#This Row],[Margen (%)]]&gt;20%,"Beneficio","Perdidas")</f>
        <v>Beneficio</v>
      </c>
    </row>
    <row r="342" spans="1:20" x14ac:dyDescent="0.25">
      <c r="A342" s="12">
        <v>45073</v>
      </c>
      <c r="B342" s="1" t="s">
        <v>17</v>
      </c>
      <c r="C342" s="1" t="s">
        <v>18</v>
      </c>
      <c r="D342" s="1" t="s">
        <v>37</v>
      </c>
      <c r="E342" s="1" t="s">
        <v>38</v>
      </c>
      <c r="F342">
        <v>571</v>
      </c>
      <c r="G342">
        <v>6.5</v>
      </c>
      <c r="H342">
        <v>3711.5</v>
      </c>
      <c r="I342" s="1" t="s">
        <v>46</v>
      </c>
      <c r="J342" s="1" t="s">
        <v>56</v>
      </c>
      <c r="K342" s="1" t="s">
        <v>23</v>
      </c>
      <c r="L342">
        <v>2706.17</v>
      </c>
      <c r="M342">
        <v>27.1</v>
      </c>
      <c r="N342">
        <v>2023</v>
      </c>
      <c r="O342">
        <f t="shared" si="5"/>
        <v>2</v>
      </c>
      <c r="P342" s="13" t="s">
        <v>63</v>
      </c>
      <c r="Q342">
        <v>1005.33</v>
      </c>
      <c r="R342" s="3" t="s">
        <v>25</v>
      </c>
      <c r="S342" s="7">
        <f>Ventas[[#This Row],[Costo Material (€)]]/Ventas[[#This Row],[Beneficio (€)]]</f>
        <v>2.6918225856186524</v>
      </c>
      <c r="T342" s="3" t="str">
        <f>IF(Ventas[[#This Row],[Margen (%)]]&gt;20%,"Beneficio","Perdidas")</f>
        <v>Beneficio</v>
      </c>
    </row>
    <row r="343" spans="1:20" x14ac:dyDescent="0.25">
      <c r="A343" s="12">
        <v>45447</v>
      </c>
      <c r="B343" s="1" t="s">
        <v>51</v>
      </c>
      <c r="C343" s="1" t="s">
        <v>52</v>
      </c>
      <c r="D343" s="1" t="s">
        <v>37</v>
      </c>
      <c r="E343" s="1" t="s">
        <v>38</v>
      </c>
      <c r="F343">
        <v>949</v>
      </c>
      <c r="G343">
        <v>6.58</v>
      </c>
      <c r="H343">
        <v>6244.42</v>
      </c>
      <c r="I343" s="1" t="s">
        <v>21</v>
      </c>
      <c r="J343" s="1" t="s">
        <v>22</v>
      </c>
      <c r="K343" s="1" t="s">
        <v>23</v>
      </c>
      <c r="L343">
        <v>5241.4399999999996</v>
      </c>
      <c r="M343">
        <v>16.100000000000001</v>
      </c>
      <c r="N343">
        <v>2024</v>
      </c>
      <c r="O343">
        <f t="shared" si="5"/>
        <v>2</v>
      </c>
      <c r="P343" s="13" t="s">
        <v>64</v>
      </c>
      <c r="Q343">
        <v>1002.98</v>
      </c>
      <c r="R343" s="3" t="s">
        <v>29</v>
      </c>
      <c r="S343" s="7">
        <f>Ventas[[#This Row],[Costo Material (€)]]/Ventas[[#This Row],[Beneficio (€)]]</f>
        <v>5.2258669165885658</v>
      </c>
      <c r="T343" s="3" t="str">
        <f>IF(Ventas[[#This Row],[Margen (%)]]&gt;20%,"Beneficio","Perdidas")</f>
        <v>Beneficio</v>
      </c>
    </row>
    <row r="344" spans="1:20" x14ac:dyDescent="0.25">
      <c r="A344" s="12">
        <v>45455</v>
      </c>
      <c r="B344" s="1" t="s">
        <v>30</v>
      </c>
      <c r="C344" s="1" t="s">
        <v>31</v>
      </c>
      <c r="D344" s="1" t="s">
        <v>49</v>
      </c>
      <c r="E344" s="1" t="s">
        <v>50</v>
      </c>
      <c r="F344">
        <v>382</v>
      </c>
      <c r="G344">
        <v>9.89</v>
      </c>
      <c r="H344">
        <v>3777.98</v>
      </c>
      <c r="I344" s="1" t="s">
        <v>55</v>
      </c>
      <c r="J344" s="1" t="s">
        <v>47</v>
      </c>
      <c r="K344" s="1" t="s">
        <v>23</v>
      </c>
      <c r="L344">
        <v>2777.31</v>
      </c>
      <c r="M344">
        <v>26.5</v>
      </c>
      <c r="N344">
        <v>2024</v>
      </c>
      <c r="O344">
        <f t="shared" si="5"/>
        <v>2</v>
      </c>
      <c r="P344" s="13" t="s">
        <v>64</v>
      </c>
      <c r="Q344">
        <v>1000.67</v>
      </c>
      <c r="R344" s="3" t="s">
        <v>25</v>
      </c>
      <c r="S344" s="7">
        <f>Ventas[[#This Row],[Costo Material (€)]]/Ventas[[#This Row],[Beneficio (€)]]</f>
        <v>2.7754504481997064</v>
      </c>
      <c r="T344" s="3" t="str">
        <f>IF(Ventas[[#This Row],[Margen (%)]]&gt;20%,"Beneficio","Perdidas")</f>
        <v>Beneficio</v>
      </c>
    </row>
    <row r="345" spans="1:20" x14ac:dyDescent="0.25">
      <c r="A345" s="12">
        <v>45289</v>
      </c>
      <c r="B345" s="1" t="s">
        <v>35</v>
      </c>
      <c r="C345" s="1" t="s">
        <v>36</v>
      </c>
      <c r="D345" s="1" t="s">
        <v>45</v>
      </c>
      <c r="E345" s="1" t="s">
        <v>20</v>
      </c>
      <c r="F345">
        <v>753</v>
      </c>
      <c r="G345">
        <v>4.3499999999999996</v>
      </c>
      <c r="H345">
        <v>3275.55</v>
      </c>
      <c r="I345" s="1" t="s">
        <v>33</v>
      </c>
      <c r="J345" s="1" t="s">
        <v>27</v>
      </c>
      <c r="K345" s="1" t="s">
        <v>28</v>
      </c>
      <c r="L345">
        <v>2277.5700000000002</v>
      </c>
      <c r="M345">
        <v>30.5</v>
      </c>
      <c r="N345">
        <v>2023</v>
      </c>
      <c r="O345">
        <f t="shared" si="5"/>
        <v>4</v>
      </c>
      <c r="P345" s="13" t="s">
        <v>70</v>
      </c>
      <c r="Q345">
        <v>997.98</v>
      </c>
      <c r="R345" s="3" t="s">
        <v>25</v>
      </c>
      <c r="S345" s="7">
        <f>Ventas[[#This Row],[Costo Material (€)]]/Ventas[[#This Row],[Beneficio (€)]]</f>
        <v>2.2821800036072868</v>
      </c>
      <c r="T345" s="3" t="str">
        <f>IF(Ventas[[#This Row],[Margen (%)]]&gt;20%,"Beneficio","Perdidas")</f>
        <v>Beneficio</v>
      </c>
    </row>
    <row r="346" spans="1:20" x14ac:dyDescent="0.25">
      <c r="A346" s="12">
        <v>44960</v>
      </c>
      <c r="B346" s="1" t="s">
        <v>58</v>
      </c>
      <c r="C346" s="1" t="s">
        <v>59</v>
      </c>
      <c r="D346" s="1" t="s">
        <v>32</v>
      </c>
      <c r="E346" s="1" t="s">
        <v>20</v>
      </c>
      <c r="F346">
        <v>504</v>
      </c>
      <c r="G346">
        <v>5.46</v>
      </c>
      <c r="H346">
        <v>2751.84</v>
      </c>
      <c r="I346" s="1" t="s">
        <v>57</v>
      </c>
      <c r="J346" s="1" t="s">
        <v>27</v>
      </c>
      <c r="K346" s="1" t="s">
        <v>23</v>
      </c>
      <c r="L346">
        <v>1755.51</v>
      </c>
      <c r="M346">
        <v>36.200000000000003</v>
      </c>
      <c r="N346">
        <v>2023</v>
      </c>
      <c r="O346">
        <f t="shared" si="5"/>
        <v>1</v>
      </c>
      <c r="P346" s="13" t="s">
        <v>60</v>
      </c>
      <c r="Q346">
        <v>996.33</v>
      </c>
      <c r="R346" s="3" t="s">
        <v>25</v>
      </c>
      <c r="S346" s="7">
        <f>Ventas[[#This Row],[Costo Material (€)]]/Ventas[[#This Row],[Beneficio (€)]]</f>
        <v>1.7619764535846556</v>
      </c>
      <c r="T346" s="3" t="str">
        <f>IF(Ventas[[#This Row],[Margen (%)]]&gt;20%,"Beneficio","Perdidas")</f>
        <v>Beneficio</v>
      </c>
    </row>
    <row r="347" spans="1:20" x14ac:dyDescent="0.25">
      <c r="A347" s="12">
        <v>45345</v>
      </c>
      <c r="B347" s="1" t="s">
        <v>42</v>
      </c>
      <c r="C347" s="1" t="s">
        <v>43</v>
      </c>
      <c r="D347" s="1" t="s">
        <v>48</v>
      </c>
      <c r="E347" s="1" t="s">
        <v>38</v>
      </c>
      <c r="F347">
        <v>970</v>
      </c>
      <c r="G347">
        <v>9.4499999999999993</v>
      </c>
      <c r="H347">
        <v>9166.5</v>
      </c>
      <c r="I347" s="1" t="s">
        <v>26</v>
      </c>
      <c r="J347" s="1" t="s">
        <v>47</v>
      </c>
      <c r="K347" s="1" t="s">
        <v>41</v>
      </c>
      <c r="L347">
        <v>8172.3</v>
      </c>
      <c r="M347">
        <v>10.8</v>
      </c>
      <c r="N347">
        <v>2024</v>
      </c>
      <c r="O347">
        <f t="shared" si="5"/>
        <v>1</v>
      </c>
      <c r="P347" s="13" t="s">
        <v>60</v>
      </c>
      <c r="Q347">
        <v>994.2</v>
      </c>
      <c r="R347" s="3" t="s">
        <v>29</v>
      </c>
      <c r="S347" s="7">
        <f>Ventas[[#This Row],[Costo Material (€)]]/Ventas[[#This Row],[Beneficio (€)]]</f>
        <v>8.2199758599879296</v>
      </c>
      <c r="T347" s="3" t="str">
        <f>IF(Ventas[[#This Row],[Margen (%)]]&gt;20%,"Beneficio","Perdidas")</f>
        <v>Beneficio</v>
      </c>
    </row>
    <row r="348" spans="1:20" x14ac:dyDescent="0.25">
      <c r="A348" s="12">
        <v>44932</v>
      </c>
      <c r="B348" s="1" t="s">
        <v>30</v>
      </c>
      <c r="C348" s="1" t="s">
        <v>31</v>
      </c>
      <c r="D348" s="1" t="s">
        <v>49</v>
      </c>
      <c r="E348" s="1" t="s">
        <v>50</v>
      </c>
      <c r="F348">
        <v>596</v>
      </c>
      <c r="G348">
        <v>6.25</v>
      </c>
      <c r="H348">
        <v>3725</v>
      </c>
      <c r="I348" s="1" t="s">
        <v>26</v>
      </c>
      <c r="J348" s="1" t="s">
        <v>27</v>
      </c>
      <c r="K348" s="1" t="s">
        <v>28</v>
      </c>
      <c r="L348">
        <v>2734.89</v>
      </c>
      <c r="M348">
        <v>26.6</v>
      </c>
      <c r="N348">
        <v>2023</v>
      </c>
      <c r="O348">
        <f t="shared" si="5"/>
        <v>1</v>
      </c>
      <c r="P348" s="13" t="s">
        <v>24</v>
      </c>
      <c r="Q348">
        <v>990.11</v>
      </c>
      <c r="R348" s="3" t="s">
        <v>25</v>
      </c>
      <c r="S348" s="7">
        <f>Ventas[[#This Row],[Costo Material (€)]]/Ventas[[#This Row],[Beneficio (€)]]</f>
        <v>2.7622082394885417</v>
      </c>
      <c r="T348" s="3" t="str">
        <f>IF(Ventas[[#This Row],[Margen (%)]]&gt;20%,"Beneficio","Perdidas")</f>
        <v>Beneficio</v>
      </c>
    </row>
    <row r="349" spans="1:20" x14ac:dyDescent="0.25">
      <c r="A349" s="12">
        <v>45083</v>
      </c>
      <c r="B349" s="1" t="s">
        <v>58</v>
      </c>
      <c r="C349" s="1" t="s">
        <v>59</v>
      </c>
      <c r="D349" s="1" t="s">
        <v>19</v>
      </c>
      <c r="E349" s="1" t="s">
        <v>20</v>
      </c>
      <c r="F349">
        <v>328</v>
      </c>
      <c r="G349">
        <v>8.74</v>
      </c>
      <c r="H349">
        <v>2866.72</v>
      </c>
      <c r="I349" s="1" t="s">
        <v>55</v>
      </c>
      <c r="J349" s="1" t="s">
        <v>34</v>
      </c>
      <c r="K349" s="1" t="s">
        <v>41</v>
      </c>
      <c r="L349">
        <v>1878.03</v>
      </c>
      <c r="M349">
        <v>34.5</v>
      </c>
      <c r="N349">
        <v>2023</v>
      </c>
      <c r="O349">
        <f t="shared" si="5"/>
        <v>2</v>
      </c>
      <c r="P349" s="13" t="s">
        <v>64</v>
      </c>
      <c r="Q349">
        <v>988.69</v>
      </c>
      <c r="R349" s="3" t="s">
        <v>25</v>
      </c>
      <c r="S349" s="7">
        <f>Ventas[[#This Row],[Costo Material (€)]]/Ventas[[#This Row],[Beneficio (€)]]</f>
        <v>1.8995134976585177</v>
      </c>
      <c r="T349" s="3" t="str">
        <f>IF(Ventas[[#This Row],[Margen (%)]]&gt;20%,"Beneficio","Perdidas")</f>
        <v>Beneficio</v>
      </c>
    </row>
    <row r="350" spans="1:20" x14ac:dyDescent="0.25">
      <c r="A350" s="12">
        <v>45107</v>
      </c>
      <c r="B350" s="1" t="s">
        <v>30</v>
      </c>
      <c r="C350" s="1" t="s">
        <v>31</v>
      </c>
      <c r="D350" s="1" t="s">
        <v>37</v>
      </c>
      <c r="E350" s="1" t="s">
        <v>38</v>
      </c>
      <c r="F350">
        <v>469</v>
      </c>
      <c r="G350">
        <v>10.28</v>
      </c>
      <c r="H350">
        <v>4821.32</v>
      </c>
      <c r="I350" s="1" t="s">
        <v>46</v>
      </c>
      <c r="J350" s="1" t="s">
        <v>34</v>
      </c>
      <c r="K350" s="1" t="s">
        <v>28</v>
      </c>
      <c r="L350">
        <v>3832.87</v>
      </c>
      <c r="M350">
        <v>20.5</v>
      </c>
      <c r="N350">
        <v>2023</v>
      </c>
      <c r="O350">
        <f t="shared" si="5"/>
        <v>2</v>
      </c>
      <c r="P350" s="13" t="s">
        <v>64</v>
      </c>
      <c r="Q350">
        <v>988.45</v>
      </c>
      <c r="R350" s="3" t="s">
        <v>29</v>
      </c>
      <c r="S350" s="7">
        <f>Ventas[[#This Row],[Costo Material (€)]]/Ventas[[#This Row],[Beneficio (€)]]</f>
        <v>3.8776569376296219</v>
      </c>
      <c r="T350" s="3" t="str">
        <f>IF(Ventas[[#This Row],[Margen (%)]]&gt;20%,"Beneficio","Perdidas")</f>
        <v>Beneficio</v>
      </c>
    </row>
    <row r="351" spans="1:20" x14ac:dyDescent="0.25">
      <c r="A351" s="12">
        <v>45035</v>
      </c>
      <c r="B351" s="1" t="s">
        <v>42</v>
      </c>
      <c r="C351" s="1" t="s">
        <v>43</v>
      </c>
      <c r="D351" s="1" t="s">
        <v>49</v>
      </c>
      <c r="E351" s="1" t="s">
        <v>50</v>
      </c>
      <c r="F351">
        <v>463</v>
      </c>
      <c r="G351">
        <v>5.65</v>
      </c>
      <c r="H351">
        <v>2615.9499999999998</v>
      </c>
      <c r="I351" s="1" t="s">
        <v>39</v>
      </c>
      <c r="J351" s="1" t="s">
        <v>22</v>
      </c>
      <c r="K351" s="1" t="s">
        <v>41</v>
      </c>
      <c r="L351">
        <v>1628.08</v>
      </c>
      <c r="M351">
        <v>37.799999999999997</v>
      </c>
      <c r="N351">
        <v>2023</v>
      </c>
      <c r="O351">
        <f t="shared" si="5"/>
        <v>2</v>
      </c>
      <c r="P351" s="13" t="s">
        <v>62</v>
      </c>
      <c r="Q351">
        <v>987.87</v>
      </c>
      <c r="R351" s="3" t="s">
        <v>25</v>
      </c>
      <c r="S351" s="7">
        <f>Ventas[[#This Row],[Costo Material (€)]]/Ventas[[#This Row],[Beneficio (€)]]</f>
        <v>1.6480711024729975</v>
      </c>
      <c r="T351" s="3" t="str">
        <f>IF(Ventas[[#This Row],[Margen (%)]]&gt;20%,"Beneficio","Perdidas")</f>
        <v>Beneficio</v>
      </c>
    </row>
    <row r="352" spans="1:20" x14ac:dyDescent="0.25">
      <c r="A352" s="12">
        <v>45003</v>
      </c>
      <c r="B352" s="1" t="s">
        <v>17</v>
      </c>
      <c r="C352" s="1" t="s">
        <v>18</v>
      </c>
      <c r="D352" s="1" t="s">
        <v>37</v>
      </c>
      <c r="E352" s="1" t="s">
        <v>38</v>
      </c>
      <c r="F352">
        <v>426</v>
      </c>
      <c r="G352">
        <v>5.98</v>
      </c>
      <c r="H352">
        <v>2547.48</v>
      </c>
      <c r="I352" s="1" t="s">
        <v>55</v>
      </c>
      <c r="J352" s="1" t="s">
        <v>22</v>
      </c>
      <c r="K352" s="1" t="s">
        <v>41</v>
      </c>
      <c r="L352">
        <v>1562.69</v>
      </c>
      <c r="M352">
        <v>38.700000000000003</v>
      </c>
      <c r="N352">
        <v>2023</v>
      </c>
      <c r="O352">
        <f t="shared" si="5"/>
        <v>1</v>
      </c>
      <c r="P352" s="13" t="s">
        <v>61</v>
      </c>
      <c r="Q352">
        <v>984.79</v>
      </c>
      <c r="R352" s="3" t="s">
        <v>25</v>
      </c>
      <c r="S352" s="7">
        <f>Ventas[[#This Row],[Costo Material (€)]]/Ventas[[#This Row],[Beneficio (€)]]</f>
        <v>1.5868256176443709</v>
      </c>
      <c r="T352" s="3" t="str">
        <f>IF(Ventas[[#This Row],[Margen (%)]]&gt;20%,"Beneficio","Perdidas")</f>
        <v>Beneficio</v>
      </c>
    </row>
    <row r="353" spans="1:20" x14ac:dyDescent="0.25">
      <c r="A353" s="12">
        <v>45142</v>
      </c>
      <c r="B353" s="1" t="s">
        <v>30</v>
      </c>
      <c r="C353" s="1" t="s">
        <v>31</v>
      </c>
      <c r="D353" s="1" t="s">
        <v>19</v>
      </c>
      <c r="E353" s="1" t="s">
        <v>20</v>
      </c>
      <c r="F353">
        <v>491</v>
      </c>
      <c r="G353">
        <v>6.19</v>
      </c>
      <c r="H353">
        <v>3039.29</v>
      </c>
      <c r="I353" s="1" t="s">
        <v>33</v>
      </c>
      <c r="J353" s="1" t="s">
        <v>40</v>
      </c>
      <c r="K353" s="1" t="s">
        <v>41</v>
      </c>
      <c r="L353">
        <v>2055.62</v>
      </c>
      <c r="M353">
        <v>32.4</v>
      </c>
      <c r="N353">
        <v>2023</v>
      </c>
      <c r="O353">
        <f t="shared" si="5"/>
        <v>3</v>
      </c>
      <c r="P353" s="13" t="s">
        <v>66</v>
      </c>
      <c r="Q353">
        <v>983.67</v>
      </c>
      <c r="R353" s="3" t="s">
        <v>25</v>
      </c>
      <c r="S353" s="7">
        <f>Ventas[[#This Row],[Costo Material (€)]]/Ventas[[#This Row],[Beneficio (€)]]</f>
        <v>2.0897455447456972</v>
      </c>
      <c r="T353" s="3" t="str">
        <f>IF(Ventas[[#This Row],[Margen (%)]]&gt;20%,"Beneficio","Perdidas")</f>
        <v>Beneficio</v>
      </c>
    </row>
    <row r="354" spans="1:20" x14ac:dyDescent="0.25">
      <c r="A354" s="12">
        <v>45228</v>
      </c>
      <c r="B354" s="1" t="s">
        <v>51</v>
      </c>
      <c r="C354" s="1" t="s">
        <v>52</v>
      </c>
      <c r="D354" s="1" t="s">
        <v>49</v>
      </c>
      <c r="E354" s="1" t="s">
        <v>50</v>
      </c>
      <c r="F354">
        <v>511</v>
      </c>
      <c r="G354">
        <v>11.38</v>
      </c>
      <c r="H354">
        <v>5815.18</v>
      </c>
      <c r="I354" s="1" t="s">
        <v>54</v>
      </c>
      <c r="J354" s="1" t="s">
        <v>34</v>
      </c>
      <c r="K354" s="1" t="s">
        <v>28</v>
      </c>
      <c r="L354">
        <v>4831.82</v>
      </c>
      <c r="M354">
        <v>16.899999999999999</v>
      </c>
      <c r="N354">
        <v>2023</v>
      </c>
      <c r="O354">
        <f t="shared" si="5"/>
        <v>4</v>
      </c>
      <c r="P354" s="13" t="s">
        <v>68</v>
      </c>
      <c r="Q354">
        <v>983.36</v>
      </c>
      <c r="R354" s="3" t="s">
        <v>29</v>
      </c>
      <c r="S354" s="7">
        <f>Ventas[[#This Row],[Costo Material (€)]]/Ventas[[#This Row],[Beneficio (€)]]</f>
        <v>4.9135820045558081</v>
      </c>
      <c r="T354" s="3" t="str">
        <f>IF(Ventas[[#This Row],[Margen (%)]]&gt;20%,"Beneficio","Perdidas")</f>
        <v>Beneficio</v>
      </c>
    </row>
    <row r="355" spans="1:20" x14ac:dyDescent="0.25">
      <c r="A355" s="12">
        <v>45298</v>
      </c>
      <c r="B355" s="1" t="s">
        <v>42</v>
      </c>
      <c r="C355" s="1" t="s">
        <v>43</v>
      </c>
      <c r="D355" s="1" t="s">
        <v>37</v>
      </c>
      <c r="E355" s="1" t="s">
        <v>38</v>
      </c>
      <c r="F355">
        <v>348</v>
      </c>
      <c r="G355">
        <v>9.26</v>
      </c>
      <c r="H355">
        <v>3222.48</v>
      </c>
      <c r="I355" s="1" t="s">
        <v>46</v>
      </c>
      <c r="J355" s="1" t="s">
        <v>47</v>
      </c>
      <c r="K355" s="1" t="s">
        <v>28</v>
      </c>
      <c r="L355">
        <v>2244.12</v>
      </c>
      <c r="M355">
        <v>30.4</v>
      </c>
      <c r="N355">
        <v>2024</v>
      </c>
      <c r="O355">
        <f t="shared" si="5"/>
        <v>1</v>
      </c>
      <c r="P355" s="13" t="s">
        <v>24</v>
      </c>
      <c r="Q355">
        <v>978.36</v>
      </c>
      <c r="R355" s="3" t="s">
        <v>25</v>
      </c>
      <c r="S355" s="7">
        <f>Ventas[[#This Row],[Costo Material (€)]]/Ventas[[#This Row],[Beneficio (€)]]</f>
        <v>2.2937568993008708</v>
      </c>
      <c r="T355" s="3" t="str">
        <f>IF(Ventas[[#This Row],[Margen (%)]]&gt;20%,"Beneficio","Perdidas")</f>
        <v>Beneficio</v>
      </c>
    </row>
    <row r="356" spans="1:20" x14ac:dyDescent="0.25">
      <c r="A356" s="12">
        <v>45146</v>
      </c>
      <c r="B356" s="1" t="s">
        <v>58</v>
      </c>
      <c r="C356" s="1" t="s">
        <v>59</v>
      </c>
      <c r="D356" s="1" t="s">
        <v>48</v>
      </c>
      <c r="E356" s="1" t="s">
        <v>38</v>
      </c>
      <c r="F356">
        <v>660</v>
      </c>
      <c r="G356">
        <v>5.28</v>
      </c>
      <c r="H356">
        <v>3484.8</v>
      </c>
      <c r="I356" s="1" t="s">
        <v>55</v>
      </c>
      <c r="J356" s="1" t="s">
        <v>40</v>
      </c>
      <c r="K356" s="1" t="s">
        <v>23</v>
      </c>
      <c r="L356">
        <v>2507.59</v>
      </c>
      <c r="M356">
        <v>28</v>
      </c>
      <c r="N356">
        <v>2023</v>
      </c>
      <c r="O356">
        <f t="shared" si="5"/>
        <v>3</v>
      </c>
      <c r="P356" s="13" t="s">
        <v>66</v>
      </c>
      <c r="Q356">
        <v>977.21</v>
      </c>
      <c r="R356" s="3" t="s">
        <v>25</v>
      </c>
      <c r="S356" s="7">
        <f>Ventas[[#This Row],[Costo Material (€)]]/Ventas[[#This Row],[Beneficio (€)]]</f>
        <v>2.5660707524482969</v>
      </c>
      <c r="T356" s="3" t="str">
        <f>IF(Ventas[[#This Row],[Margen (%)]]&gt;20%,"Beneficio","Perdidas")</f>
        <v>Beneficio</v>
      </c>
    </row>
    <row r="357" spans="1:20" x14ac:dyDescent="0.25">
      <c r="A357" s="12">
        <v>45055</v>
      </c>
      <c r="B357" s="1" t="s">
        <v>17</v>
      </c>
      <c r="C357" s="1" t="s">
        <v>18</v>
      </c>
      <c r="D357" s="1" t="s">
        <v>53</v>
      </c>
      <c r="E357" s="1" t="s">
        <v>50</v>
      </c>
      <c r="F357">
        <v>372</v>
      </c>
      <c r="G357">
        <v>10.29</v>
      </c>
      <c r="H357">
        <v>3827.88</v>
      </c>
      <c r="I357" s="1" t="s">
        <v>55</v>
      </c>
      <c r="J357" s="1" t="s">
        <v>27</v>
      </c>
      <c r="K357" s="1" t="s">
        <v>41</v>
      </c>
      <c r="L357">
        <v>2851.42</v>
      </c>
      <c r="M357">
        <v>25.5</v>
      </c>
      <c r="N357">
        <v>2023</v>
      </c>
      <c r="O357">
        <f t="shared" si="5"/>
        <v>2</v>
      </c>
      <c r="P357" s="13" t="s">
        <v>63</v>
      </c>
      <c r="Q357">
        <v>976.46</v>
      </c>
      <c r="R357" s="3" t="s">
        <v>25</v>
      </c>
      <c r="S357" s="7">
        <f>Ventas[[#This Row],[Costo Material (€)]]/Ventas[[#This Row],[Beneficio (€)]]</f>
        <v>2.9201605800544823</v>
      </c>
      <c r="T357" s="3" t="str">
        <f>IF(Ventas[[#This Row],[Margen (%)]]&gt;20%,"Beneficio","Perdidas")</f>
        <v>Beneficio</v>
      </c>
    </row>
    <row r="358" spans="1:20" x14ac:dyDescent="0.25">
      <c r="A358" s="12">
        <v>45064</v>
      </c>
      <c r="B358" s="1" t="s">
        <v>51</v>
      </c>
      <c r="C358" s="1" t="s">
        <v>52</v>
      </c>
      <c r="D358" s="1" t="s">
        <v>48</v>
      </c>
      <c r="E358" s="1" t="s">
        <v>38</v>
      </c>
      <c r="F358">
        <v>600</v>
      </c>
      <c r="G358">
        <v>10.11</v>
      </c>
      <c r="H358">
        <v>6066</v>
      </c>
      <c r="I358" s="1" t="s">
        <v>54</v>
      </c>
      <c r="J358" s="1" t="s">
        <v>40</v>
      </c>
      <c r="K358" s="1" t="s">
        <v>23</v>
      </c>
      <c r="L358">
        <v>5092.08</v>
      </c>
      <c r="M358">
        <v>16.100000000000001</v>
      </c>
      <c r="N358">
        <v>2023</v>
      </c>
      <c r="O358">
        <f t="shared" si="5"/>
        <v>2</v>
      </c>
      <c r="P358" s="13" t="s">
        <v>63</v>
      </c>
      <c r="Q358">
        <v>973.92</v>
      </c>
      <c r="R358" s="3" t="s">
        <v>29</v>
      </c>
      <c r="S358" s="7">
        <f>Ventas[[#This Row],[Costo Material (€)]]/Ventas[[#This Row],[Beneficio (€)]]</f>
        <v>5.2284376540167568</v>
      </c>
      <c r="T358" s="3" t="str">
        <f>IF(Ventas[[#This Row],[Margen (%)]]&gt;20%,"Beneficio","Perdidas")</f>
        <v>Beneficio</v>
      </c>
    </row>
    <row r="359" spans="1:20" x14ac:dyDescent="0.25">
      <c r="A359" s="12">
        <v>44942</v>
      </c>
      <c r="B359" s="1" t="s">
        <v>30</v>
      </c>
      <c r="C359" s="1" t="s">
        <v>31</v>
      </c>
      <c r="D359" s="1" t="s">
        <v>48</v>
      </c>
      <c r="E359" s="1" t="s">
        <v>38</v>
      </c>
      <c r="F359">
        <v>700</v>
      </c>
      <c r="G359">
        <v>7.18</v>
      </c>
      <c r="H359">
        <v>5026</v>
      </c>
      <c r="I359" s="1" t="s">
        <v>33</v>
      </c>
      <c r="J359" s="1" t="s">
        <v>27</v>
      </c>
      <c r="K359" s="1" t="s">
        <v>41</v>
      </c>
      <c r="L359">
        <v>4053.1</v>
      </c>
      <c r="M359">
        <v>19.399999999999999</v>
      </c>
      <c r="N359">
        <v>2023</v>
      </c>
      <c r="O359">
        <f t="shared" si="5"/>
        <v>1</v>
      </c>
      <c r="P359" s="13" t="s">
        <v>24</v>
      </c>
      <c r="Q359">
        <v>972.9</v>
      </c>
      <c r="R359" s="3" t="s">
        <v>29</v>
      </c>
      <c r="S359" s="7">
        <f>Ventas[[#This Row],[Costo Material (€)]]/Ventas[[#This Row],[Beneficio (€)]]</f>
        <v>4.1659985610031862</v>
      </c>
      <c r="T359" s="3" t="str">
        <f>IF(Ventas[[#This Row],[Margen (%)]]&gt;20%,"Beneficio","Perdidas")</f>
        <v>Beneficio</v>
      </c>
    </row>
    <row r="360" spans="1:20" x14ac:dyDescent="0.25">
      <c r="A360" s="12">
        <v>45039</v>
      </c>
      <c r="B360" s="1" t="s">
        <v>58</v>
      </c>
      <c r="C360" s="1" t="s">
        <v>59</v>
      </c>
      <c r="D360" s="1" t="s">
        <v>53</v>
      </c>
      <c r="E360" s="1" t="s">
        <v>50</v>
      </c>
      <c r="F360">
        <v>571</v>
      </c>
      <c r="G360">
        <v>4.95</v>
      </c>
      <c r="H360">
        <v>2826.45</v>
      </c>
      <c r="I360" s="1" t="s">
        <v>55</v>
      </c>
      <c r="J360" s="1" t="s">
        <v>56</v>
      </c>
      <c r="K360" s="1" t="s">
        <v>23</v>
      </c>
      <c r="L360">
        <v>1859.88</v>
      </c>
      <c r="M360">
        <v>34.200000000000003</v>
      </c>
      <c r="N360">
        <v>2023</v>
      </c>
      <c r="O360">
        <f t="shared" si="5"/>
        <v>2</v>
      </c>
      <c r="P360" s="13" t="s">
        <v>62</v>
      </c>
      <c r="Q360">
        <v>966.57</v>
      </c>
      <c r="R360" s="3" t="s">
        <v>25</v>
      </c>
      <c r="S360" s="7">
        <f>Ventas[[#This Row],[Costo Material (€)]]/Ventas[[#This Row],[Beneficio (€)]]</f>
        <v>1.9242062137248208</v>
      </c>
      <c r="T360" s="3" t="str">
        <f>IF(Ventas[[#This Row],[Margen (%)]]&gt;20%,"Beneficio","Perdidas")</f>
        <v>Beneficio</v>
      </c>
    </row>
    <row r="361" spans="1:20" x14ac:dyDescent="0.25">
      <c r="A361" s="12">
        <v>45046</v>
      </c>
      <c r="B361" s="1" t="s">
        <v>42</v>
      </c>
      <c r="C361" s="1" t="s">
        <v>43</v>
      </c>
      <c r="D361" s="1" t="s">
        <v>49</v>
      </c>
      <c r="E361" s="1" t="s">
        <v>50</v>
      </c>
      <c r="F361">
        <v>702</v>
      </c>
      <c r="G361">
        <v>11.79</v>
      </c>
      <c r="H361">
        <v>8276.58</v>
      </c>
      <c r="I361" s="1" t="s">
        <v>39</v>
      </c>
      <c r="J361" s="1" t="s">
        <v>56</v>
      </c>
      <c r="K361" s="1" t="s">
        <v>28</v>
      </c>
      <c r="L361">
        <v>7310.19</v>
      </c>
      <c r="M361">
        <v>11.7</v>
      </c>
      <c r="N361">
        <v>2023</v>
      </c>
      <c r="O361">
        <f t="shared" si="5"/>
        <v>2</v>
      </c>
      <c r="P361" s="13" t="s">
        <v>62</v>
      </c>
      <c r="Q361">
        <v>966.39</v>
      </c>
      <c r="R361" s="3" t="s">
        <v>29</v>
      </c>
      <c r="S361" s="7">
        <f>Ventas[[#This Row],[Costo Material (€)]]/Ventas[[#This Row],[Beneficio (€)]]</f>
        <v>7.564430509421662</v>
      </c>
      <c r="T361" s="3" t="str">
        <f>IF(Ventas[[#This Row],[Margen (%)]]&gt;20%,"Beneficio","Perdidas")</f>
        <v>Beneficio</v>
      </c>
    </row>
    <row r="362" spans="1:20" x14ac:dyDescent="0.25">
      <c r="A362" s="12">
        <v>44939</v>
      </c>
      <c r="B362" s="1" t="s">
        <v>51</v>
      </c>
      <c r="C362" s="1" t="s">
        <v>52</v>
      </c>
      <c r="D362" s="1" t="s">
        <v>19</v>
      </c>
      <c r="E362" s="1" t="s">
        <v>20</v>
      </c>
      <c r="F362">
        <v>379</v>
      </c>
      <c r="G362">
        <v>8.59</v>
      </c>
      <c r="H362">
        <v>3255.61</v>
      </c>
      <c r="I362" s="1" t="s">
        <v>55</v>
      </c>
      <c r="J362" s="1" t="s">
        <v>40</v>
      </c>
      <c r="K362" s="1" t="s">
        <v>41</v>
      </c>
      <c r="L362">
        <v>2291.33</v>
      </c>
      <c r="M362">
        <v>29.6</v>
      </c>
      <c r="N362">
        <v>2023</v>
      </c>
      <c r="O362">
        <f t="shared" si="5"/>
        <v>1</v>
      </c>
      <c r="P362" s="13" t="s">
        <v>24</v>
      </c>
      <c r="Q362">
        <v>964.28</v>
      </c>
      <c r="R362" s="3" t="s">
        <v>25</v>
      </c>
      <c r="S362" s="7">
        <f>Ventas[[#This Row],[Costo Material (€)]]/Ventas[[#This Row],[Beneficio (€)]]</f>
        <v>2.3762081553075869</v>
      </c>
      <c r="T362" s="3" t="str">
        <f>IF(Ventas[[#This Row],[Margen (%)]]&gt;20%,"Beneficio","Perdidas")</f>
        <v>Beneficio</v>
      </c>
    </row>
    <row r="363" spans="1:20" x14ac:dyDescent="0.25">
      <c r="A363" s="12">
        <v>45056</v>
      </c>
      <c r="B363" s="1" t="s">
        <v>58</v>
      </c>
      <c r="C363" s="1" t="s">
        <v>59</v>
      </c>
      <c r="D363" s="1" t="s">
        <v>32</v>
      </c>
      <c r="E363" s="1" t="s">
        <v>20</v>
      </c>
      <c r="F363">
        <v>915</v>
      </c>
      <c r="G363">
        <v>5.38</v>
      </c>
      <c r="H363">
        <v>4922.7</v>
      </c>
      <c r="I363" s="1" t="s">
        <v>26</v>
      </c>
      <c r="J363" s="1" t="s">
        <v>27</v>
      </c>
      <c r="K363" s="1" t="s">
        <v>28</v>
      </c>
      <c r="L363">
        <v>3958.78</v>
      </c>
      <c r="M363">
        <v>19.600000000000001</v>
      </c>
      <c r="N363">
        <v>2023</v>
      </c>
      <c r="O363">
        <f t="shared" si="5"/>
        <v>2</v>
      </c>
      <c r="P363" s="13" t="s">
        <v>63</v>
      </c>
      <c r="Q363">
        <v>963.92</v>
      </c>
      <c r="R363" s="3" t="s">
        <v>29</v>
      </c>
      <c r="S363" s="7">
        <f>Ventas[[#This Row],[Costo Material (€)]]/Ventas[[#This Row],[Beneficio (€)]]</f>
        <v>4.1069590837413896</v>
      </c>
      <c r="T363" s="3" t="str">
        <f>IF(Ventas[[#This Row],[Margen (%)]]&gt;20%,"Beneficio","Perdidas")</f>
        <v>Beneficio</v>
      </c>
    </row>
    <row r="364" spans="1:20" x14ac:dyDescent="0.25">
      <c r="A364" s="12">
        <v>45132</v>
      </c>
      <c r="B364" s="1" t="s">
        <v>35</v>
      </c>
      <c r="C364" s="1" t="s">
        <v>36</v>
      </c>
      <c r="D364" s="1" t="s">
        <v>53</v>
      </c>
      <c r="E364" s="1" t="s">
        <v>50</v>
      </c>
      <c r="F364">
        <v>730</v>
      </c>
      <c r="G364">
        <v>6.28</v>
      </c>
      <c r="H364">
        <v>4584.3999999999996</v>
      </c>
      <c r="I364" s="1" t="s">
        <v>33</v>
      </c>
      <c r="J364" s="1" t="s">
        <v>22</v>
      </c>
      <c r="K364" s="1" t="s">
        <v>28</v>
      </c>
      <c r="L364">
        <v>3622.66</v>
      </c>
      <c r="M364">
        <v>21</v>
      </c>
      <c r="N364">
        <v>2023</v>
      </c>
      <c r="O364">
        <f t="shared" si="5"/>
        <v>3</v>
      </c>
      <c r="P364" s="13" t="s">
        <v>65</v>
      </c>
      <c r="Q364">
        <v>961.74</v>
      </c>
      <c r="R364" s="3" t="s">
        <v>29</v>
      </c>
      <c r="S364" s="7">
        <f>Ventas[[#This Row],[Costo Material (€)]]/Ventas[[#This Row],[Beneficio (€)]]</f>
        <v>3.7667768835652047</v>
      </c>
      <c r="T364" s="3" t="str">
        <f>IF(Ventas[[#This Row],[Margen (%)]]&gt;20%,"Beneficio","Perdidas")</f>
        <v>Beneficio</v>
      </c>
    </row>
    <row r="365" spans="1:20" x14ac:dyDescent="0.25">
      <c r="A365" s="12">
        <v>45244</v>
      </c>
      <c r="B365" s="1" t="s">
        <v>17</v>
      </c>
      <c r="C365" s="1" t="s">
        <v>18</v>
      </c>
      <c r="D365" s="1" t="s">
        <v>44</v>
      </c>
      <c r="E365" s="1" t="s">
        <v>38</v>
      </c>
      <c r="F365">
        <v>442</v>
      </c>
      <c r="G365">
        <v>8.7899999999999991</v>
      </c>
      <c r="H365">
        <v>3885.18</v>
      </c>
      <c r="I365" s="1" t="s">
        <v>54</v>
      </c>
      <c r="J365" s="1" t="s">
        <v>34</v>
      </c>
      <c r="K365" s="1" t="s">
        <v>23</v>
      </c>
      <c r="L365">
        <v>2928.21</v>
      </c>
      <c r="M365">
        <v>24.6</v>
      </c>
      <c r="N365">
        <v>2023</v>
      </c>
      <c r="O365">
        <f t="shared" si="5"/>
        <v>4</v>
      </c>
      <c r="P365" s="13" t="s">
        <v>69</v>
      </c>
      <c r="Q365">
        <v>956.97</v>
      </c>
      <c r="R365" s="3" t="s">
        <v>29</v>
      </c>
      <c r="S365" s="7">
        <f>Ventas[[#This Row],[Costo Material (€)]]/Ventas[[#This Row],[Beneficio (€)]]</f>
        <v>3.0598764851562743</v>
      </c>
      <c r="T365" s="3" t="str">
        <f>IF(Ventas[[#This Row],[Margen (%)]]&gt;20%,"Beneficio","Perdidas")</f>
        <v>Beneficio</v>
      </c>
    </row>
    <row r="366" spans="1:20" x14ac:dyDescent="0.25">
      <c r="A366" s="12">
        <v>44954</v>
      </c>
      <c r="B366" s="1" t="s">
        <v>35</v>
      </c>
      <c r="C366" s="1" t="s">
        <v>36</v>
      </c>
      <c r="D366" s="1" t="s">
        <v>37</v>
      </c>
      <c r="E366" s="1" t="s">
        <v>38</v>
      </c>
      <c r="F366">
        <v>850</v>
      </c>
      <c r="G366">
        <v>5.83</v>
      </c>
      <c r="H366">
        <v>4955.5</v>
      </c>
      <c r="I366" s="1" t="s">
        <v>21</v>
      </c>
      <c r="J366" s="1" t="s">
        <v>40</v>
      </c>
      <c r="K366" s="1" t="s">
        <v>23</v>
      </c>
      <c r="L366">
        <v>3999.01</v>
      </c>
      <c r="M366">
        <v>19.3</v>
      </c>
      <c r="N366">
        <v>2023</v>
      </c>
      <c r="O366">
        <f t="shared" si="5"/>
        <v>1</v>
      </c>
      <c r="P366" s="13" t="s">
        <v>24</v>
      </c>
      <c r="Q366">
        <v>956.49</v>
      </c>
      <c r="R366" s="3" t="s">
        <v>29</v>
      </c>
      <c r="S366" s="7">
        <f>Ventas[[#This Row],[Costo Material (€)]]/Ventas[[#This Row],[Beneficio (€)]]</f>
        <v>4.1809219124089116</v>
      </c>
      <c r="T366" s="3" t="str">
        <f>IF(Ventas[[#This Row],[Margen (%)]]&gt;20%,"Beneficio","Perdidas")</f>
        <v>Beneficio</v>
      </c>
    </row>
    <row r="367" spans="1:20" x14ac:dyDescent="0.25">
      <c r="A367" s="12">
        <v>44964</v>
      </c>
      <c r="B367" s="1" t="s">
        <v>51</v>
      </c>
      <c r="C367" s="1" t="s">
        <v>52</v>
      </c>
      <c r="D367" s="1" t="s">
        <v>48</v>
      </c>
      <c r="E367" s="1" t="s">
        <v>38</v>
      </c>
      <c r="F367">
        <v>671</v>
      </c>
      <c r="G367">
        <v>10.88</v>
      </c>
      <c r="H367">
        <v>7300.48</v>
      </c>
      <c r="I367" s="1" t="s">
        <v>57</v>
      </c>
      <c r="J367" s="1" t="s">
        <v>47</v>
      </c>
      <c r="K367" s="1" t="s">
        <v>23</v>
      </c>
      <c r="L367">
        <v>6347.37</v>
      </c>
      <c r="M367">
        <v>13.1</v>
      </c>
      <c r="N367">
        <v>2023</v>
      </c>
      <c r="O367">
        <f t="shared" si="5"/>
        <v>1</v>
      </c>
      <c r="P367" s="13" t="s">
        <v>60</v>
      </c>
      <c r="Q367">
        <v>953.11</v>
      </c>
      <c r="R367" s="3" t="s">
        <v>29</v>
      </c>
      <c r="S367" s="7">
        <f>Ventas[[#This Row],[Costo Material (€)]]/Ventas[[#This Row],[Beneficio (€)]]</f>
        <v>6.6596405451626781</v>
      </c>
      <c r="T367" s="3" t="str">
        <f>IF(Ventas[[#This Row],[Margen (%)]]&gt;20%,"Beneficio","Perdidas")</f>
        <v>Beneficio</v>
      </c>
    </row>
    <row r="368" spans="1:20" x14ac:dyDescent="0.25">
      <c r="A368" s="12">
        <v>44929</v>
      </c>
      <c r="B368" s="1" t="s">
        <v>17</v>
      </c>
      <c r="C368" s="1" t="s">
        <v>18</v>
      </c>
      <c r="D368" s="1" t="s">
        <v>48</v>
      </c>
      <c r="E368" s="1" t="s">
        <v>38</v>
      </c>
      <c r="F368">
        <v>889</v>
      </c>
      <c r="G368">
        <v>6.26</v>
      </c>
      <c r="H368">
        <v>5565.14</v>
      </c>
      <c r="I368" s="1" t="s">
        <v>33</v>
      </c>
      <c r="J368" s="1" t="s">
        <v>22</v>
      </c>
      <c r="K368" s="1" t="s">
        <v>23</v>
      </c>
      <c r="L368">
        <v>4612.24</v>
      </c>
      <c r="M368">
        <v>17.100000000000001</v>
      </c>
      <c r="N368">
        <v>2023</v>
      </c>
      <c r="O368">
        <f t="shared" si="5"/>
        <v>1</v>
      </c>
      <c r="P368" s="13" t="s">
        <v>24</v>
      </c>
      <c r="Q368">
        <v>952.9</v>
      </c>
      <c r="R368" s="3" t="s">
        <v>29</v>
      </c>
      <c r="S368" s="7">
        <f>Ventas[[#This Row],[Costo Material (€)]]/Ventas[[#This Row],[Beneficio (€)]]</f>
        <v>4.8402140833245877</v>
      </c>
      <c r="T368" s="3" t="str">
        <f>IF(Ventas[[#This Row],[Margen (%)]]&gt;20%,"Beneficio","Perdidas")</f>
        <v>Beneficio</v>
      </c>
    </row>
    <row r="369" spans="1:20" x14ac:dyDescent="0.25">
      <c r="A369" s="12">
        <v>45069</v>
      </c>
      <c r="B369" s="1" t="s">
        <v>30</v>
      </c>
      <c r="C369" s="1" t="s">
        <v>31</v>
      </c>
      <c r="D369" s="1" t="s">
        <v>44</v>
      </c>
      <c r="E369" s="1" t="s">
        <v>38</v>
      </c>
      <c r="F369">
        <v>847</v>
      </c>
      <c r="G369">
        <v>3.56</v>
      </c>
      <c r="H369">
        <v>3015.32</v>
      </c>
      <c r="I369" s="1" t="s">
        <v>21</v>
      </c>
      <c r="J369" s="1" t="s">
        <v>47</v>
      </c>
      <c r="K369" s="1" t="s">
        <v>28</v>
      </c>
      <c r="L369">
        <v>2062.65</v>
      </c>
      <c r="M369">
        <v>31.6</v>
      </c>
      <c r="N369">
        <v>2023</v>
      </c>
      <c r="O369">
        <f t="shared" si="5"/>
        <v>2</v>
      </c>
      <c r="P369" s="13" t="s">
        <v>63</v>
      </c>
      <c r="Q369">
        <v>952.67</v>
      </c>
      <c r="R369" s="3" t="s">
        <v>25</v>
      </c>
      <c r="S369" s="7">
        <f>Ventas[[#This Row],[Costo Material (€)]]/Ventas[[#This Row],[Beneficio (€)]]</f>
        <v>2.1651253844458207</v>
      </c>
      <c r="T369" s="3" t="str">
        <f>IF(Ventas[[#This Row],[Margen (%)]]&gt;20%,"Beneficio","Perdidas")</f>
        <v>Beneficio</v>
      </c>
    </row>
    <row r="370" spans="1:20" x14ac:dyDescent="0.25">
      <c r="A370" s="12">
        <v>44943</v>
      </c>
      <c r="B370" s="1" t="s">
        <v>42</v>
      </c>
      <c r="C370" s="1" t="s">
        <v>43</v>
      </c>
      <c r="D370" s="1" t="s">
        <v>53</v>
      </c>
      <c r="E370" s="1" t="s">
        <v>50</v>
      </c>
      <c r="F370">
        <v>685</v>
      </c>
      <c r="G370">
        <v>6.56</v>
      </c>
      <c r="H370">
        <v>4493.6000000000004</v>
      </c>
      <c r="I370" s="1" t="s">
        <v>55</v>
      </c>
      <c r="J370" s="1" t="s">
        <v>27</v>
      </c>
      <c r="K370" s="1" t="s">
        <v>28</v>
      </c>
      <c r="L370">
        <v>3546.29</v>
      </c>
      <c r="M370">
        <v>21.1</v>
      </c>
      <c r="N370">
        <v>2023</v>
      </c>
      <c r="O370">
        <f t="shared" si="5"/>
        <v>1</v>
      </c>
      <c r="P370" s="13" t="s">
        <v>24</v>
      </c>
      <c r="Q370">
        <v>947.31</v>
      </c>
      <c r="R370" s="3" t="s">
        <v>29</v>
      </c>
      <c r="S370" s="7">
        <f>Ventas[[#This Row],[Costo Material (€)]]/Ventas[[#This Row],[Beneficio (€)]]</f>
        <v>3.7435369625571355</v>
      </c>
      <c r="T370" s="3" t="str">
        <f>IF(Ventas[[#This Row],[Margen (%)]]&gt;20%,"Beneficio","Perdidas")</f>
        <v>Beneficio</v>
      </c>
    </row>
    <row r="371" spans="1:20" x14ac:dyDescent="0.25">
      <c r="A371" s="12">
        <v>45039</v>
      </c>
      <c r="B371" s="1" t="s">
        <v>51</v>
      </c>
      <c r="C371" s="1" t="s">
        <v>52</v>
      </c>
      <c r="D371" s="1" t="s">
        <v>32</v>
      </c>
      <c r="E371" s="1" t="s">
        <v>20</v>
      </c>
      <c r="F371">
        <v>346</v>
      </c>
      <c r="G371">
        <v>7.58</v>
      </c>
      <c r="H371">
        <v>2622.68</v>
      </c>
      <c r="I371" s="1" t="s">
        <v>26</v>
      </c>
      <c r="J371" s="1" t="s">
        <v>47</v>
      </c>
      <c r="K371" s="1" t="s">
        <v>23</v>
      </c>
      <c r="L371">
        <v>1676.57</v>
      </c>
      <c r="M371">
        <v>36.1</v>
      </c>
      <c r="N371">
        <v>2023</v>
      </c>
      <c r="O371">
        <f t="shared" si="5"/>
        <v>2</v>
      </c>
      <c r="P371" s="13" t="s">
        <v>62</v>
      </c>
      <c r="Q371">
        <v>946.11</v>
      </c>
      <c r="R371" s="3" t="s">
        <v>25</v>
      </c>
      <c r="S371" s="7">
        <f>Ventas[[#This Row],[Costo Material (€)]]/Ventas[[#This Row],[Beneficio (€)]]</f>
        <v>1.7720666730084238</v>
      </c>
      <c r="T371" s="3" t="str">
        <f>IF(Ventas[[#This Row],[Margen (%)]]&gt;20%,"Beneficio","Perdidas")</f>
        <v>Beneficio</v>
      </c>
    </row>
    <row r="372" spans="1:20" x14ac:dyDescent="0.25">
      <c r="A372" s="12">
        <v>45253</v>
      </c>
      <c r="B372" s="1" t="s">
        <v>58</v>
      </c>
      <c r="C372" s="1" t="s">
        <v>59</v>
      </c>
      <c r="D372" s="1" t="s">
        <v>48</v>
      </c>
      <c r="E372" s="1" t="s">
        <v>38</v>
      </c>
      <c r="F372">
        <v>564</v>
      </c>
      <c r="G372">
        <v>9.3699999999999992</v>
      </c>
      <c r="H372">
        <v>5284.68</v>
      </c>
      <c r="I372" s="1" t="s">
        <v>39</v>
      </c>
      <c r="J372" s="1" t="s">
        <v>56</v>
      </c>
      <c r="K372" s="1" t="s">
        <v>41</v>
      </c>
      <c r="L372">
        <v>4341.97</v>
      </c>
      <c r="M372">
        <v>17.8</v>
      </c>
      <c r="N372">
        <v>2023</v>
      </c>
      <c r="O372">
        <f t="shared" si="5"/>
        <v>4</v>
      </c>
      <c r="P372" s="13" t="s">
        <v>69</v>
      </c>
      <c r="Q372">
        <v>942.71</v>
      </c>
      <c r="R372" s="3" t="s">
        <v>29</v>
      </c>
      <c r="S372" s="7">
        <f>Ventas[[#This Row],[Costo Material (€)]]/Ventas[[#This Row],[Beneficio (€)]]</f>
        <v>4.6058384869153821</v>
      </c>
      <c r="T372" s="3" t="str">
        <f>IF(Ventas[[#This Row],[Margen (%)]]&gt;20%,"Beneficio","Perdidas")</f>
        <v>Beneficio</v>
      </c>
    </row>
    <row r="373" spans="1:20" x14ac:dyDescent="0.25">
      <c r="A373" s="12">
        <v>45698</v>
      </c>
      <c r="B373" s="1" t="s">
        <v>58</v>
      </c>
      <c r="C373" s="1" t="s">
        <v>59</v>
      </c>
      <c r="D373" s="1" t="s">
        <v>19</v>
      </c>
      <c r="E373" s="1" t="s">
        <v>20</v>
      </c>
      <c r="F373">
        <v>569</v>
      </c>
      <c r="G373">
        <v>6.67</v>
      </c>
      <c r="H373">
        <v>3795.23</v>
      </c>
      <c r="I373" s="1" t="s">
        <v>39</v>
      </c>
      <c r="J373" s="1" t="s">
        <v>27</v>
      </c>
      <c r="K373" s="1" t="s">
        <v>23</v>
      </c>
      <c r="L373">
        <v>2853.9</v>
      </c>
      <c r="M373">
        <v>24.8</v>
      </c>
      <c r="N373">
        <v>2025</v>
      </c>
      <c r="O373">
        <f t="shared" si="5"/>
        <v>1</v>
      </c>
      <c r="P373" s="13" t="s">
        <v>60</v>
      </c>
      <c r="Q373">
        <v>941.33</v>
      </c>
      <c r="R373" s="3" t="s">
        <v>29</v>
      </c>
      <c r="S373" s="7">
        <f>Ventas[[#This Row],[Costo Material (€)]]/Ventas[[#This Row],[Beneficio (€)]]</f>
        <v>3.0317741918349568</v>
      </c>
      <c r="T373" s="3" t="str">
        <f>IF(Ventas[[#This Row],[Margen (%)]]&gt;20%,"Beneficio","Perdidas")</f>
        <v>Beneficio</v>
      </c>
    </row>
    <row r="374" spans="1:20" x14ac:dyDescent="0.25">
      <c r="A374" s="12">
        <v>44965</v>
      </c>
      <c r="B374" s="1" t="s">
        <v>51</v>
      </c>
      <c r="C374" s="1" t="s">
        <v>52</v>
      </c>
      <c r="D374" s="1" t="s">
        <v>53</v>
      </c>
      <c r="E374" s="1" t="s">
        <v>50</v>
      </c>
      <c r="F374">
        <v>633</v>
      </c>
      <c r="G374">
        <v>4.0999999999999996</v>
      </c>
      <c r="H374">
        <v>2595.3000000000002</v>
      </c>
      <c r="I374" s="1" t="s">
        <v>55</v>
      </c>
      <c r="J374" s="1" t="s">
        <v>22</v>
      </c>
      <c r="K374" s="1" t="s">
        <v>28</v>
      </c>
      <c r="L374">
        <v>1655.82</v>
      </c>
      <c r="M374">
        <v>36.200000000000003</v>
      </c>
      <c r="N374">
        <v>2023</v>
      </c>
      <c r="O374">
        <f t="shared" si="5"/>
        <v>1</v>
      </c>
      <c r="P374" s="13" t="s">
        <v>60</v>
      </c>
      <c r="Q374">
        <v>939.48</v>
      </c>
      <c r="R374" s="3" t="s">
        <v>25</v>
      </c>
      <c r="S374" s="7">
        <f>Ventas[[#This Row],[Costo Material (€)]]/Ventas[[#This Row],[Beneficio (€)]]</f>
        <v>1.7624856303487035</v>
      </c>
      <c r="T374" s="3" t="str">
        <f>IF(Ventas[[#This Row],[Margen (%)]]&gt;20%,"Beneficio","Perdidas")</f>
        <v>Beneficio</v>
      </c>
    </row>
    <row r="375" spans="1:20" x14ac:dyDescent="0.25">
      <c r="A375" s="12">
        <v>44953</v>
      </c>
      <c r="B375" s="1" t="s">
        <v>17</v>
      </c>
      <c r="C375" s="1" t="s">
        <v>18</v>
      </c>
      <c r="D375" s="1" t="s">
        <v>32</v>
      </c>
      <c r="E375" s="1" t="s">
        <v>20</v>
      </c>
      <c r="F375">
        <v>431</v>
      </c>
      <c r="G375">
        <v>8.06</v>
      </c>
      <c r="H375">
        <v>3473.86</v>
      </c>
      <c r="I375" s="1" t="s">
        <v>55</v>
      </c>
      <c r="J375" s="1" t="s">
        <v>47</v>
      </c>
      <c r="K375" s="1" t="s">
        <v>23</v>
      </c>
      <c r="L375">
        <v>2535.63</v>
      </c>
      <c r="M375">
        <v>27</v>
      </c>
      <c r="N375">
        <v>2023</v>
      </c>
      <c r="O375">
        <f t="shared" si="5"/>
        <v>1</v>
      </c>
      <c r="P375" s="13" t="s">
        <v>24</v>
      </c>
      <c r="Q375">
        <v>938.23</v>
      </c>
      <c r="R375" s="3" t="s">
        <v>25</v>
      </c>
      <c r="S375" s="7">
        <f>Ventas[[#This Row],[Costo Material (€)]]/Ventas[[#This Row],[Beneficio (€)]]</f>
        <v>2.7025676006949255</v>
      </c>
      <c r="T375" s="3" t="str">
        <f>IF(Ventas[[#This Row],[Margen (%)]]&gt;20%,"Beneficio","Perdidas")</f>
        <v>Beneficio</v>
      </c>
    </row>
    <row r="376" spans="1:20" x14ac:dyDescent="0.25">
      <c r="A376" s="12">
        <v>45024</v>
      </c>
      <c r="B376" s="1" t="s">
        <v>17</v>
      </c>
      <c r="C376" s="1" t="s">
        <v>18</v>
      </c>
      <c r="D376" s="1" t="s">
        <v>53</v>
      </c>
      <c r="E376" s="1" t="s">
        <v>50</v>
      </c>
      <c r="F376">
        <v>659</v>
      </c>
      <c r="G376">
        <v>9.0399999999999991</v>
      </c>
      <c r="H376">
        <v>5957.36</v>
      </c>
      <c r="I376" s="1" t="s">
        <v>46</v>
      </c>
      <c r="J376" s="1" t="s">
        <v>40</v>
      </c>
      <c r="K376" s="1" t="s">
        <v>28</v>
      </c>
      <c r="L376">
        <v>5020.5600000000004</v>
      </c>
      <c r="M376">
        <v>15.7</v>
      </c>
      <c r="N376">
        <v>2023</v>
      </c>
      <c r="O376">
        <f t="shared" si="5"/>
        <v>2</v>
      </c>
      <c r="P376" s="13" t="s">
        <v>62</v>
      </c>
      <c r="Q376">
        <v>936.8</v>
      </c>
      <c r="R376" s="3" t="s">
        <v>29</v>
      </c>
      <c r="S376" s="7">
        <f>Ventas[[#This Row],[Costo Material (€)]]/Ventas[[#This Row],[Beneficio (€)]]</f>
        <v>5.3592655849701121</v>
      </c>
      <c r="T376" s="3" t="str">
        <f>IF(Ventas[[#This Row],[Margen (%)]]&gt;20%,"Beneficio","Perdidas")</f>
        <v>Beneficio</v>
      </c>
    </row>
    <row r="377" spans="1:20" x14ac:dyDescent="0.25">
      <c r="A377" s="12">
        <v>45534</v>
      </c>
      <c r="B377" s="1" t="s">
        <v>42</v>
      </c>
      <c r="C377" s="1" t="s">
        <v>43</v>
      </c>
      <c r="D377" s="1" t="s">
        <v>45</v>
      </c>
      <c r="E377" s="1" t="s">
        <v>20</v>
      </c>
      <c r="F377">
        <v>563</v>
      </c>
      <c r="G377">
        <v>11.91</v>
      </c>
      <c r="H377">
        <v>6705.33</v>
      </c>
      <c r="I377" s="1" t="s">
        <v>26</v>
      </c>
      <c r="J377" s="1" t="s">
        <v>34</v>
      </c>
      <c r="K377" s="1" t="s">
        <v>28</v>
      </c>
      <c r="L377">
        <v>5772.85</v>
      </c>
      <c r="M377">
        <v>13.9</v>
      </c>
      <c r="N377">
        <v>2024</v>
      </c>
      <c r="O377">
        <f t="shared" si="5"/>
        <v>3</v>
      </c>
      <c r="P377" s="13" t="s">
        <v>66</v>
      </c>
      <c r="Q377">
        <v>932.48</v>
      </c>
      <c r="R377" s="3" t="s">
        <v>29</v>
      </c>
      <c r="S377" s="7">
        <f>Ventas[[#This Row],[Costo Material (€)]]/Ventas[[#This Row],[Beneficio (€)]]</f>
        <v>6.1908566403568983</v>
      </c>
      <c r="T377" s="3" t="str">
        <f>IF(Ventas[[#This Row],[Margen (%)]]&gt;20%,"Beneficio","Perdidas")</f>
        <v>Beneficio</v>
      </c>
    </row>
    <row r="378" spans="1:20" x14ac:dyDescent="0.25">
      <c r="A378" s="12">
        <v>45938</v>
      </c>
      <c r="B378" s="1" t="s">
        <v>42</v>
      </c>
      <c r="C378" s="1" t="s">
        <v>43</v>
      </c>
      <c r="D378" s="1" t="s">
        <v>45</v>
      </c>
      <c r="E378" s="1" t="s">
        <v>20</v>
      </c>
      <c r="F378">
        <v>278</v>
      </c>
      <c r="G378">
        <v>8.39</v>
      </c>
      <c r="H378">
        <v>2332.42</v>
      </c>
      <c r="I378" s="1" t="s">
        <v>57</v>
      </c>
      <c r="J378" s="1" t="s">
        <v>34</v>
      </c>
      <c r="K378" s="1" t="s">
        <v>41</v>
      </c>
      <c r="L378">
        <v>1400.05</v>
      </c>
      <c r="M378">
        <v>40</v>
      </c>
      <c r="N378">
        <v>2025</v>
      </c>
      <c r="O378">
        <f t="shared" si="5"/>
        <v>4</v>
      </c>
      <c r="P378" s="13" t="s">
        <v>68</v>
      </c>
      <c r="Q378">
        <v>932.37</v>
      </c>
      <c r="R378" s="3" t="s">
        <v>25</v>
      </c>
      <c r="S378" s="7">
        <f>Ventas[[#This Row],[Costo Material (€)]]/Ventas[[#This Row],[Beneficio (€)]]</f>
        <v>1.501603440694145</v>
      </c>
      <c r="T378" s="3" t="str">
        <f>IF(Ventas[[#This Row],[Margen (%)]]&gt;20%,"Beneficio","Perdidas")</f>
        <v>Beneficio</v>
      </c>
    </row>
    <row r="379" spans="1:20" x14ac:dyDescent="0.25">
      <c r="A379" s="12">
        <v>45316</v>
      </c>
      <c r="B379" s="1" t="s">
        <v>35</v>
      </c>
      <c r="C379" s="1" t="s">
        <v>36</v>
      </c>
      <c r="D379" s="1" t="s">
        <v>19</v>
      </c>
      <c r="E379" s="1" t="s">
        <v>20</v>
      </c>
      <c r="F379">
        <v>390</v>
      </c>
      <c r="G379">
        <v>11.89</v>
      </c>
      <c r="H379">
        <v>4637.1000000000004</v>
      </c>
      <c r="I379" s="1" t="s">
        <v>57</v>
      </c>
      <c r="J379" s="1" t="s">
        <v>27</v>
      </c>
      <c r="K379" s="1" t="s">
        <v>23</v>
      </c>
      <c r="L379">
        <v>3705.14</v>
      </c>
      <c r="M379">
        <v>20.100000000000001</v>
      </c>
      <c r="N379">
        <v>2024</v>
      </c>
      <c r="O379">
        <f t="shared" si="5"/>
        <v>1</v>
      </c>
      <c r="P379" s="13" t="s">
        <v>24</v>
      </c>
      <c r="Q379">
        <v>931.96</v>
      </c>
      <c r="R379" s="3" t="s">
        <v>29</v>
      </c>
      <c r="S379" s="7">
        <f>Ventas[[#This Row],[Costo Material (€)]]/Ventas[[#This Row],[Beneficio (€)]]</f>
        <v>3.9756427314477012</v>
      </c>
      <c r="T379" s="3" t="str">
        <f>IF(Ventas[[#This Row],[Margen (%)]]&gt;20%,"Beneficio","Perdidas")</f>
        <v>Beneficio</v>
      </c>
    </row>
    <row r="380" spans="1:20" x14ac:dyDescent="0.25">
      <c r="A380" s="12">
        <v>44984</v>
      </c>
      <c r="B380" s="1" t="s">
        <v>17</v>
      </c>
      <c r="C380" s="1" t="s">
        <v>18</v>
      </c>
      <c r="D380" s="1" t="s">
        <v>44</v>
      </c>
      <c r="E380" s="1" t="s">
        <v>38</v>
      </c>
      <c r="F380">
        <v>809</v>
      </c>
      <c r="G380">
        <v>3.62</v>
      </c>
      <c r="H380">
        <v>2928.58</v>
      </c>
      <c r="I380" s="1" t="s">
        <v>46</v>
      </c>
      <c r="J380" s="1" t="s">
        <v>47</v>
      </c>
      <c r="K380" s="1" t="s">
        <v>23</v>
      </c>
      <c r="L380">
        <v>1999.74</v>
      </c>
      <c r="M380">
        <v>31.7</v>
      </c>
      <c r="N380">
        <v>2023</v>
      </c>
      <c r="O380">
        <f t="shared" si="5"/>
        <v>1</v>
      </c>
      <c r="P380" s="13" t="s">
        <v>60</v>
      </c>
      <c r="Q380">
        <v>928.84</v>
      </c>
      <c r="R380" s="3" t="s">
        <v>25</v>
      </c>
      <c r="S380" s="7">
        <f>Ventas[[#This Row],[Costo Material (€)]]/Ventas[[#This Row],[Beneficio (€)]]</f>
        <v>2.1529434563541621</v>
      </c>
      <c r="T380" s="3" t="str">
        <f>IF(Ventas[[#This Row],[Margen (%)]]&gt;20%,"Beneficio","Perdidas")</f>
        <v>Beneficio</v>
      </c>
    </row>
    <row r="381" spans="1:20" x14ac:dyDescent="0.25">
      <c r="A381" s="12">
        <v>44971</v>
      </c>
      <c r="B381" s="1" t="s">
        <v>17</v>
      </c>
      <c r="C381" s="1" t="s">
        <v>18</v>
      </c>
      <c r="D381" s="1" t="s">
        <v>37</v>
      </c>
      <c r="E381" s="1" t="s">
        <v>38</v>
      </c>
      <c r="F381">
        <v>882</v>
      </c>
      <c r="G381">
        <v>8.81</v>
      </c>
      <c r="H381">
        <v>7770.42</v>
      </c>
      <c r="I381" s="1" t="s">
        <v>21</v>
      </c>
      <c r="J381" s="1" t="s">
        <v>56</v>
      </c>
      <c r="K381" s="1" t="s">
        <v>23</v>
      </c>
      <c r="L381">
        <v>6843.18</v>
      </c>
      <c r="M381">
        <v>11.9</v>
      </c>
      <c r="N381">
        <v>2023</v>
      </c>
      <c r="O381">
        <f t="shared" si="5"/>
        <v>1</v>
      </c>
      <c r="P381" s="13" t="s">
        <v>60</v>
      </c>
      <c r="Q381">
        <v>927.24</v>
      </c>
      <c r="R381" s="3" t="s">
        <v>29</v>
      </c>
      <c r="S381" s="7">
        <f>Ventas[[#This Row],[Costo Material (€)]]/Ventas[[#This Row],[Beneficio (€)]]</f>
        <v>7.3801604762521036</v>
      </c>
      <c r="T381" s="3" t="str">
        <f>IF(Ventas[[#This Row],[Margen (%)]]&gt;20%,"Beneficio","Perdidas")</f>
        <v>Beneficio</v>
      </c>
    </row>
    <row r="382" spans="1:20" x14ac:dyDescent="0.25">
      <c r="A382" s="12">
        <v>45106</v>
      </c>
      <c r="B382" s="1" t="s">
        <v>30</v>
      </c>
      <c r="C382" s="1" t="s">
        <v>31</v>
      </c>
      <c r="D382" s="1" t="s">
        <v>45</v>
      </c>
      <c r="E382" s="1" t="s">
        <v>20</v>
      </c>
      <c r="F382">
        <v>311</v>
      </c>
      <c r="G382">
        <v>7.94</v>
      </c>
      <c r="H382">
        <v>2469.34</v>
      </c>
      <c r="I382" s="1" t="s">
        <v>55</v>
      </c>
      <c r="J382" s="1" t="s">
        <v>56</v>
      </c>
      <c r="K382" s="1" t="s">
        <v>23</v>
      </c>
      <c r="L382">
        <v>1547.72</v>
      </c>
      <c r="M382">
        <v>37.299999999999997</v>
      </c>
      <c r="N382">
        <v>2023</v>
      </c>
      <c r="O382">
        <f t="shared" si="5"/>
        <v>2</v>
      </c>
      <c r="P382" s="13" t="s">
        <v>64</v>
      </c>
      <c r="Q382">
        <v>921.62</v>
      </c>
      <c r="R382" s="3" t="s">
        <v>25</v>
      </c>
      <c r="S382" s="7">
        <f>Ventas[[#This Row],[Costo Material (€)]]/Ventas[[#This Row],[Beneficio (€)]]</f>
        <v>1.6793472363880992</v>
      </c>
      <c r="T382" s="3" t="str">
        <f>IF(Ventas[[#This Row],[Margen (%)]]&gt;20%,"Beneficio","Perdidas")</f>
        <v>Beneficio</v>
      </c>
    </row>
    <row r="383" spans="1:20" x14ac:dyDescent="0.25">
      <c r="A383" s="12">
        <v>45276</v>
      </c>
      <c r="B383" s="1" t="s">
        <v>30</v>
      </c>
      <c r="C383" s="1" t="s">
        <v>31</v>
      </c>
      <c r="D383" s="1" t="s">
        <v>53</v>
      </c>
      <c r="E383" s="1" t="s">
        <v>50</v>
      </c>
      <c r="F383">
        <v>474</v>
      </c>
      <c r="G383">
        <v>10.43</v>
      </c>
      <c r="H383">
        <v>4943.82</v>
      </c>
      <c r="I383" s="1" t="s">
        <v>26</v>
      </c>
      <c r="J383" s="1" t="s">
        <v>27</v>
      </c>
      <c r="K383" s="1" t="s">
        <v>41</v>
      </c>
      <c r="L383">
        <v>4023.22</v>
      </c>
      <c r="M383">
        <v>18.600000000000001</v>
      </c>
      <c r="N383">
        <v>2023</v>
      </c>
      <c r="O383">
        <f t="shared" si="5"/>
        <v>4</v>
      </c>
      <c r="P383" s="13" t="s">
        <v>70</v>
      </c>
      <c r="Q383">
        <v>920.6</v>
      </c>
      <c r="R383" s="3" t="s">
        <v>29</v>
      </c>
      <c r="S383" s="7">
        <f>Ventas[[#This Row],[Costo Material (€)]]/Ventas[[#This Row],[Beneficio (€)]]</f>
        <v>4.370215077123615</v>
      </c>
      <c r="T383" s="3" t="str">
        <f>IF(Ventas[[#This Row],[Margen (%)]]&gt;20%,"Beneficio","Perdidas")</f>
        <v>Beneficio</v>
      </c>
    </row>
    <row r="384" spans="1:20" x14ac:dyDescent="0.25">
      <c r="A384" s="12">
        <v>44931</v>
      </c>
      <c r="B384" s="1" t="s">
        <v>51</v>
      </c>
      <c r="C384" s="1" t="s">
        <v>52</v>
      </c>
      <c r="D384" s="1" t="s">
        <v>48</v>
      </c>
      <c r="E384" s="1" t="s">
        <v>38</v>
      </c>
      <c r="F384">
        <v>942</v>
      </c>
      <c r="G384">
        <v>2.96</v>
      </c>
      <c r="H384">
        <v>2788.32</v>
      </c>
      <c r="I384" s="1" t="s">
        <v>57</v>
      </c>
      <c r="J384" s="1" t="s">
        <v>22</v>
      </c>
      <c r="K384" s="1" t="s">
        <v>28</v>
      </c>
      <c r="L384">
        <v>1872.65</v>
      </c>
      <c r="M384">
        <v>32.799999999999997</v>
      </c>
      <c r="N384">
        <v>2023</v>
      </c>
      <c r="O384">
        <f t="shared" si="5"/>
        <v>1</v>
      </c>
      <c r="P384" s="13" t="s">
        <v>24</v>
      </c>
      <c r="Q384">
        <v>915.67</v>
      </c>
      <c r="R384" s="3" t="s">
        <v>25</v>
      </c>
      <c r="S384" s="7">
        <f>Ventas[[#This Row],[Costo Material (€)]]/Ventas[[#This Row],[Beneficio (€)]]</f>
        <v>2.0451145063177782</v>
      </c>
      <c r="T384" s="3" t="str">
        <f>IF(Ventas[[#This Row],[Margen (%)]]&gt;20%,"Beneficio","Perdidas")</f>
        <v>Beneficio</v>
      </c>
    </row>
    <row r="385" spans="1:20" x14ac:dyDescent="0.25">
      <c r="A385" s="12">
        <v>45143</v>
      </c>
      <c r="B385" s="1" t="s">
        <v>30</v>
      </c>
      <c r="C385" s="1" t="s">
        <v>31</v>
      </c>
      <c r="D385" s="1" t="s">
        <v>44</v>
      </c>
      <c r="E385" s="1" t="s">
        <v>38</v>
      </c>
      <c r="F385">
        <v>600</v>
      </c>
      <c r="G385">
        <v>7.05</v>
      </c>
      <c r="H385">
        <v>4230</v>
      </c>
      <c r="I385" s="1" t="s">
        <v>26</v>
      </c>
      <c r="J385" s="1" t="s">
        <v>22</v>
      </c>
      <c r="K385" s="1" t="s">
        <v>23</v>
      </c>
      <c r="L385">
        <v>3318.36</v>
      </c>
      <c r="M385">
        <v>21.6</v>
      </c>
      <c r="N385">
        <v>2023</v>
      </c>
      <c r="O385">
        <f t="shared" si="5"/>
        <v>3</v>
      </c>
      <c r="P385" s="13" t="s">
        <v>66</v>
      </c>
      <c r="Q385">
        <v>911.64</v>
      </c>
      <c r="R385" s="3" t="s">
        <v>29</v>
      </c>
      <c r="S385" s="7">
        <f>Ventas[[#This Row],[Costo Material (€)]]/Ventas[[#This Row],[Beneficio (€)]]</f>
        <v>3.6399894695274453</v>
      </c>
      <c r="T385" s="3" t="str">
        <f>IF(Ventas[[#This Row],[Margen (%)]]&gt;20%,"Beneficio","Perdidas")</f>
        <v>Beneficio</v>
      </c>
    </row>
    <row r="386" spans="1:20" x14ac:dyDescent="0.25">
      <c r="A386" s="12">
        <v>44936</v>
      </c>
      <c r="B386" s="1" t="s">
        <v>58</v>
      </c>
      <c r="C386" s="1" t="s">
        <v>59</v>
      </c>
      <c r="D386" s="1" t="s">
        <v>45</v>
      </c>
      <c r="E386" s="1" t="s">
        <v>20</v>
      </c>
      <c r="F386">
        <v>829</v>
      </c>
      <c r="G386">
        <v>9.42</v>
      </c>
      <c r="H386">
        <v>7809.18</v>
      </c>
      <c r="I386" s="1" t="s">
        <v>39</v>
      </c>
      <c r="J386" s="1" t="s">
        <v>34</v>
      </c>
      <c r="K386" s="1" t="s">
        <v>23</v>
      </c>
      <c r="L386">
        <v>6898.98</v>
      </c>
      <c r="M386">
        <v>11.7</v>
      </c>
      <c r="N386">
        <v>2023</v>
      </c>
      <c r="O386">
        <f t="shared" ref="O386:O449" si="6">ROUNDUP(MONTH(A386)/3,0)</f>
        <v>1</v>
      </c>
      <c r="P386" s="13" t="s">
        <v>24</v>
      </c>
      <c r="Q386">
        <v>910.2</v>
      </c>
      <c r="R386" s="3" t="s">
        <v>29</v>
      </c>
      <c r="S386" s="7">
        <f>Ventas[[#This Row],[Costo Material (€)]]/Ventas[[#This Row],[Beneficio (€)]]</f>
        <v>7.5796308503625571</v>
      </c>
      <c r="T386" s="3" t="str">
        <f>IF(Ventas[[#This Row],[Margen (%)]]&gt;20%,"Beneficio","Perdidas")</f>
        <v>Beneficio</v>
      </c>
    </row>
    <row r="387" spans="1:20" x14ac:dyDescent="0.25">
      <c r="A387" s="12">
        <v>45021</v>
      </c>
      <c r="B387" s="1" t="s">
        <v>42</v>
      </c>
      <c r="C387" s="1" t="s">
        <v>43</v>
      </c>
      <c r="D387" s="1" t="s">
        <v>48</v>
      </c>
      <c r="E387" s="1" t="s">
        <v>38</v>
      </c>
      <c r="F387">
        <v>296</v>
      </c>
      <c r="G387">
        <v>11.71</v>
      </c>
      <c r="H387">
        <v>3466.16</v>
      </c>
      <c r="I387" s="1" t="s">
        <v>55</v>
      </c>
      <c r="J387" s="1" t="s">
        <v>47</v>
      </c>
      <c r="K387" s="1" t="s">
        <v>28</v>
      </c>
      <c r="L387">
        <v>2556.5300000000002</v>
      </c>
      <c r="M387">
        <v>26.2</v>
      </c>
      <c r="N387">
        <v>2023</v>
      </c>
      <c r="O387">
        <f t="shared" si="6"/>
        <v>2</v>
      </c>
      <c r="P387" s="13" t="s">
        <v>62</v>
      </c>
      <c r="Q387">
        <v>909.63</v>
      </c>
      <c r="R387" s="3" t="s">
        <v>25</v>
      </c>
      <c r="S387" s="7">
        <f>Ventas[[#This Row],[Costo Material (€)]]/Ventas[[#This Row],[Beneficio (€)]]</f>
        <v>2.8105163637962689</v>
      </c>
      <c r="T387" s="3" t="str">
        <f>IF(Ventas[[#This Row],[Margen (%)]]&gt;20%,"Beneficio","Perdidas")</f>
        <v>Beneficio</v>
      </c>
    </row>
    <row r="388" spans="1:20" x14ac:dyDescent="0.25">
      <c r="A388" s="12">
        <v>45013</v>
      </c>
      <c r="B388" s="1" t="s">
        <v>58</v>
      </c>
      <c r="C388" s="1" t="s">
        <v>59</v>
      </c>
      <c r="D388" s="1" t="s">
        <v>19</v>
      </c>
      <c r="E388" s="1" t="s">
        <v>20</v>
      </c>
      <c r="F388">
        <v>256</v>
      </c>
      <c r="G388">
        <v>11.76</v>
      </c>
      <c r="H388">
        <v>3010.56</v>
      </c>
      <c r="I388" s="1" t="s">
        <v>54</v>
      </c>
      <c r="J388" s="1" t="s">
        <v>47</v>
      </c>
      <c r="K388" s="1" t="s">
        <v>41</v>
      </c>
      <c r="L388">
        <v>2102.31</v>
      </c>
      <c r="M388">
        <v>30.2</v>
      </c>
      <c r="N388">
        <v>2023</v>
      </c>
      <c r="O388">
        <f t="shared" si="6"/>
        <v>1</v>
      </c>
      <c r="P388" s="13" t="s">
        <v>61</v>
      </c>
      <c r="Q388">
        <v>908.25</v>
      </c>
      <c r="R388" s="3" t="s">
        <v>25</v>
      </c>
      <c r="S388" s="7">
        <f>Ventas[[#This Row],[Costo Material (€)]]/Ventas[[#This Row],[Beneficio (€)]]</f>
        <v>2.3146820809248556</v>
      </c>
      <c r="T388" s="3" t="str">
        <f>IF(Ventas[[#This Row],[Margen (%)]]&gt;20%,"Beneficio","Perdidas")</f>
        <v>Beneficio</v>
      </c>
    </row>
    <row r="389" spans="1:20" x14ac:dyDescent="0.25">
      <c r="A389" s="12">
        <v>45226</v>
      </c>
      <c r="B389" s="1" t="s">
        <v>30</v>
      </c>
      <c r="C389" s="1" t="s">
        <v>31</v>
      </c>
      <c r="D389" s="1" t="s">
        <v>37</v>
      </c>
      <c r="E389" s="1" t="s">
        <v>38</v>
      </c>
      <c r="F389">
        <v>623</v>
      </c>
      <c r="G389">
        <v>6.61</v>
      </c>
      <c r="H389">
        <v>4118.03</v>
      </c>
      <c r="I389" s="1" t="s">
        <v>55</v>
      </c>
      <c r="J389" s="1" t="s">
        <v>34</v>
      </c>
      <c r="K389" s="1" t="s">
        <v>23</v>
      </c>
      <c r="L389">
        <v>3213.25</v>
      </c>
      <c r="M389">
        <v>22</v>
      </c>
      <c r="N389">
        <v>2023</v>
      </c>
      <c r="O389">
        <f t="shared" si="6"/>
        <v>4</v>
      </c>
      <c r="P389" s="13" t="s">
        <v>68</v>
      </c>
      <c r="Q389">
        <v>904.78</v>
      </c>
      <c r="R389" s="3" t="s">
        <v>29</v>
      </c>
      <c r="S389" s="7">
        <f>Ventas[[#This Row],[Costo Material (€)]]/Ventas[[#This Row],[Beneficio (€)]]</f>
        <v>3.5514158137889873</v>
      </c>
      <c r="T389" s="3" t="str">
        <f>IF(Ventas[[#This Row],[Margen (%)]]&gt;20%,"Beneficio","Perdidas")</f>
        <v>Beneficio</v>
      </c>
    </row>
    <row r="390" spans="1:20" x14ac:dyDescent="0.25">
      <c r="A390" s="12">
        <v>45066</v>
      </c>
      <c r="B390" s="1" t="s">
        <v>30</v>
      </c>
      <c r="C390" s="1" t="s">
        <v>31</v>
      </c>
      <c r="D390" s="1" t="s">
        <v>53</v>
      </c>
      <c r="E390" s="1" t="s">
        <v>50</v>
      </c>
      <c r="F390">
        <v>777</v>
      </c>
      <c r="G390">
        <v>4.82</v>
      </c>
      <c r="H390">
        <v>3745.14</v>
      </c>
      <c r="I390" s="1" t="s">
        <v>55</v>
      </c>
      <c r="J390" s="1" t="s">
        <v>22</v>
      </c>
      <c r="K390" s="1" t="s">
        <v>23</v>
      </c>
      <c r="L390">
        <v>2845.24</v>
      </c>
      <c r="M390">
        <v>24</v>
      </c>
      <c r="N390">
        <v>2023</v>
      </c>
      <c r="O390">
        <f t="shared" si="6"/>
        <v>2</v>
      </c>
      <c r="P390" s="13" t="s">
        <v>63</v>
      </c>
      <c r="Q390">
        <v>899.9</v>
      </c>
      <c r="R390" s="3" t="s">
        <v>29</v>
      </c>
      <c r="S390" s="7">
        <f>Ventas[[#This Row],[Costo Material (€)]]/Ventas[[#This Row],[Beneficio (€)]]</f>
        <v>3.1617290810090006</v>
      </c>
      <c r="T390" s="3" t="str">
        <f>IF(Ventas[[#This Row],[Margen (%)]]&gt;20%,"Beneficio","Perdidas")</f>
        <v>Beneficio</v>
      </c>
    </row>
    <row r="391" spans="1:20" x14ac:dyDescent="0.25">
      <c r="A391" s="12">
        <v>45091</v>
      </c>
      <c r="B391" s="1" t="s">
        <v>35</v>
      </c>
      <c r="C391" s="1" t="s">
        <v>36</v>
      </c>
      <c r="D391" s="1" t="s">
        <v>19</v>
      </c>
      <c r="E391" s="1" t="s">
        <v>20</v>
      </c>
      <c r="F391">
        <v>552</v>
      </c>
      <c r="G391">
        <v>7.14</v>
      </c>
      <c r="H391">
        <v>3941.28</v>
      </c>
      <c r="I391" s="1" t="s">
        <v>57</v>
      </c>
      <c r="J391" s="1" t="s">
        <v>47</v>
      </c>
      <c r="K391" s="1" t="s">
        <v>23</v>
      </c>
      <c r="L391">
        <v>3041.72</v>
      </c>
      <c r="M391">
        <v>22.8</v>
      </c>
      <c r="N391">
        <v>2023</v>
      </c>
      <c r="O391">
        <f t="shared" si="6"/>
        <v>2</v>
      </c>
      <c r="P391" s="13" t="s">
        <v>64</v>
      </c>
      <c r="Q391">
        <v>899.56</v>
      </c>
      <c r="R391" s="3" t="s">
        <v>29</v>
      </c>
      <c r="S391" s="7">
        <f>Ventas[[#This Row],[Costo Material (€)]]/Ventas[[#This Row],[Beneficio (€)]]</f>
        <v>3.3813419894170482</v>
      </c>
      <c r="T391" s="3" t="str">
        <f>IF(Ventas[[#This Row],[Margen (%)]]&gt;20%,"Beneficio","Perdidas")</f>
        <v>Beneficio</v>
      </c>
    </row>
    <row r="392" spans="1:20" x14ac:dyDescent="0.25">
      <c r="A392" s="12">
        <v>45018</v>
      </c>
      <c r="B392" s="1" t="s">
        <v>42</v>
      </c>
      <c r="C392" s="1" t="s">
        <v>43</v>
      </c>
      <c r="D392" s="1" t="s">
        <v>19</v>
      </c>
      <c r="E392" s="1" t="s">
        <v>20</v>
      </c>
      <c r="F392">
        <v>968</v>
      </c>
      <c r="G392">
        <v>4.9000000000000004</v>
      </c>
      <c r="H392">
        <v>4743.2</v>
      </c>
      <c r="I392" s="1" t="s">
        <v>33</v>
      </c>
      <c r="J392" s="1" t="s">
        <v>47</v>
      </c>
      <c r="K392" s="1" t="s">
        <v>23</v>
      </c>
      <c r="L392">
        <v>3843.8</v>
      </c>
      <c r="M392">
        <v>19</v>
      </c>
      <c r="N392">
        <v>2023</v>
      </c>
      <c r="O392">
        <f t="shared" si="6"/>
        <v>2</v>
      </c>
      <c r="P392" s="13" t="s">
        <v>62</v>
      </c>
      <c r="Q392">
        <v>899.4</v>
      </c>
      <c r="R392" s="3" t="s">
        <v>29</v>
      </c>
      <c r="S392" s="7">
        <f>Ventas[[#This Row],[Costo Material (€)]]/Ventas[[#This Row],[Beneficio (€)]]</f>
        <v>4.2737380475872806</v>
      </c>
      <c r="T392" s="3" t="str">
        <f>IF(Ventas[[#This Row],[Margen (%)]]&gt;20%,"Beneficio","Perdidas")</f>
        <v>Beneficio</v>
      </c>
    </row>
    <row r="393" spans="1:20" x14ac:dyDescent="0.25">
      <c r="A393" s="12">
        <v>45531</v>
      </c>
      <c r="B393" s="1" t="s">
        <v>51</v>
      </c>
      <c r="C393" s="1" t="s">
        <v>52</v>
      </c>
      <c r="D393" s="1" t="s">
        <v>44</v>
      </c>
      <c r="E393" s="1" t="s">
        <v>38</v>
      </c>
      <c r="F393">
        <v>515</v>
      </c>
      <c r="G393">
        <v>10.5</v>
      </c>
      <c r="H393">
        <v>5407.5</v>
      </c>
      <c r="I393" s="1" t="s">
        <v>26</v>
      </c>
      <c r="J393" s="1" t="s">
        <v>47</v>
      </c>
      <c r="K393" s="1" t="s">
        <v>28</v>
      </c>
      <c r="L393">
        <v>4512.71</v>
      </c>
      <c r="M393">
        <v>16.5</v>
      </c>
      <c r="N393">
        <v>2024</v>
      </c>
      <c r="O393">
        <f t="shared" si="6"/>
        <v>3</v>
      </c>
      <c r="P393" s="13" t="s">
        <v>66</v>
      </c>
      <c r="Q393">
        <v>894.79</v>
      </c>
      <c r="R393" s="3" t="s">
        <v>29</v>
      </c>
      <c r="S393" s="7">
        <f>Ventas[[#This Row],[Costo Material (€)]]/Ventas[[#This Row],[Beneficio (€)]]</f>
        <v>5.0433174264352534</v>
      </c>
      <c r="T393" s="3" t="str">
        <f>IF(Ventas[[#This Row],[Margen (%)]]&gt;20%,"Beneficio","Perdidas")</f>
        <v>Beneficio</v>
      </c>
    </row>
    <row r="394" spans="1:20" x14ac:dyDescent="0.25">
      <c r="A394" s="12">
        <v>44999</v>
      </c>
      <c r="B394" s="1" t="s">
        <v>30</v>
      </c>
      <c r="C394" s="1" t="s">
        <v>31</v>
      </c>
      <c r="D394" s="1" t="s">
        <v>32</v>
      </c>
      <c r="E394" s="1" t="s">
        <v>20</v>
      </c>
      <c r="F394">
        <v>927</v>
      </c>
      <c r="G394">
        <v>8.42</v>
      </c>
      <c r="H394">
        <v>7805.34</v>
      </c>
      <c r="I394" s="1" t="s">
        <v>57</v>
      </c>
      <c r="J394" s="1" t="s">
        <v>47</v>
      </c>
      <c r="K394" s="1" t="s">
        <v>23</v>
      </c>
      <c r="L394">
        <v>6917.14</v>
      </c>
      <c r="M394">
        <v>11.4</v>
      </c>
      <c r="N394">
        <v>2023</v>
      </c>
      <c r="O394">
        <f t="shared" si="6"/>
        <v>1</v>
      </c>
      <c r="P394" s="13" t="s">
        <v>61</v>
      </c>
      <c r="Q394">
        <v>888.2</v>
      </c>
      <c r="R394" s="3" t="s">
        <v>29</v>
      </c>
      <c r="S394" s="7">
        <f>Ventas[[#This Row],[Costo Material (€)]]/Ventas[[#This Row],[Beneficio (€)]]</f>
        <v>7.7878180589957218</v>
      </c>
      <c r="T394" s="3" t="str">
        <f>IF(Ventas[[#This Row],[Margen (%)]]&gt;20%,"Beneficio","Perdidas")</f>
        <v>Beneficio</v>
      </c>
    </row>
    <row r="395" spans="1:20" x14ac:dyDescent="0.25">
      <c r="A395" s="12">
        <v>44932</v>
      </c>
      <c r="B395" s="1" t="s">
        <v>17</v>
      </c>
      <c r="C395" s="1" t="s">
        <v>18</v>
      </c>
      <c r="D395" s="1" t="s">
        <v>37</v>
      </c>
      <c r="E395" s="1" t="s">
        <v>38</v>
      </c>
      <c r="F395">
        <v>680</v>
      </c>
      <c r="G395">
        <v>11.34</v>
      </c>
      <c r="H395">
        <v>7711.2</v>
      </c>
      <c r="I395" s="1" t="s">
        <v>46</v>
      </c>
      <c r="J395" s="1" t="s">
        <v>27</v>
      </c>
      <c r="K395" s="1" t="s">
        <v>41</v>
      </c>
      <c r="L395">
        <v>6825.4</v>
      </c>
      <c r="M395">
        <v>11.5</v>
      </c>
      <c r="N395">
        <v>2023</v>
      </c>
      <c r="O395">
        <f t="shared" si="6"/>
        <v>1</v>
      </c>
      <c r="P395" s="13" t="s">
        <v>24</v>
      </c>
      <c r="Q395">
        <v>885.8</v>
      </c>
      <c r="R395" s="3" t="s">
        <v>29</v>
      </c>
      <c r="S395" s="7">
        <f>Ventas[[#This Row],[Costo Material (€)]]/Ventas[[#This Row],[Beneficio (€)]]</f>
        <v>7.7053510950553168</v>
      </c>
      <c r="T395" s="3" t="str">
        <f>IF(Ventas[[#This Row],[Margen (%)]]&gt;20%,"Beneficio","Perdidas")</f>
        <v>Beneficio</v>
      </c>
    </row>
    <row r="396" spans="1:20" x14ac:dyDescent="0.25">
      <c r="A396" s="12">
        <v>45173</v>
      </c>
      <c r="B396" s="1" t="s">
        <v>35</v>
      </c>
      <c r="C396" s="1" t="s">
        <v>36</v>
      </c>
      <c r="D396" s="1" t="s">
        <v>49</v>
      </c>
      <c r="E396" s="1" t="s">
        <v>50</v>
      </c>
      <c r="F396">
        <v>663</v>
      </c>
      <c r="G396">
        <v>8.7200000000000006</v>
      </c>
      <c r="H396">
        <v>5781.36</v>
      </c>
      <c r="I396" s="1" t="s">
        <v>57</v>
      </c>
      <c r="J396" s="1" t="s">
        <v>56</v>
      </c>
      <c r="K396" s="1" t="s">
        <v>23</v>
      </c>
      <c r="L396">
        <v>4897.1899999999996</v>
      </c>
      <c r="M396">
        <v>15.3</v>
      </c>
      <c r="N396">
        <v>2023</v>
      </c>
      <c r="O396">
        <f t="shared" si="6"/>
        <v>3</v>
      </c>
      <c r="P396" s="13" t="s">
        <v>67</v>
      </c>
      <c r="Q396">
        <v>884.17</v>
      </c>
      <c r="R396" s="3" t="s">
        <v>29</v>
      </c>
      <c r="S396" s="7">
        <f>Ventas[[#This Row],[Costo Material (€)]]/Ventas[[#This Row],[Beneficio (€)]]</f>
        <v>5.5387425495097098</v>
      </c>
      <c r="T396" s="3" t="str">
        <f>IF(Ventas[[#This Row],[Margen (%)]]&gt;20%,"Beneficio","Perdidas")</f>
        <v>Beneficio</v>
      </c>
    </row>
    <row r="397" spans="1:20" x14ac:dyDescent="0.25">
      <c r="A397" s="12">
        <v>45415</v>
      </c>
      <c r="B397" s="1" t="s">
        <v>35</v>
      </c>
      <c r="C397" s="1" t="s">
        <v>36</v>
      </c>
      <c r="D397" s="1" t="s">
        <v>37</v>
      </c>
      <c r="E397" s="1" t="s">
        <v>38</v>
      </c>
      <c r="F397">
        <v>639</v>
      </c>
      <c r="G397">
        <v>4.17</v>
      </c>
      <c r="H397">
        <v>2664.63</v>
      </c>
      <c r="I397" s="1" t="s">
        <v>55</v>
      </c>
      <c r="J397" s="1" t="s">
        <v>22</v>
      </c>
      <c r="K397" s="1" t="s">
        <v>41</v>
      </c>
      <c r="L397">
        <v>1782.03</v>
      </c>
      <c r="M397">
        <v>33.1</v>
      </c>
      <c r="N397">
        <v>2024</v>
      </c>
      <c r="O397">
        <f t="shared" si="6"/>
        <v>2</v>
      </c>
      <c r="P397" s="13" t="s">
        <v>63</v>
      </c>
      <c r="Q397">
        <v>882.6</v>
      </c>
      <c r="R397" s="3" t="s">
        <v>25</v>
      </c>
      <c r="S397" s="7">
        <f>Ventas[[#This Row],[Costo Material (€)]]/Ventas[[#This Row],[Beneficio (€)]]</f>
        <v>2.019068660774983</v>
      </c>
      <c r="T397" s="3" t="str">
        <f>IF(Ventas[[#This Row],[Margen (%)]]&gt;20%,"Beneficio","Perdidas")</f>
        <v>Beneficio</v>
      </c>
    </row>
    <row r="398" spans="1:20" x14ac:dyDescent="0.25">
      <c r="A398" s="12">
        <v>45546</v>
      </c>
      <c r="B398" s="1" t="s">
        <v>17</v>
      </c>
      <c r="C398" s="1" t="s">
        <v>18</v>
      </c>
      <c r="D398" s="1" t="s">
        <v>32</v>
      </c>
      <c r="E398" s="1" t="s">
        <v>20</v>
      </c>
      <c r="F398">
        <v>390</v>
      </c>
      <c r="G398">
        <v>7.69</v>
      </c>
      <c r="H398">
        <v>2999.1</v>
      </c>
      <c r="I398" s="1" t="s">
        <v>46</v>
      </c>
      <c r="J398" s="1" t="s">
        <v>22</v>
      </c>
      <c r="K398" s="1" t="s">
        <v>41</v>
      </c>
      <c r="L398">
        <v>2116.5300000000002</v>
      </c>
      <c r="M398">
        <v>29.4</v>
      </c>
      <c r="N398">
        <v>2024</v>
      </c>
      <c r="O398">
        <f t="shared" si="6"/>
        <v>3</v>
      </c>
      <c r="P398" s="13" t="s">
        <v>67</v>
      </c>
      <c r="Q398">
        <v>882.57</v>
      </c>
      <c r="R398" s="3" t="s">
        <v>25</v>
      </c>
      <c r="S398" s="7">
        <f>Ventas[[#This Row],[Costo Material (€)]]/Ventas[[#This Row],[Beneficio (€)]]</f>
        <v>2.398144056562086</v>
      </c>
      <c r="T398" s="3" t="str">
        <f>IF(Ventas[[#This Row],[Margen (%)]]&gt;20%,"Beneficio","Perdidas")</f>
        <v>Beneficio</v>
      </c>
    </row>
    <row r="399" spans="1:20" x14ac:dyDescent="0.25">
      <c r="A399" s="12">
        <v>45304</v>
      </c>
      <c r="B399" s="1" t="s">
        <v>42</v>
      </c>
      <c r="C399" s="1" t="s">
        <v>43</v>
      </c>
      <c r="D399" s="1" t="s">
        <v>37</v>
      </c>
      <c r="E399" s="1" t="s">
        <v>38</v>
      </c>
      <c r="F399">
        <v>551</v>
      </c>
      <c r="G399">
        <v>6.87</v>
      </c>
      <c r="H399">
        <v>3785.37</v>
      </c>
      <c r="I399" s="1" t="s">
        <v>26</v>
      </c>
      <c r="J399" s="1" t="s">
        <v>27</v>
      </c>
      <c r="K399" s="1" t="s">
        <v>41</v>
      </c>
      <c r="L399">
        <v>2911.45</v>
      </c>
      <c r="M399">
        <v>23.1</v>
      </c>
      <c r="N399">
        <v>2024</v>
      </c>
      <c r="O399">
        <f t="shared" si="6"/>
        <v>1</v>
      </c>
      <c r="P399" s="13" t="s">
        <v>24</v>
      </c>
      <c r="Q399">
        <v>873.92</v>
      </c>
      <c r="R399" s="3" t="s">
        <v>29</v>
      </c>
      <c r="S399" s="7">
        <f>Ventas[[#This Row],[Costo Material (€)]]/Ventas[[#This Row],[Beneficio (€)]]</f>
        <v>3.3314834309776638</v>
      </c>
      <c r="T399" s="3" t="str">
        <f>IF(Ventas[[#This Row],[Margen (%)]]&gt;20%,"Beneficio","Perdidas")</f>
        <v>Beneficio</v>
      </c>
    </row>
    <row r="400" spans="1:20" x14ac:dyDescent="0.25">
      <c r="A400" s="12">
        <v>45120</v>
      </c>
      <c r="B400" s="1" t="s">
        <v>51</v>
      </c>
      <c r="C400" s="1" t="s">
        <v>52</v>
      </c>
      <c r="D400" s="1" t="s">
        <v>53</v>
      </c>
      <c r="E400" s="1" t="s">
        <v>50</v>
      </c>
      <c r="F400">
        <v>970</v>
      </c>
      <c r="G400">
        <v>2.35</v>
      </c>
      <c r="H400">
        <v>2279.5</v>
      </c>
      <c r="I400" s="1" t="s">
        <v>26</v>
      </c>
      <c r="J400" s="1" t="s">
        <v>22</v>
      </c>
      <c r="K400" s="1" t="s">
        <v>41</v>
      </c>
      <c r="L400">
        <v>1407.46</v>
      </c>
      <c r="M400">
        <v>38.299999999999997</v>
      </c>
      <c r="N400">
        <v>2023</v>
      </c>
      <c r="O400">
        <f t="shared" si="6"/>
        <v>3</v>
      </c>
      <c r="P400" s="13" t="s">
        <v>65</v>
      </c>
      <c r="Q400">
        <v>872.04</v>
      </c>
      <c r="R400" s="3" t="s">
        <v>25</v>
      </c>
      <c r="S400" s="7">
        <f>Ventas[[#This Row],[Costo Material (€)]]/Ventas[[#This Row],[Beneficio (€)]]</f>
        <v>1.6139855969909638</v>
      </c>
      <c r="T400" s="3" t="str">
        <f>IF(Ventas[[#This Row],[Margen (%)]]&gt;20%,"Beneficio","Perdidas")</f>
        <v>Beneficio</v>
      </c>
    </row>
    <row r="401" spans="1:20" x14ac:dyDescent="0.25">
      <c r="A401" s="12">
        <v>44936</v>
      </c>
      <c r="B401" s="1" t="s">
        <v>17</v>
      </c>
      <c r="C401" s="1" t="s">
        <v>18</v>
      </c>
      <c r="D401" s="1" t="s">
        <v>48</v>
      </c>
      <c r="E401" s="1" t="s">
        <v>38</v>
      </c>
      <c r="F401">
        <v>932</v>
      </c>
      <c r="G401">
        <v>7.99</v>
      </c>
      <c r="H401">
        <v>7446.68</v>
      </c>
      <c r="I401" s="1" t="s">
        <v>33</v>
      </c>
      <c r="J401" s="1" t="s">
        <v>40</v>
      </c>
      <c r="K401" s="1" t="s">
        <v>41</v>
      </c>
      <c r="L401">
        <v>6575.09</v>
      </c>
      <c r="M401">
        <v>11.7</v>
      </c>
      <c r="N401">
        <v>2023</v>
      </c>
      <c r="O401">
        <f t="shared" si="6"/>
        <v>1</v>
      </c>
      <c r="P401" s="13" t="s">
        <v>24</v>
      </c>
      <c r="Q401">
        <v>871.59</v>
      </c>
      <c r="R401" s="3" t="s">
        <v>29</v>
      </c>
      <c r="S401" s="7">
        <f>Ventas[[#This Row],[Costo Material (€)]]/Ventas[[#This Row],[Beneficio (€)]]</f>
        <v>7.5437877901306809</v>
      </c>
      <c r="T401" s="3" t="str">
        <f>IF(Ventas[[#This Row],[Margen (%)]]&gt;20%,"Beneficio","Perdidas")</f>
        <v>Beneficio</v>
      </c>
    </row>
    <row r="402" spans="1:20" x14ac:dyDescent="0.25">
      <c r="A402" s="12">
        <v>45280</v>
      </c>
      <c r="B402" s="1" t="s">
        <v>58</v>
      </c>
      <c r="C402" s="1" t="s">
        <v>59</v>
      </c>
      <c r="D402" s="1" t="s">
        <v>45</v>
      </c>
      <c r="E402" s="1" t="s">
        <v>20</v>
      </c>
      <c r="F402">
        <v>701</v>
      </c>
      <c r="G402">
        <v>10.35</v>
      </c>
      <c r="H402">
        <v>7255.35</v>
      </c>
      <c r="I402" s="1" t="s">
        <v>21</v>
      </c>
      <c r="J402" s="1" t="s">
        <v>22</v>
      </c>
      <c r="K402" s="1" t="s">
        <v>41</v>
      </c>
      <c r="L402">
        <v>6383.78</v>
      </c>
      <c r="M402">
        <v>12</v>
      </c>
      <c r="N402">
        <v>2023</v>
      </c>
      <c r="O402">
        <f t="shared" si="6"/>
        <v>4</v>
      </c>
      <c r="P402" s="13" t="s">
        <v>70</v>
      </c>
      <c r="Q402">
        <v>871.57</v>
      </c>
      <c r="R402" s="3" t="s">
        <v>29</v>
      </c>
      <c r="S402" s="7">
        <f>Ventas[[#This Row],[Costo Material (€)]]/Ventas[[#This Row],[Beneficio (€)]]</f>
        <v>7.3244604564177278</v>
      </c>
      <c r="T402" s="3" t="str">
        <f>IF(Ventas[[#This Row],[Margen (%)]]&gt;20%,"Beneficio","Perdidas")</f>
        <v>Beneficio</v>
      </c>
    </row>
    <row r="403" spans="1:20" x14ac:dyDescent="0.25">
      <c r="A403" s="12">
        <v>45031</v>
      </c>
      <c r="B403" s="1" t="s">
        <v>17</v>
      </c>
      <c r="C403" s="1" t="s">
        <v>18</v>
      </c>
      <c r="D403" s="1" t="s">
        <v>48</v>
      </c>
      <c r="E403" s="1" t="s">
        <v>38</v>
      </c>
      <c r="F403">
        <v>747</v>
      </c>
      <c r="G403">
        <v>8.3800000000000008</v>
      </c>
      <c r="H403">
        <v>6259.86</v>
      </c>
      <c r="I403" s="1" t="s">
        <v>54</v>
      </c>
      <c r="J403" s="1" t="s">
        <v>34</v>
      </c>
      <c r="K403" s="1" t="s">
        <v>23</v>
      </c>
      <c r="L403">
        <v>5388.39</v>
      </c>
      <c r="M403">
        <v>13.9</v>
      </c>
      <c r="N403">
        <v>2023</v>
      </c>
      <c r="O403">
        <f t="shared" si="6"/>
        <v>2</v>
      </c>
      <c r="P403" s="13" t="s">
        <v>62</v>
      </c>
      <c r="Q403">
        <v>871.47</v>
      </c>
      <c r="R403" s="3" t="s">
        <v>29</v>
      </c>
      <c r="S403" s="7">
        <f>Ventas[[#This Row],[Costo Material (€)]]/Ventas[[#This Row],[Beneficio (€)]]</f>
        <v>6.1831044097903547</v>
      </c>
      <c r="T403" s="3" t="str">
        <f>IF(Ventas[[#This Row],[Margen (%)]]&gt;20%,"Beneficio","Perdidas")</f>
        <v>Beneficio</v>
      </c>
    </row>
    <row r="404" spans="1:20" x14ac:dyDescent="0.25">
      <c r="A404" s="12">
        <v>45470</v>
      </c>
      <c r="B404" s="1" t="s">
        <v>35</v>
      </c>
      <c r="C404" s="1" t="s">
        <v>36</v>
      </c>
      <c r="D404" s="1" t="s">
        <v>48</v>
      </c>
      <c r="E404" s="1" t="s">
        <v>38</v>
      </c>
      <c r="F404">
        <v>716</v>
      </c>
      <c r="G404">
        <v>6.8</v>
      </c>
      <c r="H404">
        <v>4868.8</v>
      </c>
      <c r="I404" s="1" t="s">
        <v>46</v>
      </c>
      <c r="J404" s="1" t="s">
        <v>40</v>
      </c>
      <c r="K404" s="1" t="s">
        <v>28</v>
      </c>
      <c r="L404">
        <v>3998.77</v>
      </c>
      <c r="M404">
        <v>17.899999999999999</v>
      </c>
      <c r="N404">
        <v>2024</v>
      </c>
      <c r="O404">
        <f t="shared" si="6"/>
        <v>2</v>
      </c>
      <c r="P404" s="13" t="s">
        <v>64</v>
      </c>
      <c r="Q404">
        <v>870.03</v>
      </c>
      <c r="R404" s="3" t="s">
        <v>29</v>
      </c>
      <c r="S404" s="7">
        <f>Ventas[[#This Row],[Costo Material (€)]]/Ventas[[#This Row],[Beneficio (€)]]</f>
        <v>4.5961288691194557</v>
      </c>
      <c r="T404" s="3" t="str">
        <f>IF(Ventas[[#This Row],[Margen (%)]]&gt;20%,"Beneficio","Perdidas")</f>
        <v>Beneficio</v>
      </c>
    </row>
    <row r="405" spans="1:20" x14ac:dyDescent="0.25">
      <c r="A405" s="12">
        <v>44948</v>
      </c>
      <c r="B405" s="1" t="s">
        <v>51</v>
      </c>
      <c r="C405" s="1" t="s">
        <v>52</v>
      </c>
      <c r="D405" s="1" t="s">
        <v>32</v>
      </c>
      <c r="E405" s="1" t="s">
        <v>20</v>
      </c>
      <c r="F405">
        <v>605</v>
      </c>
      <c r="G405">
        <v>4.53</v>
      </c>
      <c r="H405">
        <v>2740.65</v>
      </c>
      <c r="I405" s="1" t="s">
        <v>26</v>
      </c>
      <c r="J405" s="1" t="s">
        <v>27</v>
      </c>
      <c r="K405" s="1" t="s">
        <v>23</v>
      </c>
      <c r="L405">
        <v>1871.49</v>
      </c>
      <c r="M405">
        <v>31.7</v>
      </c>
      <c r="N405">
        <v>2023</v>
      </c>
      <c r="O405">
        <f t="shared" si="6"/>
        <v>1</v>
      </c>
      <c r="P405" s="13" t="s">
        <v>24</v>
      </c>
      <c r="Q405">
        <v>869.16</v>
      </c>
      <c r="R405" s="3" t="s">
        <v>25</v>
      </c>
      <c r="S405" s="7">
        <f>Ventas[[#This Row],[Costo Material (€)]]/Ventas[[#This Row],[Beneficio (€)]]</f>
        <v>2.1532168990749692</v>
      </c>
      <c r="T405" s="3" t="str">
        <f>IF(Ventas[[#This Row],[Margen (%)]]&gt;20%,"Beneficio","Perdidas")</f>
        <v>Beneficio</v>
      </c>
    </row>
    <row r="406" spans="1:20" x14ac:dyDescent="0.25">
      <c r="A406" s="12">
        <v>45666</v>
      </c>
      <c r="B406" s="1" t="s">
        <v>17</v>
      </c>
      <c r="C406" s="1" t="s">
        <v>18</v>
      </c>
      <c r="D406" s="1" t="s">
        <v>53</v>
      </c>
      <c r="E406" s="1" t="s">
        <v>50</v>
      </c>
      <c r="F406">
        <v>911</v>
      </c>
      <c r="G406">
        <v>3.11</v>
      </c>
      <c r="H406">
        <v>2833.21</v>
      </c>
      <c r="I406" s="1" t="s">
        <v>57</v>
      </c>
      <c r="J406" s="1" t="s">
        <v>56</v>
      </c>
      <c r="K406" s="1" t="s">
        <v>28</v>
      </c>
      <c r="L406">
        <v>1965.56</v>
      </c>
      <c r="M406">
        <v>30.6</v>
      </c>
      <c r="N406">
        <v>2025</v>
      </c>
      <c r="O406">
        <f t="shared" si="6"/>
        <v>1</v>
      </c>
      <c r="P406" s="13" t="s">
        <v>24</v>
      </c>
      <c r="Q406">
        <v>867.65</v>
      </c>
      <c r="R406" s="3" t="s">
        <v>25</v>
      </c>
      <c r="S406" s="7">
        <f>Ventas[[#This Row],[Costo Material (€)]]/Ventas[[#This Row],[Beneficio (€)]]</f>
        <v>2.2653835071745521</v>
      </c>
      <c r="T406" s="3" t="str">
        <f>IF(Ventas[[#This Row],[Margen (%)]]&gt;20%,"Beneficio","Perdidas")</f>
        <v>Beneficio</v>
      </c>
    </row>
    <row r="407" spans="1:20" x14ac:dyDescent="0.25">
      <c r="A407" s="12">
        <v>45211</v>
      </c>
      <c r="B407" s="1" t="s">
        <v>35</v>
      </c>
      <c r="C407" s="1" t="s">
        <v>36</v>
      </c>
      <c r="D407" s="1" t="s">
        <v>45</v>
      </c>
      <c r="E407" s="1" t="s">
        <v>20</v>
      </c>
      <c r="F407">
        <v>433</v>
      </c>
      <c r="G407">
        <v>7.47</v>
      </c>
      <c r="H407">
        <v>3234.51</v>
      </c>
      <c r="I407" s="1" t="s">
        <v>39</v>
      </c>
      <c r="J407" s="1" t="s">
        <v>34</v>
      </c>
      <c r="K407" s="1" t="s">
        <v>28</v>
      </c>
      <c r="L407">
        <v>2367.29</v>
      </c>
      <c r="M407">
        <v>26.8</v>
      </c>
      <c r="N407">
        <v>2023</v>
      </c>
      <c r="O407">
        <f t="shared" si="6"/>
        <v>4</v>
      </c>
      <c r="P407" s="13" t="s">
        <v>68</v>
      </c>
      <c r="Q407">
        <v>867.22</v>
      </c>
      <c r="R407" s="3" t="s">
        <v>25</v>
      </c>
      <c r="S407" s="7">
        <f>Ventas[[#This Row],[Costo Material (€)]]/Ventas[[#This Row],[Beneficio (€)]]</f>
        <v>2.7297456239477871</v>
      </c>
      <c r="T407" s="3" t="str">
        <f>IF(Ventas[[#This Row],[Margen (%)]]&gt;20%,"Beneficio","Perdidas")</f>
        <v>Beneficio</v>
      </c>
    </row>
    <row r="408" spans="1:20" x14ac:dyDescent="0.25">
      <c r="A408" s="12">
        <v>45220</v>
      </c>
      <c r="B408" s="1" t="s">
        <v>35</v>
      </c>
      <c r="C408" s="1" t="s">
        <v>36</v>
      </c>
      <c r="D408" s="1" t="s">
        <v>37</v>
      </c>
      <c r="E408" s="1" t="s">
        <v>38</v>
      </c>
      <c r="F408">
        <v>590</v>
      </c>
      <c r="G408">
        <v>6.33</v>
      </c>
      <c r="H408">
        <v>3734.7</v>
      </c>
      <c r="I408" s="1" t="s">
        <v>39</v>
      </c>
      <c r="J408" s="1" t="s">
        <v>34</v>
      </c>
      <c r="K408" s="1" t="s">
        <v>23</v>
      </c>
      <c r="L408">
        <v>2868.98</v>
      </c>
      <c r="M408">
        <v>23.2</v>
      </c>
      <c r="N408">
        <v>2023</v>
      </c>
      <c r="O408">
        <f t="shared" si="6"/>
        <v>4</v>
      </c>
      <c r="P408" s="13" t="s">
        <v>68</v>
      </c>
      <c r="Q408">
        <v>865.72</v>
      </c>
      <c r="R408" s="3" t="s">
        <v>29</v>
      </c>
      <c r="S408" s="7">
        <f>Ventas[[#This Row],[Costo Material (€)]]/Ventas[[#This Row],[Beneficio (€)]]</f>
        <v>3.3139814258651756</v>
      </c>
      <c r="T408" s="3" t="str">
        <f>IF(Ventas[[#This Row],[Margen (%)]]&gt;20%,"Beneficio","Perdidas")</f>
        <v>Beneficio</v>
      </c>
    </row>
    <row r="409" spans="1:20" x14ac:dyDescent="0.25">
      <c r="A409" s="12">
        <v>45244</v>
      </c>
      <c r="B409" s="1" t="s">
        <v>51</v>
      </c>
      <c r="C409" s="1" t="s">
        <v>52</v>
      </c>
      <c r="D409" s="1" t="s">
        <v>53</v>
      </c>
      <c r="E409" s="1" t="s">
        <v>50</v>
      </c>
      <c r="F409">
        <v>360</v>
      </c>
      <c r="G409">
        <v>9.39</v>
      </c>
      <c r="H409">
        <v>3380.4</v>
      </c>
      <c r="I409" s="1" t="s">
        <v>26</v>
      </c>
      <c r="J409" s="1" t="s">
        <v>56</v>
      </c>
      <c r="K409" s="1" t="s">
        <v>28</v>
      </c>
      <c r="L409">
        <v>2518.5300000000002</v>
      </c>
      <c r="M409">
        <v>25.5</v>
      </c>
      <c r="N409">
        <v>2023</v>
      </c>
      <c r="O409">
        <f t="shared" si="6"/>
        <v>4</v>
      </c>
      <c r="P409" s="13" t="s">
        <v>69</v>
      </c>
      <c r="Q409">
        <v>861.87</v>
      </c>
      <c r="R409" s="3" t="s">
        <v>25</v>
      </c>
      <c r="S409" s="7">
        <f>Ventas[[#This Row],[Costo Material (€)]]/Ventas[[#This Row],[Beneficio (€)]]</f>
        <v>2.9221692366598213</v>
      </c>
      <c r="T409" s="3" t="str">
        <f>IF(Ventas[[#This Row],[Margen (%)]]&gt;20%,"Beneficio","Perdidas")</f>
        <v>Beneficio</v>
      </c>
    </row>
    <row r="410" spans="1:20" x14ac:dyDescent="0.25">
      <c r="A410" s="12">
        <v>45016</v>
      </c>
      <c r="B410" s="1" t="s">
        <v>58</v>
      </c>
      <c r="C410" s="1" t="s">
        <v>59</v>
      </c>
      <c r="D410" s="1" t="s">
        <v>53</v>
      </c>
      <c r="E410" s="1" t="s">
        <v>50</v>
      </c>
      <c r="F410">
        <v>980</v>
      </c>
      <c r="G410">
        <v>5.05</v>
      </c>
      <c r="H410">
        <v>4949</v>
      </c>
      <c r="I410" s="1" t="s">
        <v>33</v>
      </c>
      <c r="J410" s="1" t="s">
        <v>22</v>
      </c>
      <c r="K410" s="1" t="s">
        <v>23</v>
      </c>
      <c r="L410">
        <v>4088.8</v>
      </c>
      <c r="M410">
        <v>17.399999999999999</v>
      </c>
      <c r="N410">
        <v>2023</v>
      </c>
      <c r="O410">
        <f t="shared" si="6"/>
        <v>1</v>
      </c>
      <c r="P410" s="13" t="s">
        <v>61</v>
      </c>
      <c r="Q410">
        <v>860.2</v>
      </c>
      <c r="R410" s="3" t="s">
        <v>29</v>
      </c>
      <c r="S410" s="7">
        <f>Ventas[[#This Row],[Costo Material (€)]]/Ventas[[#This Row],[Beneficio (€)]]</f>
        <v>4.753313182980702</v>
      </c>
      <c r="T410" s="3" t="str">
        <f>IF(Ventas[[#This Row],[Margen (%)]]&gt;20%,"Beneficio","Perdidas")</f>
        <v>Beneficio</v>
      </c>
    </row>
    <row r="411" spans="1:20" x14ac:dyDescent="0.25">
      <c r="A411" s="12">
        <v>45121</v>
      </c>
      <c r="B411" s="1" t="s">
        <v>42</v>
      </c>
      <c r="C411" s="1" t="s">
        <v>43</v>
      </c>
      <c r="D411" s="1" t="s">
        <v>49</v>
      </c>
      <c r="E411" s="1" t="s">
        <v>50</v>
      </c>
      <c r="F411">
        <v>799</v>
      </c>
      <c r="G411">
        <v>4.6500000000000004</v>
      </c>
      <c r="H411">
        <v>3715.35</v>
      </c>
      <c r="I411" s="1" t="s">
        <v>21</v>
      </c>
      <c r="J411" s="1" t="s">
        <v>40</v>
      </c>
      <c r="K411" s="1" t="s">
        <v>41</v>
      </c>
      <c r="L411">
        <v>2857.91</v>
      </c>
      <c r="M411">
        <v>23.1</v>
      </c>
      <c r="N411">
        <v>2023</v>
      </c>
      <c r="O411">
        <f t="shared" si="6"/>
        <v>3</v>
      </c>
      <c r="P411" s="13" t="s">
        <v>65</v>
      </c>
      <c r="Q411">
        <v>857.44</v>
      </c>
      <c r="R411" s="3" t="s">
        <v>29</v>
      </c>
      <c r="S411" s="7">
        <f>Ventas[[#This Row],[Costo Material (€)]]/Ventas[[#This Row],[Beneficio (€)]]</f>
        <v>3.3330728680724011</v>
      </c>
      <c r="T411" s="3" t="str">
        <f>IF(Ventas[[#This Row],[Margen (%)]]&gt;20%,"Beneficio","Perdidas")</f>
        <v>Beneficio</v>
      </c>
    </row>
    <row r="412" spans="1:20" x14ac:dyDescent="0.25">
      <c r="A412" s="12">
        <v>45445</v>
      </c>
      <c r="B412" s="1" t="s">
        <v>17</v>
      </c>
      <c r="C412" s="1" t="s">
        <v>18</v>
      </c>
      <c r="D412" s="1" t="s">
        <v>45</v>
      </c>
      <c r="E412" s="1" t="s">
        <v>20</v>
      </c>
      <c r="F412">
        <v>213</v>
      </c>
      <c r="G412">
        <v>10.34</v>
      </c>
      <c r="H412">
        <v>2202.42</v>
      </c>
      <c r="I412" s="1" t="s">
        <v>26</v>
      </c>
      <c r="J412" s="1" t="s">
        <v>40</v>
      </c>
      <c r="K412" s="1" t="s">
        <v>23</v>
      </c>
      <c r="L412">
        <v>1345.27</v>
      </c>
      <c r="M412">
        <v>38.9</v>
      </c>
      <c r="N412">
        <v>2024</v>
      </c>
      <c r="O412">
        <f t="shared" si="6"/>
        <v>2</v>
      </c>
      <c r="P412" s="13" t="s">
        <v>64</v>
      </c>
      <c r="Q412">
        <v>857.15</v>
      </c>
      <c r="R412" s="3" t="s">
        <v>25</v>
      </c>
      <c r="S412" s="7">
        <f>Ventas[[#This Row],[Costo Material (€)]]/Ventas[[#This Row],[Beneficio (€)]]</f>
        <v>1.5694685877617687</v>
      </c>
      <c r="T412" s="3" t="str">
        <f>IF(Ventas[[#This Row],[Margen (%)]]&gt;20%,"Beneficio","Perdidas")</f>
        <v>Beneficio</v>
      </c>
    </row>
    <row r="413" spans="1:20" x14ac:dyDescent="0.25">
      <c r="A413" s="12">
        <v>44933</v>
      </c>
      <c r="B413" s="1" t="s">
        <v>42</v>
      </c>
      <c r="C413" s="1" t="s">
        <v>43</v>
      </c>
      <c r="D413" s="1" t="s">
        <v>45</v>
      </c>
      <c r="E413" s="1" t="s">
        <v>20</v>
      </c>
      <c r="F413">
        <v>701</v>
      </c>
      <c r="G413">
        <v>10.1</v>
      </c>
      <c r="H413">
        <v>7080.1</v>
      </c>
      <c r="I413" s="1" t="s">
        <v>39</v>
      </c>
      <c r="J413" s="1" t="s">
        <v>47</v>
      </c>
      <c r="K413" s="1" t="s">
        <v>23</v>
      </c>
      <c r="L413">
        <v>6224.04</v>
      </c>
      <c r="M413">
        <v>12.1</v>
      </c>
      <c r="N413">
        <v>2023</v>
      </c>
      <c r="O413">
        <f t="shared" si="6"/>
        <v>1</v>
      </c>
      <c r="P413" s="13" t="s">
        <v>24</v>
      </c>
      <c r="Q413">
        <v>856.06</v>
      </c>
      <c r="R413" s="3" t="s">
        <v>29</v>
      </c>
      <c r="S413" s="7">
        <f>Ventas[[#This Row],[Costo Material (€)]]/Ventas[[#This Row],[Beneficio (€)]]</f>
        <v>7.2705651473027597</v>
      </c>
      <c r="T413" s="3" t="str">
        <f>IF(Ventas[[#This Row],[Margen (%)]]&gt;20%,"Beneficio","Perdidas")</f>
        <v>Beneficio</v>
      </c>
    </row>
    <row r="414" spans="1:20" x14ac:dyDescent="0.25">
      <c r="A414" s="12">
        <v>45022</v>
      </c>
      <c r="B414" s="1" t="s">
        <v>58</v>
      </c>
      <c r="C414" s="1" t="s">
        <v>59</v>
      </c>
      <c r="D414" s="1" t="s">
        <v>45</v>
      </c>
      <c r="E414" s="1" t="s">
        <v>20</v>
      </c>
      <c r="F414">
        <v>976</v>
      </c>
      <c r="G414">
        <v>2.64</v>
      </c>
      <c r="H414">
        <v>2576.64</v>
      </c>
      <c r="I414" s="1" t="s">
        <v>46</v>
      </c>
      <c r="J414" s="1" t="s">
        <v>47</v>
      </c>
      <c r="K414" s="1" t="s">
        <v>28</v>
      </c>
      <c r="L414">
        <v>1724.63</v>
      </c>
      <c r="M414">
        <v>33.1</v>
      </c>
      <c r="N414">
        <v>2023</v>
      </c>
      <c r="O414">
        <f t="shared" si="6"/>
        <v>2</v>
      </c>
      <c r="P414" s="13" t="s">
        <v>62</v>
      </c>
      <c r="Q414">
        <v>852.01</v>
      </c>
      <c r="R414" s="3" t="s">
        <v>25</v>
      </c>
      <c r="S414" s="7">
        <f>Ventas[[#This Row],[Costo Material (€)]]/Ventas[[#This Row],[Beneficio (€)]]</f>
        <v>2.0241898569265619</v>
      </c>
      <c r="T414" s="3" t="str">
        <f>IF(Ventas[[#This Row],[Margen (%)]]&gt;20%,"Beneficio","Perdidas")</f>
        <v>Beneficio</v>
      </c>
    </row>
    <row r="415" spans="1:20" x14ac:dyDescent="0.25">
      <c r="A415" s="12">
        <v>45002</v>
      </c>
      <c r="B415" s="1" t="s">
        <v>17</v>
      </c>
      <c r="C415" s="1" t="s">
        <v>18</v>
      </c>
      <c r="D415" s="1" t="s">
        <v>45</v>
      </c>
      <c r="E415" s="1" t="s">
        <v>20</v>
      </c>
      <c r="F415">
        <v>817</v>
      </c>
      <c r="G415">
        <v>3.76</v>
      </c>
      <c r="H415">
        <v>3071.92</v>
      </c>
      <c r="I415" s="1" t="s">
        <v>39</v>
      </c>
      <c r="J415" s="1" t="s">
        <v>40</v>
      </c>
      <c r="K415" s="1" t="s">
        <v>28</v>
      </c>
      <c r="L415">
        <v>2223.79</v>
      </c>
      <c r="M415">
        <v>27.6</v>
      </c>
      <c r="N415">
        <v>2023</v>
      </c>
      <c r="O415">
        <f t="shared" si="6"/>
        <v>1</v>
      </c>
      <c r="P415" s="13" t="s">
        <v>61</v>
      </c>
      <c r="Q415">
        <v>848.13</v>
      </c>
      <c r="R415" s="3" t="s">
        <v>25</v>
      </c>
      <c r="S415" s="7">
        <f>Ventas[[#This Row],[Costo Material (€)]]/Ventas[[#This Row],[Beneficio (€)]]</f>
        <v>2.6219919116173229</v>
      </c>
      <c r="T415" s="3" t="str">
        <f>IF(Ventas[[#This Row],[Margen (%)]]&gt;20%,"Beneficio","Perdidas")</f>
        <v>Beneficio</v>
      </c>
    </row>
    <row r="416" spans="1:20" x14ac:dyDescent="0.25">
      <c r="A416" s="12">
        <v>45042</v>
      </c>
      <c r="B416" s="1" t="s">
        <v>17</v>
      </c>
      <c r="C416" s="1" t="s">
        <v>18</v>
      </c>
      <c r="D416" s="1" t="s">
        <v>49</v>
      </c>
      <c r="E416" s="1" t="s">
        <v>50</v>
      </c>
      <c r="F416">
        <v>774</v>
      </c>
      <c r="G416">
        <v>9.9700000000000006</v>
      </c>
      <c r="H416">
        <v>7716.78</v>
      </c>
      <c r="I416" s="1" t="s">
        <v>55</v>
      </c>
      <c r="J416" s="1" t="s">
        <v>22</v>
      </c>
      <c r="K416" s="1" t="s">
        <v>41</v>
      </c>
      <c r="L416">
        <v>6869.19</v>
      </c>
      <c r="M416">
        <v>11</v>
      </c>
      <c r="N416">
        <v>2023</v>
      </c>
      <c r="O416">
        <f t="shared" si="6"/>
        <v>2</v>
      </c>
      <c r="P416" s="13" t="s">
        <v>62</v>
      </c>
      <c r="Q416">
        <v>847.59</v>
      </c>
      <c r="R416" s="3" t="s">
        <v>29</v>
      </c>
      <c r="S416" s="7">
        <f>Ventas[[#This Row],[Costo Material (€)]]/Ventas[[#This Row],[Beneficio (€)]]</f>
        <v>8.1043782961101467</v>
      </c>
      <c r="T416" s="3" t="str">
        <f>IF(Ventas[[#This Row],[Margen (%)]]&gt;20%,"Beneficio","Perdidas")</f>
        <v>Beneficio</v>
      </c>
    </row>
    <row r="417" spans="1:20" x14ac:dyDescent="0.25">
      <c r="A417" s="12">
        <v>45082</v>
      </c>
      <c r="B417" s="1" t="s">
        <v>17</v>
      </c>
      <c r="C417" s="1" t="s">
        <v>18</v>
      </c>
      <c r="D417" s="1" t="s">
        <v>53</v>
      </c>
      <c r="E417" s="1" t="s">
        <v>50</v>
      </c>
      <c r="F417">
        <v>243</v>
      </c>
      <c r="G417">
        <v>8.89</v>
      </c>
      <c r="H417">
        <v>2160.27</v>
      </c>
      <c r="I417" s="1" t="s">
        <v>54</v>
      </c>
      <c r="J417" s="1" t="s">
        <v>34</v>
      </c>
      <c r="K417" s="1" t="s">
        <v>28</v>
      </c>
      <c r="L417">
        <v>1314.4</v>
      </c>
      <c r="M417">
        <v>39.200000000000003</v>
      </c>
      <c r="N417">
        <v>2023</v>
      </c>
      <c r="O417">
        <f t="shared" si="6"/>
        <v>2</v>
      </c>
      <c r="P417" s="13" t="s">
        <v>64</v>
      </c>
      <c r="Q417">
        <v>845.87</v>
      </c>
      <c r="R417" s="3" t="s">
        <v>25</v>
      </c>
      <c r="S417" s="7">
        <f>Ventas[[#This Row],[Costo Material (€)]]/Ventas[[#This Row],[Beneficio (€)]]</f>
        <v>1.5539030820338824</v>
      </c>
      <c r="T417" s="3" t="str">
        <f>IF(Ventas[[#This Row],[Margen (%)]]&gt;20%,"Beneficio","Perdidas")</f>
        <v>Beneficio</v>
      </c>
    </row>
    <row r="418" spans="1:20" x14ac:dyDescent="0.25">
      <c r="A418" s="12">
        <v>45005</v>
      </c>
      <c r="B418" s="1" t="s">
        <v>42</v>
      </c>
      <c r="C418" s="1" t="s">
        <v>43</v>
      </c>
      <c r="D418" s="1" t="s">
        <v>32</v>
      </c>
      <c r="E418" s="1" t="s">
        <v>20</v>
      </c>
      <c r="F418">
        <v>231</v>
      </c>
      <c r="G418">
        <v>11.49</v>
      </c>
      <c r="H418">
        <v>2654.19</v>
      </c>
      <c r="I418" s="1" t="s">
        <v>46</v>
      </c>
      <c r="J418" s="1" t="s">
        <v>56</v>
      </c>
      <c r="K418" s="1" t="s">
        <v>28</v>
      </c>
      <c r="L418">
        <v>1809.1</v>
      </c>
      <c r="M418">
        <v>31.8</v>
      </c>
      <c r="N418">
        <v>2023</v>
      </c>
      <c r="O418">
        <f t="shared" si="6"/>
        <v>1</v>
      </c>
      <c r="P418" s="13" t="s">
        <v>61</v>
      </c>
      <c r="Q418">
        <v>845.09</v>
      </c>
      <c r="R418" s="3" t="s">
        <v>25</v>
      </c>
      <c r="S418" s="7">
        <f>Ventas[[#This Row],[Costo Material (€)]]/Ventas[[#This Row],[Beneficio (€)]]</f>
        <v>2.1407187400158563</v>
      </c>
      <c r="T418" s="3" t="str">
        <f>IF(Ventas[[#This Row],[Margen (%)]]&gt;20%,"Beneficio","Perdidas")</f>
        <v>Beneficio</v>
      </c>
    </row>
    <row r="419" spans="1:20" x14ac:dyDescent="0.25">
      <c r="A419" s="12">
        <v>45120</v>
      </c>
      <c r="B419" s="1" t="s">
        <v>35</v>
      </c>
      <c r="C419" s="1" t="s">
        <v>36</v>
      </c>
      <c r="D419" s="1" t="s">
        <v>19</v>
      </c>
      <c r="E419" s="1" t="s">
        <v>20</v>
      </c>
      <c r="F419">
        <v>706</v>
      </c>
      <c r="G419">
        <v>10</v>
      </c>
      <c r="H419">
        <v>7060</v>
      </c>
      <c r="I419" s="1" t="s">
        <v>26</v>
      </c>
      <c r="J419" s="1" t="s">
        <v>22</v>
      </c>
      <c r="K419" s="1" t="s">
        <v>23</v>
      </c>
      <c r="L419">
        <v>6215.9</v>
      </c>
      <c r="M419">
        <v>12</v>
      </c>
      <c r="N419">
        <v>2023</v>
      </c>
      <c r="O419">
        <f t="shared" si="6"/>
        <v>3</v>
      </c>
      <c r="P419" s="13" t="s">
        <v>65</v>
      </c>
      <c r="Q419">
        <v>844.1</v>
      </c>
      <c r="R419" s="3" t="s">
        <v>29</v>
      </c>
      <c r="S419" s="7">
        <f>Ventas[[#This Row],[Costo Material (€)]]/Ventas[[#This Row],[Beneficio (€)]]</f>
        <v>7.3639379220471506</v>
      </c>
      <c r="T419" s="3" t="str">
        <f>IF(Ventas[[#This Row],[Margen (%)]]&gt;20%,"Beneficio","Perdidas")</f>
        <v>Beneficio</v>
      </c>
    </row>
    <row r="420" spans="1:20" x14ac:dyDescent="0.25">
      <c r="A420" s="12">
        <v>44929</v>
      </c>
      <c r="B420" s="1" t="s">
        <v>51</v>
      </c>
      <c r="C420" s="1" t="s">
        <v>52</v>
      </c>
      <c r="D420" s="1" t="s">
        <v>44</v>
      </c>
      <c r="E420" s="1" t="s">
        <v>38</v>
      </c>
      <c r="F420">
        <v>198</v>
      </c>
      <c r="G420">
        <v>11.86</v>
      </c>
      <c r="H420">
        <v>2348.2800000000002</v>
      </c>
      <c r="I420" s="1" t="s">
        <v>46</v>
      </c>
      <c r="J420" s="1" t="s">
        <v>34</v>
      </c>
      <c r="K420" s="1" t="s">
        <v>41</v>
      </c>
      <c r="L420">
        <v>1504.58</v>
      </c>
      <c r="M420">
        <v>35.9</v>
      </c>
      <c r="N420">
        <v>2023</v>
      </c>
      <c r="O420">
        <f t="shared" si="6"/>
        <v>1</v>
      </c>
      <c r="P420" s="13" t="s">
        <v>24</v>
      </c>
      <c r="Q420">
        <v>843.7</v>
      </c>
      <c r="R420" s="3" t="s">
        <v>25</v>
      </c>
      <c r="S420" s="7">
        <f>Ventas[[#This Row],[Costo Material (€)]]/Ventas[[#This Row],[Beneficio (€)]]</f>
        <v>1.7833116036505865</v>
      </c>
      <c r="T420" s="3" t="str">
        <f>IF(Ventas[[#This Row],[Margen (%)]]&gt;20%,"Beneficio","Perdidas")</f>
        <v>Beneficio</v>
      </c>
    </row>
    <row r="421" spans="1:20" x14ac:dyDescent="0.25">
      <c r="A421" s="12">
        <v>44958</v>
      </c>
      <c r="B421" s="1" t="s">
        <v>58</v>
      </c>
      <c r="C421" s="1" t="s">
        <v>59</v>
      </c>
      <c r="D421" s="1" t="s">
        <v>53</v>
      </c>
      <c r="E421" s="1" t="s">
        <v>50</v>
      </c>
      <c r="F421">
        <v>840</v>
      </c>
      <c r="G421">
        <v>4.3099999999999996</v>
      </c>
      <c r="H421">
        <v>3620.4</v>
      </c>
      <c r="I421" s="1" t="s">
        <v>57</v>
      </c>
      <c r="J421" s="1" t="s">
        <v>47</v>
      </c>
      <c r="K421" s="1" t="s">
        <v>23</v>
      </c>
      <c r="L421">
        <v>2776.99</v>
      </c>
      <c r="M421">
        <v>23.3</v>
      </c>
      <c r="N421">
        <v>2023</v>
      </c>
      <c r="O421">
        <f t="shared" si="6"/>
        <v>1</v>
      </c>
      <c r="P421" s="13" t="s">
        <v>60</v>
      </c>
      <c r="Q421">
        <v>843.41</v>
      </c>
      <c r="R421" s="3" t="s">
        <v>29</v>
      </c>
      <c r="S421" s="7">
        <f>Ventas[[#This Row],[Costo Material (€)]]/Ventas[[#This Row],[Beneficio (€)]]</f>
        <v>3.2925741928599375</v>
      </c>
      <c r="T421" s="3" t="str">
        <f>IF(Ventas[[#This Row],[Margen (%)]]&gt;20%,"Beneficio","Perdidas")</f>
        <v>Beneficio</v>
      </c>
    </row>
    <row r="422" spans="1:20" x14ac:dyDescent="0.25">
      <c r="A422" s="12">
        <v>45041</v>
      </c>
      <c r="B422" s="1" t="s">
        <v>30</v>
      </c>
      <c r="C422" s="1" t="s">
        <v>31</v>
      </c>
      <c r="D422" s="1" t="s">
        <v>53</v>
      </c>
      <c r="E422" s="1" t="s">
        <v>50</v>
      </c>
      <c r="F422">
        <v>930</v>
      </c>
      <c r="G422">
        <v>3.26</v>
      </c>
      <c r="H422">
        <v>3031.8</v>
      </c>
      <c r="I422" s="1" t="s">
        <v>46</v>
      </c>
      <c r="J422" s="1" t="s">
        <v>34</v>
      </c>
      <c r="K422" s="1" t="s">
        <v>41</v>
      </c>
      <c r="L422">
        <v>2188.61</v>
      </c>
      <c r="M422">
        <v>27.8</v>
      </c>
      <c r="N422">
        <v>2023</v>
      </c>
      <c r="O422">
        <f t="shared" si="6"/>
        <v>2</v>
      </c>
      <c r="P422" s="13" t="s">
        <v>62</v>
      </c>
      <c r="Q422">
        <v>843.19</v>
      </c>
      <c r="R422" s="3" t="s">
        <v>25</v>
      </c>
      <c r="S422" s="7">
        <f>Ventas[[#This Row],[Costo Material (€)]]/Ventas[[#This Row],[Beneficio (€)]]</f>
        <v>2.5956308779753079</v>
      </c>
      <c r="T422" s="3" t="str">
        <f>IF(Ventas[[#This Row],[Margen (%)]]&gt;20%,"Beneficio","Perdidas")</f>
        <v>Beneficio</v>
      </c>
    </row>
    <row r="423" spans="1:20" x14ac:dyDescent="0.25">
      <c r="A423" s="12">
        <v>45025</v>
      </c>
      <c r="B423" s="1" t="s">
        <v>58</v>
      </c>
      <c r="C423" s="1" t="s">
        <v>59</v>
      </c>
      <c r="D423" s="1" t="s">
        <v>48</v>
      </c>
      <c r="E423" s="1" t="s">
        <v>38</v>
      </c>
      <c r="F423">
        <v>510</v>
      </c>
      <c r="G423">
        <v>4.5199999999999996</v>
      </c>
      <c r="H423">
        <v>2305.1999999999998</v>
      </c>
      <c r="I423" s="1" t="s">
        <v>54</v>
      </c>
      <c r="J423" s="1" t="s">
        <v>56</v>
      </c>
      <c r="K423" s="1" t="s">
        <v>23</v>
      </c>
      <c r="L423">
        <v>1462.44</v>
      </c>
      <c r="M423">
        <v>36.6</v>
      </c>
      <c r="N423">
        <v>2023</v>
      </c>
      <c r="O423">
        <f t="shared" si="6"/>
        <v>2</v>
      </c>
      <c r="P423" s="13" t="s">
        <v>62</v>
      </c>
      <c r="Q423">
        <v>842.76</v>
      </c>
      <c r="R423" s="3" t="s">
        <v>25</v>
      </c>
      <c r="S423" s="7">
        <f>Ventas[[#This Row],[Costo Material (€)]]/Ventas[[#This Row],[Beneficio (€)]]</f>
        <v>1.7352983055674214</v>
      </c>
      <c r="T423" s="3" t="str">
        <f>IF(Ventas[[#This Row],[Margen (%)]]&gt;20%,"Beneficio","Perdidas")</f>
        <v>Beneficio</v>
      </c>
    </row>
    <row r="424" spans="1:20" x14ac:dyDescent="0.25">
      <c r="A424" s="12">
        <v>45168</v>
      </c>
      <c r="B424" s="1" t="s">
        <v>35</v>
      </c>
      <c r="C424" s="1" t="s">
        <v>36</v>
      </c>
      <c r="D424" s="1" t="s">
        <v>49</v>
      </c>
      <c r="E424" s="1" t="s">
        <v>50</v>
      </c>
      <c r="F424">
        <v>655</v>
      </c>
      <c r="G424">
        <v>6.82</v>
      </c>
      <c r="H424">
        <v>4467.1000000000004</v>
      </c>
      <c r="I424" s="1" t="s">
        <v>54</v>
      </c>
      <c r="J424" s="1" t="s">
        <v>40</v>
      </c>
      <c r="K424" s="1" t="s">
        <v>23</v>
      </c>
      <c r="L424">
        <v>3629.67</v>
      </c>
      <c r="M424">
        <v>18.7</v>
      </c>
      <c r="N424">
        <v>2023</v>
      </c>
      <c r="O424">
        <f t="shared" si="6"/>
        <v>3</v>
      </c>
      <c r="P424" s="13" t="s">
        <v>66</v>
      </c>
      <c r="Q424">
        <v>837.43</v>
      </c>
      <c r="R424" s="3" t="s">
        <v>29</v>
      </c>
      <c r="S424" s="7">
        <f>Ventas[[#This Row],[Costo Material (€)]]/Ventas[[#This Row],[Beneficio (€)]]</f>
        <v>4.3342965979246033</v>
      </c>
      <c r="T424" s="3" t="str">
        <f>IF(Ventas[[#This Row],[Margen (%)]]&gt;20%,"Beneficio","Perdidas")</f>
        <v>Beneficio</v>
      </c>
    </row>
    <row r="425" spans="1:20" x14ac:dyDescent="0.25">
      <c r="A425" s="12">
        <v>45048</v>
      </c>
      <c r="B425" s="1" t="s">
        <v>58</v>
      </c>
      <c r="C425" s="1" t="s">
        <v>59</v>
      </c>
      <c r="D425" s="1" t="s">
        <v>45</v>
      </c>
      <c r="E425" s="1" t="s">
        <v>20</v>
      </c>
      <c r="F425">
        <v>270</v>
      </c>
      <c r="G425">
        <v>10.6</v>
      </c>
      <c r="H425">
        <v>2862</v>
      </c>
      <c r="I425" s="1" t="s">
        <v>21</v>
      </c>
      <c r="J425" s="1" t="s">
        <v>40</v>
      </c>
      <c r="K425" s="1" t="s">
        <v>23</v>
      </c>
      <c r="L425">
        <v>2026.53</v>
      </c>
      <c r="M425">
        <v>29.2</v>
      </c>
      <c r="N425">
        <v>2023</v>
      </c>
      <c r="O425">
        <f t="shared" si="6"/>
        <v>2</v>
      </c>
      <c r="P425" s="13" t="s">
        <v>63</v>
      </c>
      <c r="Q425">
        <v>835.47</v>
      </c>
      <c r="R425" s="3" t="s">
        <v>25</v>
      </c>
      <c r="S425" s="7">
        <f>Ventas[[#This Row],[Costo Material (€)]]/Ventas[[#This Row],[Beneficio (€)]]</f>
        <v>2.4256167187331679</v>
      </c>
      <c r="T425" s="3" t="str">
        <f>IF(Ventas[[#This Row],[Margen (%)]]&gt;20%,"Beneficio","Perdidas")</f>
        <v>Beneficio</v>
      </c>
    </row>
    <row r="426" spans="1:20" x14ac:dyDescent="0.25">
      <c r="A426" s="12">
        <v>45176</v>
      </c>
      <c r="B426" s="1" t="s">
        <v>42</v>
      </c>
      <c r="C426" s="1" t="s">
        <v>43</v>
      </c>
      <c r="D426" s="1" t="s">
        <v>53</v>
      </c>
      <c r="E426" s="1" t="s">
        <v>50</v>
      </c>
      <c r="F426">
        <v>651</v>
      </c>
      <c r="G426">
        <v>9.25</v>
      </c>
      <c r="H426">
        <v>6021.75</v>
      </c>
      <c r="I426" s="1" t="s">
        <v>46</v>
      </c>
      <c r="J426" s="1" t="s">
        <v>40</v>
      </c>
      <c r="K426" s="1" t="s">
        <v>28</v>
      </c>
      <c r="L426">
        <v>5186.8599999999997</v>
      </c>
      <c r="M426">
        <v>13.9</v>
      </c>
      <c r="N426">
        <v>2023</v>
      </c>
      <c r="O426">
        <f t="shared" si="6"/>
        <v>3</v>
      </c>
      <c r="P426" s="13" t="s">
        <v>67</v>
      </c>
      <c r="Q426">
        <v>834.89</v>
      </c>
      <c r="R426" s="3" t="s">
        <v>29</v>
      </c>
      <c r="S426" s="7">
        <f>Ventas[[#This Row],[Costo Material (€)]]/Ventas[[#This Row],[Beneficio (€)]]</f>
        <v>6.2126268131131042</v>
      </c>
      <c r="T426" s="3" t="str">
        <f>IF(Ventas[[#This Row],[Margen (%)]]&gt;20%,"Beneficio","Perdidas")</f>
        <v>Beneficio</v>
      </c>
    </row>
    <row r="427" spans="1:20" x14ac:dyDescent="0.25">
      <c r="A427" s="12">
        <v>44998</v>
      </c>
      <c r="B427" s="1" t="s">
        <v>51</v>
      </c>
      <c r="C427" s="1" t="s">
        <v>52</v>
      </c>
      <c r="D427" s="1" t="s">
        <v>48</v>
      </c>
      <c r="E427" s="1" t="s">
        <v>38</v>
      </c>
      <c r="F427">
        <v>333</v>
      </c>
      <c r="G427">
        <v>10.26</v>
      </c>
      <c r="H427">
        <v>3416.58</v>
      </c>
      <c r="I427" s="1" t="s">
        <v>21</v>
      </c>
      <c r="J427" s="1" t="s">
        <v>27</v>
      </c>
      <c r="K427" s="1" t="s">
        <v>28</v>
      </c>
      <c r="L427">
        <v>2582.0100000000002</v>
      </c>
      <c r="M427">
        <v>24.4</v>
      </c>
      <c r="N427">
        <v>2023</v>
      </c>
      <c r="O427">
        <f t="shared" si="6"/>
        <v>1</v>
      </c>
      <c r="P427" s="13" t="s">
        <v>61</v>
      </c>
      <c r="Q427">
        <v>834.57</v>
      </c>
      <c r="R427" s="3" t="s">
        <v>29</v>
      </c>
      <c r="S427" s="7">
        <f>Ventas[[#This Row],[Costo Material (€)]]/Ventas[[#This Row],[Beneficio (€)]]</f>
        <v>3.0938207699773539</v>
      </c>
      <c r="T427" s="3" t="str">
        <f>IF(Ventas[[#This Row],[Margen (%)]]&gt;20%,"Beneficio","Perdidas")</f>
        <v>Beneficio</v>
      </c>
    </row>
    <row r="428" spans="1:20" x14ac:dyDescent="0.25">
      <c r="A428" s="12">
        <v>45209</v>
      </c>
      <c r="B428" s="1" t="s">
        <v>17</v>
      </c>
      <c r="C428" s="1" t="s">
        <v>18</v>
      </c>
      <c r="D428" s="1" t="s">
        <v>45</v>
      </c>
      <c r="E428" s="1" t="s">
        <v>20</v>
      </c>
      <c r="F428">
        <v>741</v>
      </c>
      <c r="G428">
        <v>3.45</v>
      </c>
      <c r="H428">
        <v>2556.4499999999998</v>
      </c>
      <c r="I428" s="1" t="s">
        <v>26</v>
      </c>
      <c r="J428" s="1" t="s">
        <v>56</v>
      </c>
      <c r="K428" s="1" t="s">
        <v>41</v>
      </c>
      <c r="L428">
        <v>1723.56</v>
      </c>
      <c r="M428">
        <v>32.6</v>
      </c>
      <c r="N428">
        <v>2023</v>
      </c>
      <c r="O428">
        <f t="shared" si="6"/>
        <v>4</v>
      </c>
      <c r="P428" s="13" t="s">
        <v>68</v>
      </c>
      <c r="Q428">
        <v>832.89</v>
      </c>
      <c r="R428" s="3" t="s">
        <v>25</v>
      </c>
      <c r="S428" s="7">
        <f>Ventas[[#This Row],[Costo Material (€)]]/Ventas[[#This Row],[Beneficio (€)]]</f>
        <v>2.0693729063861976</v>
      </c>
      <c r="T428" s="3" t="str">
        <f>IF(Ventas[[#This Row],[Margen (%)]]&gt;20%,"Beneficio","Perdidas")</f>
        <v>Beneficio</v>
      </c>
    </row>
    <row r="429" spans="1:20" x14ac:dyDescent="0.25">
      <c r="A429" s="12">
        <v>45109</v>
      </c>
      <c r="B429" s="1" t="s">
        <v>42</v>
      </c>
      <c r="C429" s="1" t="s">
        <v>43</v>
      </c>
      <c r="D429" s="1" t="s">
        <v>37</v>
      </c>
      <c r="E429" s="1" t="s">
        <v>38</v>
      </c>
      <c r="F429">
        <v>397</v>
      </c>
      <c r="G429">
        <v>5.93</v>
      </c>
      <c r="H429">
        <v>2354.21</v>
      </c>
      <c r="I429" s="1" t="s">
        <v>54</v>
      </c>
      <c r="J429" s="1" t="s">
        <v>22</v>
      </c>
      <c r="K429" s="1" t="s">
        <v>23</v>
      </c>
      <c r="L429">
        <v>1522.74</v>
      </c>
      <c r="M429">
        <v>35.299999999999997</v>
      </c>
      <c r="N429">
        <v>2023</v>
      </c>
      <c r="O429">
        <f t="shared" si="6"/>
        <v>3</v>
      </c>
      <c r="P429" s="13" t="s">
        <v>65</v>
      </c>
      <c r="Q429">
        <v>831.47</v>
      </c>
      <c r="R429" s="3" t="s">
        <v>25</v>
      </c>
      <c r="S429" s="7">
        <f>Ventas[[#This Row],[Costo Material (€)]]/Ventas[[#This Row],[Beneficio (€)]]</f>
        <v>1.8313829723261212</v>
      </c>
      <c r="T429" s="3" t="str">
        <f>IF(Ventas[[#This Row],[Margen (%)]]&gt;20%,"Beneficio","Perdidas")</f>
        <v>Beneficio</v>
      </c>
    </row>
    <row r="430" spans="1:20" x14ac:dyDescent="0.25">
      <c r="A430" s="12">
        <v>45221</v>
      </c>
      <c r="B430" s="1" t="s">
        <v>17</v>
      </c>
      <c r="C430" s="1" t="s">
        <v>18</v>
      </c>
      <c r="D430" s="1" t="s">
        <v>53</v>
      </c>
      <c r="E430" s="1" t="s">
        <v>50</v>
      </c>
      <c r="F430">
        <v>808</v>
      </c>
      <c r="G430">
        <v>9.02</v>
      </c>
      <c r="H430">
        <v>7288.16</v>
      </c>
      <c r="I430" s="1" t="s">
        <v>26</v>
      </c>
      <c r="J430" s="1" t="s">
        <v>22</v>
      </c>
      <c r="K430" s="1" t="s">
        <v>23</v>
      </c>
      <c r="L430">
        <v>6458.92</v>
      </c>
      <c r="M430">
        <v>11.4</v>
      </c>
      <c r="N430">
        <v>2023</v>
      </c>
      <c r="O430">
        <f t="shared" si="6"/>
        <v>4</v>
      </c>
      <c r="P430" s="13" t="s">
        <v>68</v>
      </c>
      <c r="Q430">
        <v>829.24</v>
      </c>
      <c r="R430" s="3" t="s">
        <v>29</v>
      </c>
      <c r="S430" s="7">
        <f>Ventas[[#This Row],[Costo Material (€)]]/Ventas[[#This Row],[Beneficio (€)]]</f>
        <v>7.7889633881626548</v>
      </c>
      <c r="T430" s="3" t="str">
        <f>IF(Ventas[[#This Row],[Margen (%)]]&gt;20%,"Beneficio","Perdidas")</f>
        <v>Beneficio</v>
      </c>
    </row>
    <row r="431" spans="1:20" x14ac:dyDescent="0.25">
      <c r="A431" s="12">
        <v>45307</v>
      </c>
      <c r="B431" s="1" t="s">
        <v>17</v>
      </c>
      <c r="C431" s="1" t="s">
        <v>18</v>
      </c>
      <c r="D431" s="1" t="s">
        <v>32</v>
      </c>
      <c r="E431" s="1" t="s">
        <v>20</v>
      </c>
      <c r="F431">
        <v>428</v>
      </c>
      <c r="G431">
        <v>10.15</v>
      </c>
      <c r="H431">
        <v>4344.2</v>
      </c>
      <c r="I431" s="1" t="s">
        <v>21</v>
      </c>
      <c r="J431" s="1" t="s">
        <v>27</v>
      </c>
      <c r="K431" s="1" t="s">
        <v>41</v>
      </c>
      <c r="L431">
        <v>3515.17</v>
      </c>
      <c r="M431">
        <v>19.100000000000001</v>
      </c>
      <c r="N431">
        <v>2024</v>
      </c>
      <c r="O431">
        <f t="shared" si="6"/>
        <v>1</v>
      </c>
      <c r="P431" s="13" t="s">
        <v>24</v>
      </c>
      <c r="Q431">
        <v>829.03</v>
      </c>
      <c r="R431" s="3" t="s">
        <v>29</v>
      </c>
      <c r="S431" s="7">
        <f>Ventas[[#This Row],[Costo Material (€)]]/Ventas[[#This Row],[Beneficio (€)]]</f>
        <v>4.2400998757584167</v>
      </c>
      <c r="T431" s="3" t="str">
        <f>IF(Ventas[[#This Row],[Margen (%)]]&gt;20%,"Beneficio","Perdidas")</f>
        <v>Beneficio</v>
      </c>
    </row>
    <row r="432" spans="1:20" x14ac:dyDescent="0.25">
      <c r="A432" s="12">
        <v>45199</v>
      </c>
      <c r="B432" s="1" t="s">
        <v>58</v>
      </c>
      <c r="C432" s="1" t="s">
        <v>59</v>
      </c>
      <c r="D432" s="1" t="s">
        <v>44</v>
      </c>
      <c r="E432" s="1" t="s">
        <v>38</v>
      </c>
      <c r="F432">
        <v>765</v>
      </c>
      <c r="G432">
        <v>5.4</v>
      </c>
      <c r="H432">
        <v>4131</v>
      </c>
      <c r="I432" s="1" t="s">
        <v>26</v>
      </c>
      <c r="J432" s="1" t="s">
        <v>27</v>
      </c>
      <c r="K432" s="1" t="s">
        <v>28</v>
      </c>
      <c r="L432">
        <v>3312.61</v>
      </c>
      <c r="M432">
        <v>19.8</v>
      </c>
      <c r="N432">
        <v>2023</v>
      </c>
      <c r="O432">
        <f t="shared" si="6"/>
        <v>3</v>
      </c>
      <c r="P432" s="13" t="s">
        <v>67</v>
      </c>
      <c r="Q432">
        <v>818.39</v>
      </c>
      <c r="R432" s="3" t="s">
        <v>29</v>
      </c>
      <c r="S432" s="7">
        <f>Ventas[[#This Row],[Costo Material (€)]]/Ventas[[#This Row],[Beneficio (€)]]</f>
        <v>4.0477156367990812</v>
      </c>
      <c r="T432" s="3" t="str">
        <f>IF(Ventas[[#This Row],[Margen (%)]]&gt;20%,"Beneficio","Perdidas")</f>
        <v>Beneficio</v>
      </c>
    </row>
    <row r="433" spans="1:20" x14ac:dyDescent="0.25">
      <c r="A433" s="12">
        <v>45489</v>
      </c>
      <c r="B433" s="1" t="s">
        <v>58</v>
      </c>
      <c r="C433" s="1" t="s">
        <v>59</v>
      </c>
      <c r="D433" s="1" t="s">
        <v>32</v>
      </c>
      <c r="E433" s="1" t="s">
        <v>20</v>
      </c>
      <c r="F433">
        <v>380</v>
      </c>
      <c r="G433">
        <v>8.02</v>
      </c>
      <c r="H433">
        <v>3047.6</v>
      </c>
      <c r="I433" s="1" t="s">
        <v>39</v>
      </c>
      <c r="J433" s="1" t="s">
        <v>34</v>
      </c>
      <c r="K433" s="1" t="s">
        <v>41</v>
      </c>
      <c r="L433">
        <v>2231.7600000000002</v>
      </c>
      <c r="M433">
        <v>26.8</v>
      </c>
      <c r="N433">
        <v>2024</v>
      </c>
      <c r="O433">
        <f t="shared" si="6"/>
        <v>3</v>
      </c>
      <c r="P433" s="13" t="s">
        <v>65</v>
      </c>
      <c r="Q433">
        <v>815.84</v>
      </c>
      <c r="R433" s="3" t="s">
        <v>25</v>
      </c>
      <c r="S433" s="7">
        <f>Ventas[[#This Row],[Costo Material (€)]]/Ventas[[#This Row],[Beneficio (€)]]</f>
        <v>2.7355363796822907</v>
      </c>
      <c r="T433" s="3" t="str">
        <f>IF(Ventas[[#This Row],[Margen (%)]]&gt;20%,"Beneficio","Perdidas")</f>
        <v>Beneficio</v>
      </c>
    </row>
    <row r="434" spans="1:20" x14ac:dyDescent="0.25">
      <c r="A434" s="12">
        <v>44955</v>
      </c>
      <c r="B434" s="1" t="s">
        <v>30</v>
      </c>
      <c r="C434" s="1" t="s">
        <v>31</v>
      </c>
      <c r="D434" s="1" t="s">
        <v>44</v>
      </c>
      <c r="E434" s="1" t="s">
        <v>38</v>
      </c>
      <c r="F434">
        <v>347</v>
      </c>
      <c r="G434">
        <v>10.32</v>
      </c>
      <c r="H434">
        <v>3581.04</v>
      </c>
      <c r="I434" s="1" t="s">
        <v>46</v>
      </c>
      <c r="J434" s="1" t="s">
        <v>22</v>
      </c>
      <c r="K434" s="1" t="s">
        <v>41</v>
      </c>
      <c r="L434">
        <v>2766.11</v>
      </c>
      <c r="M434">
        <v>22.8</v>
      </c>
      <c r="N434">
        <v>2023</v>
      </c>
      <c r="O434">
        <f t="shared" si="6"/>
        <v>1</v>
      </c>
      <c r="P434" s="13" t="s">
        <v>24</v>
      </c>
      <c r="Q434">
        <v>814.93</v>
      </c>
      <c r="R434" s="3" t="s">
        <v>29</v>
      </c>
      <c r="S434" s="7">
        <f>Ventas[[#This Row],[Costo Material (€)]]/Ventas[[#This Row],[Beneficio (€)]]</f>
        <v>3.3942915342422051</v>
      </c>
      <c r="T434" s="3" t="str">
        <f>IF(Ventas[[#This Row],[Margen (%)]]&gt;20%,"Beneficio","Perdidas")</f>
        <v>Beneficio</v>
      </c>
    </row>
    <row r="435" spans="1:20" x14ac:dyDescent="0.25">
      <c r="A435" s="12">
        <v>45025</v>
      </c>
      <c r="B435" s="1" t="s">
        <v>30</v>
      </c>
      <c r="C435" s="1" t="s">
        <v>31</v>
      </c>
      <c r="D435" s="1" t="s">
        <v>53</v>
      </c>
      <c r="E435" s="1" t="s">
        <v>50</v>
      </c>
      <c r="F435">
        <v>416</v>
      </c>
      <c r="G435">
        <v>5.21</v>
      </c>
      <c r="H435">
        <v>2167.36</v>
      </c>
      <c r="I435" s="1" t="s">
        <v>54</v>
      </c>
      <c r="J435" s="1" t="s">
        <v>34</v>
      </c>
      <c r="K435" s="1" t="s">
        <v>28</v>
      </c>
      <c r="L435">
        <v>1353.34</v>
      </c>
      <c r="M435">
        <v>37.6</v>
      </c>
      <c r="N435">
        <v>2023</v>
      </c>
      <c r="O435">
        <f t="shared" si="6"/>
        <v>2</v>
      </c>
      <c r="P435" s="13" t="s">
        <v>62</v>
      </c>
      <c r="Q435">
        <v>814.02</v>
      </c>
      <c r="R435" s="3" t="s">
        <v>25</v>
      </c>
      <c r="S435" s="7">
        <f>Ventas[[#This Row],[Costo Material (€)]]/Ventas[[#This Row],[Beneficio (€)]]</f>
        <v>1.6625390039556767</v>
      </c>
      <c r="T435" s="3" t="str">
        <f>IF(Ventas[[#This Row],[Margen (%)]]&gt;20%,"Beneficio","Perdidas")</f>
        <v>Beneficio</v>
      </c>
    </row>
    <row r="436" spans="1:20" x14ac:dyDescent="0.25">
      <c r="A436" s="12">
        <v>45030</v>
      </c>
      <c r="B436" s="1" t="s">
        <v>17</v>
      </c>
      <c r="C436" s="1" t="s">
        <v>18</v>
      </c>
      <c r="D436" s="1" t="s">
        <v>48</v>
      </c>
      <c r="E436" s="1" t="s">
        <v>38</v>
      </c>
      <c r="F436">
        <v>685</v>
      </c>
      <c r="G436">
        <v>5.76</v>
      </c>
      <c r="H436">
        <v>3945.6</v>
      </c>
      <c r="I436" s="1" t="s">
        <v>54</v>
      </c>
      <c r="J436" s="1" t="s">
        <v>22</v>
      </c>
      <c r="K436" s="1" t="s">
        <v>23</v>
      </c>
      <c r="L436">
        <v>3132.67</v>
      </c>
      <c r="M436">
        <v>20.6</v>
      </c>
      <c r="N436">
        <v>2023</v>
      </c>
      <c r="O436">
        <f t="shared" si="6"/>
        <v>2</v>
      </c>
      <c r="P436" s="13" t="s">
        <v>62</v>
      </c>
      <c r="Q436">
        <v>812.93</v>
      </c>
      <c r="R436" s="3" t="s">
        <v>29</v>
      </c>
      <c r="S436" s="7">
        <f>Ventas[[#This Row],[Costo Material (€)]]/Ventas[[#This Row],[Beneficio (€)]]</f>
        <v>3.8535544265803945</v>
      </c>
      <c r="T436" s="3" t="str">
        <f>IF(Ventas[[#This Row],[Margen (%)]]&gt;20%,"Beneficio","Perdidas")</f>
        <v>Beneficio</v>
      </c>
    </row>
    <row r="437" spans="1:20" x14ac:dyDescent="0.25">
      <c r="A437" s="12">
        <v>44966</v>
      </c>
      <c r="B437" s="1" t="s">
        <v>35</v>
      </c>
      <c r="C437" s="1" t="s">
        <v>36</v>
      </c>
      <c r="D437" s="1" t="s">
        <v>32</v>
      </c>
      <c r="E437" s="1" t="s">
        <v>20</v>
      </c>
      <c r="F437">
        <v>392</v>
      </c>
      <c r="G437">
        <v>10.02</v>
      </c>
      <c r="H437">
        <v>3927.84</v>
      </c>
      <c r="I437" s="1" t="s">
        <v>57</v>
      </c>
      <c r="J437" s="1" t="s">
        <v>47</v>
      </c>
      <c r="K437" s="1" t="s">
        <v>28</v>
      </c>
      <c r="L437">
        <v>3114.93</v>
      </c>
      <c r="M437">
        <v>20.7</v>
      </c>
      <c r="N437">
        <v>2023</v>
      </c>
      <c r="O437">
        <f t="shared" si="6"/>
        <v>1</v>
      </c>
      <c r="P437" s="13" t="s">
        <v>60</v>
      </c>
      <c r="Q437">
        <v>812.91</v>
      </c>
      <c r="R437" s="3" t="s">
        <v>29</v>
      </c>
      <c r="S437" s="7">
        <f>Ventas[[#This Row],[Costo Material (€)]]/Ventas[[#This Row],[Beneficio (€)]]</f>
        <v>3.8318264014466545</v>
      </c>
      <c r="T437" s="3" t="str">
        <f>IF(Ventas[[#This Row],[Margen (%)]]&gt;20%,"Beneficio","Perdidas")</f>
        <v>Beneficio</v>
      </c>
    </row>
    <row r="438" spans="1:20" x14ac:dyDescent="0.25">
      <c r="A438" s="12">
        <v>44937</v>
      </c>
      <c r="B438" s="1" t="s">
        <v>17</v>
      </c>
      <c r="C438" s="1" t="s">
        <v>18</v>
      </c>
      <c r="D438" s="1" t="s">
        <v>45</v>
      </c>
      <c r="E438" s="1" t="s">
        <v>20</v>
      </c>
      <c r="F438">
        <v>565</v>
      </c>
      <c r="G438">
        <v>8.6199999999999992</v>
      </c>
      <c r="H438">
        <v>4870.3</v>
      </c>
      <c r="I438" s="1" t="s">
        <v>21</v>
      </c>
      <c r="J438" s="1" t="s">
        <v>27</v>
      </c>
      <c r="K438" s="1" t="s">
        <v>28</v>
      </c>
      <c r="L438">
        <v>4058.41</v>
      </c>
      <c r="M438">
        <v>16.7</v>
      </c>
      <c r="N438">
        <v>2023</v>
      </c>
      <c r="O438">
        <f t="shared" si="6"/>
        <v>1</v>
      </c>
      <c r="P438" s="13" t="s">
        <v>24</v>
      </c>
      <c r="Q438">
        <v>811.89</v>
      </c>
      <c r="R438" s="3" t="s">
        <v>29</v>
      </c>
      <c r="S438" s="7">
        <f>Ventas[[#This Row],[Costo Material (€)]]/Ventas[[#This Row],[Beneficio (€)]]</f>
        <v>4.9987190382933644</v>
      </c>
      <c r="T438" s="3" t="str">
        <f>IF(Ventas[[#This Row],[Margen (%)]]&gt;20%,"Beneficio","Perdidas")</f>
        <v>Beneficio</v>
      </c>
    </row>
    <row r="439" spans="1:20" x14ac:dyDescent="0.25">
      <c r="A439" s="12">
        <v>45132</v>
      </c>
      <c r="B439" s="1" t="s">
        <v>17</v>
      </c>
      <c r="C439" s="1" t="s">
        <v>18</v>
      </c>
      <c r="D439" s="1" t="s">
        <v>48</v>
      </c>
      <c r="E439" s="1" t="s">
        <v>38</v>
      </c>
      <c r="F439">
        <v>876</v>
      </c>
      <c r="G439">
        <v>4.6399999999999997</v>
      </c>
      <c r="H439">
        <v>4064.64</v>
      </c>
      <c r="I439" s="1" t="s">
        <v>55</v>
      </c>
      <c r="J439" s="1" t="s">
        <v>56</v>
      </c>
      <c r="K439" s="1" t="s">
        <v>23</v>
      </c>
      <c r="L439">
        <v>3253.23</v>
      </c>
      <c r="M439">
        <v>20</v>
      </c>
      <c r="N439">
        <v>2023</v>
      </c>
      <c r="O439">
        <f t="shared" si="6"/>
        <v>3</v>
      </c>
      <c r="P439" s="13" t="s">
        <v>65</v>
      </c>
      <c r="Q439">
        <v>811.41</v>
      </c>
      <c r="R439" s="3" t="s">
        <v>29</v>
      </c>
      <c r="S439" s="7">
        <f>Ventas[[#This Row],[Costo Material (€)]]/Ventas[[#This Row],[Beneficio (€)]]</f>
        <v>4.0093540873294637</v>
      </c>
      <c r="T439" s="3" t="str">
        <f>IF(Ventas[[#This Row],[Margen (%)]]&gt;20%,"Beneficio","Perdidas")</f>
        <v>Beneficio</v>
      </c>
    </row>
    <row r="440" spans="1:20" x14ac:dyDescent="0.25">
      <c r="A440" s="12">
        <v>45021</v>
      </c>
      <c r="B440" s="1" t="s">
        <v>17</v>
      </c>
      <c r="C440" s="1" t="s">
        <v>18</v>
      </c>
      <c r="D440" s="1" t="s">
        <v>48</v>
      </c>
      <c r="E440" s="1" t="s">
        <v>38</v>
      </c>
      <c r="F440">
        <v>521</v>
      </c>
      <c r="G440">
        <v>9.7799999999999994</v>
      </c>
      <c r="H440">
        <v>5095.38</v>
      </c>
      <c r="I440" s="1" t="s">
        <v>21</v>
      </c>
      <c r="J440" s="1" t="s">
        <v>34</v>
      </c>
      <c r="K440" s="1" t="s">
        <v>41</v>
      </c>
      <c r="L440">
        <v>4285.18</v>
      </c>
      <c r="M440">
        <v>15.9</v>
      </c>
      <c r="N440">
        <v>2023</v>
      </c>
      <c r="O440">
        <f t="shared" si="6"/>
        <v>2</v>
      </c>
      <c r="P440" s="13" t="s">
        <v>62</v>
      </c>
      <c r="Q440">
        <v>810.2</v>
      </c>
      <c r="R440" s="3" t="s">
        <v>29</v>
      </c>
      <c r="S440" s="7">
        <f>Ventas[[#This Row],[Costo Material (€)]]/Ventas[[#This Row],[Beneficio (€)]]</f>
        <v>5.2890397432732659</v>
      </c>
      <c r="T440" s="3" t="str">
        <f>IF(Ventas[[#This Row],[Margen (%)]]&gt;20%,"Beneficio","Perdidas")</f>
        <v>Beneficio</v>
      </c>
    </row>
    <row r="441" spans="1:20" x14ac:dyDescent="0.25">
      <c r="A441" s="12">
        <v>45082</v>
      </c>
      <c r="B441" s="1" t="s">
        <v>58</v>
      </c>
      <c r="C441" s="1" t="s">
        <v>59</v>
      </c>
      <c r="D441" s="1" t="s">
        <v>37</v>
      </c>
      <c r="E441" s="1" t="s">
        <v>38</v>
      </c>
      <c r="F441">
        <v>284</v>
      </c>
      <c r="G441">
        <v>7.65</v>
      </c>
      <c r="H441">
        <v>2172.6</v>
      </c>
      <c r="I441" s="1" t="s">
        <v>26</v>
      </c>
      <c r="J441" s="1" t="s">
        <v>56</v>
      </c>
      <c r="K441" s="1" t="s">
        <v>41</v>
      </c>
      <c r="L441">
        <v>1364.91</v>
      </c>
      <c r="M441">
        <v>37.200000000000003</v>
      </c>
      <c r="N441">
        <v>2023</v>
      </c>
      <c r="O441">
        <f t="shared" si="6"/>
        <v>2</v>
      </c>
      <c r="P441" s="13" t="s">
        <v>64</v>
      </c>
      <c r="Q441">
        <v>807.69</v>
      </c>
      <c r="R441" s="3" t="s">
        <v>25</v>
      </c>
      <c r="S441" s="7">
        <f>Ventas[[#This Row],[Costo Material (€)]]/Ventas[[#This Row],[Beneficio (€)]]</f>
        <v>1.6898933996954277</v>
      </c>
      <c r="T441" s="3" t="str">
        <f>IF(Ventas[[#This Row],[Margen (%)]]&gt;20%,"Beneficio","Perdidas")</f>
        <v>Beneficio</v>
      </c>
    </row>
    <row r="442" spans="1:20" x14ac:dyDescent="0.25">
      <c r="A442" s="12">
        <v>44927</v>
      </c>
      <c r="B442" s="1" t="s">
        <v>17</v>
      </c>
      <c r="C442" s="1" t="s">
        <v>18</v>
      </c>
      <c r="D442" s="1" t="s">
        <v>45</v>
      </c>
      <c r="E442" s="1" t="s">
        <v>20</v>
      </c>
      <c r="F442">
        <v>427</v>
      </c>
      <c r="G442">
        <v>7.54</v>
      </c>
      <c r="H442">
        <v>3219.58</v>
      </c>
      <c r="I442" s="1" t="s">
        <v>46</v>
      </c>
      <c r="J442" s="1" t="s">
        <v>22</v>
      </c>
      <c r="K442" s="1" t="s">
        <v>41</v>
      </c>
      <c r="L442">
        <v>2412.17</v>
      </c>
      <c r="M442">
        <v>25.1</v>
      </c>
      <c r="N442">
        <v>2023</v>
      </c>
      <c r="O442">
        <f t="shared" si="6"/>
        <v>1</v>
      </c>
      <c r="P442" s="13" t="s">
        <v>24</v>
      </c>
      <c r="Q442">
        <v>807.41</v>
      </c>
      <c r="R442" s="3" t="s">
        <v>25</v>
      </c>
      <c r="S442" s="7">
        <f>Ventas[[#This Row],[Costo Material (€)]]/Ventas[[#This Row],[Beneficio (€)]]</f>
        <v>2.9875404069803446</v>
      </c>
      <c r="T442" s="3" t="str">
        <f>IF(Ventas[[#This Row],[Margen (%)]]&gt;20%,"Beneficio","Perdidas")</f>
        <v>Beneficio</v>
      </c>
    </row>
    <row r="443" spans="1:20" x14ac:dyDescent="0.25">
      <c r="A443" s="12">
        <v>45150</v>
      </c>
      <c r="B443" s="1" t="s">
        <v>42</v>
      </c>
      <c r="C443" s="1" t="s">
        <v>43</v>
      </c>
      <c r="D443" s="1" t="s">
        <v>45</v>
      </c>
      <c r="E443" s="1" t="s">
        <v>20</v>
      </c>
      <c r="F443">
        <v>630</v>
      </c>
      <c r="G443">
        <v>11.48</v>
      </c>
      <c r="H443">
        <v>7232.4</v>
      </c>
      <c r="I443" s="1" t="s">
        <v>54</v>
      </c>
      <c r="J443" s="1" t="s">
        <v>40</v>
      </c>
      <c r="K443" s="1" t="s">
        <v>41</v>
      </c>
      <c r="L443">
        <v>6425.25</v>
      </c>
      <c r="M443">
        <v>11.2</v>
      </c>
      <c r="N443">
        <v>2023</v>
      </c>
      <c r="O443">
        <f t="shared" si="6"/>
        <v>3</v>
      </c>
      <c r="P443" s="13" t="s">
        <v>66</v>
      </c>
      <c r="Q443">
        <v>807.15</v>
      </c>
      <c r="R443" s="3" t="s">
        <v>29</v>
      </c>
      <c r="S443" s="7">
        <f>Ventas[[#This Row],[Costo Material (€)]]/Ventas[[#This Row],[Beneficio (€)]]</f>
        <v>7.9604162795019517</v>
      </c>
      <c r="T443" s="3" t="str">
        <f>IF(Ventas[[#This Row],[Margen (%)]]&gt;20%,"Beneficio","Perdidas")</f>
        <v>Beneficio</v>
      </c>
    </row>
    <row r="444" spans="1:20" x14ac:dyDescent="0.25">
      <c r="A444" s="12">
        <v>44984</v>
      </c>
      <c r="B444" s="1" t="s">
        <v>17</v>
      </c>
      <c r="C444" s="1" t="s">
        <v>18</v>
      </c>
      <c r="D444" s="1" t="s">
        <v>53</v>
      </c>
      <c r="E444" s="1" t="s">
        <v>50</v>
      </c>
      <c r="F444">
        <v>411</v>
      </c>
      <c r="G444">
        <v>8.3699999999999992</v>
      </c>
      <c r="H444">
        <v>3440.07</v>
      </c>
      <c r="I444" s="1" t="s">
        <v>21</v>
      </c>
      <c r="J444" s="1" t="s">
        <v>47</v>
      </c>
      <c r="K444" s="1" t="s">
        <v>23</v>
      </c>
      <c r="L444">
        <v>2638.16</v>
      </c>
      <c r="M444">
        <v>23.3</v>
      </c>
      <c r="N444">
        <v>2023</v>
      </c>
      <c r="O444">
        <f t="shared" si="6"/>
        <v>1</v>
      </c>
      <c r="P444" s="13" t="s">
        <v>60</v>
      </c>
      <c r="Q444">
        <v>801.91</v>
      </c>
      <c r="R444" s="3" t="s">
        <v>29</v>
      </c>
      <c r="S444" s="7">
        <f>Ventas[[#This Row],[Costo Material (€)]]/Ventas[[#This Row],[Beneficio (€)]]</f>
        <v>3.2898454938833535</v>
      </c>
      <c r="T444" s="3" t="str">
        <f>IF(Ventas[[#This Row],[Margen (%)]]&gt;20%,"Beneficio","Perdidas")</f>
        <v>Beneficio</v>
      </c>
    </row>
    <row r="445" spans="1:20" x14ac:dyDescent="0.25">
      <c r="A445" s="12">
        <v>44940</v>
      </c>
      <c r="B445" s="1" t="s">
        <v>17</v>
      </c>
      <c r="C445" s="1" t="s">
        <v>18</v>
      </c>
      <c r="D445" s="1" t="s">
        <v>48</v>
      </c>
      <c r="E445" s="1" t="s">
        <v>38</v>
      </c>
      <c r="F445">
        <v>316</v>
      </c>
      <c r="G445">
        <v>7.04</v>
      </c>
      <c r="H445">
        <v>2224.64</v>
      </c>
      <c r="I445" s="1" t="s">
        <v>21</v>
      </c>
      <c r="J445" s="1" t="s">
        <v>22</v>
      </c>
      <c r="K445" s="1" t="s">
        <v>23</v>
      </c>
      <c r="L445">
        <v>1426.99</v>
      </c>
      <c r="M445">
        <v>35.9</v>
      </c>
      <c r="N445">
        <v>2023</v>
      </c>
      <c r="O445">
        <f t="shared" si="6"/>
        <v>1</v>
      </c>
      <c r="P445" s="13" t="s">
        <v>24</v>
      </c>
      <c r="Q445">
        <v>797.65</v>
      </c>
      <c r="R445" s="3" t="s">
        <v>25</v>
      </c>
      <c r="S445" s="7">
        <f>Ventas[[#This Row],[Costo Material (€)]]/Ventas[[#This Row],[Beneficio (€)]]</f>
        <v>1.7889926659562465</v>
      </c>
      <c r="T445" s="3" t="str">
        <f>IF(Ventas[[#This Row],[Margen (%)]]&gt;20%,"Beneficio","Perdidas")</f>
        <v>Beneficio</v>
      </c>
    </row>
    <row r="446" spans="1:20" x14ac:dyDescent="0.25">
      <c r="A446" s="12">
        <v>45317</v>
      </c>
      <c r="B446" s="1" t="s">
        <v>51</v>
      </c>
      <c r="C446" s="1" t="s">
        <v>52</v>
      </c>
      <c r="D446" s="1" t="s">
        <v>37</v>
      </c>
      <c r="E446" s="1" t="s">
        <v>38</v>
      </c>
      <c r="F446">
        <v>682</v>
      </c>
      <c r="G446">
        <v>9.74</v>
      </c>
      <c r="H446">
        <v>6642.68</v>
      </c>
      <c r="I446" s="1" t="s">
        <v>46</v>
      </c>
      <c r="J446" s="1" t="s">
        <v>34</v>
      </c>
      <c r="K446" s="1" t="s">
        <v>41</v>
      </c>
      <c r="L446">
        <v>5845.22</v>
      </c>
      <c r="M446">
        <v>12</v>
      </c>
      <c r="N446">
        <v>2024</v>
      </c>
      <c r="O446">
        <f t="shared" si="6"/>
        <v>1</v>
      </c>
      <c r="P446" s="13" t="s">
        <v>24</v>
      </c>
      <c r="Q446">
        <v>797.46</v>
      </c>
      <c r="R446" s="3" t="s">
        <v>29</v>
      </c>
      <c r="S446" s="7">
        <f>Ventas[[#This Row],[Costo Material (€)]]/Ventas[[#This Row],[Beneficio (€)]]</f>
        <v>7.3297971058109495</v>
      </c>
      <c r="T446" s="3" t="str">
        <f>IF(Ventas[[#This Row],[Margen (%)]]&gt;20%,"Beneficio","Perdidas")</f>
        <v>Beneficio</v>
      </c>
    </row>
    <row r="447" spans="1:20" x14ac:dyDescent="0.25">
      <c r="A447" s="12">
        <v>45199</v>
      </c>
      <c r="B447" s="1" t="s">
        <v>51</v>
      </c>
      <c r="C447" s="1" t="s">
        <v>52</v>
      </c>
      <c r="D447" s="1" t="s">
        <v>49</v>
      </c>
      <c r="E447" s="1" t="s">
        <v>50</v>
      </c>
      <c r="F447">
        <v>264</v>
      </c>
      <c r="G447">
        <v>10.18</v>
      </c>
      <c r="H447">
        <v>2687.52</v>
      </c>
      <c r="I447" s="1" t="s">
        <v>33</v>
      </c>
      <c r="J447" s="1" t="s">
        <v>22</v>
      </c>
      <c r="K447" s="1" t="s">
        <v>23</v>
      </c>
      <c r="L447">
        <v>1890.3</v>
      </c>
      <c r="M447">
        <v>29.7</v>
      </c>
      <c r="N447">
        <v>2023</v>
      </c>
      <c r="O447">
        <f t="shared" si="6"/>
        <v>3</v>
      </c>
      <c r="P447" s="13" t="s">
        <v>67</v>
      </c>
      <c r="Q447">
        <v>797.22</v>
      </c>
      <c r="R447" s="3" t="s">
        <v>25</v>
      </c>
      <c r="S447" s="7">
        <f>Ventas[[#This Row],[Costo Material (€)]]/Ventas[[#This Row],[Beneficio (€)]]</f>
        <v>2.3711146233160232</v>
      </c>
      <c r="T447" s="3" t="str">
        <f>IF(Ventas[[#This Row],[Margen (%)]]&gt;20%,"Beneficio","Perdidas")</f>
        <v>Beneficio</v>
      </c>
    </row>
    <row r="448" spans="1:20" x14ac:dyDescent="0.25">
      <c r="A448" s="12">
        <v>45005</v>
      </c>
      <c r="B448" s="1" t="s">
        <v>58</v>
      </c>
      <c r="C448" s="1" t="s">
        <v>59</v>
      </c>
      <c r="D448" s="1" t="s">
        <v>48</v>
      </c>
      <c r="E448" s="1" t="s">
        <v>38</v>
      </c>
      <c r="F448">
        <v>963</v>
      </c>
      <c r="G448">
        <v>6.49</v>
      </c>
      <c r="H448">
        <v>6249.87</v>
      </c>
      <c r="I448" s="1" t="s">
        <v>39</v>
      </c>
      <c r="J448" s="1" t="s">
        <v>27</v>
      </c>
      <c r="K448" s="1" t="s">
        <v>28</v>
      </c>
      <c r="L448">
        <v>5457.48</v>
      </c>
      <c r="M448">
        <v>12.7</v>
      </c>
      <c r="N448">
        <v>2023</v>
      </c>
      <c r="O448">
        <f t="shared" si="6"/>
        <v>1</v>
      </c>
      <c r="P448" s="13" t="s">
        <v>61</v>
      </c>
      <c r="Q448">
        <v>792.39</v>
      </c>
      <c r="R448" s="3" t="s">
        <v>29</v>
      </c>
      <c r="S448" s="7">
        <f>Ventas[[#This Row],[Costo Material (€)]]/Ventas[[#This Row],[Beneficio (€)]]</f>
        <v>6.8873660697383858</v>
      </c>
      <c r="T448" s="3" t="str">
        <f>IF(Ventas[[#This Row],[Margen (%)]]&gt;20%,"Beneficio","Perdidas")</f>
        <v>Beneficio</v>
      </c>
    </row>
    <row r="449" spans="1:20" x14ac:dyDescent="0.25">
      <c r="A449" s="12">
        <v>45120</v>
      </c>
      <c r="B449" s="1" t="s">
        <v>42</v>
      </c>
      <c r="C449" s="1" t="s">
        <v>43</v>
      </c>
      <c r="D449" s="1" t="s">
        <v>37</v>
      </c>
      <c r="E449" s="1" t="s">
        <v>38</v>
      </c>
      <c r="F449">
        <v>445</v>
      </c>
      <c r="G449">
        <v>6.09</v>
      </c>
      <c r="H449">
        <v>2710.05</v>
      </c>
      <c r="I449" s="1" t="s">
        <v>55</v>
      </c>
      <c r="J449" s="1" t="s">
        <v>40</v>
      </c>
      <c r="K449" s="1" t="s">
        <v>23</v>
      </c>
      <c r="L449">
        <v>1917.84</v>
      </c>
      <c r="M449">
        <v>29.2</v>
      </c>
      <c r="N449">
        <v>2023</v>
      </c>
      <c r="O449">
        <f t="shared" si="6"/>
        <v>3</v>
      </c>
      <c r="P449" s="13" t="s">
        <v>65</v>
      </c>
      <c r="Q449">
        <v>792.21</v>
      </c>
      <c r="R449" s="3" t="s">
        <v>25</v>
      </c>
      <c r="S449" s="7">
        <f>Ventas[[#This Row],[Costo Material (€)]]/Ventas[[#This Row],[Beneficio (€)]]</f>
        <v>2.4208732533040478</v>
      </c>
      <c r="T449" s="3" t="str">
        <f>IF(Ventas[[#This Row],[Margen (%)]]&gt;20%,"Beneficio","Perdidas")</f>
        <v>Beneficio</v>
      </c>
    </row>
    <row r="450" spans="1:20" x14ac:dyDescent="0.25">
      <c r="A450" s="12">
        <v>45050</v>
      </c>
      <c r="B450" s="1" t="s">
        <v>17</v>
      </c>
      <c r="C450" s="1" t="s">
        <v>18</v>
      </c>
      <c r="D450" s="1" t="s">
        <v>37</v>
      </c>
      <c r="E450" s="1" t="s">
        <v>38</v>
      </c>
      <c r="F450">
        <v>873</v>
      </c>
      <c r="G450">
        <v>2.7</v>
      </c>
      <c r="H450">
        <v>2357.1</v>
      </c>
      <c r="I450" s="1" t="s">
        <v>26</v>
      </c>
      <c r="J450" s="1" t="s">
        <v>47</v>
      </c>
      <c r="K450" s="1" t="s">
        <v>28</v>
      </c>
      <c r="L450">
        <v>1568.41</v>
      </c>
      <c r="M450">
        <v>33.5</v>
      </c>
      <c r="N450">
        <v>2023</v>
      </c>
      <c r="O450">
        <f t="shared" ref="O450:O513" si="7">ROUNDUP(MONTH(A450)/3,0)</f>
        <v>2</v>
      </c>
      <c r="P450" s="13" t="s">
        <v>63</v>
      </c>
      <c r="Q450">
        <v>788.69</v>
      </c>
      <c r="R450" s="3" t="s">
        <v>25</v>
      </c>
      <c r="S450" s="7">
        <f>Ventas[[#This Row],[Costo Material (€)]]/Ventas[[#This Row],[Beneficio (€)]]</f>
        <v>1.9886267101142401</v>
      </c>
      <c r="T450" s="3" t="str">
        <f>IF(Ventas[[#This Row],[Margen (%)]]&gt;20%,"Beneficio","Perdidas")</f>
        <v>Beneficio</v>
      </c>
    </row>
    <row r="451" spans="1:20" x14ac:dyDescent="0.25">
      <c r="A451" s="12">
        <v>44961</v>
      </c>
      <c r="B451" s="1" t="s">
        <v>17</v>
      </c>
      <c r="C451" s="1" t="s">
        <v>18</v>
      </c>
      <c r="D451" s="1" t="s">
        <v>44</v>
      </c>
      <c r="E451" s="1" t="s">
        <v>38</v>
      </c>
      <c r="F451">
        <v>262</v>
      </c>
      <c r="G451">
        <v>10.39</v>
      </c>
      <c r="H451">
        <v>2722.18</v>
      </c>
      <c r="I451" s="1" t="s">
        <v>39</v>
      </c>
      <c r="J451" s="1" t="s">
        <v>34</v>
      </c>
      <c r="K451" s="1" t="s">
        <v>23</v>
      </c>
      <c r="L451">
        <v>1934.44</v>
      </c>
      <c r="M451">
        <v>28.9</v>
      </c>
      <c r="N451">
        <v>2023</v>
      </c>
      <c r="O451">
        <f t="shared" si="7"/>
        <v>1</v>
      </c>
      <c r="P451" s="13" t="s">
        <v>60</v>
      </c>
      <c r="Q451">
        <v>787.74</v>
      </c>
      <c r="R451" s="3" t="s">
        <v>25</v>
      </c>
      <c r="S451" s="7">
        <f>Ventas[[#This Row],[Costo Material (€)]]/Ventas[[#This Row],[Beneficio (€)]]</f>
        <v>2.4556833472973318</v>
      </c>
      <c r="T451" s="3" t="str">
        <f>IF(Ventas[[#This Row],[Margen (%)]]&gt;20%,"Beneficio","Perdidas")</f>
        <v>Beneficio</v>
      </c>
    </row>
    <row r="452" spans="1:20" x14ac:dyDescent="0.25">
      <c r="A452" s="12">
        <v>45153</v>
      </c>
      <c r="B452" s="1" t="s">
        <v>17</v>
      </c>
      <c r="C452" s="1" t="s">
        <v>18</v>
      </c>
      <c r="D452" s="1" t="s">
        <v>19</v>
      </c>
      <c r="E452" s="1" t="s">
        <v>20</v>
      </c>
      <c r="F452">
        <v>438</v>
      </c>
      <c r="G452">
        <v>9.17</v>
      </c>
      <c r="H452">
        <v>4016.46</v>
      </c>
      <c r="I452" s="1" t="s">
        <v>33</v>
      </c>
      <c r="J452" s="1" t="s">
        <v>40</v>
      </c>
      <c r="K452" s="1" t="s">
        <v>23</v>
      </c>
      <c r="L452">
        <v>3228.75</v>
      </c>
      <c r="M452">
        <v>19.600000000000001</v>
      </c>
      <c r="N452">
        <v>2023</v>
      </c>
      <c r="O452">
        <f t="shared" si="7"/>
        <v>3</v>
      </c>
      <c r="P452" s="13" t="s">
        <v>66</v>
      </c>
      <c r="Q452">
        <v>787.71</v>
      </c>
      <c r="R452" s="3" t="s">
        <v>29</v>
      </c>
      <c r="S452" s="7">
        <f>Ventas[[#This Row],[Costo Material (€)]]/Ventas[[#This Row],[Beneficio (€)]]</f>
        <v>4.0989069581444948</v>
      </c>
      <c r="T452" s="3" t="str">
        <f>IF(Ventas[[#This Row],[Margen (%)]]&gt;20%,"Beneficio","Perdidas")</f>
        <v>Beneficio</v>
      </c>
    </row>
    <row r="453" spans="1:20" x14ac:dyDescent="0.25">
      <c r="A453" s="12">
        <v>45040</v>
      </c>
      <c r="B453" s="1" t="s">
        <v>30</v>
      </c>
      <c r="C453" s="1" t="s">
        <v>31</v>
      </c>
      <c r="D453" s="1" t="s">
        <v>32</v>
      </c>
      <c r="E453" s="1" t="s">
        <v>20</v>
      </c>
      <c r="F453">
        <v>740</v>
      </c>
      <c r="G453">
        <v>2.98</v>
      </c>
      <c r="H453">
        <v>2205.1999999999998</v>
      </c>
      <c r="I453" s="1" t="s">
        <v>33</v>
      </c>
      <c r="J453" s="1" t="s">
        <v>47</v>
      </c>
      <c r="K453" s="1" t="s">
        <v>41</v>
      </c>
      <c r="L453">
        <v>1420.06</v>
      </c>
      <c r="M453">
        <v>35.6</v>
      </c>
      <c r="N453">
        <v>2023</v>
      </c>
      <c r="O453">
        <f t="shared" si="7"/>
        <v>2</v>
      </c>
      <c r="P453" s="13" t="s">
        <v>62</v>
      </c>
      <c r="Q453">
        <v>785.14</v>
      </c>
      <c r="R453" s="3" t="s">
        <v>25</v>
      </c>
      <c r="S453" s="7">
        <f>Ventas[[#This Row],[Costo Material (€)]]/Ventas[[#This Row],[Beneficio (€)]]</f>
        <v>1.8086710650329878</v>
      </c>
      <c r="T453" s="3" t="str">
        <f>IF(Ventas[[#This Row],[Margen (%)]]&gt;20%,"Beneficio","Perdidas")</f>
        <v>Beneficio</v>
      </c>
    </row>
    <row r="454" spans="1:20" x14ac:dyDescent="0.25">
      <c r="A454" s="12">
        <v>45117</v>
      </c>
      <c r="B454" s="1" t="s">
        <v>35</v>
      </c>
      <c r="C454" s="1" t="s">
        <v>36</v>
      </c>
      <c r="D454" s="1" t="s">
        <v>37</v>
      </c>
      <c r="E454" s="1" t="s">
        <v>38</v>
      </c>
      <c r="F454">
        <v>233</v>
      </c>
      <c r="G454">
        <v>11.11</v>
      </c>
      <c r="H454">
        <v>2588.63</v>
      </c>
      <c r="I454" s="1" t="s">
        <v>26</v>
      </c>
      <c r="J454" s="1" t="s">
        <v>22</v>
      </c>
      <c r="K454" s="1" t="s">
        <v>23</v>
      </c>
      <c r="L454">
        <v>1804.97</v>
      </c>
      <c r="M454">
        <v>30.3</v>
      </c>
      <c r="N454">
        <v>2023</v>
      </c>
      <c r="O454">
        <f t="shared" si="7"/>
        <v>3</v>
      </c>
      <c r="P454" s="13" t="s">
        <v>65</v>
      </c>
      <c r="Q454">
        <v>783.66</v>
      </c>
      <c r="R454" s="3" t="s">
        <v>25</v>
      </c>
      <c r="S454" s="7">
        <f>Ventas[[#This Row],[Costo Material (€)]]/Ventas[[#This Row],[Beneficio (€)]]</f>
        <v>2.3032565143046733</v>
      </c>
      <c r="T454" s="3" t="str">
        <f>IF(Ventas[[#This Row],[Margen (%)]]&gt;20%,"Beneficio","Perdidas")</f>
        <v>Beneficio</v>
      </c>
    </row>
    <row r="455" spans="1:20" x14ac:dyDescent="0.25">
      <c r="A455" s="12">
        <v>44999</v>
      </c>
      <c r="B455" s="1" t="s">
        <v>35</v>
      </c>
      <c r="C455" s="1" t="s">
        <v>36</v>
      </c>
      <c r="D455" s="1" t="s">
        <v>19</v>
      </c>
      <c r="E455" s="1" t="s">
        <v>20</v>
      </c>
      <c r="F455">
        <v>531</v>
      </c>
      <c r="G455">
        <v>5.53</v>
      </c>
      <c r="H455">
        <v>2936.43</v>
      </c>
      <c r="I455" s="1" t="s">
        <v>33</v>
      </c>
      <c r="J455" s="1" t="s">
        <v>34</v>
      </c>
      <c r="K455" s="1" t="s">
        <v>41</v>
      </c>
      <c r="L455">
        <v>2159.34</v>
      </c>
      <c r="M455">
        <v>26.5</v>
      </c>
      <c r="N455">
        <v>2023</v>
      </c>
      <c r="O455">
        <f t="shared" si="7"/>
        <v>1</v>
      </c>
      <c r="P455" s="13" t="s">
        <v>61</v>
      </c>
      <c r="Q455">
        <v>777.09</v>
      </c>
      <c r="R455" s="3" t="s">
        <v>25</v>
      </c>
      <c r="S455" s="7">
        <f>Ventas[[#This Row],[Costo Material (€)]]/Ventas[[#This Row],[Beneficio (€)]]</f>
        <v>2.7787514959657185</v>
      </c>
      <c r="T455" s="3" t="str">
        <f>IF(Ventas[[#This Row],[Margen (%)]]&gt;20%,"Beneficio","Perdidas")</f>
        <v>Beneficio</v>
      </c>
    </row>
    <row r="456" spans="1:20" x14ac:dyDescent="0.25">
      <c r="A456" s="12">
        <v>44995</v>
      </c>
      <c r="B456" s="1" t="s">
        <v>51</v>
      </c>
      <c r="C456" s="1" t="s">
        <v>52</v>
      </c>
      <c r="D456" s="1" t="s">
        <v>37</v>
      </c>
      <c r="E456" s="1" t="s">
        <v>38</v>
      </c>
      <c r="F456">
        <v>406</v>
      </c>
      <c r="G456">
        <v>6.73</v>
      </c>
      <c r="H456">
        <v>2732.38</v>
      </c>
      <c r="I456" s="1" t="s">
        <v>39</v>
      </c>
      <c r="J456" s="1" t="s">
        <v>47</v>
      </c>
      <c r="K456" s="1" t="s">
        <v>41</v>
      </c>
      <c r="L456">
        <v>1958.75</v>
      </c>
      <c r="M456">
        <v>28.3</v>
      </c>
      <c r="N456">
        <v>2023</v>
      </c>
      <c r="O456">
        <f t="shared" si="7"/>
        <v>1</v>
      </c>
      <c r="P456" s="13" t="s">
        <v>61</v>
      </c>
      <c r="Q456">
        <v>773.63</v>
      </c>
      <c r="R456" s="3" t="s">
        <v>25</v>
      </c>
      <c r="S456" s="7">
        <f>Ventas[[#This Row],[Costo Material (€)]]/Ventas[[#This Row],[Beneficio (€)]]</f>
        <v>2.5318950919690293</v>
      </c>
      <c r="T456" s="3" t="str">
        <f>IF(Ventas[[#This Row],[Margen (%)]]&gt;20%,"Beneficio","Perdidas")</f>
        <v>Beneficio</v>
      </c>
    </row>
    <row r="457" spans="1:20" x14ac:dyDescent="0.25">
      <c r="A457" s="12">
        <v>45244</v>
      </c>
      <c r="B457" s="1" t="s">
        <v>30</v>
      </c>
      <c r="C457" s="1" t="s">
        <v>31</v>
      </c>
      <c r="D457" s="1" t="s">
        <v>53</v>
      </c>
      <c r="E457" s="1" t="s">
        <v>50</v>
      </c>
      <c r="F457">
        <v>724</v>
      </c>
      <c r="G457">
        <v>2.93</v>
      </c>
      <c r="H457">
        <v>2121.3200000000002</v>
      </c>
      <c r="I457" s="1" t="s">
        <v>26</v>
      </c>
      <c r="J457" s="1" t="s">
        <v>47</v>
      </c>
      <c r="K457" s="1" t="s">
        <v>28</v>
      </c>
      <c r="L457">
        <v>1350.14</v>
      </c>
      <c r="M457">
        <v>36.4</v>
      </c>
      <c r="N457">
        <v>2023</v>
      </c>
      <c r="O457">
        <f t="shared" si="7"/>
        <v>4</v>
      </c>
      <c r="P457" s="13" t="s">
        <v>69</v>
      </c>
      <c r="Q457">
        <v>771.18</v>
      </c>
      <c r="R457" s="3" t="s">
        <v>25</v>
      </c>
      <c r="S457" s="7">
        <f>Ventas[[#This Row],[Costo Material (€)]]/Ventas[[#This Row],[Beneficio (€)]]</f>
        <v>1.7507456106226824</v>
      </c>
      <c r="T457" s="3" t="str">
        <f>IF(Ventas[[#This Row],[Margen (%)]]&gt;20%,"Beneficio","Perdidas")</f>
        <v>Beneficio</v>
      </c>
    </row>
    <row r="458" spans="1:20" x14ac:dyDescent="0.25">
      <c r="A458" s="12">
        <v>44991</v>
      </c>
      <c r="B458" s="1" t="s">
        <v>42</v>
      </c>
      <c r="C458" s="1" t="s">
        <v>43</v>
      </c>
      <c r="D458" s="1" t="s">
        <v>32</v>
      </c>
      <c r="E458" s="1" t="s">
        <v>20</v>
      </c>
      <c r="F458">
        <v>712</v>
      </c>
      <c r="G458">
        <v>8.8699999999999992</v>
      </c>
      <c r="H458">
        <v>6315.44</v>
      </c>
      <c r="I458" s="1" t="s">
        <v>55</v>
      </c>
      <c r="J458" s="1" t="s">
        <v>34</v>
      </c>
      <c r="K458" s="1" t="s">
        <v>23</v>
      </c>
      <c r="L458">
        <v>5551.24</v>
      </c>
      <c r="M458">
        <v>12.1</v>
      </c>
      <c r="N458">
        <v>2023</v>
      </c>
      <c r="O458">
        <f t="shared" si="7"/>
        <v>1</v>
      </c>
      <c r="P458" s="13" t="s">
        <v>61</v>
      </c>
      <c r="Q458">
        <v>764.2</v>
      </c>
      <c r="R458" s="3" t="s">
        <v>29</v>
      </c>
      <c r="S458" s="7">
        <f>Ventas[[#This Row],[Costo Material (€)]]/Ventas[[#This Row],[Beneficio (€)]]</f>
        <v>7.2641193404867828</v>
      </c>
      <c r="T458" s="3" t="str">
        <f>IF(Ventas[[#This Row],[Margen (%)]]&gt;20%,"Beneficio","Perdidas")</f>
        <v>Beneficio</v>
      </c>
    </row>
    <row r="459" spans="1:20" x14ac:dyDescent="0.25">
      <c r="A459" s="12">
        <v>45013</v>
      </c>
      <c r="B459" s="1" t="s">
        <v>35</v>
      </c>
      <c r="C459" s="1" t="s">
        <v>36</v>
      </c>
      <c r="D459" s="1" t="s">
        <v>49</v>
      </c>
      <c r="E459" s="1" t="s">
        <v>50</v>
      </c>
      <c r="F459">
        <v>483</v>
      </c>
      <c r="G459">
        <v>7.86</v>
      </c>
      <c r="H459">
        <v>3796.38</v>
      </c>
      <c r="I459" s="1" t="s">
        <v>39</v>
      </c>
      <c r="J459" s="1" t="s">
        <v>22</v>
      </c>
      <c r="K459" s="1" t="s">
        <v>28</v>
      </c>
      <c r="L459">
        <v>3032.34</v>
      </c>
      <c r="M459">
        <v>20.100000000000001</v>
      </c>
      <c r="N459">
        <v>2023</v>
      </c>
      <c r="O459">
        <f t="shared" si="7"/>
        <v>1</v>
      </c>
      <c r="P459" s="13" t="s">
        <v>61</v>
      </c>
      <c r="Q459">
        <v>764.04</v>
      </c>
      <c r="R459" s="3" t="s">
        <v>29</v>
      </c>
      <c r="S459" s="7">
        <f>Ventas[[#This Row],[Costo Material (€)]]/Ventas[[#This Row],[Beneficio (€)]]</f>
        <v>3.9688236217999062</v>
      </c>
      <c r="T459" s="3" t="str">
        <f>IF(Ventas[[#This Row],[Margen (%)]]&gt;20%,"Beneficio","Perdidas")</f>
        <v>Beneficio</v>
      </c>
    </row>
    <row r="460" spans="1:20" x14ac:dyDescent="0.25">
      <c r="A460" s="12">
        <v>44991</v>
      </c>
      <c r="B460" s="1" t="s">
        <v>58</v>
      </c>
      <c r="C460" s="1" t="s">
        <v>59</v>
      </c>
      <c r="D460" s="1" t="s">
        <v>44</v>
      </c>
      <c r="E460" s="1" t="s">
        <v>38</v>
      </c>
      <c r="F460">
        <v>985</v>
      </c>
      <c r="G460">
        <v>3.04</v>
      </c>
      <c r="H460">
        <v>2994.4</v>
      </c>
      <c r="I460" s="1" t="s">
        <v>39</v>
      </c>
      <c r="J460" s="1" t="s">
        <v>34</v>
      </c>
      <c r="K460" s="1" t="s">
        <v>23</v>
      </c>
      <c r="L460">
        <v>2232.35</v>
      </c>
      <c r="M460">
        <v>25.4</v>
      </c>
      <c r="N460">
        <v>2023</v>
      </c>
      <c r="O460">
        <f t="shared" si="7"/>
        <v>1</v>
      </c>
      <c r="P460" s="13" t="s">
        <v>61</v>
      </c>
      <c r="Q460">
        <v>762.05</v>
      </c>
      <c r="R460" s="3" t="s">
        <v>25</v>
      </c>
      <c r="S460" s="7">
        <f>Ventas[[#This Row],[Costo Material (€)]]/Ventas[[#This Row],[Beneficio (€)]]</f>
        <v>2.9294009579423923</v>
      </c>
      <c r="T460" s="3" t="str">
        <f>IF(Ventas[[#This Row],[Margen (%)]]&gt;20%,"Beneficio","Perdidas")</f>
        <v>Beneficio</v>
      </c>
    </row>
    <row r="461" spans="1:20" x14ac:dyDescent="0.25">
      <c r="A461" s="12">
        <v>45040</v>
      </c>
      <c r="B461" s="1" t="s">
        <v>30</v>
      </c>
      <c r="C461" s="1" t="s">
        <v>31</v>
      </c>
      <c r="D461" s="1" t="s">
        <v>37</v>
      </c>
      <c r="E461" s="1" t="s">
        <v>38</v>
      </c>
      <c r="F461">
        <v>441</v>
      </c>
      <c r="G461">
        <v>5.5</v>
      </c>
      <c r="H461">
        <v>2425.5</v>
      </c>
      <c r="I461" s="1" t="s">
        <v>57</v>
      </c>
      <c r="J461" s="1" t="s">
        <v>47</v>
      </c>
      <c r="K461" s="1" t="s">
        <v>23</v>
      </c>
      <c r="L461">
        <v>1663.55</v>
      </c>
      <c r="M461">
        <v>31.4</v>
      </c>
      <c r="N461">
        <v>2023</v>
      </c>
      <c r="O461">
        <f t="shared" si="7"/>
        <v>2</v>
      </c>
      <c r="P461" s="13" t="s">
        <v>62</v>
      </c>
      <c r="Q461">
        <v>761.95</v>
      </c>
      <c r="R461" s="3" t="s">
        <v>25</v>
      </c>
      <c r="S461" s="7">
        <f>Ventas[[#This Row],[Costo Material (€)]]/Ventas[[#This Row],[Beneficio (€)]]</f>
        <v>2.183279742765273</v>
      </c>
      <c r="T461" s="3" t="str">
        <f>IF(Ventas[[#This Row],[Margen (%)]]&gt;20%,"Beneficio","Perdidas")</f>
        <v>Beneficio</v>
      </c>
    </row>
    <row r="462" spans="1:20" x14ac:dyDescent="0.25">
      <c r="A462" s="12">
        <v>45004</v>
      </c>
      <c r="B462" s="1" t="s">
        <v>58</v>
      </c>
      <c r="C462" s="1" t="s">
        <v>59</v>
      </c>
      <c r="D462" s="1" t="s">
        <v>45</v>
      </c>
      <c r="E462" s="1" t="s">
        <v>20</v>
      </c>
      <c r="F462">
        <v>270</v>
      </c>
      <c r="G462">
        <v>8.32</v>
      </c>
      <c r="H462">
        <v>2246.4</v>
      </c>
      <c r="I462" s="1" t="s">
        <v>33</v>
      </c>
      <c r="J462" s="1" t="s">
        <v>56</v>
      </c>
      <c r="K462" s="1" t="s">
        <v>28</v>
      </c>
      <c r="L462">
        <v>1485.17</v>
      </c>
      <c r="M462">
        <v>33.9</v>
      </c>
      <c r="N462">
        <v>2023</v>
      </c>
      <c r="O462">
        <f t="shared" si="7"/>
        <v>1</v>
      </c>
      <c r="P462" s="13" t="s">
        <v>61</v>
      </c>
      <c r="Q462">
        <v>761.23</v>
      </c>
      <c r="R462" s="3" t="s">
        <v>25</v>
      </c>
      <c r="S462" s="7">
        <f>Ventas[[#This Row],[Costo Material (€)]]/Ventas[[#This Row],[Beneficio (€)]]</f>
        <v>1.9510134913232533</v>
      </c>
      <c r="T462" s="3" t="str">
        <f>IF(Ventas[[#This Row],[Margen (%)]]&gt;20%,"Beneficio","Perdidas")</f>
        <v>Beneficio</v>
      </c>
    </row>
    <row r="463" spans="1:20" x14ac:dyDescent="0.25">
      <c r="A463" s="12">
        <v>44952</v>
      </c>
      <c r="B463" s="1" t="s">
        <v>42</v>
      </c>
      <c r="C463" s="1" t="s">
        <v>43</v>
      </c>
      <c r="D463" s="1" t="s">
        <v>45</v>
      </c>
      <c r="E463" s="1" t="s">
        <v>20</v>
      </c>
      <c r="F463">
        <v>761</v>
      </c>
      <c r="G463">
        <v>4</v>
      </c>
      <c r="H463">
        <v>3044</v>
      </c>
      <c r="I463" s="1" t="s">
        <v>21</v>
      </c>
      <c r="J463" s="1" t="s">
        <v>40</v>
      </c>
      <c r="K463" s="1" t="s">
        <v>28</v>
      </c>
      <c r="L463">
        <v>2283.06</v>
      </c>
      <c r="M463">
        <v>25</v>
      </c>
      <c r="N463">
        <v>2023</v>
      </c>
      <c r="O463">
        <f t="shared" si="7"/>
        <v>1</v>
      </c>
      <c r="P463" s="13" t="s">
        <v>24</v>
      </c>
      <c r="Q463">
        <v>760.94</v>
      </c>
      <c r="R463" s="3" t="s">
        <v>29</v>
      </c>
      <c r="S463" s="7">
        <f>Ventas[[#This Row],[Costo Material (€)]]/Ventas[[#This Row],[Beneficio (€)]]</f>
        <v>3.0003153993744576</v>
      </c>
      <c r="T463" s="3" t="str">
        <f>IF(Ventas[[#This Row],[Margen (%)]]&gt;20%,"Beneficio","Perdidas")</f>
        <v>Beneficio</v>
      </c>
    </row>
    <row r="464" spans="1:20" x14ac:dyDescent="0.25">
      <c r="A464" s="12">
        <v>45009</v>
      </c>
      <c r="B464" s="1" t="s">
        <v>17</v>
      </c>
      <c r="C464" s="1" t="s">
        <v>18</v>
      </c>
      <c r="D464" s="1" t="s">
        <v>19</v>
      </c>
      <c r="E464" s="1" t="s">
        <v>20</v>
      </c>
      <c r="F464">
        <v>358</v>
      </c>
      <c r="G464">
        <v>5.7</v>
      </c>
      <c r="H464">
        <v>2040.6</v>
      </c>
      <c r="I464" s="1" t="s">
        <v>39</v>
      </c>
      <c r="J464" s="1" t="s">
        <v>47</v>
      </c>
      <c r="K464" s="1" t="s">
        <v>23</v>
      </c>
      <c r="L464">
        <v>1280.71</v>
      </c>
      <c r="M464">
        <v>37.200000000000003</v>
      </c>
      <c r="N464">
        <v>2023</v>
      </c>
      <c r="O464">
        <f t="shared" si="7"/>
        <v>1</v>
      </c>
      <c r="P464" s="13" t="s">
        <v>61</v>
      </c>
      <c r="Q464">
        <v>759.89</v>
      </c>
      <c r="R464" s="3" t="s">
        <v>25</v>
      </c>
      <c r="S464" s="7">
        <f>Ventas[[#This Row],[Costo Material (€)]]/Ventas[[#This Row],[Beneficio (€)]]</f>
        <v>1.685388674676598</v>
      </c>
      <c r="T464" s="3" t="str">
        <f>IF(Ventas[[#This Row],[Margen (%)]]&gt;20%,"Beneficio","Perdidas")</f>
        <v>Beneficio</v>
      </c>
    </row>
    <row r="465" spans="1:20" x14ac:dyDescent="0.25">
      <c r="A465" s="12">
        <v>45124</v>
      </c>
      <c r="B465" s="1" t="s">
        <v>51</v>
      </c>
      <c r="C465" s="1" t="s">
        <v>52</v>
      </c>
      <c r="D465" s="1" t="s">
        <v>37</v>
      </c>
      <c r="E465" s="1" t="s">
        <v>38</v>
      </c>
      <c r="F465">
        <v>633</v>
      </c>
      <c r="G465">
        <v>5.71</v>
      </c>
      <c r="H465">
        <v>3614.43</v>
      </c>
      <c r="I465" s="1" t="s">
        <v>55</v>
      </c>
      <c r="J465" s="1" t="s">
        <v>40</v>
      </c>
      <c r="K465" s="1" t="s">
        <v>41</v>
      </c>
      <c r="L465">
        <v>2856.06</v>
      </c>
      <c r="M465">
        <v>21</v>
      </c>
      <c r="N465">
        <v>2023</v>
      </c>
      <c r="O465">
        <f t="shared" si="7"/>
        <v>3</v>
      </c>
      <c r="P465" s="13" t="s">
        <v>65</v>
      </c>
      <c r="Q465">
        <v>758.37</v>
      </c>
      <c r="R465" s="3" t="s">
        <v>29</v>
      </c>
      <c r="S465" s="7">
        <f>Ventas[[#This Row],[Costo Material (€)]]/Ventas[[#This Row],[Beneficio (€)]]</f>
        <v>3.7660508722655166</v>
      </c>
      <c r="T465" s="3" t="str">
        <f>IF(Ventas[[#This Row],[Margen (%)]]&gt;20%,"Beneficio","Perdidas")</f>
        <v>Beneficio</v>
      </c>
    </row>
    <row r="466" spans="1:20" x14ac:dyDescent="0.25">
      <c r="A466" s="12">
        <v>45138</v>
      </c>
      <c r="B466" s="1" t="s">
        <v>35</v>
      </c>
      <c r="C466" s="1" t="s">
        <v>36</v>
      </c>
      <c r="D466" s="1" t="s">
        <v>53</v>
      </c>
      <c r="E466" s="1" t="s">
        <v>50</v>
      </c>
      <c r="F466">
        <v>614</v>
      </c>
      <c r="G466">
        <v>10.83</v>
      </c>
      <c r="H466">
        <v>6649.62</v>
      </c>
      <c r="I466" s="1" t="s">
        <v>54</v>
      </c>
      <c r="J466" s="1" t="s">
        <v>34</v>
      </c>
      <c r="K466" s="1" t="s">
        <v>41</v>
      </c>
      <c r="L466">
        <v>5891.42</v>
      </c>
      <c r="M466">
        <v>11.4</v>
      </c>
      <c r="N466">
        <v>2023</v>
      </c>
      <c r="O466">
        <f t="shared" si="7"/>
        <v>3</v>
      </c>
      <c r="P466" s="13" t="s">
        <v>65</v>
      </c>
      <c r="Q466">
        <v>758.2</v>
      </c>
      <c r="R466" s="3" t="s">
        <v>29</v>
      </c>
      <c r="S466" s="7">
        <f>Ventas[[#This Row],[Costo Material (€)]]/Ventas[[#This Row],[Beneficio (€)]]</f>
        <v>7.7702716961223945</v>
      </c>
      <c r="T466" s="3" t="str">
        <f>IF(Ventas[[#This Row],[Margen (%)]]&gt;20%,"Beneficio","Perdidas")</f>
        <v>Beneficio</v>
      </c>
    </row>
    <row r="467" spans="1:20" x14ac:dyDescent="0.25">
      <c r="A467" s="12">
        <v>45323</v>
      </c>
      <c r="B467" s="1" t="s">
        <v>35</v>
      </c>
      <c r="C467" s="1" t="s">
        <v>36</v>
      </c>
      <c r="D467" s="1" t="s">
        <v>44</v>
      </c>
      <c r="E467" s="1" t="s">
        <v>38</v>
      </c>
      <c r="F467">
        <v>736</v>
      </c>
      <c r="G467">
        <v>8.91</v>
      </c>
      <c r="H467">
        <v>6557.76</v>
      </c>
      <c r="I467" s="1" t="s">
        <v>46</v>
      </c>
      <c r="J467" s="1" t="s">
        <v>22</v>
      </c>
      <c r="K467" s="1" t="s">
        <v>41</v>
      </c>
      <c r="L467">
        <v>5803.75</v>
      </c>
      <c r="M467">
        <v>11.5</v>
      </c>
      <c r="N467">
        <v>2024</v>
      </c>
      <c r="O467">
        <f t="shared" si="7"/>
        <v>1</v>
      </c>
      <c r="P467" s="13" t="s">
        <v>60</v>
      </c>
      <c r="Q467">
        <v>754.01</v>
      </c>
      <c r="R467" s="3" t="s">
        <v>29</v>
      </c>
      <c r="S467" s="7">
        <f>Ventas[[#This Row],[Costo Material (€)]]/Ventas[[#This Row],[Beneficio (€)]]</f>
        <v>7.6971790825055368</v>
      </c>
      <c r="T467" s="3" t="str">
        <f>IF(Ventas[[#This Row],[Margen (%)]]&gt;20%,"Beneficio","Perdidas")</f>
        <v>Beneficio</v>
      </c>
    </row>
    <row r="468" spans="1:20" x14ac:dyDescent="0.25">
      <c r="A468" s="12">
        <v>45109</v>
      </c>
      <c r="B468" s="1" t="s">
        <v>35</v>
      </c>
      <c r="C468" s="1" t="s">
        <v>36</v>
      </c>
      <c r="D468" s="1" t="s">
        <v>45</v>
      </c>
      <c r="E468" s="1" t="s">
        <v>20</v>
      </c>
      <c r="F468">
        <v>229</v>
      </c>
      <c r="G468">
        <v>11</v>
      </c>
      <c r="H468">
        <v>2519</v>
      </c>
      <c r="I468" s="1" t="s">
        <v>55</v>
      </c>
      <c r="J468" s="1" t="s">
        <v>27</v>
      </c>
      <c r="K468" s="1" t="s">
        <v>28</v>
      </c>
      <c r="L468">
        <v>1766.3</v>
      </c>
      <c r="M468">
        <v>29.9</v>
      </c>
      <c r="N468">
        <v>2023</v>
      </c>
      <c r="O468">
        <f t="shared" si="7"/>
        <v>3</v>
      </c>
      <c r="P468" s="13" t="s">
        <v>65</v>
      </c>
      <c r="Q468">
        <v>752.7</v>
      </c>
      <c r="R468" s="3" t="s">
        <v>25</v>
      </c>
      <c r="S468" s="7">
        <f>Ventas[[#This Row],[Costo Material (€)]]/Ventas[[#This Row],[Beneficio (€)]]</f>
        <v>2.3466188388468181</v>
      </c>
      <c r="T468" s="3" t="str">
        <f>IF(Ventas[[#This Row],[Margen (%)]]&gt;20%,"Beneficio","Perdidas")</f>
        <v>Beneficio</v>
      </c>
    </row>
    <row r="469" spans="1:20" x14ac:dyDescent="0.25">
      <c r="A469" s="12">
        <v>45414</v>
      </c>
      <c r="B469" s="1" t="s">
        <v>17</v>
      </c>
      <c r="C469" s="1" t="s">
        <v>18</v>
      </c>
      <c r="D469" s="1" t="s">
        <v>45</v>
      </c>
      <c r="E469" s="1" t="s">
        <v>20</v>
      </c>
      <c r="F469">
        <v>865</v>
      </c>
      <c r="G469">
        <v>3.25</v>
      </c>
      <c r="H469">
        <v>2811.25</v>
      </c>
      <c r="I469" s="1" t="s">
        <v>33</v>
      </c>
      <c r="J469" s="1" t="s">
        <v>56</v>
      </c>
      <c r="K469" s="1" t="s">
        <v>23</v>
      </c>
      <c r="L469">
        <v>2058.91</v>
      </c>
      <c r="M469">
        <v>26.8</v>
      </c>
      <c r="N469">
        <v>2024</v>
      </c>
      <c r="O469">
        <f t="shared" si="7"/>
        <v>2</v>
      </c>
      <c r="P469" s="13" t="s">
        <v>63</v>
      </c>
      <c r="Q469">
        <v>752.34</v>
      </c>
      <c r="R469" s="3" t="s">
        <v>25</v>
      </c>
      <c r="S469" s="7">
        <f>Ventas[[#This Row],[Costo Material (€)]]/Ventas[[#This Row],[Beneficio (€)]]</f>
        <v>2.7366749076215537</v>
      </c>
      <c r="T469" s="3" t="str">
        <f>IF(Ventas[[#This Row],[Margen (%)]]&gt;20%,"Beneficio","Perdidas")</f>
        <v>Beneficio</v>
      </c>
    </row>
    <row r="470" spans="1:20" x14ac:dyDescent="0.25">
      <c r="A470" s="12">
        <v>45128</v>
      </c>
      <c r="B470" s="1" t="s">
        <v>58</v>
      </c>
      <c r="C470" s="1" t="s">
        <v>59</v>
      </c>
      <c r="D470" s="1" t="s">
        <v>37</v>
      </c>
      <c r="E470" s="1" t="s">
        <v>38</v>
      </c>
      <c r="F470">
        <v>737</v>
      </c>
      <c r="G470">
        <v>3.44</v>
      </c>
      <c r="H470">
        <v>2535.2800000000002</v>
      </c>
      <c r="I470" s="1" t="s">
        <v>46</v>
      </c>
      <c r="J470" s="1" t="s">
        <v>27</v>
      </c>
      <c r="K470" s="1" t="s">
        <v>28</v>
      </c>
      <c r="L470">
        <v>1784.1</v>
      </c>
      <c r="M470">
        <v>29.6</v>
      </c>
      <c r="N470">
        <v>2023</v>
      </c>
      <c r="O470">
        <f t="shared" si="7"/>
        <v>3</v>
      </c>
      <c r="P470" s="13" t="s">
        <v>65</v>
      </c>
      <c r="Q470">
        <v>751.18</v>
      </c>
      <c r="R470" s="3" t="s">
        <v>25</v>
      </c>
      <c r="S470" s="7">
        <f>Ventas[[#This Row],[Costo Material (€)]]/Ventas[[#This Row],[Beneficio (€)]]</f>
        <v>2.3750632338454167</v>
      </c>
      <c r="T470" s="3" t="str">
        <f>IF(Ventas[[#This Row],[Margen (%)]]&gt;20%,"Beneficio","Perdidas")</f>
        <v>Beneficio</v>
      </c>
    </row>
    <row r="471" spans="1:20" x14ac:dyDescent="0.25">
      <c r="A471" s="12">
        <v>44936</v>
      </c>
      <c r="B471" s="1" t="s">
        <v>51</v>
      </c>
      <c r="C471" s="1" t="s">
        <v>52</v>
      </c>
      <c r="D471" s="1" t="s">
        <v>37</v>
      </c>
      <c r="E471" s="1" t="s">
        <v>38</v>
      </c>
      <c r="F471">
        <v>920</v>
      </c>
      <c r="G471">
        <v>5.03</v>
      </c>
      <c r="H471">
        <v>4627.6000000000004</v>
      </c>
      <c r="I471" s="1" t="s">
        <v>55</v>
      </c>
      <c r="J471" s="1" t="s">
        <v>22</v>
      </c>
      <c r="K471" s="1" t="s">
        <v>28</v>
      </c>
      <c r="L471">
        <v>3881.28</v>
      </c>
      <c r="M471">
        <v>16.100000000000001</v>
      </c>
      <c r="N471">
        <v>2023</v>
      </c>
      <c r="O471">
        <f t="shared" si="7"/>
        <v>1</v>
      </c>
      <c r="P471" s="13" t="s">
        <v>24</v>
      </c>
      <c r="Q471">
        <v>746.32</v>
      </c>
      <c r="R471" s="3" t="s">
        <v>29</v>
      </c>
      <c r="S471" s="7">
        <f>Ventas[[#This Row],[Costo Material (€)]]/Ventas[[#This Row],[Beneficio (€)]]</f>
        <v>5.2005574016507667</v>
      </c>
      <c r="T471" s="3" t="str">
        <f>IF(Ventas[[#This Row],[Margen (%)]]&gt;20%,"Beneficio","Perdidas")</f>
        <v>Beneficio</v>
      </c>
    </row>
    <row r="472" spans="1:20" x14ac:dyDescent="0.25">
      <c r="A472" s="12">
        <v>45425</v>
      </c>
      <c r="B472" s="1" t="s">
        <v>35</v>
      </c>
      <c r="C472" s="1" t="s">
        <v>36</v>
      </c>
      <c r="D472" s="1" t="s">
        <v>45</v>
      </c>
      <c r="E472" s="1" t="s">
        <v>20</v>
      </c>
      <c r="F472">
        <v>493</v>
      </c>
      <c r="G472">
        <v>6.1</v>
      </c>
      <c r="H472">
        <v>3007.3</v>
      </c>
      <c r="I472" s="1" t="s">
        <v>26</v>
      </c>
      <c r="J472" s="1" t="s">
        <v>34</v>
      </c>
      <c r="K472" s="1" t="s">
        <v>41</v>
      </c>
      <c r="L472">
        <v>2261.0700000000002</v>
      </c>
      <c r="M472">
        <v>24.8</v>
      </c>
      <c r="N472">
        <v>2024</v>
      </c>
      <c r="O472">
        <f t="shared" si="7"/>
        <v>2</v>
      </c>
      <c r="P472" s="13" t="s">
        <v>63</v>
      </c>
      <c r="Q472">
        <v>746.23</v>
      </c>
      <c r="R472" s="3" t="s">
        <v>29</v>
      </c>
      <c r="S472" s="7">
        <f>Ventas[[#This Row],[Costo Material (€)]]/Ventas[[#This Row],[Beneficio (€)]]</f>
        <v>3.0299907535210324</v>
      </c>
      <c r="T472" s="3" t="str">
        <f>IF(Ventas[[#This Row],[Margen (%)]]&gt;20%,"Beneficio","Perdidas")</f>
        <v>Beneficio</v>
      </c>
    </row>
    <row r="473" spans="1:20" x14ac:dyDescent="0.25">
      <c r="A473" s="12">
        <v>45193</v>
      </c>
      <c r="B473" s="1" t="s">
        <v>42</v>
      </c>
      <c r="C473" s="1" t="s">
        <v>43</v>
      </c>
      <c r="D473" s="1" t="s">
        <v>48</v>
      </c>
      <c r="E473" s="1" t="s">
        <v>38</v>
      </c>
      <c r="F473">
        <v>585</v>
      </c>
      <c r="G473">
        <v>10.51</v>
      </c>
      <c r="H473">
        <v>6148.35</v>
      </c>
      <c r="I473" s="1" t="s">
        <v>46</v>
      </c>
      <c r="J473" s="1" t="s">
        <v>22</v>
      </c>
      <c r="K473" s="1" t="s">
        <v>41</v>
      </c>
      <c r="L473">
        <v>5402.17</v>
      </c>
      <c r="M473">
        <v>12.1</v>
      </c>
      <c r="N473">
        <v>2023</v>
      </c>
      <c r="O473">
        <f t="shared" si="7"/>
        <v>3</v>
      </c>
      <c r="P473" s="13" t="s">
        <v>67</v>
      </c>
      <c r="Q473">
        <v>746.18</v>
      </c>
      <c r="R473" s="3" t="s">
        <v>29</v>
      </c>
      <c r="S473" s="7">
        <f>Ventas[[#This Row],[Costo Material (€)]]/Ventas[[#This Row],[Beneficio (€)]]</f>
        <v>7.23976788442467</v>
      </c>
      <c r="T473" s="3" t="str">
        <f>IF(Ventas[[#This Row],[Margen (%)]]&gt;20%,"Beneficio","Perdidas")</f>
        <v>Beneficio</v>
      </c>
    </row>
    <row r="474" spans="1:20" x14ac:dyDescent="0.25">
      <c r="A474" s="12">
        <v>45285</v>
      </c>
      <c r="B474" s="1" t="s">
        <v>51</v>
      </c>
      <c r="C474" s="1" t="s">
        <v>52</v>
      </c>
      <c r="D474" s="1" t="s">
        <v>32</v>
      </c>
      <c r="E474" s="1" t="s">
        <v>20</v>
      </c>
      <c r="F474">
        <v>550</v>
      </c>
      <c r="G474">
        <v>3.92</v>
      </c>
      <c r="H474">
        <v>2156</v>
      </c>
      <c r="I474" s="1" t="s">
        <v>26</v>
      </c>
      <c r="J474" s="1" t="s">
        <v>34</v>
      </c>
      <c r="K474" s="1" t="s">
        <v>28</v>
      </c>
      <c r="L474">
        <v>1412.37</v>
      </c>
      <c r="M474">
        <v>34.5</v>
      </c>
      <c r="N474">
        <v>2023</v>
      </c>
      <c r="O474">
        <f t="shared" si="7"/>
        <v>4</v>
      </c>
      <c r="P474" s="13" t="s">
        <v>70</v>
      </c>
      <c r="Q474">
        <v>743.63</v>
      </c>
      <c r="R474" s="3" t="s">
        <v>25</v>
      </c>
      <c r="S474" s="7">
        <f>Ventas[[#This Row],[Costo Material (€)]]/Ventas[[#This Row],[Beneficio (€)]]</f>
        <v>1.8992913142288503</v>
      </c>
      <c r="T474" s="3" t="str">
        <f>IF(Ventas[[#This Row],[Margen (%)]]&gt;20%,"Beneficio","Perdidas")</f>
        <v>Beneficio</v>
      </c>
    </row>
    <row r="475" spans="1:20" x14ac:dyDescent="0.25">
      <c r="A475" s="12">
        <v>44980</v>
      </c>
      <c r="B475" s="1" t="s">
        <v>51</v>
      </c>
      <c r="C475" s="1" t="s">
        <v>52</v>
      </c>
      <c r="D475" s="1" t="s">
        <v>19</v>
      </c>
      <c r="E475" s="1" t="s">
        <v>20</v>
      </c>
      <c r="F475">
        <v>237</v>
      </c>
      <c r="G475">
        <v>8.69</v>
      </c>
      <c r="H475">
        <v>2059.5300000000002</v>
      </c>
      <c r="I475" s="1" t="s">
        <v>54</v>
      </c>
      <c r="J475" s="1" t="s">
        <v>40</v>
      </c>
      <c r="K475" s="1" t="s">
        <v>23</v>
      </c>
      <c r="L475">
        <v>1317.05</v>
      </c>
      <c r="M475">
        <v>36.1</v>
      </c>
      <c r="N475">
        <v>2023</v>
      </c>
      <c r="O475">
        <f t="shared" si="7"/>
        <v>1</v>
      </c>
      <c r="P475" s="13" t="s">
        <v>60</v>
      </c>
      <c r="Q475">
        <v>742.48</v>
      </c>
      <c r="R475" s="3" t="s">
        <v>25</v>
      </c>
      <c r="S475" s="7">
        <f>Ventas[[#This Row],[Costo Material (€)]]/Ventas[[#This Row],[Beneficio (€)]]</f>
        <v>1.7738524943432818</v>
      </c>
      <c r="T475" s="3" t="str">
        <f>IF(Ventas[[#This Row],[Margen (%)]]&gt;20%,"Beneficio","Perdidas")</f>
        <v>Beneficio</v>
      </c>
    </row>
    <row r="476" spans="1:20" x14ac:dyDescent="0.25">
      <c r="A476" s="12">
        <v>45023</v>
      </c>
      <c r="B476" s="1" t="s">
        <v>35</v>
      </c>
      <c r="C476" s="1" t="s">
        <v>36</v>
      </c>
      <c r="D476" s="1" t="s">
        <v>19</v>
      </c>
      <c r="E476" s="1" t="s">
        <v>20</v>
      </c>
      <c r="F476">
        <v>860</v>
      </c>
      <c r="G476">
        <v>3.2</v>
      </c>
      <c r="H476">
        <v>2752</v>
      </c>
      <c r="I476" s="1" t="s">
        <v>57</v>
      </c>
      <c r="J476" s="1" t="s">
        <v>40</v>
      </c>
      <c r="K476" s="1" t="s">
        <v>23</v>
      </c>
      <c r="L476">
        <v>2011.84</v>
      </c>
      <c r="M476">
        <v>26.9</v>
      </c>
      <c r="N476">
        <v>2023</v>
      </c>
      <c r="O476">
        <f t="shared" si="7"/>
        <v>2</v>
      </c>
      <c r="P476" s="13" t="s">
        <v>62</v>
      </c>
      <c r="Q476">
        <v>740.16</v>
      </c>
      <c r="R476" s="3" t="s">
        <v>25</v>
      </c>
      <c r="S476" s="7">
        <f>Ventas[[#This Row],[Costo Material (€)]]/Ventas[[#This Row],[Beneficio (€)]]</f>
        <v>2.7181150021616949</v>
      </c>
      <c r="T476" s="3" t="str">
        <f>IF(Ventas[[#This Row],[Margen (%)]]&gt;20%,"Beneficio","Perdidas")</f>
        <v>Beneficio</v>
      </c>
    </row>
    <row r="477" spans="1:20" x14ac:dyDescent="0.25">
      <c r="A477" s="12">
        <v>45140</v>
      </c>
      <c r="B477" s="1" t="s">
        <v>58</v>
      </c>
      <c r="C477" s="1" t="s">
        <v>59</v>
      </c>
      <c r="D477" s="1" t="s">
        <v>45</v>
      </c>
      <c r="E477" s="1" t="s">
        <v>20</v>
      </c>
      <c r="F477">
        <v>686</v>
      </c>
      <c r="G477">
        <v>4.84</v>
      </c>
      <c r="H477">
        <v>3320.24</v>
      </c>
      <c r="I477" s="1" t="s">
        <v>26</v>
      </c>
      <c r="J477" s="1" t="s">
        <v>27</v>
      </c>
      <c r="K477" s="1" t="s">
        <v>41</v>
      </c>
      <c r="L477">
        <v>2581.7600000000002</v>
      </c>
      <c r="M477">
        <v>22.2</v>
      </c>
      <c r="N477">
        <v>2023</v>
      </c>
      <c r="O477">
        <f t="shared" si="7"/>
        <v>3</v>
      </c>
      <c r="P477" s="13" t="s">
        <v>66</v>
      </c>
      <c r="Q477">
        <v>738.48</v>
      </c>
      <c r="R477" s="3" t="s">
        <v>29</v>
      </c>
      <c r="S477" s="7">
        <f>Ventas[[#This Row],[Costo Material (€)]]/Ventas[[#This Row],[Beneficio (€)]]</f>
        <v>3.4960459321850288</v>
      </c>
      <c r="T477" s="3" t="str">
        <f>IF(Ventas[[#This Row],[Margen (%)]]&gt;20%,"Beneficio","Perdidas")</f>
        <v>Beneficio</v>
      </c>
    </row>
    <row r="478" spans="1:20" x14ac:dyDescent="0.25">
      <c r="A478" s="12">
        <v>45485</v>
      </c>
      <c r="B478" s="1" t="s">
        <v>42</v>
      </c>
      <c r="C478" s="1" t="s">
        <v>43</v>
      </c>
      <c r="D478" s="1" t="s">
        <v>45</v>
      </c>
      <c r="E478" s="1" t="s">
        <v>20</v>
      </c>
      <c r="F478">
        <v>550</v>
      </c>
      <c r="G478">
        <v>6.35</v>
      </c>
      <c r="H478">
        <v>3492.5</v>
      </c>
      <c r="I478" s="1" t="s">
        <v>21</v>
      </c>
      <c r="J478" s="1" t="s">
        <v>34</v>
      </c>
      <c r="K478" s="1" t="s">
        <v>41</v>
      </c>
      <c r="L478">
        <v>2754.1</v>
      </c>
      <c r="M478">
        <v>21.1</v>
      </c>
      <c r="N478">
        <v>2024</v>
      </c>
      <c r="O478">
        <f t="shared" si="7"/>
        <v>3</v>
      </c>
      <c r="P478" s="13" t="s">
        <v>65</v>
      </c>
      <c r="Q478">
        <v>738.4</v>
      </c>
      <c r="R478" s="3" t="s">
        <v>29</v>
      </c>
      <c r="S478" s="7">
        <f>Ventas[[#This Row],[Costo Material (€)]]/Ventas[[#This Row],[Beneficio (€)]]</f>
        <v>3.7298212351029254</v>
      </c>
      <c r="T478" s="3" t="str">
        <f>IF(Ventas[[#This Row],[Margen (%)]]&gt;20%,"Beneficio","Perdidas")</f>
        <v>Beneficio</v>
      </c>
    </row>
    <row r="479" spans="1:20" x14ac:dyDescent="0.25">
      <c r="A479" s="12">
        <v>45099</v>
      </c>
      <c r="B479" s="1" t="s">
        <v>17</v>
      </c>
      <c r="C479" s="1" t="s">
        <v>18</v>
      </c>
      <c r="D479" s="1" t="s">
        <v>32</v>
      </c>
      <c r="E479" s="1" t="s">
        <v>20</v>
      </c>
      <c r="F479">
        <v>374</v>
      </c>
      <c r="G479">
        <v>8.8000000000000007</v>
      </c>
      <c r="H479">
        <v>3291.2</v>
      </c>
      <c r="I479" s="1" t="s">
        <v>26</v>
      </c>
      <c r="J479" s="1" t="s">
        <v>47</v>
      </c>
      <c r="K479" s="1" t="s">
        <v>23</v>
      </c>
      <c r="L479">
        <v>2560.04</v>
      </c>
      <c r="M479">
        <v>22.2</v>
      </c>
      <c r="N479">
        <v>2023</v>
      </c>
      <c r="O479">
        <f t="shared" si="7"/>
        <v>2</v>
      </c>
      <c r="P479" s="13" t="s">
        <v>64</v>
      </c>
      <c r="Q479">
        <v>731.16</v>
      </c>
      <c r="R479" s="3" t="s">
        <v>29</v>
      </c>
      <c r="S479" s="7">
        <f>Ventas[[#This Row],[Costo Material (€)]]/Ventas[[#This Row],[Beneficio (€)]]</f>
        <v>3.5013403359045903</v>
      </c>
      <c r="T479" s="3" t="str">
        <f>IF(Ventas[[#This Row],[Margen (%)]]&gt;20%,"Beneficio","Perdidas")</f>
        <v>Beneficio</v>
      </c>
    </row>
    <row r="480" spans="1:20" x14ac:dyDescent="0.25">
      <c r="A480" s="12">
        <v>45067</v>
      </c>
      <c r="B480" s="1" t="s">
        <v>51</v>
      </c>
      <c r="C480" s="1" t="s">
        <v>52</v>
      </c>
      <c r="D480" s="1" t="s">
        <v>44</v>
      </c>
      <c r="E480" s="1" t="s">
        <v>38</v>
      </c>
      <c r="F480">
        <v>713</v>
      </c>
      <c r="G480">
        <v>10.130000000000001</v>
      </c>
      <c r="H480">
        <v>7222.69</v>
      </c>
      <c r="I480" s="1" t="s">
        <v>57</v>
      </c>
      <c r="J480" s="1" t="s">
        <v>56</v>
      </c>
      <c r="K480" s="1" t="s">
        <v>28</v>
      </c>
      <c r="L480">
        <v>6491.57</v>
      </c>
      <c r="M480">
        <v>10.1</v>
      </c>
      <c r="N480">
        <v>2023</v>
      </c>
      <c r="O480">
        <f t="shared" si="7"/>
        <v>2</v>
      </c>
      <c r="P480" s="13" t="s">
        <v>63</v>
      </c>
      <c r="Q480">
        <v>731.12</v>
      </c>
      <c r="R480" s="3" t="s">
        <v>29</v>
      </c>
      <c r="S480" s="7">
        <f>Ventas[[#This Row],[Costo Material (€)]]/Ventas[[#This Row],[Beneficio (€)]]</f>
        <v>8.8789391618338982</v>
      </c>
      <c r="T480" s="3" t="str">
        <f>IF(Ventas[[#This Row],[Margen (%)]]&gt;20%,"Beneficio","Perdidas")</f>
        <v>Beneficio</v>
      </c>
    </row>
    <row r="481" spans="1:20" x14ac:dyDescent="0.25">
      <c r="A481" s="12">
        <v>44971</v>
      </c>
      <c r="B481" s="1" t="s">
        <v>17</v>
      </c>
      <c r="C481" s="1" t="s">
        <v>18</v>
      </c>
      <c r="D481" s="1" t="s">
        <v>32</v>
      </c>
      <c r="E481" s="1" t="s">
        <v>20</v>
      </c>
      <c r="F481">
        <v>841</v>
      </c>
      <c r="G481">
        <v>3.14</v>
      </c>
      <c r="H481">
        <v>2640.74</v>
      </c>
      <c r="I481" s="1" t="s">
        <v>57</v>
      </c>
      <c r="J481" s="1" t="s">
        <v>22</v>
      </c>
      <c r="K481" s="1" t="s">
        <v>23</v>
      </c>
      <c r="L481">
        <v>1912.05</v>
      </c>
      <c r="M481">
        <v>27.6</v>
      </c>
      <c r="N481">
        <v>2023</v>
      </c>
      <c r="O481">
        <f t="shared" si="7"/>
        <v>1</v>
      </c>
      <c r="P481" s="13" t="s">
        <v>60</v>
      </c>
      <c r="Q481">
        <v>728.69</v>
      </c>
      <c r="R481" s="3" t="s">
        <v>25</v>
      </c>
      <c r="S481" s="7">
        <f>Ventas[[#This Row],[Costo Material (€)]]/Ventas[[#This Row],[Beneficio (€)]]</f>
        <v>2.6239553170758483</v>
      </c>
      <c r="T481" s="3" t="str">
        <f>IF(Ventas[[#This Row],[Margen (%)]]&gt;20%,"Beneficio","Perdidas")</f>
        <v>Beneficio</v>
      </c>
    </row>
    <row r="482" spans="1:20" x14ac:dyDescent="0.25">
      <c r="A482" s="12">
        <v>45013</v>
      </c>
      <c r="B482" s="1" t="s">
        <v>51</v>
      </c>
      <c r="C482" s="1" t="s">
        <v>52</v>
      </c>
      <c r="D482" s="1" t="s">
        <v>44</v>
      </c>
      <c r="E482" s="1" t="s">
        <v>38</v>
      </c>
      <c r="F482">
        <v>637</v>
      </c>
      <c r="G482">
        <v>3.91</v>
      </c>
      <c r="H482">
        <v>2490.67</v>
      </c>
      <c r="I482" s="1" t="s">
        <v>26</v>
      </c>
      <c r="J482" s="1" t="s">
        <v>47</v>
      </c>
      <c r="K482" s="1" t="s">
        <v>23</v>
      </c>
      <c r="L482">
        <v>1766.14</v>
      </c>
      <c r="M482">
        <v>29.1</v>
      </c>
      <c r="N482">
        <v>2023</v>
      </c>
      <c r="O482">
        <f t="shared" si="7"/>
        <v>1</v>
      </c>
      <c r="P482" s="13" t="s">
        <v>61</v>
      </c>
      <c r="Q482">
        <v>724.53</v>
      </c>
      <c r="R482" s="3" t="s">
        <v>25</v>
      </c>
      <c r="S482" s="7">
        <f>Ventas[[#This Row],[Costo Material (€)]]/Ventas[[#This Row],[Beneficio (€)]]</f>
        <v>2.4376354326252883</v>
      </c>
      <c r="T482" s="3" t="str">
        <f>IF(Ventas[[#This Row],[Margen (%)]]&gt;20%,"Beneficio","Perdidas")</f>
        <v>Beneficio</v>
      </c>
    </row>
    <row r="483" spans="1:20" x14ac:dyDescent="0.25">
      <c r="A483" s="12">
        <v>45055</v>
      </c>
      <c r="B483" s="1" t="s">
        <v>42</v>
      </c>
      <c r="C483" s="1" t="s">
        <v>43</v>
      </c>
      <c r="D483" s="1" t="s">
        <v>49</v>
      </c>
      <c r="E483" s="1" t="s">
        <v>50</v>
      </c>
      <c r="F483">
        <v>794</v>
      </c>
      <c r="G483">
        <v>8.44</v>
      </c>
      <c r="H483">
        <v>6701.36</v>
      </c>
      <c r="I483" s="1" t="s">
        <v>33</v>
      </c>
      <c r="J483" s="1" t="s">
        <v>34</v>
      </c>
      <c r="K483" s="1" t="s">
        <v>28</v>
      </c>
      <c r="L483">
        <v>5979.2</v>
      </c>
      <c r="M483">
        <v>10.8</v>
      </c>
      <c r="N483">
        <v>2023</v>
      </c>
      <c r="O483">
        <f t="shared" si="7"/>
        <v>2</v>
      </c>
      <c r="P483" s="13" t="s">
        <v>63</v>
      </c>
      <c r="Q483">
        <v>722.16</v>
      </c>
      <c r="R483" s="3" t="s">
        <v>29</v>
      </c>
      <c r="S483" s="7">
        <f>Ventas[[#This Row],[Costo Material (€)]]/Ventas[[#This Row],[Beneficio (€)]]</f>
        <v>8.2796056275617591</v>
      </c>
      <c r="T483" s="3" t="str">
        <f>IF(Ventas[[#This Row],[Margen (%)]]&gt;20%,"Beneficio","Perdidas")</f>
        <v>Beneficio</v>
      </c>
    </row>
    <row r="484" spans="1:20" x14ac:dyDescent="0.25">
      <c r="A484" s="12">
        <v>45043</v>
      </c>
      <c r="B484" s="1" t="s">
        <v>17</v>
      </c>
      <c r="C484" s="1" t="s">
        <v>18</v>
      </c>
      <c r="D484" s="1" t="s">
        <v>19</v>
      </c>
      <c r="E484" s="1" t="s">
        <v>20</v>
      </c>
      <c r="F484">
        <v>528</v>
      </c>
      <c r="G484">
        <v>9.1</v>
      </c>
      <c r="H484">
        <v>4804.8</v>
      </c>
      <c r="I484" s="1" t="s">
        <v>39</v>
      </c>
      <c r="J484" s="1" t="s">
        <v>47</v>
      </c>
      <c r="K484" s="1" t="s">
        <v>28</v>
      </c>
      <c r="L484">
        <v>4084.35</v>
      </c>
      <c r="M484">
        <v>15</v>
      </c>
      <c r="N484">
        <v>2023</v>
      </c>
      <c r="O484">
        <f t="shared" si="7"/>
        <v>2</v>
      </c>
      <c r="P484" s="13" t="s">
        <v>62</v>
      </c>
      <c r="Q484">
        <v>720.45</v>
      </c>
      <c r="R484" s="3" t="s">
        <v>29</v>
      </c>
      <c r="S484" s="7">
        <f>Ventas[[#This Row],[Costo Material (€)]]/Ventas[[#This Row],[Beneficio (€)]]</f>
        <v>5.6691651051426186</v>
      </c>
      <c r="T484" s="3" t="str">
        <f>IF(Ventas[[#This Row],[Margen (%)]]&gt;20%,"Beneficio","Perdidas")</f>
        <v>Beneficio</v>
      </c>
    </row>
    <row r="485" spans="1:20" x14ac:dyDescent="0.25">
      <c r="A485" s="12">
        <v>45164</v>
      </c>
      <c r="B485" s="1" t="s">
        <v>30</v>
      </c>
      <c r="C485" s="1" t="s">
        <v>31</v>
      </c>
      <c r="D485" s="1" t="s">
        <v>44</v>
      </c>
      <c r="E485" s="1" t="s">
        <v>38</v>
      </c>
      <c r="F485">
        <v>582</v>
      </c>
      <c r="G485">
        <v>11.2</v>
      </c>
      <c r="H485">
        <v>6518.4</v>
      </c>
      <c r="I485" s="1" t="s">
        <v>46</v>
      </c>
      <c r="J485" s="1" t="s">
        <v>27</v>
      </c>
      <c r="K485" s="1" t="s">
        <v>41</v>
      </c>
      <c r="L485">
        <v>5804.33</v>
      </c>
      <c r="M485">
        <v>11</v>
      </c>
      <c r="N485">
        <v>2023</v>
      </c>
      <c r="O485">
        <f t="shared" si="7"/>
        <v>3</v>
      </c>
      <c r="P485" s="13" t="s">
        <v>66</v>
      </c>
      <c r="Q485">
        <v>714.07</v>
      </c>
      <c r="R485" s="3" t="s">
        <v>29</v>
      </c>
      <c r="S485" s="7">
        <f>Ventas[[#This Row],[Costo Material (€)]]/Ventas[[#This Row],[Beneficio (€)]]</f>
        <v>8.1285168120772475</v>
      </c>
      <c r="T485" s="3" t="str">
        <f>IF(Ventas[[#This Row],[Margen (%)]]&gt;20%,"Beneficio","Perdidas")</f>
        <v>Beneficio</v>
      </c>
    </row>
    <row r="486" spans="1:20" x14ac:dyDescent="0.25">
      <c r="A486" s="12">
        <v>45307</v>
      </c>
      <c r="B486" s="1" t="s">
        <v>42</v>
      </c>
      <c r="C486" s="1" t="s">
        <v>43</v>
      </c>
      <c r="D486" s="1" t="s">
        <v>49</v>
      </c>
      <c r="E486" s="1" t="s">
        <v>50</v>
      </c>
      <c r="F486">
        <v>411</v>
      </c>
      <c r="G486">
        <v>11.18</v>
      </c>
      <c r="H486">
        <v>4594.9799999999996</v>
      </c>
      <c r="I486" s="1" t="s">
        <v>33</v>
      </c>
      <c r="J486" s="1" t="s">
        <v>40</v>
      </c>
      <c r="K486" s="1" t="s">
        <v>23</v>
      </c>
      <c r="L486">
        <v>3883.36</v>
      </c>
      <c r="M486">
        <v>15.5</v>
      </c>
      <c r="N486">
        <v>2024</v>
      </c>
      <c r="O486">
        <f t="shared" si="7"/>
        <v>1</v>
      </c>
      <c r="P486" s="13" t="s">
        <v>24</v>
      </c>
      <c r="Q486">
        <v>711.62</v>
      </c>
      <c r="R486" s="3" t="s">
        <v>29</v>
      </c>
      <c r="S486" s="7">
        <f>Ventas[[#This Row],[Costo Material (€)]]/Ventas[[#This Row],[Beneficio (€)]]</f>
        <v>5.4570697844355136</v>
      </c>
      <c r="T486" s="3" t="str">
        <f>IF(Ventas[[#This Row],[Margen (%)]]&gt;20%,"Beneficio","Perdidas")</f>
        <v>Beneficio</v>
      </c>
    </row>
    <row r="487" spans="1:20" x14ac:dyDescent="0.25">
      <c r="A487" s="12">
        <v>45074</v>
      </c>
      <c r="B487" s="1" t="s">
        <v>51</v>
      </c>
      <c r="C487" s="1" t="s">
        <v>52</v>
      </c>
      <c r="D487" s="1" t="s">
        <v>37</v>
      </c>
      <c r="E487" s="1" t="s">
        <v>38</v>
      </c>
      <c r="F487">
        <v>876</v>
      </c>
      <c r="G487">
        <v>6.99</v>
      </c>
      <c r="H487">
        <v>6123.24</v>
      </c>
      <c r="I487" s="1" t="s">
        <v>57</v>
      </c>
      <c r="J487" s="1" t="s">
        <v>22</v>
      </c>
      <c r="K487" s="1" t="s">
        <v>28</v>
      </c>
      <c r="L487">
        <v>5412.74</v>
      </c>
      <c r="M487">
        <v>11.6</v>
      </c>
      <c r="N487">
        <v>2023</v>
      </c>
      <c r="O487">
        <f t="shared" si="7"/>
        <v>2</v>
      </c>
      <c r="P487" s="13" t="s">
        <v>63</v>
      </c>
      <c r="Q487">
        <v>710.5</v>
      </c>
      <c r="R487" s="3" t="s">
        <v>29</v>
      </c>
      <c r="S487" s="7">
        <f>Ventas[[#This Row],[Costo Material (€)]]/Ventas[[#This Row],[Beneficio (€)]]</f>
        <v>7.6182125263898657</v>
      </c>
      <c r="T487" s="3" t="str">
        <f>IF(Ventas[[#This Row],[Margen (%)]]&gt;20%,"Beneficio","Perdidas")</f>
        <v>Beneficio</v>
      </c>
    </row>
    <row r="488" spans="1:20" x14ac:dyDescent="0.25">
      <c r="A488" s="12">
        <v>45052</v>
      </c>
      <c r="B488" s="1" t="s">
        <v>35</v>
      </c>
      <c r="C488" s="1" t="s">
        <v>36</v>
      </c>
      <c r="D488" s="1" t="s">
        <v>49</v>
      </c>
      <c r="E488" s="1" t="s">
        <v>50</v>
      </c>
      <c r="F488">
        <v>579</v>
      </c>
      <c r="G488">
        <v>5.29</v>
      </c>
      <c r="H488">
        <v>3062.91</v>
      </c>
      <c r="I488" s="1" t="s">
        <v>46</v>
      </c>
      <c r="J488" s="1" t="s">
        <v>34</v>
      </c>
      <c r="K488" s="1" t="s">
        <v>28</v>
      </c>
      <c r="L488">
        <v>2354.59</v>
      </c>
      <c r="M488">
        <v>23.1</v>
      </c>
      <c r="N488">
        <v>2023</v>
      </c>
      <c r="O488">
        <f t="shared" si="7"/>
        <v>2</v>
      </c>
      <c r="P488" s="13" t="s">
        <v>63</v>
      </c>
      <c r="Q488">
        <v>708.32</v>
      </c>
      <c r="R488" s="3" t="s">
        <v>29</v>
      </c>
      <c r="S488" s="7">
        <f>Ventas[[#This Row],[Costo Material (€)]]/Ventas[[#This Row],[Beneficio (€)]]</f>
        <v>3.3241896318048338</v>
      </c>
      <c r="T488" s="3" t="str">
        <f>IF(Ventas[[#This Row],[Margen (%)]]&gt;20%,"Beneficio","Perdidas")</f>
        <v>Beneficio</v>
      </c>
    </row>
    <row r="489" spans="1:20" x14ac:dyDescent="0.25">
      <c r="A489" s="12">
        <v>45114</v>
      </c>
      <c r="B489" s="1" t="s">
        <v>17</v>
      </c>
      <c r="C489" s="1" t="s">
        <v>18</v>
      </c>
      <c r="D489" s="1" t="s">
        <v>32</v>
      </c>
      <c r="E489" s="1" t="s">
        <v>20</v>
      </c>
      <c r="F489">
        <v>574</v>
      </c>
      <c r="G489">
        <v>11.07</v>
      </c>
      <c r="H489">
        <v>6354.18</v>
      </c>
      <c r="I489" s="1" t="s">
        <v>39</v>
      </c>
      <c r="J489" s="1" t="s">
        <v>27</v>
      </c>
      <c r="K489" s="1" t="s">
        <v>23</v>
      </c>
      <c r="L489">
        <v>5645.93</v>
      </c>
      <c r="M489">
        <v>11.1</v>
      </c>
      <c r="N489">
        <v>2023</v>
      </c>
      <c r="O489">
        <f t="shared" si="7"/>
        <v>3</v>
      </c>
      <c r="P489" s="13" t="s">
        <v>65</v>
      </c>
      <c r="Q489">
        <v>708.25</v>
      </c>
      <c r="R489" s="3" t="s">
        <v>29</v>
      </c>
      <c r="S489" s="7">
        <f>Ventas[[#This Row],[Costo Material (€)]]/Ventas[[#This Row],[Beneficio (€)]]</f>
        <v>7.9716625485351225</v>
      </c>
      <c r="T489" s="3" t="str">
        <f>IF(Ventas[[#This Row],[Margen (%)]]&gt;20%,"Beneficio","Perdidas")</f>
        <v>Beneficio</v>
      </c>
    </row>
    <row r="490" spans="1:20" x14ac:dyDescent="0.25">
      <c r="A490" s="12">
        <v>45256</v>
      </c>
      <c r="B490" s="1" t="s">
        <v>51</v>
      </c>
      <c r="C490" s="1" t="s">
        <v>52</v>
      </c>
      <c r="D490" s="1" t="s">
        <v>45</v>
      </c>
      <c r="E490" s="1" t="s">
        <v>20</v>
      </c>
      <c r="F490">
        <v>572</v>
      </c>
      <c r="G490">
        <v>6.93</v>
      </c>
      <c r="H490">
        <v>3963.96</v>
      </c>
      <c r="I490" s="1" t="s">
        <v>39</v>
      </c>
      <c r="J490" s="1" t="s">
        <v>56</v>
      </c>
      <c r="K490" s="1" t="s">
        <v>41</v>
      </c>
      <c r="L490">
        <v>3255.8</v>
      </c>
      <c r="M490">
        <v>17.899999999999999</v>
      </c>
      <c r="N490">
        <v>2023</v>
      </c>
      <c r="O490">
        <f t="shared" si="7"/>
        <v>4</v>
      </c>
      <c r="P490" s="13" t="s">
        <v>69</v>
      </c>
      <c r="Q490">
        <v>708.16</v>
      </c>
      <c r="R490" s="3" t="s">
        <v>29</v>
      </c>
      <c r="S490" s="7">
        <f>Ventas[[#This Row],[Costo Material (€)]]/Ventas[[#This Row],[Beneficio (€)]]</f>
        <v>4.5975485765928612</v>
      </c>
      <c r="T490" s="3" t="str">
        <f>IF(Ventas[[#This Row],[Margen (%)]]&gt;20%,"Beneficio","Perdidas")</f>
        <v>Beneficio</v>
      </c>
    </row>
    <row r="491" spans="1:20" x14ac:dyDescent="0.25">
      <c r="A491" s="12">
        <v>44995</v>
      </c>
      <c r="B491" s="1" t="s">
        <v>58</v>
      </c>
      <c r="C491" s="1" t="s">
        <v>59</v>
      </c>
      <c r="D491" s="1" t="s">
        <v>37</v>
      </c>
      <c r="E491" s="1" t="s">
        <v>38</v>
      </c>
      <c r="F491">
        <v>305</v>
      </c>
      <c r="G491">
        <v>8.18</v>
      </c>
      <c r="H491">
        <v>2494.9</v>
      </c>
      <c r="I491" s="1" t="s">
        <v>55</v>
      </c>
      <c r="J491" s="1" t="s">
        <v>27</v>
      </c>
      <c r="K491" s="1" t="s">
        <v>23</v>
      </c>
      <c r="L491">
        <v>1788.34</v>
      </c>
      <c r="M491">
        <v>28.3</v>
      </c>
      <c r="N491">
        <v>2023</v>
      </c>
      <c r="O491">
        <f t="shared" si="7"/>
        <v>1</v>
      </c>
      <c r="P491" s="13" t="s">
        <v>61</v>
      </c>
      <c r="Q491">
        <v>706.56</v>
      </c>
      <c r="R491" s="3" t="s">
        <v>25</v>
      </c>
      <c r="S491" s="7">
        <f>Ventas[[#This Row],[Costo Material (€)]]/Ventas[[#This Row],[Beneficio (€)]]</f>
        <v>2.5310518568840581</v>
      </c>
      <c r="T491" s="3" t="str">
        <f>IF(Ventas[[#This Row],[Margen (%)]]&gt;20%,"Beneficio","Perdidas")</f>
        <v>Beneficio</v>
      </c>
    </row>
    <row r="492" spans="1:20" x14ac:dyDescent="0.25">
      <c r="A492" s="12">
        <v>45013</v>
      </c>
      <c r="B492" s="1" t="s">
        <v>35</v>
      </c>
      <c r="C492" s="1" t="s">
        <v>36</v>
      </c>
      <c r="D492" s="1" t="s">
        <v>44</v>
      </c>
      <c r="E492" s="1" t="s">
        <v>38</v>
      </c>
      <c r="F492">
        <v>677</v>
      </c>
      <c r="G492">
        <v>6.41</v>
      </c>
      <c r="H492">
        <v>4339.57</v>
      </c>
      <c r="I492" s="1" t="s">
        <v>57</v>
      </c>
      <c r="J492" s="1" t="s">
        <v>47</v>
      </c>
      <c r="K492" s="1" t="s">
        <v>41</v>
      </c>
      <c r="L492">
        <v>3634.69</v>
      </c>
      <c r="M492">
        <v>16.2</v>
      </c>
      <c r="N492">
        <v>2023</v>
      </c>
      <c r="O492">
        <f t="shared" si="7"/>
        <v>1</v>
      </c>
      <c r="P492" s="13" t="s">
        <v>61</v>
      </c>
      <c r="Q492">
        <v>704.88</v>
      </c>
      <c r="R492" s="3" t="s">
        <v>29</v>
      </c>
      <c r="S492" s="7">
        <f>Ventas[[#This Row],[Costo Material (€)]]/Ventas[[#This Row],[Beneficio (€)]]</f>
        <v>5.1564663488820797</v>
      </c>
      <c r="T492" s="3" t="str">
        <f>IF(Ventas[[#This Row],[Margen (%)]]&gt;20%,"Beneficio","Perdidas")</f>
        <v>Beneficio</v>
      </c>
    </row>
    <row r="493" spans="1:20" x14ac:dyDescent="0.25">
      <c r="A493" s="12">
        <v>45138</v>
      </c>
      <c r="B493" s="1" t="s">
        <v>42</v>
      </c>
      <c r="C493" s="1" t="s">
        <v>43</v>
      </c>
      <c r="D493" s="1" t="s">
        <v>49</v>
      </c>
      <c r="E493" s="1" t="s">
        <v>50</v>
      </c>
      <c r="F493">
        <v>203</v>
      </c>
      <c r="G493">
        <v>9.5399999999999991</v>
      </c>
      <c r="H493">
        <v>1936.62</v>
      </c>
      <c r="I493" s="1" t="s">
        <v>39</v>
      </c>
      <c r="J493" s="1" t="s">
        <v>47</v>
      </c>
      <c r="K493" s="1" t="s">
        <v>23</v>
      </c>
      <c r="L493">
        <v>1231.81</v>
      </c>
      <c r="M493">
        <v>36.4</v>
      </c>
      <c r="N493">
        <v>2023</v>
      </c>
      <c r="O493">
        <f t="shared" si="7"/>
        <v>3</v>
      </c>
      <c r="P493" s="13" t="s">
        <v>65</v>
      </c>
      <c r="Q493">
        <v>704.81</v>
      </c>
      <c r="R493" s="3" t="s">
        <v>25</v>
      </c>
      <c r="S493" s="7">
        <f>Ventas[[#This Row],[Costo Material (€)]]/Ventas[[#This Row],[Beneficio (€)]]</f>
        <v>1.7477192434840596</v>
      </c>
      <c r="T493" s="3" t="str">
        <f>IF(Ventas[[#This Row],[Margen (%)]]&gt;20%,"Beneficio","Perdidas")</f>
        <v>Beneficio</v>
      </c>
    </row>
    <row r="494" spans="1:20" x14ac:dyDescent="0.25">
      <c r="A494" s="12">
        <v>44947</v>
      </c>
      <c r="B494" s="1" t="s">
        <v>35</v>
      </c>
      <c r="C494" s="1" t="s">
        <v>36</v>
      </c>
      <c r="D494" s="1" t="s">
        <v>48</v>
      </c>
      <c r="E494" s="1" t="s">
        <v>38</v>
      </c>
      <c r="F494">
        <v>904</v>
      </c>
      <c r="G494">
        <v>3.07</v>
      </c>
      <c r="H494">
        <v>2775.28</v>
      </c>
      <c r="I494" s="1" t="s">
        <v>55</v>
      </c>
      <c r="J494" s="1" t="s">
        <v>27</v>
      </c>
      <c r="K494" s="1" t="s">
        <v>41</v>
      </c>
      <c r="L494">
        <v>2071.0300000000002</v>
      </c>
      <c r="M494">
        <v>25.4</v>
      </c>
      <c r="N494">
        <v>2023</v>
      </c>
      <c r="O494">
        <f t="shared" si="7"/>
        <v>1</v>
      </c>
      <c r="P494" s="13" t="s">
        <v>24</v>
      </c>
      <c r="Q494">
        <v>704.25</v>
      </c>
      <c r="R494" s="3" t="s">
        <v>25</v>
      </c>
      <c r="S494" s="7">
        <f>Ventas[[#This Row],[Costo Material (€)]]/Ventas[[#This Row],[Beneficio (€)]]</f>
        <v>2.940759673411431</v>
      </c>
      <c r="T494" s="3" t="str">
        <f>IF(Ventas[[#This Row],[Margen (%)]]&gt;20%,"Beneficio","Perdidas")</f>
        <v>Beneficio</v>
      </c>
    </row>
    <row r="495" spans="1:20" x14ac:dyDescent="0.25">
      <c r="A495" s="12">
        <v>45214</v>
      </c>
      <c r="B495" s="1" t="s">
        <v>51</v>
      </c>
      <c r="C495" s="1" t="s">
        <v>52</v>
      </c>
      <c r="D495" s="1" t="s">
        <v>32</v>
      </c>
      <c r="E495" s="1" t="s">
        <v>20</v>
      </c>
      <c r="F495">
        <v>563</v>
      </c>
      <c r="G495">
        <v>3.32</v>
      </c>
      <c r="H495">
        <v>1869.16</v>
      </c>
      <c r="I495" s="1" t="s">
        <v>21</v>
      </c>
      <c r="J495" s="1" t="s">
        <v>34</v>
      </c>
      <c r="K495" s="1" t="s">
        <v>28</v>
      </c>
      <c r="L495">
        <v>1166.83</v>
      </c>
      <c r="M495">
        <v>37.6</v>
      </c>
      <c r="N495">
        <v>2023</v>
      </c>
      <c r="O495">
        <f t="shared" si="7"/>
        <v>4</v>
      </c>
      <c r="P495" s="13" t="s">
        <v>68</v>
      </c>
      <c r="Q495">
        <v>702.33</v>
      </c>
      <c r="R495" s="3" t="s">
        <v>25</v>
      </c>
      <c r="S495" s="7">
        <f>Ventas[[#This Row],[Costo Material (€)]]/Ventas[[#This Row],[Beneficio (€)]]</f>
        <v>1.6613700112482734</v>
      </c>
      <c r="T495" s="3" t="str">
        <f>IF(Ventas[[#This Row],[Margen (%)]]&gt;20%,"Beneficio","Perdidas")</f>
        <v>Beneficio</v>
      </c>
    </row>
    <row r="496" spans="1:20" x14ac:dyDescent="0.25">
      <c r="A496" s="12">
        <v>45811</v>
      </c>
      <c r="B496" s="1" t="s">
        <v>17</v>
      </c>
      <c r="C496" s="1" t="s">
        <v>18</v>
      </c>
      <c r="D496" s="1" t="s">
        <v>19</v>
      </c>
      <c r="E496" s="1" t="s">
        <v>20</v>
      </c>
      <c r="F496">
        <v>459</v>
      </c>
      <c r="G496">
        <v>6.66</v>
      </c>
      <c r="H496">
        <v>3056.94</v>
      </c>
      <c r="I496" s="1" t="s">
        <v>57</v>
      </c>
      <c r="J496" s="1" t="s">
        <v>56</v>
      </c>
      <c r="K496" s="1" t="s">
        <v>41</v>
      </c>
      <c r="L496">
        <v>2355.52</v>
      </c>
      <c r="M496">
        <v>22.9</v>
      </c>
      <c r="N496">
        <v>2025</v>
      </c>
      <c r="O496">
        <f t="shared" si="7"/>
        <v>2</v>
      </c>
      <c r="P496" s="13" t="s">
        <v>64</v>
      </c>
      <c r="Q496">
        <v>701.42</v>
      </c>
      <c r="R496" s="3" t="s">
        <v>29</v>
      </c>
      <c r="S496" s="7">
        <f>Ventas[[#This Row],[Costo Material (€)]]/Ventas[[#This Row],[Beneficio (€)]]</f>
        <v>3.358216190014542</v>
      </c>
      <c r="T496" s="3" t="str">
        <f>IF(Ventas[[#This Row],[Margen (%)]]&gt;20%,"Beneficio","Perdidas")</f>
        <v>Beneficio</v>
      </c>
    </row>
    <row r="497" spans="1:20" x14ac:dyDescent="0.25">
      <c r="A497" s="12">
        <v>45128</v>
      </c>
      <c r="B497" s="1" t="s">
        <v>17</v>
      </c>
      <c r="C497" s="1" t="s">
        <v>18</v>
      </c>
      <c r="D497" s="1" t="s">
        <v>45</v>
      </c>
      <c r="E497" s="1" t="s">
        <v>20</v>
      </c>
      <c r="F497">
        <v>731</v>
      </c>
      <c r="G497">
        <v>2.6</v>
      </c>
      <c r="H497">
        <v>1900.6</v>
      </c>
      <c r="I497" s="1" t="s">
        <v>54</v>
      </c>
      <c r="J497" s="1" t="s">
        <v>27</v>
      </c>
      <c r="K497" s="1" t="s">
        <v>23</v>
      </c>
      <c r="L497">
        <v>1199.3900000000001</v>
      </c>
      <c r="M497">
        <v>36.9</v>
      </c>
      <c r="N497">
        <v>2023</v>
      </c>
      <c r="O497">
        <f t="shared" si="7"/>
        <v>3</v>
      </c>
      <c r="P497" s="13" t="s">
        <v>65</v>
      </c>
      <c r="Q497">
        <v>701.21</v>
      </c>
      <c r="R497" s="3" t="s">
        <v>25</v>
      </c>
      <c r="S497" s="7">
        <f>Ventas[[#This Row],[Costo Material (€)]]/Ventas[[#This Row],[Beneficio (€)]]</f>
        <v>1.7104576375123002</v>
      </c>
      <c r="T497" s="3" t="str">
        <f>IF(Ventas[[#This Row],[Margen (%)]]&gt;20%,"Beneficio","Perdidas")</f>
        <v>Beneficio</v>
      </c>
    </row>
    <row r="498" spans="1:20" x14ac:dyDescent="0.25">
      <c r="A498" s="12">
        <v>45655</v>
      </c>
      <c r="B498" s="1" t="s">
        <v>42</v>
      </c>
      <c r="C498" s="1" t="s">
        <v>43</v>
      </c>
      <c r="D498" s="1" t="s">
        <v>48</v>
      </c>
      <c r="E498" s="1" t="s">
        <v>38</v>
      </c>
      <c r="F498">
        <v>187</v>
      </c>
      <c r="G498">
        <v>11.9</v>
      </c>
      <c r="H498">
        <v>2225.3000000000002</v>
      </c>
      <c r="I498" s="1" t="s">
        <v>46</v>
      </c>
      <c r="J498" s="1" t="s">
        <v>56</v>
      </c>
      <c r="K498" s="1" t="s">
        <v>23</v>
      </c>
      <c r="L498">
        <v>1524.5</v>
      </c>
      <c r="M498">
        <v>31.5</v>
      </c>
      <c r="N498">
        <v>2024</v>
      </c>
      <c r="O498">
        <f t="shared" si="7"/>
        <v>4</v>
      </c>
      <c r="P498" s="13" t="s">
        <v>70</v>
      </c>
      <c r="Q498">
        <v>700.8</v>
      </c>
      <c r="R498" s="3" t="s">
        <v>25</v>
      </c>
      <c r="S498" s="7">
        <f>Ventas[[#This Row],[Costo Material (€)]]/Ventas[[#This Row],[Beneficio (€)]]</f>
        <v>2.1753710045662102</v>
      </c>
      <c r="T498" s="3" t="str">
        <f>IF(Ventas[[#This Row],[Margen (%)]]&gt;20%,"Beneficio","Perdidas")</f>
        <v>Beneficio</v>
      </c>
    </row>
    <row r="499" spans="1:20" x14ac:dyDescent="0.25">
      <c r="A499" s="12">
        <v>44962</v>
      </c>
      <c r="B499" s="1" t="s">
        <v>51</v>
      </c>
      <c r="C499" s="1" t="s">
        <v>52</v>
      </c>
      <c r="D499" s="1" t="s">
        <v>45</v>
      </c>
      <c r="E499" s="1" t="s">
        <v>20</v>
      </c>
      <c r="F499">
        <v>275</v>
      </c>
      <c r="G499">
        <v>8.5399999999999991</v>
      </c>
      <c r="H499">
        <v>2348.5</v>
      </c>
      <c r="I499" s="1" t="s">
        <v>26</v>
      </c>
      <c r="J499" s="1" t="s">
        <v>47</v>
      </c>
      <c r="K499" s="1" t="s">
        <v>23</v>
      </c>
      <c r="L499">
        <v>1648.96</v>
      </c>
      <c r="M499">
        <v>29.8</v>
      </c>
      <c r="N499">
        <v>2023</v>
      </c>
      <c r="O499">
        <f t="shared" si="7"/>
        <v>1</v>
      </c>
      <c r="P499" s="13" t="s">
        <v>60</v>
      </c>
      <c r="Q499">
        <v>699.54</v>
      </c>
      <c r="R499" s="3" t="s">
        <v>25</v>
      </c>
      <c r="S499" s="7">
        <f>Ventas[[#This Row],[Costo Material (€)]]/Ventas[[#This Row],[Beneficio (€)]]</f>
        <v>2.3572061640506621</v>
      </c>
      <c r="T499" s="3" t="str">
        <f>IF(Ventas[[#This Row],[Margen (%)]]&gt;20%,"Beneficio","Perdidas")</f>
        <v>Beneficio</v>
      </c>
    </row>
    <row r="500" spans="1:20" x14ac:dyDescent="0.25">
      <c r="A500" s="12">
        <v>44944</v>
      </c>
      <c r="B500" s="1" t="s">
        <v>30</v>
      </c>
      <c r="C500" s="1" t="s">
        <v>31</v>
      </c>
      <c r="D500" s="1" t="s">
        <v>53</v>
      </c>
      <c r="E500" s="1" t="s">
        <v>50</v>
      </c>
      <c r="F500">
        <v>853</v>
      </c>
      <c r="G500">
        <v>2.2400000000000002</v>
      </c>
      <c r="H500">
        <v>1910.72</v>
      </c>
      <c r="I500" s="1" t="s">
        <v>46</v>
      </c>
      <c r="J500" s="1" t="s">
        <v>40</v>
      </c>
      <c r="K500" s="1" t="s">
        <v>23</v>
      </c>
      <c r="L500">
        <v>1213.22</v>
      </c>
      <c r="M500">
        <v>36.5</v>
      </c>
      <c r="N500">
        <v>2023</v>
      </c>
      <c r="O500">
        <f t="shared" si="7"/>
        <v>1</v>
      </c>
      <c r="P500" s="13" t="s">
        <v>24</v>
      </c>
      <c r="Q500">
        <v>697.5</v>
      </c>
      <c r="R500" s="3" t="s">
        <v>25</v>
      </c>
      <c r="S500" s="7">
        <f>Ventas[[#This Row],[Costo Material (€)]]/Ventas[[#This Row],[Beneficio (€)]]</f>
        <v>1.7393835125448029</v>
      </c>
      <c r="T500" s="3" t="str">
        <f>IF(Ventas[[#This Row],[Margen (%)]]&gt;20%,"Beneficio","Perdidas")</f>
        <v>Beneficio</v>
      </c>
    </row>
    <row r="501" spans="1:20" x14ac:dyDescent="0.25">
      <c r="A501" s="12">
        <v>45060</v>
      </c>
      <c r="B501" s="1" t="s">
        <v>51</v>
      </c>
      <c r="C501" s="1" t="s">
        <v>52</v>
      </c>
      <c r="D501" s="1" t="s">
        <v>53</v>
      </c>
      <c r="E501" s="1" t="s">
        <v>50</v>
      </c>
      <c r="F501">
        <v>752</v>
      </c>
      <c r="G501">
        <v>2.65</v>
      </c>
      <c r="H501">
        <v>1992.8</v>
      </c>
      <c r="I501" s="1" t="s">
        <v>46</v>
      </c>
      <c r="J501" s="1" t="s">
        <v>40</v>
      </c>
      <c r="K501" s="1" t="s">
        <v>23</v>
      </c>
      <c r="L501">
        <v>1295.5999999999999</v>
      </c>
      <c r="M501">
        <v>35</v>
      </c>
      <c r="N501">
        <v>2023</v>
      </c>
      <c r="O501">
        <f t="shared" si="7"/>
        <v>2</v>
      </c>
      <c r="P501" s="13" t="s">
        <v>63</v>
      </c>
      <c r="Q501">
        <v>697.2</v>
      </c>
      <c r="R501" s="3" t="s">
        <v>25</v>
      </c>
      <c r="S501" s="7">
        <f>Ventas[[#This Row],[Costo Material (€)]]/Ventas[[#This Row],[Beneficio (€)]]</f>
        <v>1.8582903040734364</v>
      </c>
      <c r="T501" s="3" t="str">
        <f>IF(Ventas[[#This Row],[Margen (%)]]&gt;20%,"Beneficio","Perdidas")</f>
        <v>Beneficio</v>
      </c>
    </row>
    <row r="502" spans="1:20" x14ac:dyDescent="0.25">
      <c r="A502" s="12">
        <v>45045</v>
      </c>
      <c r="B502" s="1" t="s">
        <v>51</v>
      </c>
      <c r="C502" s="1" t="s">
        <v>52</v>
      </c>
      <c r="D502" s="1" t="s">
        <v>49</v>
      </c>
      <c r="E502" s="1" t="s">
        <v>50</v>
      </c>
      <c r="F502">
        <v>355</v>
      </c>
      <c r="G502">
        <v>9.98</v>
      </c>
      <c r="H502">
        <v>3542.9</v>
      </c>
      <c r="I502" s="1" t="s">
        <v>46</v>
      </c>
      <c r="J502" s="1" t="s">
        <v>56</v>
      </c>
      <c r="K502" s="1" t="s">
        <v>28</v>
      </c>
      <c r="L502">
        <v>2846.29</v>
      </c>
      <c r="M502">
        <v>19.7</v>
      </c>
      <c r="N502">
        <v>2023</v>
      </c>
      <c r="O502">
        <f t="shared" si="7"/>
        <v>2</v>
      </c>
      <c r="P502" s="13" t="s">
        <v>62</v>
      </c>
      <c r="Q502">
        <v>696.61</v>
      </c>
      <c r="R502" s="3" t="s">
        <v>29</v>
      </c>
      <c r="S502" s="7">
        <f>Ventas[[#This Row],[Costo Material (€)]]/Ventas[[#This Row],[Beneficio (€)]]</f>
        <v>4.0859160792983156</v>
      </c>
      <c r="T502" s="3" t="str">
        <f>IF(Ventas[[#This Row],[Margen (%)]]&gt;20%,"Beneficio","Perdidas")</f>
        <v>Beneficio</v>
      </c>
    </row>
    <row r="503" spans="1:20" x14ac:dyDescent="0.25">
      <c r="A503" s="12">
        <v>44949</v>
      </c>
      <c r="B503" s="1" t="s">
        <v>35</v>
      </c>
      <c r="C503" s="1" t="s">
        <v>36</v>
      </c>
      <c r="D503" s="1" t="s">
        <v>49</v>
      </c>
      <c r="E503" s="1" t="s">
        <v>50</v>
      </c>
      <c r="F503">
        <v>424</v>
      </c>
      <c r="G503">
        <v>11.06</v>
      </c>
      <c r="H503">
        <v>4689.4399999999996</v>
      </c>
      <c r="I503" s="1" t="s">
        <v>39</v>
      </c>
      <c r="J503" s="1" t="s">
        <v>47</v>
      </c>
      <c r="K503" s="1" t="s">
        <v>23</v>
      </c>
      <c r="L503">
        <v>3993.34</v>
      </c>
      <c r="M503">
        <v>14.8</v>
      </c>
      <c r="N503">
        <v>2023</v>
      </c>
      <c r="O503">
        <f t="shared" si="7"/>
        <v>1</v>
      </c>
      <c r="P503" s="13" t="s">
        <v>24</v>
      </c>
      <c r="Q503">
        <v>696.1</v>
      </c>
      <c r="R503" s="3" t="s">
        <v>29</v>
      </c>
      <c r="S503" s="7">
        <f>Ventas[[#This Row],[Costo Material (€)]]/Ventas[[#This Row],[Beneficio (€)]]</f>
        <v>5.7367332279844847</v>
      </c>
      <c r="T503" s="3" t="str">
        <f>IF(Ventas[[#This Row],[Margen (%)]]&gt;20%,"Beneficio","Perdidas")</f>
        <v>Beneficio</v>
      </c>
    </row>
    <row r="504" spans="1:20" x14ac:dyDescent="0.25">
      <c r="A504" s="12">
        <v>44928</v>
      </c>
      <c r="B504" s="1" t="s">
        <v>51</v>
      </c>
      <c r="C504" s="1" t="s">
        <v>52</v>
      </c>
      <c r="D504" s="1" t="s">
        <v>19</v>
      </c>
      <c r="E504" s="1" t="s">
        <v>20</v>
      </c>
      <c r="F504">
        <v>436</v>
      </c>
      <c r="G504">
        <v>6.47</v>
      </c>
      <c r="H504">
        <v>2820.92</v>
      </c>
      <c r="I504" s="1" t="s">
        <v>33</v>
      </c>
      <c r="J504" s="1" t="s">
        <v>47</v>
      </c>
      <c r="K504" s="1" t="s">
        <v>23</v>
      </c>
      <c r="L504">
        <v>2126.98</v>
      </c>
      <c r="M504">
        <v>24.6</v>
      </c>
      <c r="N504">
        <v>2023</v>
      </c>
      <c r="O504">
        <f t="shared" si="7"/>
        <v>1</v>
      </c>
      <c r="P504" s="13" t="s">
        <v>24</v>
      </c>
      <c r="Q504">
        <v>693.94</v>
      </c>
      <c r="R504" s="3" t="s">
        <v>29</v>
      </c>
      <c r="S504" s="7">
        <f>Ventas[[#This Row],[Costo Material (€)]]/Ventas[[#This Row],[Beneficio (€)]]</f>
        <v>3.0650776724212467</v>
      </c>
      <c r="T504" s="3" t="str">
        <f>IF(Ventas[[#This Row],[Margen (%)]]&gt;20%,"Beneficio","Perdidas")</f>
        <v>Beneficio</v>
      </c>
    </row>
    <row r="505" spans="1:20" x14ac:dyDescent="0.25">
      <c r="A505" s="12">
        <v>45317</v>
      </c>
      <c r="B505" s="1" t="s">
        <v>42</v>
      </c>
      <c r="C505" s="1" t="s">
        <v>43</v>
      </c>
      <c r="D505" s="1" t="s">
        <v>19</v>
      </c>
      <c r="E505" s="1" t="s">
        <v>20</v>
      </c>
      <c r="F505">
        <v>503</v>
      </c>
      <c r="G505">
        <v>3.87</v>
      </c>
      <c r="H505">
        <v>1946.61</v>
      </c>
      <c r="I505" s="1" t="s">
        <v>39</v>
      </c>
      <c r="J505" s="1" t="s">
        <v>27</v>
      </c>
      <c r="K505" s="1" t="s">
        <v>41</v>
      </c>
      <c r="L505">
        <v>1255.74</v>
      </c>
      <c r="M505">
        <v>35.5</v>
      </c>
      <c r="N505">
        <v>2024</v>
      </c>
      <c r="O505">
        <f t="shared" si="7"/>
        <v>1</v>
      </c>
      <c r="P505" s="13" t="s">
        <v>24</v>
      </c>
      <c r="Q505">
        <v>690.87</v>
      </c>
      <c r="R505" s="3" t="s">
        <v>25</v>
      </c>
      <c r="S505" s="7">
        <f>Ventas[[#This Row],[Costo Material (€)]]/Ventas[[#This Row],[Beneficio (€)]]</f>
        <v>1.8176212601502453</v>
      </c>
      <c r="T505" s="3" t="str">
        <f>IF(Ventas[[#This Row],[Margen (%)]]&gt;20%,"Beneficio","Perdidas")</f>
        <v>Beneficio</v>
      </c>
    </row>
    <row r="506" spans="1:20" x14ac:dyDescent="0.25">
      <c r="A506" s="12">
        <v>45741</v>
      </c>
      <c r="B506" s="1" t="s">
        <v>35</v>
      </c>
      <c r="C506" s="1" t="s">
        <v>36</v>
      </c>
      <c r="D506" s="1" t="s">
        <v>49</v>
      </c>
      <c r="E506" s="1" t="s">
        <v>50</v>
      </c>
      <c r="F506">
        <v>827</v>
      </c>
      <c r="G506">
        <v>4.76</v>
      </c>
      <c r="H506">
        <v>3936.52</v>
      </c>
      <c r="I506" s="1" t="s">
        <v>57</v>
      </c>
      <c r="J506" s="1" t="s">
        <v>47</v>
      </c>
      <c r="K506" s="1" t="s">
        <v>23</v>
      </c>
      <c r="L506">
        <v>3247.26</v>
      </c>
      <c r="M506">
        <v>17.5</v>
      </c>
      <c r="N506">
        <v>2025</v>
      </c>
      <c r="O506">
        <f t="shared" si="7"/>
        <v>1</v>
      </c>
      <c r="P506" s="13" t="s">
        <v>61</v>
      </c>
      <c r="Q506">
        <v>689.26</v>
      </c>
      <c r="R506" s="3" t="s">
        <v>29</v>
      </c>
      <c r="S506" s="7">
        <f>Ventas[[#This Row],[Costo Material (€)]]/Ventas[[#This Row],[Beneficio (€)]]</f>
        <v>4.7112265328032965</v>
      </c>
      <c r="T506" s="3" t="str">
        <f>IF(Ventas[[#This Row],[Margen (%)]]&gt;20%,"Beneficio","Perdidas")</f>
        <v>Beneficio</v>
      </c>
    </row>
    <row r="507" spans="1:20" x14ac:dyDescent="0.25">
      <c r="A507" s="12">
        <v>44974</v>
      </c>
      <c r="B507" s="1" t="s">
        <v>51</v>
      </c>
      <c r="C507" s="1" t="s">
        <v>52</v>
      </c>
      <c r="D507" s="1" t="s">
        <v>49</v>
      </c>
      <c r="E507" s="1" t="s">
        <v>50</v>
      </c>
      <c r="F507">
        <v>231</v>
      </c>
      <c r="G507">
        <v>9.73</v>
      </c>
      <c r="H507">
        <v>2247.63</v>
      </c>
      <c r="I507" s="1" t="s">
        <v>21</v>
      </c>
      <c r="J507" s="1" t="s">
        <v>27</v>
      </c>
      <c r="K507" s="1" t="s">
        <v>28</v>
      </c>
      <c r="L507">
        <v>1561.5</v>
      </c>
      <c r="M507">
        <v>30.5</v>
      </c>
      <c r="N507">
        <v>2023</v>
      </c>
      <c r="O507">
        <f t="shared" si="7"/>
        <v>1</v>
      </c>
      <c r="P507" s="13" t="s">
        <v>60</v>
      </c>
      <c r="Q507">
        <v>686.13</v>
      </c>
      <c r="R507" s="3" t="s">
        <v>25</v>
      </c>
      <c r="S507" s="7">
        <f>Ventas[[#This Row],[Costo Material (€)]]/Ventas[[#This Row],[Beneficio (€)]]</f>
        <v>2.275807791526387</v>
      </c>
      <c r="T507" s="3" t="str">
        <f>IF(Ventas[[#This Row],[Margen (%)]]&gt;20%,"Beneficio","Perdidas")</f>
        <v>Beneficio</v>
      </c>
    </row>
    <row r="508" spans="1:20" x14ac:dyDescent="0.25">
      <c r="A508" s="12">
        <v>45298</v>
      </c>
      <c r="B508" s="1" t="s">
        <v>58</v>
      </c>
      <c r="C508" s="1" t="s">
        <v>59</v>
      </c>
      <c r="D508" s="1" t="s">
        <v>48</v>
      </c>
      <c r="E508" s="1" t="s">
        <v>38</v>
      </c>
      <c r="F508">
        <v>400</v>
      </c>
      <c r="G508">
        <v>4.97</v>
      </c>
      <c r="H508">
        <v>1988</v>
      </c>
      <c r="I508" s="1" t="s">
        <v>33</v>
      </c>
      <c r="J508" s="1" t="s">
        <v>47</v>
      </c>
      <c r="K508" s="1" t="s">
        <v>28</v>
      </c>
      <c r="L508">
        <v>1303.0899999999999</v>
      </c>
      <c r="M508">
        <v>34.5</v>
      </c>
      <c r="N508">
        <v>2024</v>
      </c>
      <c r="O508">
        <f t="shared" si="7"/>
        <v>1</v>
      </c>
      <c r="P508" s="13" t="s">
        <v>24</v>
      </c>
      <c r="Q508">
        <v>684.91</v>
      </c>
      <c r="R508" s="3" t="s">
        <v>25</v>
      </c>
      <c r="S508" s="7">
        <f>Ventas[[#This Row],[Costo Material (€)]]/Ventas[[#This Row],[Beneficio (€)]]</f>
        <v>1.9025711407338191</v>
      </c>
      <c r="T508" s="3" t="str">
        <f>IF(Ventas[[#This Row],[Margen (%)]]&gt;20%,"Beneficio","Perdidas")</f>
        <v>Beneficio</v>
      </c>
    </row>
    <row r="509" spans="1:20" x14ac:dyDescent="0.25">
      <c r="A509" s="12">
        <v>44949</v>
      </c>
      <c r="B509" s="1" t="s">
        <v>58</v>
      </c>
      <c r="C509" s="1" t="s">
        <v>59</v>
      </c>
      <c r="D509" s="1" t="s">
        <v>19</v>
      </c>
      <c r="E509" s="1" t="s">
        <v>20</v>
      </c>
      <c r="F509">
        <v>439</v>
      </c>
      <c r="G509">
        <v>5.81</v>
      </c>
      <c r="H509">
        <v>2550.59</v>
      </c>
      <c r="I509" s="1" t="s">
        <v>21</v>
      </c>
      <c r="J509" s="1" t="s">
        <v>27</v>
      </c>
      <c r="K509" s="1" t="s">
        <v>28</v>
      </c>
      <c r="L509">
        <v>1866.21</v>
      </c>
      <c r="M509">
        <v>26.8</v>
      </c>
      <c r="N509">
        <v>2023</v>
      </c>
      <c r="O509">
        <f t="shared" si="7"/>
        <v>1</v>
      </c>
      <c r="P509" s="13" t="s">
        <v>24</v>
      </c>
      <c r="Q509">
        <v>684.38</v>
      </c>
      <c r="R509" s="3" t="s">
        <v>25</v>
      </c>
      <c r="S509" s="7">
        <f>Ventas[[#This Row],[Costo Material (€)]]/Ventas[[#This Row],[Beneficio (€)]]</f>
        <v>2.7268622694994011</v>
      </c>
      <c r="T509" s="3" t="str">
        <f>IF(Ventas[[#This Row],[Margen (%)]]&gt;20%,"Beneficio","Perdidas")</f>
        <v>Beneficio</v>
      </c>
    </row>
    <row r="510" spans="1:20" x14ac:dyDescent="0.25">
      <c r="A510" s="12">
        <v>45504</v>
      </c>
      <c r="B510" s="1" t="s">
        <v>35</v>
      </c>
      <c r="C510" s="1" t="s">
        <v>36</v>
      </c>
      <c r="D510" s="1" t="s">
        <v>19</v>
      </c>
      <c r="E510" s="1" t="s">
        <v>20</v>
      </c>
      <c r="F510">
        <v>289</v>
      </c>
      <c r="G510">
        <v>9.6</v>
      </c>
      <c r="H510">
        <v>2774.4</v>
      </c>
      <c r="I510" s="1" t="s">
        <v>54</v>
      </c>
      <c r="J510" s="1" t="s">
        <v>27</v>
      </c>
      <c r="K510" s="1" t="s">
        <v>41</v>
      </c>
      <c r="L510">
        <v>2092.89</v>
      </c>
      <c r="M510">
        <v>24.6</v>
      </c>
      <c r="N510">
        <v>2024</v>
      </c>
      <c r="O510">
        <f t="shared" si="7"/>
        <v>3</v>
      </c>
      <c r="P510" s="13" t="s">
        <v>65</v>
      </c>
      <c r="Q510">
        <v>681.51</v>
      </c>
      <c r="R510" s="3" t="s">
        <v>29</v>
      </c>
      <c r="S510" s="7">
        <f>Ventas[[#This Row],[Costo Material (€)]]/Ventas[[#This Row],[Beneficio (€)]]</f>
        <v>3.0709600739534268</v>
      </c>
      <c r="T510" s="3" t="str">
        <f>IF(Ventas[[#This Row],[Margen (%)]]&gt;20%,"Beneficio","Perdidas")</f>
        <v>Beneficio</v>
      </c>
    </row>
    <row r="511" spans="1:20" x14ac:dyDescent="0.25">
      <c r="A511" s="12">
        <v>44945</v>
      </c>
      <c r="B511" s="1" t="s">
        <v>58</v>
      </c>
      <c r="C511" s="1" t="s">
        <v>59</v>
      </c>
      <c r="D511" s="1" t="s">
        <v>44</v>
      </c>
      <c r="E511" s="1" t="s">
        <v>38</v>
      </c>
      <c r="F511">
        <v>302</v>
      </c>
      <c r="G511">
        <v>6.29</v>
      </c>
      <c r="H511">
        <v>1899.58</v>
      </c>
      <c r="I511" s="1" t="s">
        <v>33</v>
      </c>
      <c r="J511" s="1" t="s">
        <v>40</v>
      </c>
      <c r="K511" s="1" t="s">
        <v>41</v>
      </c>
      <c r="L511">
        <v>1220.92</v>
      </c>
      <c r="M511">
        <v>35.700000000000003</v>
      </c>
      <c r="N511">
        <v>2023</v>
      </c>
      <c r="O511">
        <f t="shared" si="7"/>
        <v>1</v>
      </c>
      <c r="P511" s="13" t="s">
        <v>24</v>
      </c>
      <c r="Q511">
        <v>678.66</v>
      </c>
      <c r="R511" s="3" t="s">
        <v>25</v>
      </c>
      <c r="S511" s="7">
        <f>Ventas[[#This Row],[Costo Material (€)]]/Ventas[[#This Row],[Beneficio (€)]]</f>
        <v>1.7990157074234523</v>
      </c>
      <c r="T511" s="3" t="str">
        <f>IF(Ventas[[#This Row],[Margen (%)]]&gt;20%,"Beneficio","Perdidas")</f>
        <v>Beneficio</v>
      </c>
    </row>
    <row r="512" spans="1:20" x14ac:dyDescent="0.25">
      <c r="A512" s="12">
        <v>44999</v>
      </c>
      <c r="B512" s="1" t="s">
        <v>42</v>
      </c>
      <c r="C512" s="1" t="s">
        <v>43</v>
      </c>
      <c r="D512" s="1" t="s">
        <v>37</v>
      </c>
      <c r="E512" s="1" t="s">
        <v>38</v>
      </c>
      <c r="F512">
        <v>246</v>
      </c>
      <c r="G512">
        <v>10.06</v>
      </c>
      <c r="H512">
        <v>2474.7600000000002</v>
      </c>
      <c r="I512" s="1" t="s">
        <v>54</v>
      </c>
      <c r="J512" s="1" t="s">
        <v>56</v>
      </c>
      <c r="K512" s="1" t="s">
        <v>41</v>
      </c>
      <c r="L512">
        <v>1798.61</v>
      </c>
      <c r="M512">
        <v>27.3</v>
      </c>
      <c r="N512">
        <v>2023</v>
      </c>
      <c r="O512">
        <f t="shared" si="7"/>
        <v>1</v>
      </c>
      <c r="P512" s="13" t="s">
        <v>61</v>
      </c>
      <c r="Q512">
        <v>676.15</v>
      </c>
      <c r="R512" s="3" t="s">
        <v>25</v>
      </c>
      <c r="S512" s="7">
        <f>Ventas[[#This Row],[Costo Material (€)]]/Ventas[[#This Row],[Beneficio (€)]]</f>
        <v>2.6600754270502107</v>
      </c>
      <c r="T512" s="3" t="str">
        <f>IF(Ventas[[#This Row],[Margen (%)]]&gt;20%,"Beneficio","Perdidas")</f>
        <v>Beneficio</v>
      </c>
    </row>
    <row r="513" spans="1:20" x14ac:dyDescent="0.25">
      <c r="A513" s="12">
        <v>45033</v>
      </c>
      <c r="B513" s="1" t="s">
        <v>30</v>
      </c>
      <c r="C513" s="1" t="s">
        <v>31</v>
      </c>
      <c r="D513" s="1" t="s">
        <v>45</v>
      </c>
      <c r="E513" s="1" t="s">
        <v>20</v>
      </c>
      <c r="F513">
        <v>717</v>
      </c>
      <c r="G513">
        <v>3.53</v>
      </c>
      <c r="H513">
        <v>2531.0100000000002</v>
      </c>
      <c r="I513" s="1" t="s">
        <v>55</v>
      </c>
      <c r="J513" s="1" t="s">
        <v>56</v>
      </c>
      <c r="K513" s="1" t="s">
        <v>23</v>
      </c>
      <c r="L513">
        <v>1860.84</v>
      </c>
      <c r="M513">
        <v>26.5</v>
      </c>
      <c r="N513">
        <v>2023</v>
      </c>
      <c r="O513">
        <f t="shared" si="7"/>
        <v>2</v>
      </c>
      <c r="P513" s="13" t="s">
        <v>62</v>
      </c>
      <c r="Q513">
        <v>670.17</v>
      </c>
      <c r="R513" s="3" t="s">
        <v>25</v>
      </c>
      <c r="S513" s="7">
        <f>Ventas[[#This Row],[Costo Material (€)]]/Ventas[[#This Row],[Beneficio (€)]]</f>
        <v>2.7766686064729846</v>
      </c>
      <c r="T513" s="3" t="str">
        <f>IF(Ventas[[#This Row],[Margen (%)]]&gt;20%,"Beneficio","Perdidas")</f>
        <v>Beneficio</v>
      </c>
    </row>
    <row r="514" spans="1:20" x14ac:dyDescent="0.25">
      <c r="A514" s="12">
        <v>45419</v>
      </c>
      <c r="B514" s="1" t="s">
        <v>51</v>
      </c>
      <c r="C514" s="1" t="s">
        <v>52</v>
      </c>
      <c r="D514" s="1" t="s">
        <v>45</v>
      </c>
      <c r="E514" s="1" t="s">
        <v>20</v>
      </c>
      <c r="F514">
        <v>918</v>
      </c>
      <c r="G514">
        <v>3.52</v>
      </c>
      <c r="H514">
        <v>3231.36</v>
      </c>
      <c r="I514" s="1" t="s">
        <v>33</v>
      </c>
      <c r="J514" s="1" t="s">
        <v>22</v>
      </c>
      <c r="K514" s="1" t="s">
        <v>41</v>
      </c>
      <c r="L514">
        <v>2564.34</v>
      </c>
      <c r="M514">
        <v>20.6</v>
      </c>
      <c r="N514">
        <v>2024</v>
      </c>
      <c r="O514">
        <f t="shared" ref="O514:O577" si="8">ROUNDUP(MONTH(A514)/3,0)</f>
        <v>2</v>
      </c>
      <c r="P514" s="13" t="s">
        <v>63</v>
      </c>
      <c r="Q514">
        <v>667.02</v>
      </c>
      <c r="R514" s="3" t="s">
        <v>29</v>
      </c>
      <c r="S514" s="7">
        <f>Ventas[[#This Row],[Costo Material (€)]]/Ventas[[#This Row],[Beneficio (€)]]</f>
        <v>3.8444724296123058</v>
      </c>
      <c r="T514" s="3" t="str">
        <f>IF(Ventas[[#This Row],[Margen (%)]]&gt;20%,"Beneficio","Perdidas")</f>
        <v>Beneficio</v>
      </c>
    </row>
    <row r="515" spans="1:20" x14ac:dyDescent="0.25">
      <c r="A515" s="12">
        <v>45399</v>
      </c>
      <c r="B515" s="1" t="s">
        <v>58</v>
      </c>
      <c r="C515" s="1" t="s">
        <v>59</v>
      </c>
      <c r="D515" s="1" t="s">
        <v>48</v>
      </c>
      <c r="E515" s="1" t="s">
        <v>38</v>
      </c>
      <c r="F515">
        <v>286</v>
      </c>
      <c r="G515">
        <v>12</v>
      </c>
      <c r="H515">
        <v>3432</v>
      </c>
      <c r="I515" s="1" t="s">
        <v>33</v>
      </c>
      <c r="J515" s="1" t="s">
        <v>56</v>
      </c>
      <c r="K515" s="1" t="s">
        <v>28</v>
      </c>
      <c r="L515">
        <v>2765.1</v>
      </c>
      <c r="M515">
        <v>19.399999999999999</v>
      </c>
      <c r="N515">
        <v>2024</v>
      </c>
      <c r="O515">
        <f t="shared" si="8"/>
        <v>2</v>
      </c>
      <c r="P515" s="13" t="s">
        <v>62</v>
      </c>
      <c r="Q515">
        <v>666.9</v>
      </c>
      <c r="R515" s="3" t="s">
        <v>29</v>
      </c>
      <c r="S515" s="7">
        <f>Ventas[[#This Row],[Costo Material (€)]]/Ventas[[#This Row],[Beneficio (€)]]</f>
        <v>4.1461988304093564</v>
      </c>
      <c r="T515" s="3" t="str">
        <f>IF(Ventas[[#This Row],[Margen (%)]]&gt;20%,"Beneficio","Perdidas")</f>
        <v>Beneficio</v>
      </c>
    </row>
    <row r="516" spans="1:20" x14ac:dyDescent="0.25">
      <c r="A516" s="12">
        <v>44962</v>
      </c>
      <c r="B516" s="1" t="s">
        <v>35</v>
      </c>
      <c r="C516" s="1" t="s">
        <v>36</v>
      </c>
      <c r="D516" s="1" t="s">
        <v>19</v>
      </c>
      <c r="E516" s="1" t="s">
        <v>20</v>
      </c>
      <c r="F516">
        <v>278</v>
      </c>
      <c r="G516">
        <v>7.44</v>
      </c>
      <c r="H516">
        <v>2068.3200000000002</v>
      </c>
      <c r="I516" s="1" t="s">
        <v>21</v>
      </c>
      <c r="J516" s="1" t="s">
        <v>22</v>
      </c>
      <c r="K516" s="1" t="s">
        <v>28</v>
      </c>
      <c r="L516">
        <v>1404.03</v>
      </c>
      <c r="M516">
        <v>32.1</v>
      </c>
      <c r="N516">
        <v>2023</v>
      </c>
      <c r="O516">
        <f t="shared" si="8"/>
        <v>1</v>
      </c>
      <c r="P516" s="13" t="s">
        <v>60</v>
      </c>
      <c r="Q516">
        <v>664.29</v>
      </c>
      <c r="R516" s="3" t="s">
        <v>25</v>
      </c>
      <c r="S516" s="7">
        <f>Ventas[[#This Row],[Costo Material (€)]]/Ventas[[#This Row],[Beneficio (€)]]</f>
        <v>2.113579912387662</v>
      </c>
      <c r="T516" s="3" t="str">
        <f>IF(Ventas[[#This Row],[Margen (%)]]&gt;20%,"Beneficio","Perdidas")</f>
        <v>Beneficio</v>
      </c>
    </row>
    <row r="517" spans="1:20" x14ac:dyDescent="0.25">
      <c r="A517" s="12">
        <v>44981</v>
      </c>
      <c r="B517" s="1" t="s">
        <v>30</v>
      </c>
      <c r="C517" s="1" t="s">
        <v>31</v>
      </c>
      <c r="D517" s="1" t="s">
        <v>45</v>
      </c>
      <c r="E517" s="1" t="s">
        <v>20</v>
      </c>
      <c r="F517">
        <v>508</v>
      </c>
      <c r="G517">
        <v>3.29</v>
      </c>
      <c r="H517">
        <v>1671.32</v>
      </c>
      <c r="I517" s="1" t="s">
        <v>21</v>
      </c>
      <c r="J517" s="1" t="s">
        <v>47</v>
      </c>
      <c r="K517" s="1" t="s">
        <v>23</v>
      </c>
      <c r="L517">
        <v>1007.94</v>
      </c>
      <c r="M517">
        <v>39.700000000000003</v>
      </c>
      <c r="N517">
        <v>2023</v>
      </c>
      <c r="O517">
        <f t="shared" si="8"/>
        <v>1</v>
      </c>
      <c r="P517" s="13" t="s">
        <v>60</v>
      </c>
      <c r="Q517">
        <v>663.38</v>
      </c>
      <c r="R517" s="3" t="s">
        <v>25</v>
      </c>
      <c r="S517" s="7">
        <f>Ventas[[#This Row],[Costo Material (€)]]/Ventas[[#This Row],[Beneficio (€)]]</f>
        <v>1.5194006451807411</v>
      </c>
      <c r="T517" s="3" t="str">
        <f>IF(Ventas[[#This Row],[Margen (%)]]&gt;20%,"Beneficio","Perdidas")</f>
        <v>Beneficio</v>
      </c>
    </row>
    <row r="518" spans="1:20" x14ac:dyDescent="0.25">
      <c r="A518" s="12">
        <v>44967</v>
      </c>
      <c r="B518" s="1" t="s">
        <v>51</v>
      </c>
      <c r="C518" s="1" t="s">
        <v>52</v>
      </c>
      <c r="D518" s="1" t="s">
        <v>53</v>
      </c>
      <c r="E518" s="1" t="s">
        <v>50</v>
      </c>
      <c r="F518">
        <v>213</v>
      </c>
      <c r="G518">
        <v>10.85</v>
      </c>
      <c r="H518">
        <v>2311.0500000000002</v>
      </c>
      <c r="I518" s="1" t="s">
        <v>39</v>
      </c>
      <c r="J518" s="1" t="s">
        <v>27</v>
      </c>
      <c r="K518" s="1" t="s">
        <v>28</v>
      </c>
      <c r="L518">
        <v>1649.21</v>
      </c>
      <c r="M518">
        <v>28.6</v>
      </c>
      <c r="N518">
        <v>2023</v>
      </c>
      <c r="O518">
        <f t="shared" si="8"/>
        <v>1</v>
      </c>
      <c r="P518" s="13" t="s">
        <v>60</v>
      </c>
      <c r="Q518">
        <v>661.84</v>
      </c>
      <c r="R518" s="3" t="s">
        <v>25</v>
      </c>
      <c r="S518" s="7">
        <f>Ventas[[#This Row],[Costo Material (€)]]/Ventas[[#This Row],[Beneficio (€)]]</f>
        <v>2.4918560377130423</v>
      </c>
      <c r="T518" s="3" t="str">
        <f>IF(Ventas[[#This Row],[Margen (%)]]&gt;20%,"Beneficio","Perdidas")</f>
        <v>Beneficio</v>
      </c>
    </row>
    <row r="519" spans="1:20" x14ac:dyDescent="0.25">
      <c r="A519" s="12">
        <v>44952</v>
      </c>
      <c r="B519" s="1" t="s">
        <v>51</v>
      </c>
      <c r="C519" s="1" t="s">
        <v>52</v>
      </c>
      <c r="D519" s="1" t="s">
        <v>37</v>
      </c>
      <c r="E519" s="1" t="s">
        <v>38</v>
      </c>
      <c r="F519">
        <v>966</v>
      </c>
      <c r="G519">
        <v>6.13</v>
      </c>
      <c r="H519">
        <v>5921.58</v>
      </c>
      <c r="I519" s="1" t="s">
        <v>54</v>
      </c>
      <c r="J519" s="1" t="s">
        <v>56</v>
      </c>
      <c r="K519" s="1" t="s">
        <v>41</v>
      </c>
      <c r="L519">
        <v>5260.66</v>
      </c>
      <c r="M519">
        <v>11.2</v>
      </c>
      <c r="N519">
        <v>2023</v>
      </c>
      <c r="O519">
        <f t="shared" si="8"/>
        <v>1</v>
      </c>
      <c r="P519" s="13" t="s">
        <v>24</v>
      </c>
      <c r="Q519">
        <v>660.92</v>
      </c>
      <c r="R519" s="3" t="s">
        <v>29</v>
      </c>
      <c r="S519" s="7">
        <f>Ventas[[#This Row],[Costo Material (€)]]/Ventas[[#This Row],[Beneficio (€)]]</f>
        <v>7.9596017672335533</v>
      </c>
      <c r="T519" s="3" t="str">
        <f>IF(Ventas[[#This Row],[Margen (%)]]&gt;20%,"Beneficio","Perdidas")</f>
        <v>Beneficio</v>
      </c>
    </row>
    <row r="520" spans="1:20" x14ac:dyDescent="0.25">
      <c r="A520" s="12">
        <v>45011</v>
      </c>
      <c r="B520" s="1" t="s">
        <v>42</v>
      </c>
      <c r="C520" s="1" t="s">
        <v>43</v>
      </c>
      <c r="D520" s="1" t="s">
        <v>19</v>
      </c>
      <c r="E520" s="1" t="s">
        <v>20</v>
      </c>
      <c r="F520">
        <v>154</v>
      </c>
      <c r="G520">
        <v>11.51</v>
      </c>
      <c r="H520">
        <v>1772.54</v>
      </c>
      <c r="I520" s="1" t="s">
        <v>33</v>
      </c>
      <c r="J520" s="1" t="s">
        <v>27</v>
      </c>
      <c r="K520" s="1" t="s">
        <v>23</v>
      </c>
      <c r="L520">
        <v>1115.67</v>
      </c>
      <c r="M520">
        <v>37.1</v>
      </c>
      <c r="N520">
        <v>2023</v>
      </c>
      <c r="O520">
        <f t="shared" si="8"/>
        <v>1</v>
      </c>
      <c r="P520" s="13" t="s">
        <v>61</v>
      </c>
      <c r="Q520">
        <v>656.87</v>
      </c>
      <c r="R520" s="3" t="s">
        <v>25</v>
      </c>
      <c r="S520" s="7">
        <f>Ventas[[#This Row],[Costo Material (€)]]/Ventas[[#This Row],[Beneficio (€)]]</f>
        <v>1.6984639274133391</v>
      </c>
      <c r="T520" s="3" t="str">
        <f>IF(Ventas[[#This Row],[Margen (%)]]&gt;20%,"Beneficio","Perdidas")</f>
        <v>Beneficio</v>
      </c>
    </row>
    <row r="521" spans="1:20" x14ac:dyDescent="0.25">
      <c r="A521" s="12">
        <v>45411</v>
      </c>
      <c r="B521" s="1" t="s">
        <v>58</v>
      </c>
      <c r="C521" s="1" t="s">
        <v>59</v>
      </c>
      <c r="D521" s="1" t="s">
        <v>32</v>
      </c>
      <c r="E521" s="1" t="s">
        <v>20</v>
      </c>
      <c r="F521">
        <v>923</v>
      </c>
      <c r="G521">
        <v>5.25</v>
      </c>
      <c r="H521">
        <v>4845.75</v>
      </c>
      <c r="I521" s="1" t="s">
        <v>55</v>
      </c>
      <c r="J521" s="1" t="s">
        <v>27</v>
      </c>
      <c r="K521" s="1" t="s">
        <v>28</v>
      </c>
      <c r="L521">
        <v>4191.05</v>
      </c>
      <c r="M521">
        <v>13.5</v>
      </c>
      <c r="N521">
        <v>2024</v>
      </c>
      <c r="O521">
        <f t="shared" si="8"/>
        <v>2</v>
      </c>
      <c r="P521" s="13" t="s">
        <v>62</v>
      </c>
      <c r="Q521">
        <v>654.70000000000005</v>
      </c>
      <c r="R521" s="3" t="s">
        <v>29</v>
      </c>
      <c r="S521" s="7">
        <f>Ventas[[#This Row],[Costo Material (€)]]/Ventas[[#This Row],[Beneficio (€)]]</f>
        <v>6.4014815946234913</v>
      </c>
      <c r="T521" s="3" t="str">
        <f>IF(Ventas[[#This Row],[Margen (%)]]&gt;20%,"Beneficio","Perdidas")</f>
        <v>Beneficio</v>
      </c>
    </row>
    <row r="522" spans="1:20" x14ac:dyDescent="0.25">
      <c r="A522" s="12">
        <v>45168</v>
      </c>
      <c r="B522" s="1" t="s">
        <v>42</v>
      </c>
      <c r="C522" s="1" t="s">
        <v>43</v>
      </c>
      <c r="D522" s="1" t="s">
        <v>37</v>
      </c>
      <c r="E522" s="1" t="s">
        <v>38</v>
      </c>
      <c r="F522">
        <v>320</v>
      </c>
      <c r="G522">
        <v>8.9</v>
      </c>
      <c r="H522">
        <v>2848</v>
      </c>
      <c r="I522" s="1" t="s">
        <v>54</v>
      </c>
      <c r="J522" s="1" t="s">
        <v>40</v>
      </c>
      <c r="K522" s="1" t="s">
        <v>23</v>
      </c>
      <c r="L522">
        <v>2197.7800000000002</v>
      </c>
      <c r="M522">
        <v>22.8</v>
      </c>
      <c r="N522">
        <v>2023</v>
      </c>
      <c r="O522">
        <f t="shared" si="8"/>
        <v>3</v>
      </c>
      <c r="P522" s="13" t="s">
        <v>66</v>
      </c>
      <c r="Q522">
        <v>650.22</v>
      </c>
      <c r="R522" s="3" t="s">
        <v>29</v>
      </c>
      <c r="S522" s="7">
        <f>Ventas[[#This Row],[Costo Material (€)]]/Ventas[[#This Row],[Beneficio (€)]]</f>
        <v>3.3800559810525668</v>
      </c>
      <c r="T522" s="3" t="str">
        <f>IF(Ventas[[#This Row],[Margen (%)]]&gt;20%,"Beneficio","Perdidas")</f>
        <v>Beneficio</v>
      </c>
    </row>
    <row r="523" spans="1:20" x14ac:dyDescent="0.25">
      <c r="A523" s="12">
        <v>45048</v>
      </c>
      <c r="B523" s="1" t="s">
        <v>42</v>
      </c>
      <c r="C523" s="1" t="s">
        <v>43</v>
      </c>
      <c r="D523" s="1" t="s">
        <v>37</v>
      </c>
      <c r="E523" s="1" t="s">
        <v>38</v>
      </c>
      <c r="F523">
        <v>669</v>
      </c>
      <c r="G523">
        <v>2.86</v>
      </c>
      <c r="H523">
        <v>1913.34</v>
      </c>
      <c r="I523" s="1" t="s">
        <v>21</v>
      </c>
      <c r="J523" s="1" t="s">
        <v>47</v>
      </c>
      <c r="K523" s="1" t="s">
        <v>28</v>
      </c>
      <c r="L523">
        <v>1263.95</v>
      </c>
      <c r="M523">
        <v>33.9</v>
      </c>
      <c r="N523">
        <v>2023</v>
      </c>
      <c r="O523">
        <f t="shared" si="8"/>
        <v>2</v>
      </c>
      <c r="P523" s="13" t="s">
        <v>63</v>
      </c>
      <c r="Q523">
        <v>649.39</v>
      </c>
      <c r="R523" s="3" t="s">
        <v>25</v>
      </c>
      <c r="S523" s="7">
        <f>Ventas[[#This Row],[Costo Material (€)]]/Ventas[[#This Row],[Beneficio (€)]]</f>
        <v>1.9463650502779533</v>
      </c>
      <c r="T523" s="3" t="str">
        <f>IF(Ventas[[#This Row],[Margen (%)]]&gt;20%,"Beneficio","Perdidas")</f>
        <v>Beneficio</v>
      </c>
    </row>
    <row r="524" spans="1:20" x14ac:dyDescent="0.25">
      <c r="A524" s="12">
        <v>45217</v>
      </c>
      <c r="B524" s="1" t="s">
        <v>17</v>
      </c>
      <c r="C524" s="1" t="s">
        <v>18</v>
      </c>
      <c r="D524" s="1" t="s">
        <v>53</v>
      </c>
      <c r="E524" s="1" t="s">
        <v>50</v>
      </c>
      <c r="F524">
        <v>346</v>
      </c>
      <c r="G524">
        <v>5.31</v>
      </c>
      <c r="H524">
        <v>1837.26</v>
      </c>
      <c r="I524" s="1" t="s">
        <v>55</v>
      </c>
      <c r="J524" s="1" t="s">
        <v>40</v>
      </c>
      <c r="K524" s="1" t="s">
        <v>23</v>
      </c>
      <c r="L524">
        <v>1188.2</v>
      </c>
      <c r="M524">
        <v>35.299999999999997</v>
      </c>
      <c r="N524">
        <v>2023</v>
      </c>
      <c r="O524">
        <f t="shared" si="8"/>
        <v>4</v>
      </c>
      <c r="P524" s="13" t="s">
        <v>68</v>
      </c>
      <c r="Q524">
        <v>649.05999999999995</v>
      </c>
      <c r="R524" s="3" t="s">
        <v>25</v>
      </c>
      <c r="S524" s="7">
        <f>Ventas[[#This Row],[Costo Material (€)]]/Ventas[[#This Row],[Beneficio (€)]]</f>
        <v>1.8306473977752444</v>
      </c>
      <c r="T524" s="3" t="str">
        <f>IF(Ventas[[#This Row],[Margen (%)]]&gt;20%,"Beneficio","Perdidas")</f>
        <v>Beneficio</v>
      </c>
    </row>
    <row r="525" spans="1:20" x14ac:dyDescent="0.25">
      <c r="A525" s="12">
        <v>45088</v>
      </c>
      <c r="B525" s="1" t="s">
        <v>51</v>
      </c>
      <c r="C525" s="1" t="s">
        <v>52</v>
      </c>
      <c r="D525" s="1" t="s">
        <v>45</v>
      </c>
      <c r="E525" s="1" t="s">
        <v>20</v>
      </c>
      <c r="F525">
        <v>957</v>
      </c>
      <c r="G525">
        <v>6.44</v>
      </c>
      <c r="H525">
        <v>6163.08</v>
      </c>
      <c r="I525" s="1" t="s">
        <v>26</v>
      </c>
      <c r="J525" s="1" t="s">
        <v>40</v>
      </c>
      <c r="K525" s="1" t="s">
        <v>28</v>
      </c>
      <c r="L525">
        <v>5515.04</v>
      </c>
      <c r="M525">
        <v>10.5</v>
      </c>
      <c r="N525">
        <v>2023</v>
      </c>
      <c r="O525">
        <f t="shared" si="8"/>
        <v>2</v>
      </c>
      <c r="P525" s="13" t="s">
        <v>64</v>
      </c>
      <c r="Q525">
        <v>648.04</v>
      </c>
      <c r="R525" s="3" t="s">
        <v>29</v>
      </c>
      <c r="S525" s="7">
        <f>Ventas[[#This Row],[Costo Material (€)]]/Ventas[[#This Row],[Beneficio (€)]]</f>
        <v>8.5103388679711127</v>
      </c>
      <c r="T525" s="3" t="str">
        <f>IF(Ventas[[#This Row],[Margen (%)]]&gt;20%,"Beneficio","Perdidas")</f>
        <v>Beneficio</v>
      </c>
    </row>
    <row r="526" spans="1:20" x14ac:dyDescent="0.25">
      <c r="A526" s="12">
        <v>44965</v>
      </c>
      <c r="B526" s="1" t="s">
        <v>35</v>
      </c>
      <c r="C526" s="1" t="s">
        <v>36</v>
      </c>
      <c r="D526" s="1" t="s">
        <v>19</v>
      </c>
      <c r="E526" s="1" t="s">
        <v>20</v>
      </c>
      <c r="F526">
        <v>815</v>
      </c>
      <c r="G526">
        <v>3.05</v>
      </c>
      <c r="H526">
        <v>2485.75</v>
      </c>
      <c r="I526" s="1" t="s">
        <v>46</v>
      </c>
      <c r="J526" s="1" t="s">
        <v>22</v>
      </c>
      <c r="K526" s="1" t="s">
        <v>28</v>
      </c>
      <c r="L526">
        <v>1838.29</v>
      </c>
      <c r="M526">
        <v>26</v>
      </c>
      <c r="N526">
        <v>2023</v>
      </c>
      <c r="O526">
        <f t="shared" si="8"/>
        <v>1</v>
      </c>
      <c r="P526" s="13" t="s">
        <v>60</v>
      </c>
      <c r="Q526">
        <v>647.46</v>
      </c>
      <c r="R526" s="3" t="s">
        <v>25</v>
      </c>
      <c r="S526" s="7">
        <f>Ventas[[#This Row],[Costo Material (€)]]/Ventas[[#This Row],[Beneficio (€)]]</f>
        <v>2.8392333117103759</v>
      </c>
      <c r="T526" s="3" t="str">
        <f>IF(Ventas[[#This Row],[Margen (%)]]&gt;20%,"Beneficio","Perdidas")</f>
        <v>Beneficio</v>
      </c>
    </row>
    <row r="527" spans="1:20" x14ac:dyDescent="0.25">
      <c r="A527" s="12">
        <v>45010</v>
      </c>
      <c r="B527" s="1" t="s">
        <v>30</v>
      </c>
      <c r="C527" s="1" t="s">
        <v>31</v>
      </c>
      <c r="D527" s="1" t="s">
        <v>19</v>
      </c>
      <c r="E527" s="1" t="s">
        <v>20</v>
      </c>
      <c r="F527">
        <v>682</v>
      </c>
      <c r="G527">
        <v>8.83</v>
      </c>
      <c r="H527">
        <v>6022.06</v>
      </c>
      <c r="I527" s="1" t="s">
        <v>54</v>
      </c>
      <c r="J527" s="1" t="s">
        <v>47</v>
      </c>
      <c r="K527" s="1" t="s">
        <v>28</v>
      </c>
      <c r="L527">
        <v>5376.82</v>
      </c>
      <c r="M527">
        <v>10.7</v>
      </c>
      <c r="N527">
        <v>2023</v>
      </c>
      <c r="O527">
        <f t="shared" si="8"/>
        <v>1</v>
      </c>
      <c r="P527" s="13" t="s">
        <v>61</v>
      </c>
      <c r="Q527">
        <v>645.24</v>
      </c>
      <c r="R527" s="3" t="s">
        <v>29</v>
      </c>
      <c r="S527" s="7">
        <f>Ventas[[#This Row],[Costo Material (€)]]/Ventas[[#This Row],[Beneficio (€)]]</f>
        <v>8.3330543673671809</v>
      </c>
      <c r="T527" s="3" t="str">
        <f>IF(Ventas[[#This Row],[Margen (%)]]&gt;20%,"Beneficio","Perdidas")</f>
        <v>Beneficio</v>
      </c>
    </row>
    <row r="528" spans="1:20" x14ac:dyDescent="0.25">
      <c r="A528" s="12">
        <v>45389</v>
      </c>
      <c r="B528" s="1" t="s">
        <v>30</v>
      </c>
      <c r="C528" s="1" t="s">
        <v>31</v>
      </c>
      <c r="D528" s="1" t="s">
        <v>19</v>
      </c>
      <c r="E528" s="1" t="s">
        <v>20</v>
      </c>
      <c r="F528">
        <v>332</v>
      </c>
      <c r="G528">
        <v>8.73</v>
      </c>
      <c r="H528">
        <v>2898.36</v>
      </c>
      <c r="I528" s="1" t="s">
        <v>26</v>
      </c>
      <c r="J528" s="1" t="s">
        <v>47</v>
      </c>
      <c r="K528" s="1" t="s">
        <v>28</v>
      </c>
      <c r="L528">
        <v>2255.4699999999998</v>
      </c>
      <c r="M528">
        <v>22.2</v>
      </c>
      <c r="N528">
        <v>2024</v>
      </c>
      <c r="O528">
        <f t="shared" si="8"/>
        <v>2</v>
      </c>
      <c r="P528" s="13" t="s">
        <v>62</v>
      </c>
      <c r="Q528">
        <v>642.89</v>
      </c>
      <c r="R528" s="3" t="s">
        <v>29</v>
      </c>
      <c r="S528" s="7">
        <f>Ventas[[#This Row],[Costo Material (€)]]/Ventas[[#This Row],[Beneficio (€)]]</f>
        <v>3.5083295742662037</v>
      </c>
      <c r="T528" s="3" t="str">
        <f>IF(Ventas[[#This Row],[Margen (%)]]&gt;20%,"Beneficio","Perdidas")</f>
        <v>Beneficio</v>
      </c>
    </row>
    <row r="529" spans="1:20" x14ac:dyDescent="0.25">
      <c r="A529" s="12">
        <v>45113</v>
      </c>
      <c r="B529" s="1" t="s">
        <v>42</v>
      </c>
      <c r="C529" s="1" t="s">
        <v>43</v>
      </c>
      <c r="D529" s="1" t="s">
        <v>37</v>
      </c>
      <c r="E529" s="1" t="s">
        <v>38</v>
      </c>
      <c r="F529">
        <v>630</v>
      </c>
      <c r="G529">
        <v>4.22</v>
      </c>
      <c r="H529">
        <v>2658.6</v>
      </c>
      <c r="I529" s="1" t="s">
        <v>55</v>
      </c>
      <c r="J529" s="1" t="s">
        <v>34</v>
      </c>
      <c r="K529" s="1" t="s">
        <v>28</v>
      </c>
      <c r="L529">
        <v>2015.79</v>
      </c>
      <c r="M529">
        <v>24.2</v>
      </c>
      <c r="N529">
        <v>2023</v>
      </c>
      <c r="O529">
        <f t="shared" si="8"/>
        <v>3</v>
      </c>
      <c r="P529" s="13" t="s">
        <v>65</v>
      </c>
      <c r="Q529">
        <v>642.80999999999995</v>
      </c>
      <c r="R529" s="3" t="s">
        <v>29</v>
      </c>
      <c r="S529" s="7">
        <f>Ventas[[#This Row],[Costo Material (€)]]/Ventas[[#This Row],[Beneficio (€)]]</f>
        <v>3.1359032995753022</v>
      </c>
      <c r="T529" s="3" t="str">
        <f>IF(Ventas[[#This Row],[Margen (%)]]&gt;20%,"Beneficio","Perdidas")</f>
        <v>Beneficio</v>
      </c>
    </row>
    <row r="530" spans="1:20" x14ac:dyDescent="0.25">
      <c r="A530" s="12">
        <v>45113</v>
      </c>
      <c r="B530" s="1" t="s">
        <v>58</v>
      </c>
      <c r="C530" s="1" t="s">
        <v>59</v>
      </c>
      <c r="D530" s="1" t="s">
        <v>44</v>
      </c>
      <c r="E530" s="1" t="s">
        <v>38</v>
      </c>
      <c r="F530">
        <v>664</v>
      </c>
      <c r="G530">
        <v>6.7</v>
      </c>
      <c r="H530">
        <v>4448.8</v>
      </c>
      <c r="I530" s="1" t="s">
        <v>46</v>
      </c>
      <c r="J530" s="1" t="s">
        <v>27</v>
      </c>
      <c r="K530" s="1" t="s">
        <v>41</v>
      </c>
      <c r="L530">
        <v>3806.69</v>
      </c>
      <c r="M530">
        <v>14.4</v>
      </c>
      <c r="N530">
        <v>2023</v>
      </c>
      <c r="O530">
        <f t="shared" si="8"/>
        <v>3</v>
      </c>
      <c r="P530" s="13" t="s">
        <v>65</v>
      </c>
      <c r="Q530">
        <v>642.11</v>
      </c>
      <c r="R530" s="3" t="s">
        <v>29</v>
      </c>
      <c r="S530" s="7">
        <f>Ventas[[#This Row],[Costo Material (€)]]/Ventas[[#This Row],[Beneficio (€)]]</f>
        <v>5.9284079051875844</v>
      </c>
      <c r="T530" s="3" t="str">
        <f>IF(Ventas[[#This Row],[Margen (%)]]&gt;20%,"Beneficio","Perdidas")</f>
        <v>Beneficio</v>
      </c>
    </row>
    <row r="531" spans="1:20" x14ac:dyDescent="0.25">
      <c r="A531" s="12">
        <v>44963</v>
      </c>
      <c r="B531" s="1" t="s">
        <v>17</v>
      </c>
      <c r="C531" s="1" t="s">
        <v>18</v>
      </c>
      <c r="D531" s="1" t="s">
        <v>45</v>
      </c>
      <c r="E531" s="1" t="s">
        <v>20</v>
      </c>
      <c r="F531">
        <v>931</v>
      </c>
      <c r="G531">
        <v>2.54</v>
      </c>
      <c r="H531">
        <v>2364.7399999999998</v>
      </c>
      <c r="I531" s="1" t="s">
        <v>57</v>
      </c>
      <c r="J531" s="1" t="s">
        <v>47</v>
      </c>
      <c r="K531" s="1" t="s">
        <v>23</v>
      </c>
      <c r="L531">
        <v>1733.38</v>
      </c>
      <c r="M531">
        <v>26.7</v>
      </c>
      <c r="N531">
        <v>2023</v>
      </c>
      <c r="O531">
        <f t="shared" si="8"/>
        <v>1</v>
      </c>
      <c r="P531" s="13" t="s">
        <v>60</v>
      </c>
      <c r="Q531">
        <v>631.36</v>
      </c>
      <c r="R531" s="3" t="s">
        <v>25</v>
      </c>
      <c r="S531" s="7">
        <f>Ventas[[#This Row],[Costo Material (€)]]/Ventas[[#This Row],[Beneficio (€)]]</f>
        <v>2.7454700963000507</v>
      </c>
      <c r="T531" s="3" t="str">
        <f>IF(Ventas[[#This Row],[Margen (%)]]&gt;20%,"Beneficio","Perdidas")</f>
        <v>Beneficio</v>
      </c>
    </row>
    <row r="532" spans="1:20" x14ac:dyDescent="0.25">
      <c r="A532" s="12">
        <v>45132</v>
      </c>
      <c r="B532" s="1" t="s">
        <v>30</v>
      </c>
      <c r="C532" s="1" t="s">
        <v>31</v>
      </c>
      <c r="D532" s="1" t="s">
        <v>45</v>
      </c>
      <c r="E532" s="1" t="s">
        <v>20</v>
      </c>
      <c r="F532">
        <v>563</v>
      </c>
      <c r="G532">
        <v>2.87</v>
      </c>
      <c r="H532">
        <v>1615.81</v>
      </c>
      <c r="I532" s="1" t="s">
        <v>46</v>
      </c>
      <c r="J532" s="1" t="s">
        <v>22</v>
      </c>
      <c r="K532" s="1" t="s">
        <v>41</v>
      </c>
      <c r="L532">
        <v>987.47</v>
      </c>
      <c r="M532">
        <v>38.9</v>
      </c>
      <c r="N532">
        <v>2023</v>
      </c>
      <c r="O532">
        <f t="shared" si="8"/>
        <v>3</v>
      </c>
      <c r="P532" s="13" t="s">
        <v>65</v>
      </c>
      <c r="Q532">
        <v>628.34</v>
      </c>
      <c r="R532" s="3" t="s">
        <v>25</v>
      </c>
      <c r="S532" s="7">
        <f>Ventas[[#This Row],[Costo Material (€)]]/Ventas[[#This Row],[Beneficio (€)]]</f>
        <v>1.5715536174682496</v>
      </c>
      <c r="T532" s="3" t="str">
        <f>IF(Ventas[[#This Row],[Margen (%)]]&gt;20%,"Beneficio","Perdidas")</f>
        <v>Beneficio</v>
      </c>
    </row>
    <row r="533" spans="1:20" x14ac:dyDescent="0.25">
      <c r="A533" s="12">
        <v>45272</v>
      </c>
      <c r="B533" s="1" t="s">
        <v>51</v>
      </c>
      <c r="C533" s="1" t="s">
        <v>52</v>
      </c>
      <c r="D533" s="1" t="s">
        <v>48</v>
      </c>
      <c r="E533" s="1" t="s">
        <v>38</v>
      </c>
      <c r="F533">
        <v>978</v>
      </c>
      <c r="G533">
        <v>4.08</v>
      </c>
      <c r="H533">
        <v>3990.24</v>
      </c>
      <c r="I533" s="1" t="s">
        <v>46</v>
      </c>
      <c r="J533" s="1" t="s">
        <v>40</v>
      </c>
      <c r="K533" s="1" t="s">
        <v>41</v>
      </c>
      <c r="L533">
        <v>3363.78</v>
      </c>
      <c r="M533">
        <v>15.7</v>
      </c>
      <c r="N533">
        <v>2023</v>
      </c>
      <c r="O533">
        <f t="shared" si="8"/>
        <v>4</v>
      </c>
      <c r="P533" s="13" t="s">
        <v>70</v>
      </c>
      <c r="Q533">
        <v>626.46</v>
      </c>
      <c r="R533" s="3" t="s">
        <v>29</v>
      </c>
      <c r="S533" s="7">
        <f>Ventas[[#This Row],[Costo Material (€)]]/Ventas[[#This Row],[Beneficio (€)]]</f>
        <v>5.3695048367014655</v>
      </c>
      <c r="T533" s="3" t="str">
        <f>IF(Ventas[[#This Row],[Margen (%)]]&gt;20%,"Beneficio","Perdidas")</f>
        <v>Beneficio</v>
      </c>
    </row>
    <row r="534" spans="1:20" x14ac:dyDescent="0.25">
      <c r="A534" s="12">
        <v>44968</v>
      </c>
      <c r="B534" s="1" t="s">
        <v>30</v>
      </c>
      <c r="C534" s="1" t="s">
        <v>31</v>
      </c>
      <c r="D534" s="1" t="s">
        <v>44</v>
      </c>
      <c r="E534" s="1" t="s">
        <v>38</v>
      </c>
      <c r="F534">
        <v>650</v>
      </c>
      <c r="G534">
        <v>2.44</v>
      </c>
      <c r="H534">
        <v>1586</v>
      </c>
      <c r="I534" s="1" t="s">
        <v>46</v>
      </c>
      <c r="J534" s="1" t="s">
        <v>47</v>
      </c>
      <c r="K534" s="1" t="s">
        <v>28</v>
      </c>
      <c r="L534">
        <v>961</v>
      </c>
      <c r="M534">
        <v>39.4</v>
      </c>
      <c r="N534">
        <v>2023</v>
      </c>
      <c r="O534">
        <f t="shared" si="8"/>
        <v>1</v>
      </c>
      <c r="P534" s="13" t="s">
        <v>60</v>
      </c>
      <c r="Q534">
        <v>625</v>
      </c>
      <c r="R534" s="3" t="s">
        <v>25</v>
      </c>
      <c r="S534" s="7">
        <f>Ventas[[#This Row],[Costo Material (€)]]/Ventas[[#This Row],[Beneficio (€)]]</f>
        <v>1.5376000000000001</v>
      </c>
      <c r="T534" s="3" t="str">
        <f>IF(Ventas[[#This Row],[Margen (%)]]&gt;20%,"Beneficio","Perdidas")</f>
        <v>Beneficio</v>
      </c>
    </row>
    <row r="535" spans="1:20" x14ac:dyDescent="0.25">
      <c r="A535" s="12">
        <v>45056</v>
      </c>
      <c r="B535" s="1" t="s">
        <v>51</v>
      </c>
      <c r="C535" s="1" t="s">
        <v>52</v>
      </c>
      <c r="D535" s="1" t="s">
        <v>44</v>
      </c>
      <c r="E535" s="1" t="s">
        <v>38</v>
      </c>
      <c r="F535">
        <v>417</v>
      </c>
      <c r="G535">
        <v>7.09</v>
      </c>
      <c r="H535">
        <v>2956.53</v>
      </c>
      <c r="I535" s="1" t="s">
        <v>26</v>
      </c>
      <c r="J535" s="1" t="s">
        <v>47</v>
      </c>
      <c r="K535" s="1" t="s">
        <v>28</v>
      </c>
      <c r="L535">
        <v>2331.65</v>
      </c>
      <c r="M535">
        <v>21.1</v>
      </c>
      <c r="N535">
        <v>2023</v>
      </c>
      <c r="O535">
        <f t="shared" si="8"/>
        <v>2</v>
      </c>
      <c r="P535" s="13" t="s">
        <v>63</v>
      </c>
      <c r="Q535">
        <v>624.88</v>
      </c>
      <c r="R535" s="3" t="s">
        <v>29</v>
      </c>
      <c r="S535" s="7">
        <f>Ventas[[#This Row],[Costo Material (€)]]/Ventas[[#This Row],[Beneficio (€)]]</f>
        <v>3.7313564204327232</v>
      </c>
      <c r="T535" s="3" t="str">
        <f>IF(Ventas[[#This Row],[Margen (%)]]&gt;20%,"Beneficio","Perdidas")</f>
        <v>Beneficio</v>
      </c>
    </row>
    <row r="536" spans="1:20" x14ac:dyDescent="0.25">
      <c r="A536" s="12">
        <v>45165</v>
      </c>
      <c r="B536" s="1" t="s">
        <v>30</v>
      </c>
      <c r="C536" s="1" t="s">
        <v>31</v>
      </c>
      <c r="D536" s="1" t="s">
        <v>37</v>
      </c>
      <c r="E536" s="1" t="s">
        <v>38</v>
      </c>
      <c r="F536">
        <v>837</v>
      </c>
      <c r="G536">
        <v>2.19</v>
      </c>
      <c r="H536">
        <v>1833.03</v>
      </c>
      <c r="I536" s="1" t="s">
        <v>55</v>
      </c>
      <c r="J536" s="1" t="s">
        <v>22</v>
      </c>
      <c r="K536" s="1" t="s">
        <v>23</v>
      </c>
      <c r="L536">
        <v>1209.6400000000001</v>
      </c>
      <c r="M536">
        <v>34</v>
      </c>
      <c r="N536">
        <v>2023</v>
      </c>
      <c r="O536">
        <f t="shared" si="8"/>
        <v>3</v>
      </c>
      <c r="P536" s="13" t="s">
        <v>66</v>
      </c>
      <c r="Q536">
        <v>623.39</v>
      </c>
      <c r="R536" s="3" t="s">
        <v>25</v>
      </c>
      <c r="S536" s="7">
        <f>Ventas[[#This Row],[Costo Material (€)]]/Ventas[[#This Row],[Beneficio (€)]]</f>
        <v>1.9404225284332441</v>
      </c>
      <c r="T536" s="3" t="str">
        <f>IF(Ventas[[#This Row],[Margen (%)]]&gt;20%,"Beneficio","Perdidas")</f>
        <v>Beneficio</v>
      </c>
    </row>
    <row r="537" spans="1:20" x14ac:dyDescent="0.25">
      <c r="A537" s="12">
        <v>44976</v>
      </c>
      <c r="B537" s="1" t="s">
        <v>17</v>
      </c>
      <c r="C537" s="1" t="s">
        <v>18</v>
      </c>
      <c r="D537" s="1" t="s">
        <v>45</v>
      </c>
      <c r="E537" s="1" t="s">
        <v>20</v>
      </c>
      <c r="F537">
        <v>299</v>
      </c>
      <c r="G537">
        <v>7.85</v>
      </c>
      <c r="H537">
        <v>2347.15</v>
      </c>
      <c r="I537" s="1" t="s">
        <v>21</v>
      </c>
      <c r="J537" s="1" t="s">
        <v>47</v>
      </c>
      <c r="K537" s="1" t="s">
        <v>28</v>
      </c>
      <c r="L537">
        <v>1724.48</v>
      </c>
      <c r="M537">
        <v>26.5</v>
      </c>
      <c r="N537">
        <v>2023</v>
      </c>
      <c r="O537">
        <f t="shared" si="8"/>
        <v>1</v>
      </c>
      <c r="P537" s="13" t="s">
        <v>60</v>
      </c>
      <c r="Q537">
        <v>622.66999999999996</v>
      </c>
      <c r="R537" s="3" t="s">
        <v>25</v>
      </c>
      <c r="S537" s="7">
        <f>Ventas[[#This Row],[Costo Material (€)]]/Ventas[[#This Row],[Beneficio (€)]]</f>
        <v>2.7694926686687973</v>
      </c>
      <c r="T537" s="3" t="str">
        <f>IF(Ventas[[#This Row],[Margen (%)]]&gt;20%,"Beneficio","Perdidas")</f>
        <v>Beneficio</v>
      </c>
    </row>
    <row r="538" spans="1:20" x14ac:dyDescent="0.25">
      <c r="A538" s="12">
        <v>45033</v>
      </c>
      <c r="B538" s="1" t="s">
        <v>42</v>
      </c>
      <c r="C538" s="1" t="s">
        <v>43</v>
      </c>
      <c r="D538" s="1" t="s">
        <v>32</v>
      </c>
      <c r="E538" s="1" t="s">
        <v>20</v>
      </c>
      <c r="F538">
        <v>214</v>
      </c>
      <c r="G538">
        <v>11.96</v>
      </c>
      <c r="H538">
        <v>2559.44</v>
      </c>
      <c r="I538" s="1" t="s">
        <v>39</v>
      </c>
      <c r="J538" s="1" t="s">
        <v>47</v>
      </c>
      <c r="K538" s="1" t="s">
        <v>41</v>
      </c>
      <c r="L538">
        <v>1938.98</v>
      </c>
      <c r="M538">
        <v>24.2</v>
      </c>
      <c r="N538">
        <v>2023</v>
      </c>
      <c r="O538">
        <f t="shared" si="8"/>
        <v>2</v>
      </c>
      <c r="P538" s="13" t="s">
        <v>62</v>
      </c>
      <c r="Q538">
        <v>620.46</v>
      </c>
      <c r="R538" s="3" t="s">
        <v>29</v>
      </c>
      <c r="S538" s="7">
        <f>Ventas[[#This Row],[Costo Material (€)]]/Ventas[[#This Row],[Beneficio (€)]]</f>
        <v>3.1250684975663217</v>
      </c>
      <c r="T538" s="3" t="str">
        <f>IF(Ventas[[#This Row],[Margen (%)]]&gt;20%,"Beneficio","Perdidas")</f>
        <v>Beneficio</v>
      </c>
    </row>
    <row r="539" spans="1:20" x14ac:dyDescent="0.25">
      <c r="A539" s="12">
        <v>44960</v>
      </c>
      <c r="B539" s="1" t="s">
        <v>58</v>
      </c>
      <c r="C539" s="1" t="s">
        <v>59</v>
      </c>
      <c r="D539" s="1" t="s">
        <v>19</v>
      </c>
      <c r="E539" s="1" t="s">
        <v>20</v>
      </c>
      <c r="F539">
        <v>526</v>
      </c>
      <c r="G539">
        <v>5.16</v>
      </c>
      <c r="H539">
        <v>2714.16</v>
      </c>
      <c r="I539" s="1" t="s">
        <v>55</v>
      </c>
      <c r="J539" s="1" t="s">
        <v>27</v>
      </c>
      <c r="K539" s="1" t="s">
        <v>23</v>
      </c>
      <c r="L539">
        <v>2097.3200000000002</v>
      </c>
      <c r="M539">
        <v>22.7</v>
      </c>
      <c r="N539">
        <v>2023</v>
      </c>
      <c r="O539">
        <f t="shared" si="8"/>
        <v>1</v>
      </c>
      <c r="P539" s="13" t="s">
        <v>60</v>
      </c>
      <c r="Q539">
        <v>616.84</v>
      </c>
      <c r="R539" s="3" t="s">
        <v>29</v>
      </c>
      <c r="S539" s="7">
        <f>Ventas[[#This Row],[Costo Material (€)]]/Ventas[[#This Row],[Beneficio (€)]]</f>
        <v>3.4001037546203232</v>
      </c>
      <c r="T539" s="3" t="str">
        <f>IF(Ventas[[#This Row],[Margen (%)]]&gt;20%,"Beneficio","Perdidas")</f>
        <v>Beneficio</v>
      </c>
    </row>
    <row r="540" spans="1:20" x14ac:dyDescent="0.25">
      <c r="A540" s="12">
        <v>45009</v>
      </c>
      <c r="B540" s="1" t="s">
        <v>58</v>
      </c>
      <c r="C540" s="1" t="s">
        <v>59</v>
      </c>
      <c r="D540" s="1" t="s">
        <v>32</v>
      </c>
      <c r="E540" s="1" t="s">
        <v>20</v>
      </c>
      <c r="F540">
        <v>559</v>
      </c>
      <c r="G540">
        <v>4.1399999999999997</v>
      </c>
      <c r="H540">
        <v>2314.2600000000002</v>
      </c>
      <c r="I540" s="1" t="s">
        <v>26</v>
      </c>
      <c r="J540" s="1" t="s">
        <v>56</v>
      </c>
      <c r="K540" s="1" t="s">
        <v>41</v>
      </c>
      <c r="L540">
        <v>1698.18</v>
      </c>
      <c r="M540">
        <v>26.6</v>
      </c>
      <c r="N540">
        <v>2023</v>
      </c>
      <c r="O540">
        <f t="shared" si="8"/>
        <v>1</v>
      </c>
      <c r="P540" s="13" t="s">
        <v>61</v>
      </c>
      <c r="Q540">
        <v>616.08000000000004</v>
      </c>
      <c r="R540" s="3" t="s">
        <v>25</v>
      </c>
      <c r="S540" s="7">
        <f>Ventas[[#This Row],[Costo Material (€)]]/Ventas[[#This Row],[Beneficio (€)]]</f>
        <v>2.7564277366575767</v>
      </c>
      <c r="T540" s="3" t="str">
        <f>IF(Ventas[[#This Row],[Margen (%)]]&gt;20%,"Beneficio","Perdidas")</f>
        <v>Beneficio</v>
      </c>
    </row>
    <row r="541" spans="1:20" x14ac:dyDescent="0.25">
      <c r="A541" s="12">
        <v>44975</v>
      </c>
      <c r="B541" s="1" t="s">
        <v>35</v>
      </c>
      <c r="C541" s="1" t="s">
        <v>36</v>
      </c>
      <c r="D541" s="1" t="s">
        <v>53</v>
      </c>
      <c r="E541" s="1" t="s">
        <v>50</v>
      </c>
      <c r="F541">
        <v>308</v>
      </c>
      <c r="G541">
        <v>7.97</v>
      </c>
      <c r="H541">
        <v>2454.7600000000002</v>
      </c>
      <c r="I541" s="1" t="s">
        <v>46</v>
      </c>
      <c r="J541" s="1" t="s">
        <v>27</v>
      </c>
      <c r="K541" s="1" t="s">
        <v>28</v>
      </c>
      <c r="L541">
        <v>1839.79</v>
      </c>
      <c r="M541">
        <v>25.1</v>
      </c>
      <c r="N541">
        <v>2023</v>
      </c>
      <c r="O541">
        <f t="shared" si="8"/>
        <v>1</v>
      </c>
      <c r="P541" s="13" t="s">
        <v>60</v>
      </c>
      <c r="Q541">
        <v>614.97</v>
      </c>
      <c r="R541" s="3" t="s">
        <v>25</v>
      </c>
      <c r="S541" s="7">
        <f>Ventas[[#This Row],[Costo Material (€)]]/Ventas[[#This Row],[Beneficio (€)]]</f>
        <v>2.9916743906206804</v>
      </c>
      <c r="T541" s="3" t="str">
        <f>IF(Ventas[[#This Row],[Margen (%)]]&gt;20%,"Beneficio","Perdidas")</f>
        <v>Beneficio</v>
      </c>
    </row>
    <row r="542" spans="1:20" x14ac:dyDescent="0.25">
      <c r="A542" s="12">
        <v>45109</v>
      </c>
      <c r="B542" s="1" t="s">
        <v>58</v>
      </c>
      <c r="C542" s="1" t="s">
        <v>59</v>
      </c>
      <c r="D542" s="1" t="s">
        <v>53</v>
      </c>
      <c r="E542" s="1" t="s">
        <v>50</v>
      </c>
      <c r="F542">
        <v>819</v>
      </c>
      <c r="G542">
        <v>6.85</v>
      </c>
      <c r="H542">
        <v>5610.15</v>
      </c>
      <c r="I542" s="1" t="s">
        <v>26</v>
      </c>
      <c r="J542" s="1" t="s">
        <v>40</v>
      </c>
      <c r="K542" s="1" t="s">
        <v>41</v>
      </c>
      <c r="L542">
        <v>4997.42</v>
      </c>
      <c r="M542">
        <v>10.9</v>
      </c>
      <c r="N542">
        <v>2023</v>
      </c>
      <c r="O542">
        <f t="shared" si="8"/>
        <v>3</v>
      </c>
      <c r="P542" s="13" t="s">
        <v>65</v>
      </c>
      <c r="Q542">
        <v>612.73</v>
      </c>
      <c r="R542" s="3" t="s">
        <v>29</v>
      </c>
      <c r="S542" s="7">
        <f>Ventas[[#This Row],[Costo Material (€)]]/Ventas[[#This Row],[Beneficio (€)]]</f>
        <v>8.1559904036035444</v>
      </c>
      <c r="T542" s="3" t="str">
        <f>IF(Ventas[[#This Row],[Margen (%)]]&gt;20%,"Beneficio","Perdidas")</f>
        <v>Beneficio</v>
      </c>
    </row>
    <row r="543" spans="1:20" x14ac:dyDescent="0.25">
      <c r="A543" s="12">
        <v>44967</v>
      </c>
      <c r="B543" s="1" t="s">
        <v>30</v>
      </c>
      <c r="C543" s="1" t="s">
        <v>31</v>
      </c>
      <c r="D543" s="1" t="s">
        <v>44</v>
      </c>
      <c r="E543" s="1" t="s">
        <v>38</v>
      </c>
      <c r="F543">
        <v>210</v>
      </c>
      <c r="G543">
        <v>7.77</v>
      </c>
      <c r="H543">
        <v>1631.7</v>
      </c>
      <c r="I543" s="1" t="s">
        <v>39</v>
      </c>
      <c r="J543" s="1" t="s">
        <v>27</v>
      </c>
      <c r="K543" s="1" t="s">
        <v>23</v>
      </c>
      <c r="L543">
        <v>1021.01</v>
      </c>
      <c r="M543">
        <v>37.4</v>
      </c>
      <c r="N543">
        <v>2023</v>
      </c>
      <c r="O543">
        <f t="shared" si="8"/>
        <v>1</v>
      </c>
      <c r="P543" s="13" t="s">
        <v>60</v>
      </c>
      <c r="Q543">
        <v>610.69000000000005</v>
      </c>
      <c r="R543" s="3" t="s">
        <v>25</v>
      </c>
      <c r="S543" s="7">
        <f>Ventas[[#This Row],[Costo Material (€)]]/Ventas[[#This Row],[Beneficio (€)]]</f>
        <v>1.6718957245083428</v>
      </c>
      <c r="T543" s="3" t="str">
        <f>IF(Ventas[[#This Row],[Margen (%)]]&gt;20%,"Beneficio","Perdidas")</f>
        <v>Beneficio</v>
      </c>
    </row>
    <row r="544" spans="1:20" x14ac:dyDescent="0.25">
      <c r="A544" s="12">
        <v>45175</v>
      </c>
      <c r="B544" s="1" t="s">
        <v>42</v>
      </c>
      <c r="C544" s="1" t="s">
        <v>43</v>
      </c>
      <c r="D544" s="1" t="s">
        <v>44</v>
      </c>
      <c r="E544" s="1" t="s">
        <v>38</v>
      </c>
      <c r="F544">
        <v>560</v>
      </c>
      <c r="G544">
        <v>5.2</v>
      </c>
      <c r="H544">
        <v>2912</v>
      </c>
      <c r="I544" s="1" t="s">
        <v>33</v>
      </c>
      <c r="J544" s="1" t="s">
        <v>40</v>
      </c>
      <c r="K544" s="1" t="s">
        <v>28</v>
      </c>
      <c r="L544">
        <v>2303.2399999999998</v>
      </c>
      <c r="M544">
        <v>20.9</v>
      </c>
      <c r="N544">
        <v>2023</v>
      </c>
      <c r="O544">
        <f t="shared" si="8"/>
        <v>3</v>
      </c>
      <c r="P544" s="13" t="s">
        <v>67</v>
      </c>
      <c r="Q544">
        <v>608.76</v>
      </c>
      <c r="R544" s="3" t="s">
        <v>29</v>
      </c>
      <c r="S544" s="7">
        <f>Ventas[[#This Row],[Costo Material (€)]]/Ventas[[#This Row],[Beneficio (€)]]</f>
        <v>3.783494316315132</v>
      </c>
      <c r="T544" s="3" t="str">
        <f>IF(Ventas[[#This Row],[Margen (%)]]&gt;20%,"Beneficio","Perdidas")</f>
        <v>Beneficio</v>
      </c>
    </row>
    <row r="545" spans="1:20" x14ac:dyDescent="0.25">
      <c r="A545" s="12">
        <v>45034</v>
      </c>
      <c r="B545" s="1" t="s">
        <v>42</v>
      </c>
      <c r="C545" s="1" t="s">
        <v>43</v>
      </c>
      <c r="D545" s="1" t="s">
        <v>32</v>
      </c>
      <c r="E545" s="1" t="s">
        <v>20</v>
      </c>
      <c r="F545">
        <v>452</v>
      </c>
      <c r="G545">
        <v>7.2</v>
      </c>
      <c r="H545">
        <v>3254.4</v>
      </c>
      <c r="I545" s="1" t="s">
        <v>54</v>
      </c>
      <c r="J545" s="1" t="s">
        <v>34</v>
      </c>
      <c r="K545" s="1" t="s">
        <v>41</v>
      </c>
      <c r="L545">
        <v>2649.17</v>
      </c>
      <c r="M545">
        <v>18.600000000000001</v>
      </c>
      <c r="N545">
        <v>2023</v>
      </c>
      <c r="O545">
        <f t="shared" si="8"/>
        <v>2</v>
      </c>
      <c r="P545" s="13" t="s">
        <v>62</v>
      </c>
      <c r="Q545">
        <v>605.23</v>
      </c>
      <c r="R545" s="3" t="s">
        <v>29</v>
      </c>
      <c r="S545" s="7">
        <f>Ventas[[#This Row],[Costo Material (€)]]/Ventas[[#This Row],[Beneficio (€)]]</f>
        <v>4.3771293557820989</v>
      </c>
      <c r="T545" s="3" t="str">
        <f>IF(Ventas[[#This Row],[Margen (%)]]&gt;20%,"Beneficio","Perdidas")</f>
        <v>Beneficio</v>
      </c>
    </row>
    <row r="546" spans="1:20" x14ac:dyDescent="0.25">
      <c r="A546" s="12">
        <v>45091</v>
      </c>
      <c r="B546" s="1" t="s">
        <v>58</v>
      </c>
      <c r="C546" s="1" t="s">
        <v>59</v>
      </c>
      <c r="D546" s="1" t="s">
        <v>45</v>
      </c>
      <c r="E546" s="1" t="s">
        <v>20</v>
      </c>
      <c r="F546">
        <v>535</v>
      </c>
      <c r="G546">
        <v>6.69</v>
      </c>
      <c r="H546">
        <v>3579.15</v>
      </c>
      <c r="I546" s="1" t="s">
        <v>57</v>
      </c>
      <c r="J546" s="1" t="s">
        <v>22</v>
      </c>
      <c r="K546" s="1" t="s">
        <v>41</v>
      </c>
      <c r="L546">
        <v>2974.37</v>
      </c>
      <c r="M546">
        <v>16.899999999999999</v>
      </c>
      <c r="N546">
        <v>2023</v>
      </c>
      <c r="O546">
        <f t="shared" si="8"/>
        <v>2</v>
      </c>
      <c r="P546" s="13" t="s">
        <v>64</v>
      </c>
      <c r="Q546">
        <v>604.78</v>
      </c>
      <c r="R546" s="3" t="s">
        <v>29</v>
      </c>
      <c r="S546" s="7">
        <f>Ventas[[#This Row],[Costo Material (€)]]/Ventas[[#This Row],[Beneficio (€)]]</f>
        <v>4.9181024504778597</v>
      </c>
      <c r="T546" s="3" t="str">
        <f>IF(Ventas[[#This Row],[Margen (%)]]&gt;20%,"Beneficio","Perdidas")</f>
        <v>Beneficio</v>
      </c>
    </row>
    <row r="547" spans="1:20" x14ac:dyDescent="0.25">
      <c r="A547" s="12">
        <v>44939</v>
      </c>
      <c r="B547" s="1" t="s">
        <v>17</v>
      </c>
      <c r="C547" s="1" t="s">
        <v>18</v>
      </c>
      <c r="D547" s="1" t="s">
        <v>48</v>
      </c>
      <c r="E547" s="1" t="s">
        <v>38</v>
      </c>
      <c r="F547">
        <v>686</v>
      </c>
      <c r="G547">
        <v>3.03</v>
      </c>
      <c r="H547">
        <v>2078.58</v>
      </c>
      <c r="I547" s="1" t="s">
        <v>26</v>
      </c>
      <c r="J547" s="1" t="s">
        <v>47</v>
      </c>
      <c r="K547" s="1" t="s">
        <v>41</v>
      </c>
      <c r="L547">
        <v>1477.79</v>
      </c>
      <c r="M547">
        <v>28.9</v>
      </c>
      <c r="N547">
        <v>2023</v>
      </c>
      <c r="O547">
        <f t="shared" si="8"/>
        <v>1</v>
      </c>
      <c r="P547" s="13" t="s">
        <v>24</v>
      </c>
      <c r="Q547">
        <v>600.79</v>
      </c>
      <c r="R547" s="3" t="s">
        <v>25</v>
      </c>
      <c r="S547" s="7">
        <f>Ventas[[#This Row],[Costo Material (€)]]/Ventas[[#This Row],[Beneficio (€)]]</f>
        <v>2.4597446695184675</v>
      </c>
      <c r="T547" s="3" t="str">
        <f>IF(Ventas[[#This Row],[Margen (%)]]&gt;20%,"Beneficio","Perdidas")</f>
        <v>Beneficio</v>
      </c>
    </row>
    <row r="548" spans="1:20" x14ac:dyDescent="0.25">
      <c r="A548" s="12">
        <v>45078</v>
      </c>
      <c r="B548" s="1" t="s">
        <v>17</v>
      </c>
      <c r="C548" s="1" t="s">
        <v>18</v>
      </c>
      <c r="D548" s="1" t="s">
        <v>45</v>
      </c>
      <c r="E548" s="1" t="s">
        <v>20</v>
      </c>
      <c r="F548">
        <v>211</v>
      </c>
      <c r="G548">
        <v>7.72</v>
      </c>
      <c r="H548">
        <v>1628.92</v>
      </c>
      <c r="I548" s="1" t="s">
        <v>26</v>
      </c>
      <c r="J548" s="1" t="s">
        <v>56</v>
      </c>
      <c r="K548" s="1" t="s">
        <v>23</v>
      </c>
      <c r="L548">
        <v>1031.04</v>
      </c>
      <c r="M548">
        <v>36.700000000000003</v>
      </c>
      <c r="N548">
        <v>2023</v>
      </c>
      <c r="O548">
        <f t="shared" si="8"/>
        <v>2</v>
      </c>
      <c r="P548" s="13" t="s">
        <v>64</v>
      </c>
      <c r="Q548">
        <v>597.88</v>
      </c>
      <c r="R548" s="3" t="s">
        <v>25</v>
      </c>
      <c r="S548" s="7">
        <f>Ventas[[#This Row],[Costo Material (€)]]/Ventas[[#This Row],[Beneficio (€)]]</f>
        <v>1.7244932093396668</v>
      </c>
      <c r="T548" s="3" t="str">
        <f>IF(Ventas[[#This Row],[Margen (%)]]&gt;20%,"Beneficio","Perdidas")</f>
        <v>Beneficio</v>
      </c>
    </row>
    <row r="549" spans="1:20" x14ac:dyDescent="0.25">
      <c r="A549" s="12">
        <v>45371</v>
      </c>
      <c r="B549" s="1" t="s">
        <v>51</v>
      </c>
      <c r="C549" s="1" t="s">
        <v>52</v>
      </c>
      <c r="D549" s="1" t="s">
        <v>44</v>
      </c>
      <c r="E549" s="1" t="s">
        <v>38</v>
      </c>
      <c r="F549">
        <v>320</v>
      </c>
      <c r="G549">
        <v>7.02</v>
      </c>
      <c r="H549">
        <v>2246.4</v>
      </c>
      <c r="I549" s="1" t="s">
        <v>55</v>
      </c>
      <c r="J549" s="1" t="s">
        <v>40</v>
      </c>
      <c r="K549" s="1" t="s">
        <v>41</v>
      </c>
      <c r="L549">
        <v>1648.8</v>
      </c>
      <c r="M549">
        <v>26.6</v>
      </c>
      <c r="N549">
        <v>2024</v>
      </c>
      <c r="O549">
        <f t="shared" si="8"/>
        <v>1</v>
      </c>
      <c r="P549" s="13" t="s">
        <v>61</v>
      </c>
      <c r="Q549">
        <v>597.6</v>
      </c>
      <c r="R549" s="3" t="s">
        <v>25</v>
      </c>
      <c r="S549" s="7">
        <f>Ventas[[#This Row],[Costo Material (€)]]/Ventas[[#This Row],[Beneficio (€)]]</f>
        <v>2.7590361445783129</v>
      </c>
      <c r="T549" s="3" t="str">
        <f>IF(Ventas[[#This Row],[Margen (%)]]&gt;20%,"Beneficio","Perdidas")</f>
        <v>Beneficio</v>
      </c>
    </row>
    <row r="550" spans="1:20" x14ac:dyDescent="0.25">
      <c r="A550" s="12">
        <v>44955</v>
      </c>
      <c r="B550" s="1" t="s">
        <v>35</v>
      </c>
      <c r="C550" s="1" t="s">
        <v>36</v>
      </c>
      <c r="D550" s="1" t="s">
        <v>45</v>
      </c>
      <c r="E550" s="1" t="s">
        <v>20</v>
      </c>
      <c r="F550">
        <v>805</v>
      </c>
      <c r="G550">
        <v>6.65</v>
      </c>
      <c r="H550">
        <v>5353.25</v>
      </c>
      <c r="I550" s="1" t="s">
        <v>57</v>
      </c>
      <c r="J550" s="1" t="s">
        <v>34</v>
      </c>
      <c r="K550" s="1" t="s">
        <v>28</v>
      </c>
      <c r="L550">
        <v>4756.49</v>
      </c>
      <c r="M550">
        <v>11.1</v>
      </c>
      <c r="N550">
        <v>2023</v>
      </c>
      <c r="O550">
        <f t="shared" si="8"/>
        <v>1</v>
      </c>
      <c r="P550" s="13" t="s">
        <v>24</v>
      </c>
      <c r="Q550">
        <v>596.76</v>
      </c>
      <c r="R550" s="3" t="s">
        <v>29</v>
      </c>
      <c r="S550" s="7">
        <f>Ventas[[#This Row],[Costo Material (€)]]/Ventas[[#This Row],[Beneficio (€)]]</f>
        <v>7.9705241638179496</v>
      </c>
      <c r="T550" s="3" t="str">
        <f>IF(Ventas[[#This Row],[Margen (%)]]&gt;20%,"Beneficio","Perdidas")</f>
        <v>Beneficio</v>
      </c>
    </row>
    <row r="551" spans="1:20" x14ac:dyDescent="0.25">
      <c r="A551" s="12">
        <v>45406</v>
      </c>
      <c r="B551" s="1" t="s">
        <v>17</v>
      </c>
      <c r="C551" s="1" t="s">
        <v>18</v>
      </c>
      <c r="D551" s="1" t="s">
        <v>48</v>
      </c>
      <c r="E551" s="1" t="s">
        <v>38</v>
      </c>
      <c r="F551">
        <v>511</v>
      </c>
      <c r="G551">
        <v>3.66</v>
      </c>
      <c r="H551">
        <v>1870.26</v>
      </c>
      <c r="I551" s="1" t="s">
        <v>21</v>
      </c>
      <c r="J551" s="1" t="s">
        <v>27</v>
      </c>
      <c r="K551" s="1" t="s">
        <v>28</v>
      </c>
      <c r="L551">
        <v>1276.3</v>
      </c>
      <c r="M551">
        <v>31.8</v>
      </c>
      <c r="N551">
        <v>2024</v>
      </c>
      <c r="O551">
        <f t="shared" si="8"/>
        <v>2</v>
      </c>
      <c r="P551" s="13" t="s">
        <v>62</v>
      </c>
      <c r="Q551">
        <v>593.96</v>
      </c>
      <c r="R551" s="3" t="s">
        <v>25</v>
      </c>
      <c r="S551" s="7">
        <f>Ventas[[#This Row],[Costo Material (€)]]/Ventas[[#This Row],[Beneficio (€)]]</f>
        <v>2.1487978988484069</v>
      </c>
      <c r="T551" s="3" t="str">
        <f>IF(Ventas[[#This Row],[Margen (%)]]&gt;20%,"Beneficio","Perdidas")</f>
        <v>Beneficio</v>
      </c>
    </row>
    <row r="552" spans="1:20" x14ac:dyDescent="0.25">
      <c r="A552" s="12">
        <v>45195</v>
      </c>
      <c r="B552" s="1" t="s">
        <v>17</v>
      </c>
      <c r="C552" s="1" t="s">
        <v>18</v>
      </c>
      <c r="D552" s="1" t="s">
        <v>48</v>
      </c>
      <c r="E552" s="1" t="s">
        <v>38</v>
      </c>
      <c r="F552">
        <v>292</v>
      </c>
      <c r="G552">
        <v>7.92</v>
      </c>
      <c r="H552">
        <v>2312.64</v>
      </c>
      <c r="I552" s="1" t="s">
        <v>39</v>
      </c>
      <c r="J552" s="1" t="s">
        <v>22</v>
      </c>
      <c r="K552" s="1" t="s">
        <v>23</v>
      </c>
      <c r="L552">
        <v>1720.86</v>
      </c>
      <c r="M552">
        <v>25.6</v>
      </c>
      <c r="N552">
        <v>2023</v>
      </c>
      <c r="O552">
        <f t="shared" si="8"/>
        <v>3</v>
      </c>
      <c r="P552" s="13" t="s">
        <v>67</v>
      </c>
      <c r="Q552">
        <v>591.78</v>
      </c>
      <c r="R552" s="3" t="s">
        <v>25</v>
      </c>
      <c r="S552" s="7">
        <f>Ventas[[#This Row],[Costo Material (€)]]/Ventas[[#This Row],[Beneficio (€)]]</f>
        <v>2.907938761026057</v>
      </c>
      <c r="T552" s="3" t="str">
        <f>IF(Ventas[[#This Row],[Margen (%)]]&gt;20%,"Beneficio","Perdidas")</f>
        <v>Beneficio</v>
      </c>
    </row>
    <row r="553" spans="1:20" x14ac:dyDescent="0.25">
      <c r="A553" s="12">
        <v>44967</v>
      </c>
      <c r="B553" s="1" t="s">
        <v>17</v>
      </c>
      <c r="C553" s="1" t="s">
        <v>18</v>
      </c>
      <c r="D553" s="1" t="s">
        <v>37</v>
      </c>
      <c r="E553" s="1" t="s">
        <v>38</v>
      </c>
      <c r="F553">
        <v>992</v>
      </c>
      <c r="G553">
        <v>4.21</v>
      </c>
      <c r="H553">
        <v>4176.32</v>
      </c>
      <c r="I553" s="1" t="s">
        <v>33</v>
      </c>
      <c r="J553" s="1" t="s">
        <v>47</v>
      </c>
      <c r="K553" s="1" t="s">
        <v>23</v>
      </c>
      <c r="L553">
        <v>3584.93</v>
      </c>
      <c r="M553">
        <v>14.2</v>
      </c>
      <c r="N553">
        <v>2023</v>
      </c>
      <c r="O553">
        <f t="shared" si="8"/>
        <v>1</v>
      </c>
      <c r="P553" s="13" t="s">
        <v>60</v>
      </c>
      <c r="Q553">
        <v>591.39</v>
      </c>
      <c r="R553" s="3" t="s">
        <v>29</v>
      </c>
      <c r="S553" s="7">
        <f>Ventas[[#This Row],[Costo Material (€)]]/Ventas[[#This Row],[Beneficio (€)]]</f>
        <v>6.0618711848357263</v>
      </c>
      <c r="T553" s="3" t="str">
        <f>IF(Ventas[[#This Row],[Margen (%)]]&gt;20%,"Beneficio","Perdidas")</f>
        <v>Beneficio</v>
      </c>
    </row>
    <row r="554" spans="1:20" x14ac:dyDescent="0.25">
      <c r="A554" s="12">
        <v>44999</v>
      </c>
      <c r="B554" s="1" t="s">
        <v>42</v>
      </c>
      <c r="C554" s="1" t="s">
        <v>43</v>
      </c>
      <c r="D554" s="1" t="s">
        <v>19</v>
      </c>
      <c r="E554" s="1" t="s">
        <v>20</v>
      </c>
      <c r="F554">
        <v>414</v>
      </c>
      <c r="G554">
        <v>4.71</v>
      </c>
      <c r="H554">
        <v>1949.94</v>
      </c>
      <c r="I554" s="1" t="s">
        <v>55</v>
      </c>
      <c r="J554" s="1" t="s">
        <v>22</v>
      </c>
      <c r="K554" s="1" t="s">
        <v>41</v>
      </c>
      <c r="L554">
        <v>1358.72</v>
      </c>
      <c r="M554">
        <v>30.3</v>
      </c>
      <c r="N554">
        <v>2023</v>
      </c>
      <c r="O554">
        <f t="shared" si="8"/>
        <v>1</v>
      </c>
      <c r="P554" s="13" t="s">
        <v>61</v>
      </c>
      <c r="Q554">
        <v>591.22</v>
      </c>
      <c r="R554" s="3" t="s">
        <v>25</v>
      </c>
      <c r="S554" s="7">
        <f>Ventas[[#This Row],[Costo Material (€)]]/Ventas[[#This Row],[Beneficio (€)]]</f>
        <v>2.2981631203274584</v>
      </c>
      <c r="T554" s="3" t="str">
        <f>IF(Ventas[[#This Row],[Margen (%)]]&gt;20%,"Beneficio","Perdidas")</f>
        <v>Beneficio</v>
      </c>
    </row>
    <row r="555" spans="1:20" x14ac:dyDescent="0.25">
      <c r="A555" s="12">
        <v>44936</v>
      </c>
      <c r="B555" s="1" t="s">
        <v>42</v>
      </c>
      <c r="C555" s="1" t="s">
        <v>43</v>
      </c>
      <c r="D555" s="1" t="s">
        <v>45</v>
      </c>
      <c r="E555" s="1" t="s">
        <v>20</v>
      </c>
      <c r="F555">
        <v>784</v>
      </c>
      <c r="G555">
        <v>6.63</v>
      </c>
      <c r="H555">
        <v>5197.92</v>
      </c>
      <c r="I555" s="1" t="s">
        <v>54</v>
      </c>
      <c r="J555" s="1" t="s">
        <v>34</v>
      </c>
      <c r="K555" s="1" t="s">
        <v>28</v>
      </c>
      <c r="L555">
        <v>4609.59</v>
      </c>
      <c r="M555">
        <v>11.3</v>
      </c>
      <c r="N555">
        <v>2023</v>
      </c>
      <c r="O555">
        <f t="shared" si="8"/>
        <v>1</v>
      </c>
      <c r="P555" s="13" t="s">
        <v>24</v>
      </c>
      <c r="Q555">
        <v>588.33000000000004</v>
      </c>
      <c r="R555" s="3" t="s">
        <v>29</v>
      </c>
      <c r="S555" s="7">
        <f>Ventas[[#This Row],[Costo Material (€)]]/Ventas[[#This Row],[Beneficio (€)]]</f>
        <v>7.8350415583091122</v>
      </c>
      <c r="T555" s="3" t="str">
        <f>IF(Ventas[[#This Row],[Margen (%)]]&gt;20%,"Beneficio","Perdidas")</f>
        <v>Beneficio</v>
      </c>
    </row>
    <row r="556" spans="1:20" x14ac:dyDescent="0.25">
      <c r="A556" s="12">
        <v>45803</v>
      </c>
      <c r="B556" s="1" t="s">
        <v>35</v>
      </c>
      <c r="C556" s="1" t="s">
        <v>36</v>
      </c>
      <c r="D556" s="1" t="s">
        <v>45</v>
      </c>
      <c r="E556" s="1" t="s">
        <v>20</v>
      </c>
      <c r="F556">
        <v>188</v>
      </c>
      <c r="G556">
        <v>8.75</v>
      </c>
      <c r="H556">
        <v>1645</v>
      </c>
      <c r="I556" s="1" t="s">
        <v>57</v>
      </c>
      <c r="J556" s="1" t="s">
        <v>34</v>
      </c>
      <c r="K556" s="1" t="s">
        <v>23</v>
      </c>
      <c r="L556">
        <v>1059.5</v>
      </c>
      <c r="M556">
        <v>35.6</v>
      </c>
      <c r="N556">
        <v>2025</v>
      </c>
      <c r="O556">
        <f t="shared" si="8"/>
        <v>2</v>
      </c>
      <c r="P556" s="13" t="s">
        <v>63</v>
      </c>
      <c r="Q556">
        <v>585.5</v>
      </c>
      <c r="R556" s="3" t="s">
        <v>25</v>
      </c>
      <c r="S556" s="7">
        <f>Ventas[[#This Row],[Costo Material (€)]]/Ventas[[#This Row],[Beneficio (€)]]</f>
        <v>1.8095644748078565</v>
      </c>
      <c r="T556" s="3" t="str">
        <f>IF(Ventas[[#This Row],[Margen (%)]]&gt;20%,"Beneficio","Perdidas")</f>
        <v>Beneficio</v>
      </c>
    </row>
    <row r="557" spans="1:20" x14ac:dyDescent="0.25">
      <c r="A557" s="12">
        <v>45088</v>
      </c>
      <c r="B557" s="1" t="s">
        <v>17</v>
      </c>
      <c r="C557" s="1" t="s">
        <v>18</v>
      </c>
      <c r="D557" s="1" t="s">
        <v>49</v>
      </c>
      <c r="E557" s="1" t="s">
        <v>50</v>
      </c>
      <c r="F557">
        <v>635</v>
      </c>
      <c r="G557">
        <v>2.85</v>
      </c>
      <c r="H557">
        <v>1809.75</v>
      </c>
      <c r="I557" s="1" t="s">
        <v>46</v>
      </c>
      <c r="J557" s="1" t="s">
        <v>27</v>
      </c>
      <c r="K557" s="1" t="s">
        <v>28</v>
      </c>
      <c r="L557">
        <v>1224.3800000000001</v>
      </c>
      <c r="M557">
        <v>32.299999999999997</v>
      </c>
      <c r="N557">
        <v>2023</v>
      </c>
      <c r="O557">
        <f t="shared" si="8"/>
        <v>2</v>
      </c>
      <c r="P557" s="13" t="s">
        <v>64</v>
      </c>
      <c r="Q557">
        <v>585.37</v>
      </c>
      <c r="R557" s="3" t="s">
        <v>25</v>
      </c>
      <c r="S557" s="7">
        <f>Ventas[[#This Row],[Costo Material (€)]]/Ventas[[#This Row],[Beneficio (€)]]</f>
        <v>2.0916343509233477</v>
      </c>
      <c r="T557" s="3" t="str">
        <f>IF(Ventas[[#This Row],[Margen (%)]]&gt;20%,"Beneficio","Perdidas")</f>
        <v>Beneficio</v>
      </c>
    </row>
    <row r="558" spans="1:20" x14ac:dyDescent="0.25">
      <c r="A558" s="12">
        <v>45246</v>
      </c>
      <c r="B558" s="1" t="s">
        <v>58</v>
      </c>
      <c r="C558" s="1" t="s">
        <v>59</v>
      </c>
      <c r="D558" s="1" t="s">
        <v>37</v>
      </c>
      <c r="E558" s="1" t="s">
        <v>38</v>
      </c>
      <c r="F558">
        <v>494</v>
      </c>
      <c r="G558">
        <v>11.46</v>
      </c>
      <c r="H558">
        <v>5661.24</v>
      </c>
      <c r="I558" s="1" t="s">
        <v>55</v>
      </c>
      <c r="J558" s="1" t="s">
        <v>22</v>
      </c>
      <c r="K558" s="1" t="s">
        <v>28</v>
      </c>
      <c r="L558">
        <v>5076.58</v>
      </c>
      <c r="M558">
        <v>10.3</v>
      </c>
      <c r="N558">
        <v>2023</v>
      </c>
      <c r="O558">
        <f t="shared" si="8"/>
        <v>4</v>
      </c>
      <c r="P558" s="13" t="s">
        <v>69</v>
      </c>
      <c r="Q558">
        <v>584.66</v>
      </c>
      <c r="R558" s="3" t="s">
        <v>29</v>
      </c>
      <c r="S558" s="7">
        <f>Ventas[[#This Row],[Costo Material (€)]]/Ventas[[#This Row],[Beneficio (€)]]</f>
        <v>8.682961037184004</v>
      </c>
      <c r="T558" s="3" t="str">
        <f>IF(Ventas[[#This Row],[Margen (%)]]&gt;20%,"Beneficio","Perdidas")</f>
        <v>Beneficio</v>
      </c>
    </row>
    <row r="559" spans="1:20" x14ac:dyDescent="0.25">
      <c r="A559" s="12">
        <v>44956</v>
      </c>
      <c r="B559" s="1" t="s">
        <v>35</v>
      </c>
      <c r="C559" s="1" t="s">
        <v>36</v>
      </c>
      <c r="D559" s="1" t="s">
        <v>48</v>
      </c>
      <c r="E559" s="1" t="s">
        <v>38</v>
      </c>
      <c r="F559">
        <v>795</v>
      </c>
      <c r="G559">
        <v>4.96</v>
      </c>
      <c r="H559">
        <v>3943.2</v>
      </c>
      <c r="I559" s="1" t="s">
        <v>57</v>
      </c>
      <c r="J559" s="1" t="s">
        <v>47</v>
      </c>
      <c r="K559" s="1" t="s">
        <v>23</v>
      </c>
      <c r="L559">
        <v>3358.7</v>
      </c>
      <c r="M559">
        <v>14.8</v>
      </c>
      <c r="N559">
        <v>2023</v>
      </c>
      <c r="O559">
        <f t="shared" si="8"/>
        <v>1</v>
      </c>
      <c r="P559" s="13" t="s">
        <v>24</v>
      </c>
      <c r="Q559">
        <v>584.5</v>
      </c>
      <c r="R559" s="3" t="s">
        <v>29</v>
      </c>
      <c r="S559" s="7">
        <f>Ventas[[#This Row],[Costo Material (€)]]/Ventas[[#This Row],[Beneficio (€)]]</f>
        <v>5.7462788708297685</v>
      </c>
      <c r="T559" s="3" t="str">
        <f>IF(Ventas[[#This Row],[Margen (%)]]&gt;20%,"Beneficio","Perdidas")</f>
        <v>Beneficio</v>
      </c>
    </row>
    <row r="560" spans="1:20" x14ac:dyDescent="0.25">
      <c r="A560" s="12">
        <v>45463</v>
      </c>
      <c r="B560" s="1" t="s">
        <v>30</v>
      </c>
      <c r="C560" s="1" t="s">
        <v>31</v>
      </c>
      <c r="D560" s="1" t="s">
        <v>48</v>
      </c>
      <c r="E560" s="1" t="s">
        <v>38</v>
      </c>
      <c r="F560">
        <v>412</v>
      </c>
      <c r="G560">
        <v>4.67</v>
      </c>
      <c r="H560">
        <v>1924.04</v>
      </c>
      <c r="I560" s="1" t="s">
        <v>55</v>
      </c>
      <c r="J560" s="1" t="s">
        <v>40</v>
      </c>
      <c r="K560" s="1" t="s">
        <v>23</v>
      </c>
      <c r="L560">
        <v>1339.79</v>
      </c>
      <c r="M560">
        <v>30.4</v>
      </c>
      <c r="N560">
        <v>2024</v>
      </c>
      <c r="O560">
        <f t="shared" si="8"/>
        <v>2</v>
      </c>
      <c r="P560" s="13" t="s">
        <v>64</v>
      </c>
      <c r="Q560">
        <v>584.25</v>
      </c>
      <c r="R560" s="3" t="s">
        <v>25</v>
      </c>
      <c r="S560" s="7">
        <f>Ventas[[#This Row],[Costo Material (€)]]/Ventas[[#This Row],[Beneficio (€)]]</f>
        <v>2.2931792896876337</v>
      </c>
      <c r="T560" s="3" t="str">
        <f>IF(Ventas[[#This Row],[Margen (%)]]&gt;20%,"Beneficio","Perdidas")</f>
        <v>Beneficio</v>
      </c>
    </row>
    <row r="561" spans="1:20" x14ac:dyDescent="0.25">
      <c r="A561" s="12">
        <v>45366</v>
      </c>
      <c r="B561" s="1" t="s">
        <v>51</v>
      </c>
      <c r="C561" s="1" t="s">
        <v>52</v>
      </c>
      <c r="D561" s="1" t="s">
        <v>37</v>
      </c>
      <c r="E561" s="1" t="s">
        <v>38</v>
      </c>
      <c r="F561">
        <v>516</v>
      </c>
      <c r="G561">
        <v>3.47</v>
      </c>
      <c r="H561">
        <v>1790.52</v>
      </c>
      <c r="I561" s="1" t="s">
        <v>57</v>
      </c>
      <c r="J561" s="1" t="s">
        <v>56</v>
      </c>
      <c r="K561" s="1" t="s">
        <v>23</v>
      </c>
      <c r="L561">
        <v>1211.3800000000001</v>
      </c>
      <c r="M561">
        <v>32.299999999999997</v>
      </c>
      <c r="N561">
        <v>2024</v>
      </c>
      <c r="O561">
        <f t="shared" si="8"/>
        <v>1</v>
      </c>
      <c r="P561" s="13" t="s">
        <v>61</v>
      </c>
      <c r="Q561">
        <v>579.14</v>
      </c>
      <c r="R561" s="3" t="s">
        <v>25</v>
      </c>
      <c r="S561" s="7">
        <f>Ventas[[#This Row],[Costo Material (€)]]/Ventas[[#This Row],[Beneficio (€)]]</f>
        <v>2.0916876748281936</v>
      </c>
      <c r="T561" s="3" t="str">
        <f>IF(Ventas[[#This Row],[Margen (%)]]&gt;20%,"Beneficio","Perdidas")</f>
        <v>Beneficio</v>
      </c>
    </row>
    <row r="562" spans="1:20" x14ac:dyDescent="0.25">
      <c r="A562" s="12">
        <v>45656</v>
      </c>
      <c r="B562" s="1" t="s">
        <v>58</v>
      </c>
      <c r="C562" s="1" t="s">
        <v>59</v>
      </c>
      <c r="D562" s="1" t="s">
        <v>37</v>
      </c>
      <c r="E562" s="1" t="s">
        <v>38</v>
      </c>
      <c r="F562">
        <v>445</v>
      </c>
      <c r="G562">
        <v>8.08</v>
      </c>
      <c r="H562">
        <v>3595.6</v>
      </c>
      <c r="I562" s="1" t="s">
        <v>21</v>
      </c>
      <c r="J562" s="1" t="s">
        <v>27</v>
      </c>
      <c r="K562" s="1" t="s">
        <v>23</v>
      </c>
      <c r="L562">
        <v>3017.63</v>
      </c>
      <c r="M562">
        <v>16.100000000000001</v>
      </c>
      <c r="N562">
        <v>2024</v>
      </c>
      <c r="O562">
        <f t="shared" si="8"/>
        <v>4</v>
      </c>
      <c r="P562" s="13" t="s">
        <v>70</v>
      </c>
      <c r="Q562">
        <v>577.97</v>
      </c>
      <c r="R562" s="3" t="s">
        <v>29</v>
      </c>
      <c r="S562" s="7">
        <f>Ventas[[#This Row],[Costo Material (€)]]/Ventas[[#This Row],[Beneficio (€)]]</f>
        <v>5.221084139315189</v>
      </c>
      <c r="T562" s="3" t="str">
        <f>IF(Ventas[[#This Row],[Margen (%)]]&gt;20%,"Beneficio","Perdidas")</f>
        <v>Beneficio</v>
      </c>
    </row>
    <row r="563" spans="1:20" x14ac:dyDescent="0.25">
      <c r="A563" s="12">
        <v>45398</v>
      </c>
      <c r="B563" s="1" t="s">
        <v>35</v>
      </c>
      <c r="C563" s="1" t="s">
        <v>36</v>
      </c>
      <c r="D563" s="1" t="s">
        <v>45</v>
      </c>
      <c r="E563" s="1" t="s">
        <v>20</v>
      </c>
      <c r="F563">
        <v>667</v>
      </c>
      <c r="G563">
        <v>2.92</v>
      </c>
      <c r="H563">
        <v>1947.64</v>
      </c>
      <c r="I563" s="1" t="s">
        <v>46</v>
      </c>
      <c r="J563" s="1" t="s">
        <v>47</v>
      </c>
      <c r="K563" s="1" t="s">
        <v>41</v>
      </c>
      <c r="L563">
        <v>1370.58</v>
      </c>
      <c r="M563">
        <v>29.6</v>
      </c>
      <c r="N563">
        <v>2024</v>
      </c>
      <c r="O563">
        <f t="shared" si="8"/>
        <v>2</v>
      </c>
      <c r="P563" s="13" t="s">
        <v>62</v>
      </c>
      <c r="Q563">
        <v>577.05999999999995</v>
      </c>
      <c r="R563" s="3" t="s">
        <v>25</v>
      </c>
      <c r="S563" s="7">
        <f>Ventas[[#This Row],[Costo Material (€)]]/Ventas[[#This Row],[Beneficio (€)]]</f>
        <v>2.3751083076283228</v>
      </c>
      <c r="T563" s="3" t="str">
        <f>IF(Ventas[[#This Row],[Margen (%)]]&gt;20%,"Beneficio","Perdidas")</f>
        <v>Beneficio</v>
      </c>
    </row>
    <row r="564" spans="1:20" x14ac:dyDescent="0.25">
      <c r="A564" s="12">
        <v>45101</v>
      </c>
      <c r="B564" s="1" t="s">
        <v>35</v>
      </c>
      <c r="C564" s="1" t="s">
        <v>36</v>
      </c>
      <c r="D564" s="1" t="s">
        <v>19</v>
      </c>
      <c r="E564" s="1" t="s">
        <v>20</v>
      </c>
      <c r="F564">
        <v>532</v>
      </c>
      <c r="G564">
        <v>6.71</v>
      </c>
      <c r="H564">
        <v>3569.72</v>
      </c>
      <c r="I564" s="1" t="s">
        <v>55</v>
      </c>
      <c r="J564" s="1" t="s">
        <v>47</v>
      </c>
      <c r="K564" s="1" t="s">
        <v>41</v>
      </c>
      <c r="L564">
        <v>2994.51</v>
      </c>
      <c r="M564">
        <v>16.100000000000001</v>
      </c>
      <c r="N564">
        <v>2023</v>
      </c>
      <c r="O564">
        <f t="shared" si="8"/>
        <v>2</v>
      </c>
      <c r="P564" s="13" t="s">
        <v>64</v>
      </c>
      <c r="Q564">
        <v>575.21</v>
      </c>
      <c r="R564" s="3" t="s">
        <v>29</v>
      </c>
      <c r="S564" s="7">
        <f>Ventas[[#This Row],[Costo Material (€)]]/Ventas[[#This Row],[Beneficio (€)]]</f>
        <v>5.2059421776394705</v>
      </c>
      <c r="T564" s="3" t="str">
        <f>IF(Ventas[[#This Row],[Margen (%)]]&gt;20%,"Beneficio","Perdidas")</f>
        <v>Beneficio</v>
      </c>
    </row>
    <row r="565" spans="1:20" x14ac:dyDescent="0.25">
      <c r="A565" s="12">
        <v>44967</v>
      </c>
      <c r="B565" s="1" t="s">
        <v>30</v>
      </c>
      <c r="C565" s="1" t="s">
        <v>31</v>
      </c>
      <c r="D565" s="1" t="s">
        <v>32</v>
      </c>
      <c r="E565" s="1" t="s">
        <v>20</v>
      </c>
      <c r="F565">
        <v>574</v>
      </c>
      <c r="G565">
        <v>4.6900000000000004</v>
      </c>
      <c r="H565">
        <v>2692.06</v>
      </c>
      <c r="I565" s="1" t="s">
        <v>39</v>
      </c>
      <c r="J565" s="1" t="s">
        <v>47</v>
      </c>
      <c r="K565" s="1" t="s">
        <v>41</v>
      </c>
      <c r="L565">
        <v>2117.3000000000002</v>
      </c>
      <c r="M565">
        <v>21.4</v>
      </c>
      <c r="N565">
        <v>2023</v>
      </c>
      <c r="O565">
        <f t="shared" si="8"/>
        <v>1</v>
      </c>
      <c r="P565" s="13" t="s">
        <v>60</v>
      </c>
      <c r="Q565">
        <v>574.76</v>
      </c>
      <c r="R565" s="3" t="s">
        <v>29</v>
      </c>
      <c r="S565" s="7">
        <f>Ventas[[#This Row],[Costo Material (€)]]/Ventas[[#This Row],[Beneficio (€)]]</f>
        <v>3.6837984550073077</v>
      </c>
      <c r="T565" s="3" t="str">
        <f>IF(Ventas[[#This Row],[Margen (%)]]&gt;20%,"Beneficio","Perdidas")</f>
        <v>Beneficio</v>
      </c>
    </row>
    <row r="566" spans="1:20" x14ac:dyDescent="0.25">
      <c r="A566" s="12">
        <v>44982</v>
      </c>
      <c r="B566" s="1" t="s">
        <v>51</v>
      </c>
      <c r="C566" s="1" t="s">
        <v>52</v>
      </c>
      <c r="D566" s="1" t="s">
        <v>53</v>
      </c>
      <c r="E566" s="1" t="s">
        <v>50</v>
      </c>
      <c r="F566">
        <v>415</v>
      </c>
      <c r="G566">
        <v>6.2</v>
      </c>
      <c r="H566">
        <v>2573</v>
      </c>
      <c r="I566" s="1" t="s">
        <v>54</v>
      </c>
      <c r="J566" s="1" t="s">
        <v>22</v>
      </c>
      <c r="K566" s="1" t="s">
        <v>23</v>
      </c>
      <c r="L566">
        <v>1999.13</v>
      </c>
      <c r="M566">
        <v>22.3</v>
      </c>
      <c r="N566">
        <v>2023</v>
      </c>
      <c r="O566">
        <f t="shared" si="8"/>
        <v>1</v>
      </c>
      <c r="P566" s="13" t="s">
        <v>60</v>
      </c>
      <c r="Q566">
        <v>573.87</v>
      </c>
      <c r="R566" s="3" t="s">
        <v>29</v>
      </c>
      <c r="S566" s="7">
        <f>Ventas[[#This Row],[Costo Material (€)]]/Ventas[[#This Row],[Beneficio (€)]]</f>
        <v>3.4835938452959732</v>
      </c>
      <c r="T566" s="3" t="str">
        <f>IF(Ventas[[#This Row],[Margen (%)]]&gt;20%,"Beneficio","Perdidas")</f>
        <v>Beneficio</v>
      </c>
    </row>
    <row r="567" spans="1:20" x14ac:dyDescent="0.25">
      <c r="A567" s="12">
        <v>45444</v>
      </c>
      <c r="B567" s="1" t="s">
        <v>51</v>
      </c>
      <c r="C567" s="1" t="s">
        <v>52</v>
      </c>
      <c r="D567" s="1" t="s">
        <v>45</v>
      </c>
      <c r="E567" s="1" t="s">
        <v>20</v>
      </c>
      <c r="F567">
        <v>738</v>
      </c>
      <c r="G567">
        <v>2.5299999999999998</v>
      </c>
      <c r="H567">
        <v>1867.14</v>
      </c>
      <c r="I567" s="1" t="s">
        <v>57</v>
      </c>
      <c r="J567" s="1" t="s">
        <v>56</v>
      </c>
      <c r="K567" s="1" t="s">
        <v>28</v>
      </c>
      <c r="L567">
        <v>1293.73</v>
      </c>
      <c r="M567">
        <v>30.7</v>
      </c>
      <c r="N567">
        <v>2024</v>
      </c>
      <c r="O567">
        <f t="shared" si="8"/>
        <v>2</v>
      </c>
      <c r="P567" s="13" t="s">
        <v>64</v>
      </c>
      <c r="Q567">
        <v>573.41</v>
      </c>
      <c r="R567" s="3" t="s">
        <v>25</v>
      </c>
      <c r="S567" s="7">
        <f>Ventas[[#This Row],[Costo Material (€)]]/Ventas[[#This Row],[Beneficio (€)]]</f>
        <v>2.256204112240805</v>
      </c>
      <c r="T567" s="3" t="str">
        <f>IF(Ventas[[#This Row],[Margen (%)]]&gt;20%,"Beneficio","Perdidas")</f>
        <v>Beneficio</v>
      </c>
    </row>
    <row r="568" spans="1:20" x14ac:dyDescent="0.25">
      <c r="A568" s="12">
        <v>45075</v>
      </c>
      <c r="B568" s="1" t="s">
        <v>35</v>
      </c>
      <c r="C568" s="1" t="s">
        <v>36</v>
      </c>
      <c r="D568" s="1" t="s">
        <v>53</v>
      </c>
      <c r="E568" s="1" t="s">
        <v>50</v>
      </c>
      <c r="F568">
        <v>929</v>
      </c>
      <c r="G568">
        <v>2.04</v>
      </c>
      <c r="H568">
        <v>1895.16</v>
      </c>
      <c r="I568" s="1" t="s">
        <v>46</v>
      </c>
      <c r="J568" s="1" t="s">
        <v>34</v>
      </c>
      <c r="K568" s="1" t="s">
        <v>23</v>
      </c>
      <c r="L568">
        <v>1322.03</v>
      </c>
      <c r="M568">
        <v>30.2</v>
      </c>
      <c r="N568">
        <v>2023</v>
      </c>
      <c r="O568">
        <f t="shared" si="8"/>
        <v>2</v>
      </c>
      <c r="P568" s="13" t="s">
        <v>63</v>
      </c>
      <c r="Q568">
        <v>573.13</v>
      </c>
      <c r="R568" s="3" t="s">
        <v>25</v>
      </c>
      <c r="S568" s="7">
        <f>Ventas[[#This Row],[Costo Material (€)]]/Ventas[[#This Row],[Beneficio (€)]]</f>
        <v>2.3066843473557483</v>
      </c>
      <c r="T568" s="3" t="str">
        <f>IF(Ventas[[#This Row],[Margen (%)]]&gt;20%,"Beneficio","Perdidas")</f>
        <v>Beneficio</v>
      </c>
    </row>
    <row r="569" spans="1:20" x14ac:dyDescent="0.25">
      <c r="A569" s="12">
        <v>45074</v>
      </c>
      <c r="B569" s="1" t="s">
        <v>30</v>
      </c>
      <c r="C569" s="1" t="s">
        <v>31</v>
      </c>
      <c r="D569" s="1" t="s">
        <v>48</v>
      </c>
      <c r="E569" s="1" t="s">
        <v>38</v>
      </c>
      <c r="F569">
        <v>428</v>
      </c>
      <c r="G569">
        <v>11.57</v>
      </c>
      <c r="H569">
        <v>4951.96</v>
      </c>
      <c r="I569" s="1" t="s">
        <v>26</v>
      </c>
      <c r="J569" s="1" t="s">
        <v>47</v>
      </c>
      <c r="K569" s="1" t="s">
        <v>41</v>
      </c>
      <c r="L569">
        <v>4379.59</v>
      </c>
      <c r="M569">
        <v>11.6</v>
      </c>
      <c r="N569">
        <v>2023</v>
      </c>
      <c r="O569">
        <f t="shared" si="8"/>
        <v>2</v>
      </c>
      <c r="P569" s="13" t="s">
        <v>63</v>
      </c>
      <c r="Q569">
        <v>572.37</v>
      </c>
      <c r="R569" s="3" t="s">
        <v>29</v>
      </c>
      <c r="S569" s="7">
        <f>Ventas[[#This Row],[Costo Material (€)]]/Ventas[[#This Row],[Beneficio (€)]]</f>
        <v>7.6516763631916422</v>
      </c>
      <c r="T569" s="3" t="str">
        <f>IF(Ventas[[#This Row],[Margen (%)]]&gt;20%,"Beneficio","Perdidas")</f>
        <v>Beneficio</v>
      </c>
    </row>
    <row r="570" spans="1:20" x14ac:dyDescent="0.25">
      <c r="A570" s="12">
        <v>44954</v>
      </c>
      <c r="B570" s="1" t="s">
        <v>51</v>
      </c>
      <c r="C570" s="1" t="s">
        <v>52</v>
      </c>
      <c r="D570" s="1" t="s">
        <v>48</v>
      </c>
      <c r="E570" s="1" t="s">
        <v>38</v>
      </c>
      <c r="F570">
        <v>874</v>
      </c>
      <c r="G570">
        <v>2.67</v>
      </c>
      <c r="H570">
        <v>2333.58</v>
      </c>
      <c r="I570" s="1" t="s">
        <v>21</v>
      </c>
      <c r="J570" s="1" t="s">
        <v>47</v>
      </c>
      <c r="K570" s="1" t="s">
        <v>23</v>
      </c>
      <c r="L570">
        <v>1764.71</v>
      </c>
      <c r="M570">
        <v>24.4</v>
      </c>
      <c r="N570">
        <v>2023</v>
      </c>
      <c r="O570">
        <f t="shared" si="8"/>
        <v>1</v>
      </c>
      <c r="P570" s="13" t="s">
        <v>24</v>
      </c>
      <c r="Q570">
        <v>568.87</v>
      </c>
      <c r="R570" s="3" t="s">
        <v>29</v>
      </c>
      <c r="S570" s="7">
        <f>Ventas[[#This Row],[Costo Material (€)]]/Ventas[[#This Row],[Beneficio (€)]]</f>
        <v>3.102132297361436</v>
      </c>
      <c r="T570" s="3" t="str">
        <f>IF(Ventas[[#This Row],[Margen (%)]]&gt;20%,"Beneficio","Perdidas")</f>
        <v>Beneficio</v>
      </c>
    </row>
    <row r="571" spans="1:20" x14ac:dyDescent="0.25">
      <c r="A571" s="12">
        <v>45571</v>
      </c>
      <c r="B571" s="1" t="s">
        <v>35</v>
      </c>
      <c r="C571" s="1" t="s">
        <v>36</v>
      </c>
      <c r="D571" s="1" t="s">
        <v>48</v>
      </c>
      <c r="E571" s="1" t="s">
        <v>38</v>
      </c>
      <c r="F571">
        <v>425</v>
      </c>
      <c r="G571">
        <v>8.31</v>
      </c>
      <c r="H571">
        <v>3531.75</v>
      </c>
      <c r="I571" s="1" t="s">
        <v>26</v>
      </c>
      <c r="J571" s="1" t="s">
        <v>56</v>
      </c>
      <c r="K571" s="1" t="s">
        <v>41</v>
      </c>
      <c r="L571">
        <v>2964.57</v>
      </c>
      <c r="M571">
        <v>16.100000000000001</v>
      </c>
      <c r="N571">
        <v>2024</v>
      </c>
      <c r="O571">
        <f t="shared" si="8"/>
        <v>4</v>
      </c>
      <c r="P571" s="13" t="s">
        <v>68</v>
      </c>
      <c r="Q571">
        <v>567.17999999999995</v>
      </c>
      <c r="R571" s="3" t="s">
        <v>29</v>
      </c>
      <c r="S571" s="7">
        <f>Ventas[[#This Row],[Costo Material (€)]]/Ventas[[#This Row],[Beneficio (€)]]</f>
        <v>5.2268591981381576</v>
      </c>
      <c r="T571" s="3" t="str">
        <f>IF(Ventas[[#This Row],[Margen (%)]]&gt;20%,"Beneficio","Perdidas")</f>
        <v>Beneficio</v>
      </c>
    </row>
    <row r="572" spans="1:20" x14ac:dyDescent="0.25">
      <c r="A572" s="12">
        <v>45364</v>
      </c>
      <c r="B572" s="1" t="s">
        <v>35</v>
      </c>
      <c r="C572" s="1" t="s">
        <v>36</v>
      </c>
      <c r="D572" s="1" t="s">
        <v>49</v>
      </c>
      <c r="E572" s="1" t="s">
        <v>50</v>
      </c>
      <c r="F572">
        <v>889</v>
      </c>
      <c r="G572">
        <v>4.43</v>
      </c>
      <c r="H572">
        <v>3938.27</v>
      </c>
      <c r="I572" s="1" t="s">
        <v>46</v>
      </c>
      <c r="J572" s="1" t="s">
        <v>40</v>
      </c>
      <c r="K572" s="1" t="s">
        <v>41</v>
      </c>
      <c r="L572">
        <v>3373.24</v>
      </c>
      <c r="M572">
        <v>14.3</v>
      </c>
      <c r="N572">
        <v>2024</v>
      </c>
      <c r="O572">
        <f t="shared" si="8"/>
        <v>1</v>
      </c>
      <c r="P572" s="13" t="s">
        <v>61</v>
      </c>
      <c r="Q572">
        <v>565.03</v>
      </c>
      <c r="R572" s="3" t="s">
        <v>29</v>
      </c>
      <c r="S572" s="7">
        <f>Ventas[[#This Row],[Costo Material (€)]]/Ventas[[#This Row],[Beneficio (€)]]</f>
        <v>5.9700192910110967</v>
      </c>
      <c r="T572" s="3" t="str">
        <f>IF(Ventas[[#This Row],[Margen (%)]]&gt;20%,"Beneficio","Perdidas")</f>
        <v>Beneficio</v>
      </c>
    </row>
    <row r="573" spans="1:20" x14ac:dyDescent="0.25">
      <c r="A573" s="12">
        <v>45053</v>
      </c>
      <c r="B573" s="1" t="s">
        <v>58</v>
      </c>
      <c r="C573" s="1" t="s">
        <v>59</v>
      </c>
      <c r="D573" s="1" t="s">
        <v>19</v>
      </c>
      <c r="E573" s="1" t="s">
        <v>20</v>
      </c>
      <c r="F573">
        <v>654</v>
      </c>
      <c r="G573">
        <v>2.1800000000000002</v>
      </c>
      <c r="H573">
        <v>1425.72</v>
      </c>
      <c r="I573" s="1" t="s">
        <v>54</v>
      </c>
      <c r="J573" s="1" t="s">
        <v>47</v>
      </c>
      <c r="K573" s="1" t="s">
        <v>23</v>
      </c>
      <c r="L573">
        <v>862.11</v>
      </c>
      <c r="M573">
        <v>39.5</v>
      </c>
      <c r="N573">
        <v>2023</v>
      </c>
      <c r="O573">
        <f t="shared" si="8"/>
        <v>2</v>
      </c>
      <c r="P573" s="13" t="s">
        <v>63</v>
      </c>
      <c r="Q573">
        <v>563.61</v>
      </c>
      <c r="R573" s="3" t="s">
        <v>25</v>
      </c>
      <c r="S573" s="7">
        <f>Ventas[[#This Row],[Costo Material (€)]]/Ventas[[#This Row],[Beneficio (€)]]</f>
        <v>1.5296215468142864</v>
      </c>
      <c r="T573" s="3" t="str">
        <f>IF(Ventas[[#This Row],[Margen (%)]]&gt;20%,"Beneficio","Perdidas")</f>
        <v>Beneficio</v>
      </c>
    </row>
    <row r="574" spans="1:20" x14ac:dyDescent="0.25">
      <c r="A574" s="12">
        <v>45000</v>
      </c>
      <c r="B574" s="1" t="s">
        <v>51</v>
      </c>
      <c r="C574" s="1" t="s">
        <v>52</v>
      </c>
      <c r="D574" s="1" t="s">
        <v>19</v>
      </c>
      <c r="E574" s="1" t="s">
        <v>20</v>
      </c>
      <c r="F574">
        <v>124</v>
      </c>
      <c r="G574">
        <v>11.8</v>
      </c>
      <c r="H574">
        <v>1463.2</v>
      </c>
      <c r="I574" s="1" t="s">
        <v>21</v>
      </c>
      <c r="J574" s="1" t="s">
        <v>22</v>
      </c>
      <c r="K574" s="1" t="s">
        <v>28</v>
      </c>
      <c r="L574">
        <v>901.38</v>
      </c>
      <c r="M574">
        <v>38.4</v>
      </c>
      <c r="N574">
        <v>2023</v>
      </c>
      <c r="O574">
        <f t="shared" si="8"/>
        <v>1</v>
      </c>
      <c r="P574" s="13" t="s">
        <v>61</v>
      </c>
      <c r="Q574">
        <v>561.82000000000005</v>
      </c>
      <c r="R574" s="3" t="s">
        <v>25</v>
      </c>
      <c r="S574" s="7">
        <f>Ventas[[#This Row],[Costo Material (€)]]/Ventas[[#This Row],[Beneficio (€)]]</f>
        <v>1.6043928660425046</v>
      </c>
      <c r="T574" s="3" t="str">
        <f>IF(Ventas[[#This Row],[Margen (%)]]&gt;20%,"Beneficio","Perdidas")</f>
        <v>Beneficio</v>
      </c>
    </row>
    <row r="575" spans="1:20" x14ac:dyDescent="0.25">
      <c r="A575" s="12">
        <v>44933</v>
      </c>
      <c r="B575" s="1" t="s">
        <v>51</v>
      </c>
      <c r="C575" s="1" t="s">
        <v>52</v>
      </c>
      <c r="D575" s="1" t="s">
        <v>45</v>
      </c>
      <c r="E575" s="1" t="s">
        <v>20</v>
      </c>
      <c r="F575">
        <v>855</v>
      </c>
      <c r="G575">
        <v>2.88</v>
      </c>
      <c r="H575">
        <v>2462.4</v>
      </c>
      <c r="I575" s="1" t="s">
        <v>54</v>
      </c>
      <c r="J575" s="1" t="s">
        <v>47</v>
      </c>
      <c r="K575" s="1" t="s">
        <v>28</v>
      </c>
      <c r="L575">
        <v>1901.38</v>
      </c>
      <c r="M575">
        <v>22.8</v>
      </c>
      <c r="N575">
        <v>2023</v>
      </c>
      <c r="O575">
        <f t="shared" si="8"/>
        <v>1</v>
      </c>
      <c r="P575" s="13" t="s">
        <v>24</v>
      </c>
      <c r="Q575">
        <v>561.02</v>
      </c>
      <c r="R575" s="3" t="s">
        <v>29</v>
      </c>
      <c r="S575" s="7">
        <f>Ventas[[#This Row],[Costo Material (€)]]/Ventas[[#This Row],[Beneficio (€)]]</f>
        <v>3.3891483369576845</v>
      </c>
      <c r="T575" s="3" t="str">
        <f>IF(Ventas[[#This Row],[Margen (%)]]&gt;20%,"Beneficio","Perdidas")</f>
        <v>Beneficio</v>
      </c>
    </row>
    <row r="576" spans="1:20" x14ac:dyDescent="0.25">
      <c r="A576" s="12">
        <v>44994</v>
      </c>
      <c r="B576" s="1" t="s">
        <v>51</v>
      </c>
      <c r="C576" s="1" t="s">
        <v>52</v>
      </c>
      <c r="D576" s="1" t="s">
        <v>53</v>
      </c>
      <c r="E576" s="1" t="s">
        <v>50</v>
      </c>
      <c r="F576">
        <v>720</v>
      </c>
      <c r="G576">
        <v>2.4</v>
      </c>
      <c r="H576">
        <v>1728</v>
      </c>
      <c r="I576" s="1" t="s">
        <v>55</v>
      </c>
      <c r="J576" s="1" t="s">
        <v>47</v>
      </c>
      <c r="K576" s="1" t="s">
        <v>41</v>
      </c>
      <c r="L576">
        <v>1167.08</v>
      </c>
      <c r="M576">
        <v>32.5</v>
      </c>
      <c r="N576">
        <v>2023</v>
      </c>
      <c r="O576">
        <f t="shared" si="8"/>
        <v>1</v>
      </c>
      <c r="P576" s="13" t="s">
        <v>61</v>
      </c>
      <c r="Q576">
        <v>560.91999999999996</v>
      </c>
      <c r="R576" s="3" t="s">
        <v>25</v>
      </c>
      <c r="S576" s="7">
        <f>Ventas[[#This Row],[Costo Material (€)]]/Ventas[[#This Row],[Beneficio (€)]]</f>
        <v>2.080653212579334</v>
      </c>
      <c r="T576" s="3" t="str">
        <f>IF(Ventas[[#This Row],[Margen (%)]]&gt;20%,"Beneficio","Perdidas")</f>
        <v>Beneficio</v>
      </c>
    </row>
    <row r="577" spans="1:20" x14ac:dyDescent="0.25">
      <c r="A577" s="12">
        <v>45001</v>
      </c>
      <c r="B577" s="1" t="s">
        <v>42</v>
      </c>
      <c r="C577" s="1" t="s">
        <v>43</v>
      </c>
      <c r="D577" s="1" t="s">
        <v>44</v>
      </c>
      <c r="E577" s="1" t="s">
        <v>38</v>
      </c>
      <c r="F577">
        <v>594</v>
      </c>
      <c r="G577">
        <v>3.01</v>
      </c>
      <c r="H577">
        <v>1787.94</v>
      </c>
      <c r="I577" s="1" t="s">
        <v>26</v>
      </c>
      <c r="J577" s="1" t="s">
        <v>47</v>
      </c>
      <c r="K577" s="1" t="s">
        <v>23</v>
      </c>
      <c r="L577">
        <v>1227.8900000000001</v>
      </c>
      <c r="M577">
        <v>31.3</v>
      </c>
      <c r="N577">
        <v>2023</v>
      </c>
      <c r="O577">
        <f t="shared" si="8"/>
        <v>1</v>
      </c>
      <c r="P577" s="13" t="s">
        <v>61</v>
      </c>
      <c r="Q577">
        <v>560.04999999999995</v>
      </c>
      <c r="R577" s="3" t="s">
        <v>25</v>
      </c>
      <c r="S577" s="7">
        <f>Ventas[[#This Row],[Costo Material (€)]]/Ventas[[#This Row],[Beneficio (€)]]</f>
        <v>2.19246495848585</v>
      </c>
      <c r="T577" s="3" t="str">
        <f>IF(Ventas[[#This Row],[Margen (%)]]&gt;20%,"Beneficio","Perdidas")</f>
        <v>Beneficio</v>
      </c>
    </row>
    <row r="578" spans="1:20" x14ac:dyDescent="0.25">
      <c r="A578" s="12">
        <v>45202</v>
      </c>
      <c r="B578" s="1" t="s">
        <v>30</v>
      </c>
      <c r="C578" s="1" t="s">
        <v>31</v>
      </c>
      <c r="D578" s="1" t="s">
        <v>49</v>
      </c>
      <c r="E578" s="1" t="s">
        <v>50</v>
      </c>
      <c r="F578">
        <v>678</v>
      </c>
      <c r="G578">
        <v>7.78</v>
      </c>
      <c r="H578">
        <v>5274.84</v>
      </c>
      <c r="I578" s="1" t="s">
        <v>55</v>
      </c>
      <c r="J578" s="1" t="s">
        <v>56</v>
      </c>
      <c r="K578" s="1" t="s">
        <v>28</v>
      </c>
      <c r="L578">
        <v>4716.5600000000004</v>
      </c>
      <c r="M578">
        <v>10.6</v>
      </c>
      <c r="N578">
        <v>2023</v>
      </c>
      <c r="O578">
        <f t="shared" ref="O578:O641" si="9">ROUNDUP(MONTH(A578)/3,0)</f>
        <v>4</v>
      </c>
      <c r="P578" s="13" t="s">
        <v>68</v>
      </c>
      <c r="Q578">
        <v>558.28</v>
      </c>
      <c r="R578" s="3" t="s">
        <v>29</v>
      </c>
      <c r="S578" s="7">
        <f>Ventas[[#This Row],[Costo Material (€)]]/Ventas[[#This Row],[Beneficio (€)]]</f>
        <v>8.4483771584151341</v>
      </c>
      <c r="T578" s="3" t="str">
        <f>IF(Ventas[[#This Row],[Margen (%)]]&gt;20%,"Beneficio","Perdidas")</f>
        <v>Beneficio</v>
      </c>
    </row>
    <row r="579" spans="1:20" x14ac:dyDescent="0.25">
      <c r="A579" s="12">
        <v>45108</v>
      </c>
      <c r="B579" s="1" t="s">
        <v>51</v>
      </c>
      <c r="C579" s="1" t="s">
        <v>52</v>
      </c>
      <c r="D579" s="1" t="s">
        <v>53</v>
      </c>
      <c r="E579" s="1" t="s">
        <v>50</v>
      </c>
      <c r="F579">
        <v>404</v>
      </c>
      <c r="G579">
        <v>8.56</v>
      </c>
      <c r="H579">
        <v>3458.24</v>
      </c>
      <c r="I579" s="1" t="s">
        <v>33</v>
      </c>
      <c r="J579" s="1" t="s">
        <v>56</v>
      </c>
      <c r="K579" s="1" t="s">
        <v>28</v>
      </c>
      <c r="L579">
        <v>2900.35</v>
      </c>
      <c r="M579">
        <v>16.100000000000001</v>
      </c>
      <c r="N579">
        <v>2023</v>
      </c>
      <c r="O579">
        <f t="shared" si="9"/>
        <v>3</v>
      </c>
      <c r="P579" s="13" t="s">
        <v>65</v>
      </c>
      <c r="Q579">
        <v>557.89</v>
      </c>
      <c r="R579" s="3" t="s">
        <v>29</v>
      </c>
      <c r="S579" s="7">
        <f>Ventas[[#This Row],[Costo Material (€)]]/Ventas[[#This Row],[Beneficio (€)]]</f>
        <v>5.1987847066626038</v>
      </c>
      <c r="T579" s="3" t="str">
        <f>IF(Ventas[[#This Row],[Margen (%)]]&gt;20%,"Beneficio","Perdidas")</f>
        <v>Beneficio</v>
      </c>
    </row>
    <row r="580" spans="1:20" x14ac:dyDescent="0.25">
      <c r="A580" s="12">
        <v>44979</v>
      </c>
      <c r="B580" s="1" t="s">
        <v>42</v>
      </c>
      <c r="C580" s="1" t="s">
        <v>43</v>
      </c>
      <c r="D580" s="1" t="s">
        <v>49</v>
      </c>
      <c r="E580" s="1" t="s">
        <v>50</v>
      </c>
      <c r="F580">
        <v>331</v>
      </c>
      <c r="G580">
        <v>4.79</v>
      </c>
      <c r="H580">
        <v>1585.49</v>
      </c>
      <c r="I580" s="1" t="s">
        <v>54</v>
      </c>
      <c r="J580" s="1" t="s">
        <v>47</v>
      </c>
      <c r="K580" s="1" t="s">
        <v>23</v>
      </c>
      <c r="L580">
        <v>1027.9000000000001</v>
      </c>
      <c r="M580">
        <v>35.200000000000003</v>
      </c>
      <c r="N580">
        <v>2023</v>
      </c>
      <c r="O580">
        <f t="shared" si="9"/>
        <v>1</v>
      </c>
      <c r="P580" s="13" t="s">
        <v>60</v>
      </c>
      <c r="Q580">
        <v>557.59</v>
      </c>
      <c r="R580" s="3" t="s">
        <v>25</v>
      </c>
      <c r="S580" s="7">
        <f>Ventas[[#This Row],[Costo Material (€)]]/Ventas[[#This Row],[Beneficio (€)]]</f>
        <v>1.8434692157319894</v>
      </c>
      <c r="T580" s="3" t="str">
        <f>IF(Ventas[[#This Row],[Margen (%)]]&gt;20%,"Beneficio","Perdidas")</f>
        <v>Beneficio</v>
      </c>
    </row>
    <row r="581" spans="1:20" x14ac:dyDescent="0.25">
      <c r="A581" s="12">
        <v>44959</v>
      </c>
      <c r="B581" s="1" t="s">
        <v>42</v>
      </c>
      <c r="C581" s="1" t="s">
        <v>43</v>
      </c>
      <c r="D581" s="1" t="s">
        <v>49</v>
      </c>
      <c r="E581" s="1" t="s">
        <v>50</v>
      </c>
      <c r="F581">
        <v>943</v>
      </c>
      <c r="G581">
        <v>2.09</v>
      </c>
      <c r="H581">
        <v>1970.87</v>
      </c>
      <c r="I581" s="1" t="s">
        <v>57</v>
      </c>
      <c r="J581" s="1" t="s">
        <v>22</v>
      </c>
      <c r="K581" s="1" t="s">
        <v>41</v>
      </c>
      <c r="L581">
        <v>1413.35</v>
      </c>
      <c r="M581">
        <v>28.3</v>
      </c>
      <c r="N581">
        <v>2023</v>
      </c>
      <c r="O581">
        <f t="shared" si="9"/>
        <v>1</v>
      </c>
      <c r="P581" s="13" t="s">
        <v>60</v>
      </c>
      <c r="Q581">
        <v>557.52</v>
      </c>
      <c r="R581" s="3" t="s">
        <v>25</v>
      </c>
      <c r="S581" s="7">
        <f>Ventas[[#This Row],[Costo Material (€)]]/Ventas[[#This Row],[Beneficio (€)]]</f>
        <v>2.5350660066006601</v>
      </c>
      <c r="T581" s="3" t="str">
        <f>IF(Ventas[[#This Row],[Margen (%)]]&gt;20%,"Beneficio","Perdidas")</f>
        <v>Beneficio</v>
      </c>
    </row>
    <row r="582" spans="1:20" x14ac:dyDescent="0.25">
      <c r="A582" s="12">
        <v>45110</v>
      </c>
      <c r="B582" s="1" t="s">
        <v>51</v>
      </c>
      <c r="C582" s="1" t="s">
        <v>52</v>
      </c>
      <c r="D582" s="1" t="s">
        <v>45</v>
      </c>
      <c r="E582" s="1" t="s">
        <v>20</v>
      </c>
      <c r="F582">
        <v>488</v>
      </c>
      <c r="G582">
        <v>8.7799999999999994</v>
      </c>
      <c r="H582">
        <v>4284.6400000000003</v>
      </c>
      <c r="I582" s="1" t="s">
        <v>21</v>
      </c>
      <c r="J582" s="1" t="s">
        <v>27</v>
      </c>
      <c r="K582" s="1" t="s">
        <v>28</v>
      </c>
      <c r="L582">
        <v>3728.79</v>
      </c>
      <c r="M582">
        <v>13</v>
      </c>
      <c r="N582">
        <v>2023</v>
      </c>
      <c r="O582">
        <f t="shared" si="9"/>
        <v>3</v>
      </c>
      <c r="P582" s="13" t="s">
        <v>65</v>
      </c>
      <c r="Q582">
        <v>555.85</v>
      </c>
      <c r="R582" s="3" t="s">
        <v>29</v>
      </c>
      <c r="S582" s="7">
        <f>Ventas[[#This Row],[Costo Material (€)]]/Ventas[[#This Row],[Beneficio (€)]]</f>
        <v>6.7082666186920932</v>
      </c>
      <c r="T582" s="3" t="str">
        <f>IF(Ventas[[#This Row],[Margen (%)]]&gt;20%,"Beneficio","Perdidas")</f>
        <v>Beneficio</v>
      </c>
    </row>
    <row r="583" spans="1:20" x14ac:dyDescent="0.25">
      <c r="A583" s="12">
        <v>44955</v>
      </c>
      <c r="B583" s="1" t="s">
        <v>35</v>
      </c>
      <c r="C583" s="1" t="s">
        <v>36</v>
      </c>
      <c r="D583" s="1" t="s">
        <v>53</v>
      </c>
      <c r="E583" s="1" t="s">
        <v>50</v>
      </c>
      <c r="F583">
        <v>635</v>
      </c>
      <c r="G583">
        <v>3.18</v>
      </c>
      <c r="H583">
        <v>2019.3</v>
      </c>
      <c r="I583" s="1" t="s">
        <v>57</v>
      </c>
      <c r="J583" s="1" t="s">
        <v>22</v>
      </c>
      <c r="K583" s="1" t="s">
        <v>41</v>
      </c>
      <c r="L583">
        <v>1464.69</v>
      </c>
      <c r="M583">
        <v>27.5</v>
      </c>
      <c r="N583">
        <v>2023</v>
      </c>
      <c r="O583">
        <f t="shared" si="9"/>
        <v>1</v>
      </c>
      <c r="P583" s="13" t="s">
        <v>24</v>
      </c>
      <c r="Q583">
        <v>554.61</v>
      </c>
      <c r="R583" s="3" t="s">
        <v>25</v>
      </c>
      <c r="S583" s="7">
        <f>Ventas[[#This Row],[Costo Material (€)]]/Ventas[[#This Row],[Beneficio (€)]]</f>
        <v>2.6409368745605022</v>
      </c>
      <c r="T583" s="3" t="str">
        <f>IF(Ventas[[#This Row],[Margen (%)]]&gt;20%,"Beneficio","Perdidas")</f>
        <v>Beneficio</v>
      </c>
    </row>
    <row r="584" spans="1:20" x14ac:dyDescent="0.25">
      <c r="A584" s="12">
        <v>44941</v>
      </c>
      <c r="B584" s="1" t="s">
        <v>17</v>
      </c>
      <c r="C584" s="1" t="s">
        <v>18</v>
      </c>
      <c r="D584" s="1" t="s">
        <v>19</v>
      </c>
      <c r="E584" s="1" t="s">
        <v>20</v>
      </c>
      <c r="F584">
        <v>890</v>
      </c>
      <c r="G584">
        <v>2.2599999999999998</v>
      </c>
      <c r="H584">
        <v>2011.4</v>
      </c>
      <c r="I584" s="1" t="s">
        <v>21</v>
      </c>
      <c r="J584" s="1" t="s">
        <v>47</v>
      </c>
      <c r="K584" s="1" t="s">
        <v>41</v>
      </c>
      <c r="L584">
        <v>1459.07</v>
      </c>
      <c r="M584">
        <v>27.5</v>
      </c>
      <c r="N584">
        <v>2023</v>
      </c>
      <c r="O584">
        <f t="shared" si="9"/>
        <v>1</v>
      </c>
      <c r="P584" s="13" t="s">
        <v>24</v>
      </c>
      <c r="Q584">
        <v>552.33000000000004</v>
      </c>
      <c r="R584" s="3" t="s">
        <v>25</v>
      </c>
      <c r="S584" s="7">
        <f>Ventas[[#This Row],[Costo Material (€)]]/Ventas[[#This Row],[Beneficio (€)]]</f>
        <v>2.6416634982709608</v>
      </c>
      <c r="T584" s="3" t="str">
        <f>IF(Ventas[[#This Row],[Margen (%)]]&gt;20%,"Beneficio","Perdidas")</f>
        <v>Beneficio</v>
      </c>
    </row>
    <row r="585" spans="1:20" x14ac:dyDescent="0.25">
      <c r="A585" s="12">
        <v>44948</v>
      </c>
      <c r="B585" s="1" t="s">
        <v>30</v>
      </c>
      <c r="C585" s="1" t="s">
        <v>31</v>
      </c>
      <c r="D585" s="1" t="s">
        <v>45</v>
      </c>
      <c r="E585" s="1" t="s">
        <v>20</v>
      </c>
      <c r="F585">
        <v>750</v>
      </c>
      <c r="G585">
        <v>6.32</v>
      </c>
      <c r="H585">
        <v>4740</v>
      </c>
      <c r="I585" s="1" t="s">
        <v>26</v>
      </c>
      <c r="J585" s="1" t="s">
        <v>56</v>
      </c>
      <c r="K585" s="1" t="s">
        <v>23</v>
      </c>
      <c r="L585">
        <v>4190.1400000000003</v>
      </c>
      <c r="M585">
        <v>11.6</v>
      </c>
      <c r="N585">
        <v>2023</v>
      </c>
      <c r="O585">
        <f t="shared" si="9"/>
        <v>1</v>
      </c>
      <c r="P585" s="13" t="s">
        <v>24</v>
      </c>
      <c r="Q585">
        <v>549.86</v>
      </c>
      <c r="R585" s="3" t="s">
        <v>29</v>
      </c>
      <c r="S585" s="7">
        <f>Ventas[[#This Row],[Costo Material (€)]]/Ventas[[#This Row],[Beneficio (€)]]</f>
        <v>7.6203760957334596</v>
      </c>
      <c r="T585" s="3" t="str">
        <f>IF(Ventas[[#This Row],[Margen (%)]]&gt;20%,"Beneficio","Perdidas")</f>
        <v>Beneficio</v>
      </c>
    </row>
    <row r="586" spans="1:20" x14ac:dyDescent="0.25">
      <c r="A586" s="12">
        <v>45057</v>
      </c>
      <c r="B586" s="1" t="s">
        <v>17</v>
      </c>
      <c r="C586" s="1" t="s">
        <v>18</v>
      </c>
      <c r="D586" s="1" t="s">
        <v>19</v>
      </c>
      <c r="E586" s="1" t="s">
        <v>20</v>
      </c>
      <c r="F586">
        <v>546</v>
      </c>
      <c r="G586">
        <v>8.0500000000000007</v>
      </c>
      <c r="H586">
        <v>4395.3</v>
      </c>
      <c r="I586" s="1" t="s">
        <v>21</v>
      </c>
      <c r="J586" s="1" t="s">
        <v>47</v>
      </c>
      <c r="K586" s="1" t="s">
        <v>28</v>
      </c>
      <c r="L586">
        <v>3846.36</v>
      </c>
      <c r="M586">
        <v>12.5</v>
      </c>
      <c r="N586">
        <v>2023</v>
      </c>
      <c r="O586">
        <f t="shared" si="9"/>
        <v>2</v>
      </c>
      <c r="P586" s="13" t="s">
        <v>63</v>
      </c>
      <c r="Q586">
        <v>548.94000000000005</v>
      </c>
      <c r="R586" s="3" t="s">
        <v>29</v>
      </c>
      <c r="S586" s="7">
        <f>Ventas[[#This Row],[Costo Material (€)]]/Ventas[[#This Row],[Beneficio (€)]]</f>
        <v>7.0068859984697776</v>
      </c>
      <c r="T586" s="3" t="str">
        <f>IF(Ventas[[#This Row],[Margen (%)]]&gt;20%,"Beneficio","Perdidas")</f>
        <v>Beneficio</v>
      </c>
    </row>
    <row r="587" spans="1:20" x14ac:dyDescent="0.25">
      <c r="A587" s="12">
        <v>45331</v>
      </c>
      <c r="B587" s="1" t="s">
        <v>17</v>
      </c>
      <c r="C587" s="1" t="s">
        <v>18</v>
      </c>
      <c r="D587" s="1" t="s">
        <v>45</v>
      </c>
      <c r="E587" s="1" t="s">
        <v>20</v>
      </c>
      <c r="F587">
        <v>329</v>
      </c>
      <c r="G587">
        <v>9</v>
      </c>
      <c r="H587">
        <v>2961</v>
      </c>
      <c r="I587" s="1" t="s">
        <v>33</v>
      </c>
      <c r="J587" s="1" t="s">
        <v>22</v>
      </c>
      <c r="K587" s="1" t="s">
        <v>23</v>
      </c>
      <c r="L587">
        <v>2413.8200000000002</v>
      </c>
      <c r="M587">
        <v>18.5</v>
      </c>
      <c r="N587">
        <v>2024</v>
      </c>
      <c r="O587">
        <f t="shared" si="9"/>
        <v>1</v>
      </c>
      <c r="P587" s="13" t="s">
        <v>60</v>
      </c>
      <c r="Q587">
        <v>547.17999999999995</v>
      </c>
      <c r="R587" s="3" t="s">
        <v>29</v>
      </c>
      <c r="S587" s="7">
        <f>Ventas[[#This Row],[Costo Material (€)]]/Ventas[[#This Row],[Beneficio (€)]]</f>
        <v>4.4113819949559563</v>
      </c>
      <c r="T587" s="3" t="str">
        <f>IF(Ventas[[#This Row],[Margen (%)]]&gt;20%,"Beneficio","Perdidas")</f>
        <v>Beneficio</v>
      </c>
    </row>
    <row r="588" spans="1:20" x14ac:dyDescent="0.25">
      <c r="A588" s="12">
        <v>44945</v>
      </c>
      <c r="B588" s="1" t="s">
        <v>42</v>
      </c>
      <c r="C588" s="1" t="s">
        <v>43</v>
      </c>
      <c r="D588" s="1" t="s">
        <v>32</v>
      </c>
      <c r="E588" s="1" t="s">
        <v>20</v>
      </c>
      <c r="F588">
        <v>526</v>
      </c>
      <c r="G588">
        <v>7.81</v>
      </c>
      <c r="H588">
        <v>4108.0600000000004</v>
      </c>
      <c r="I588" s="1" t="s">
        <v>26</v>
      </c>
      <c r="J588" s="1" t="s">
        <v>56</v>
      </c>
      <c r="K588" s="1" t="s">
        <v>28</v>
      </c>
      <c r="L588">
        <v>3561.21</v>
      </c>
      <c r="M588">
        <v>13.3</v>
      </c>
      <c r="N588">
        <v>2023</v>
      </c>
      <c r="O588">
        <f t="shared" si="9"/>
        <v>1</v>
      </c>
      <c r="P588" s="13" t="s">
        <v>24</v>
      </c>
      <c r="Q588">
        <v>546.85</v>
      </c>
      <c r="R588" s="3" t="s">
        <v>29</v>
      </c>
      <c r="S588" s="7">
        <f>Ventas[[#This Row],[Costo Material (€)]]/Ventas[[#This Row],[Beneficio (€)]]</f>
        <v>6.5122245588369756</v>
      </c>
      <c r="T588" s="3" t="str">
        <f>IF(Ventas[[#This Row],[Margen (%)]]&gt;20%,"Beneficio","Perdidas")</f>
        <v>Beneficio</v>
      </c>
    </row>
    <row r="589" spans="1:20" x14ac:dyDescent="0.25">
      <c r="A589" s="12">
        <v>45082</v>
      </c>
      <c r="B589" s="1" t="s">
        <v>58</v>
      </c>
      <c r="C589" s="1" t="s">
        <v>59</v>
      </c>
      <c r="D589" s="1" t="s">
        <v>48</v>
      </c>
      <c r="E589" s="1" t="s">
        <v>38</v>
      </c>
      <c r="F589">
        <v>461</v>
      </c>
      <c r="G589">
        <v>6.16</v>
      </c>
      <c r="H589">
        <v>2839.76</v>
      </c>
      <c r="I589" s="1" t="s">
        <v>33</v>
      </c>
      <c r="J589" s="1" t="s">
        <v>34</v>
      </c>
      <c r="K589" s="1" t="s">
        <v>41</v>
      </c>
      <c r="L589">
        <v>2293.4899999999998</v>
      </c>
      <c r="M589">
        <v>19.2</v>
      </c>
      <c r="N589">
        <v>2023</v>
      </c>
      <c r="O589">
        <f t="shared" si="9"/>
        <v>2</v>
      </c>
      <c r="P589" s="13" t="s">
        <v>64</v>
      </c>
      <c r="Q589">
        <v>546.27</v>
      </c>
      <c r="R589" s="3" t="s">
        <v>29</v>
      </c>
      <c r="S589" s="7">
        <f>Ventas[[#This Row],[Costo Material (€)]]/Ventas[[#This Row],[Beneficio (€)]]</f>
        <v>4.1984549764768335</v>
      </c>
      <c r="T589" s="3" t="str">
        <f>IF(Ventas[[#This Row],[Margen (%)]]&gt;20%,"Beneficio","Perdidas")</f>
        <v>Beneficio</v>
      </c>
    </row>
    <row r="590" spans="1:20" x14ac:dyDescent="0.25">
      <c r="A590" s="12">
        <v>44947</v>
      </c>
      <c r="B590" s="1" t="s">
        <v>35</v>
      </c>
      <c r="C590" s="1" t="s">
        <v>36</v>
      </c>
      <c r="D590" s="1" t="s">
        <v>45</v>
      </c>
      <c r="E590" s="1" t="s">
        <v>20</v>
      </c>
      <c r="F590">
        <v>527</v>
      </c>
      <c r="G590">
        <v>3.23</v>
      </c>
      <c r="H590">
        <v>1702.21</v>
      </c>
      <c r="I590" s="1" t="s">
        <v>55</v>
      </c>
      <c r="J590" s="1" t="s">
        <v>22</v>
      </c>
      <c r="K590" s="1" t="s">
        <v>23</v>
      </c>
      <c r="L590">
        <v>1157.21</v>
      </c>
      <c r="M590">
        <v>32</v>
      </c>
      <c r="N590">
        <v>2023</v>
      </c>
      <c r="O590">
        <f t="shared" si="9"/>
        <v>1</v>
      </c>
      <c r="P590" s="13" t="s">
        <v>24</v>
      </c>
      <c r="Q590">
        <v>545</v>
      </c>
      <c r="R590" s="3" t="s">
        <v>25</v>
      </c>
      <c r="S590" s="7">
        <f>Ventas[[#This Row],[Costo Material (€)]]/Ventas[[#This Row],[Beneficio (€)]]</f>
        <v>2.1233211009174311</v>
      </c>
      <c r="T590" s="3" t="str">
        <f>IF(Ventas[[#This Row],[Margen (%)]]&gt;20%,"Beneficio","Perdidas")</f>
        <v>Beneficio</v>
      </c>
    </row>
    <row r="591" spans="1:20" x14ac:dyDescent="0.25">
      <c r="A591" s="12">
        <v>45600</v>
      </c>
      <c r="B591" s="1" t="s">
        <v>35</v>
      </c>
      <c r="C591" s="1" t="s">
        <v>36</v>
      </c>
      <c r="D591" s="1" t="s">
        <v>53</v>
      </c>
      <c r="E591" s="1" t="s">
        <v>50</v>
      </c>
      <c r="F591">
        <v>619</v>
      </c>
      <c r="G591">
        <v>2.77</v>
      </c>
      <c r="H591">
        <v>1714.63</v>
      </c>
      <c r="I591" s="1" t="s">
        <v>26</v>
      </c>
      <c r="J591" s="1" t="s">
        <v>47</v>
      </c>
      <c r="K591" s="1" t="s">
        <v>41</v>
      </c>
      <c r="L591">
        <v>1169.94</v>
      </c>
      <c r="M591">
        <v>31.8</v>
      </c>
      <c r="N591">
        <v>2024</v>
      </c>
      <c r="O591">
        <f t="shared" si="9"/>
        <v>4</v>
      </c>
      <c r="P591" s="13" t="s">
        <v>69</v>
      </c>
      <c r="Q591">
        <v>544.69000000000005</v>
      </c>
      <c r="R591" s="3" t="s">
        <v>25</v>
      </c>
      <c r="S591" s="7">
        <f>Ventas[[#This Row],[Costo Material (€)]]/Ventas[[#This Row],[Beneficio (€)]]</f>
        <v>2.1479006407314252</v>
      </c>
      <c r="T591" s="3" t="str">
        <f>IF(Ventas[[#This Row],[Margen (%)]]&gt;20%,"Beneficio","Perdidas")</f>
        <v>Beneficio</v>
      </c>
    </row>
    <row r="592" spans="1:20" x14ac:dyDescent="0.25">
      <c r="A592" s="12">
        <v>45070</v>
      </c>
      <c r="B592" s="1" t="s">
        <v>30</v>
      </c>
      <c r="C592" s="1" t="s">
        <v>31</v>
      </c>
      <c r="D592" s="1" t="s">
        <v>44</v>
      </c>
      <c r="E592" s="1" t="s">
        <v>38</v>
      </c>
      <c r="F592">
        <v>314</v>
      </c>
      <c r="G592">
        <v>7.15</v>
      </c>
      <c r="H592">
        <v>2245.1</v>
      </c>
      <c r="I592" s="1" t="s">
        <v>21</v>
      </c>
      <c r="J592" s="1" t="s">
        <v>47</v>
      </c>
      <c r="K592" s="1" t="s">
        <v>28</v>
      </c>
      <c r="L592">
        <v>1700.7</v>
      </c>
      <c r="M592">
        <v>24.2</v>
      </c>
      <c r="N592">
        <v>2023</v>
      </c>
      <c r="O592">
        <f t="shared" si="9"/>
        <v>2</v>
      </c>
      <c r="P592" s="13" t="s">
        <v>63</v>
      </c>
      <c r="Q592">
        <v>544.4</v>
      </c>
      <c r="R592" s="3" t="s">
        <v>29</v>
      </c>
      <c r="S592" s="7">
        <f>Ventas[[#This Row],[Costo Material (€)]]/Ventas[[#This Row],[Beneficio (€)]]</f>
        <v>3.123989713445996</v>
      </c>
      <c r="T592" s="3" t="str">
        <f>IF(Ventas[[#This Row],[Margen (%)]]&gt;20%,"Beneficio","Perdidas")</f>
        <v>Beneficio</v>
      </c>
    </row>
    <row r="593" spans="1:20" x14ac:dyDescent="0.25">
      <c r="A593" s="12">
        <v>45217</v>
      </c>
      <c r="B593" s="1" t="s">
        <v>35</v>
      </c>
      <c r="C593" s="1" t="s">
        <v>36</v>
      </c>
      <c r="D593" s="1" t="s">
        <v>32</v>
      </c>
      <c r="E593" s="1" t="s">
        <v>20</v>
      </c>
      <c r="F593">
        <v>996</v>
      </c>
      <c r="G593">
        <v>4.05</v>
      </c>
      <c r="H593">
        <v>4033.8</v>
      </c>
      <c r="I593" s="1" t="s">
        <v>26</v>
      </c>
      <c r="J593" s="1" t="s">
        <v>40</v>
      </c>
      <c r="K593" s="1" t="s">
        <v>23</v>
      </c>
      <c r="L593">
        <v>3489.86</v>
      </c>
      <c r="M593">
        <v>13.5</v>
      </c>
      <c r="N593">
        <v>2023</v>
      </c>
      <c r="O593">
        <f t="shared" si="9"/>
        <v>4</v>
      </c>
      <c r="P593" s="13" t="s">
        <v>68</v>
      </c>
      <c r="Q593">
        <v>543.94000000000005</v>
      </c>
      <c r="R593" s="3" t="s">
        <v>29</v>
      </c>
      <c r="S593" s="7">
        <f>Ventas[[#This Row],[Costo Material (€)]]/Ventas[[#This Row],[Beneficio (€)]]</f>
        <v>6.415891458616759</v>
      </c>
      <c r="T593" s="3" t="str">
        <f>IF(Ventas[[#This Row],[Margen (%)]]&gt;20%,"Beneficio","Perdidas")</f>
        <v>Beneficio</v>
      </c>
    </row>
    <row r="594" spans="1:20" x14ac:dyDescent="0.25">
      <c r="A594" s="12">
        <v>45316</v>
      </c>
      <c r="B594" s="1" t="s">
        <v>30</v>
      </c>
      <c r="C594" s="1" t="s">
        <v>31</v>
      </c>
      <c r="D594" s="1" t="s">
        <v>37</v>
      </c>
      <c r="E594" s="1" t="s">
        <v>38</v>
      </c>
      <c r="F594">
        <v>990</v>
      </c>
      <c r="G594">
        <v>2.94</v>
      </c>
      <c r="H594">
        <v>2910.6</v>
      </c>
      <c r="I594" s="1" t="s">
        <v>54</v>
      </c>
      <c r="J594" s="1" t="s">
        <v>40</v>
      </c>
      <c r="K594" s="1" t="s">
        <v>41</v>
      </c>
      <c r="L594">
        <v>2367.73</v>
      </c>
      <c r="M594">
        <v>18.7</v>
      </c>
      <c r="N594">
        <v>2024</v>
      </c>
      <c r="O594">
        <f t="shared" si="9"/>
        <v>1</v>
      </c>
      <c r="P594" s="13" t="s">
        <v>24</v>
      </c>
      <c r="Q594">
        <v>542.87</v>
      </c>
      <c r="R594" s="3" t="s">
        <v>29</v>
      </c>
      <c r="S594" s="7">
        <f>Ventas[[#This Row],[Costo Material (€)]]/Ventas[[#This Row],[Beneficio (€)]]</f>
        <v>4.3615045959437806</v>
      </c>
      <c r="T594" s="3" t="str">
        <f>IF(Ventas[[#This Row],[Margen (%)]]&gt;20%,"Beneficio","Perdidas")</f>
        <v>Beneficio</v>
      </c>
    </row>
    <row r="595" spans="1:20" x14ac:dyDescent="0.25">
      <c r="A595" s="12">
        <v>44979</v>
      </c>
      <c r="B595" s="1" t="s">
        <v>30</v>
      </c>
      <c r="C595" s="1" t="s">
        <v>31</v>
      </c>
      <c r="D595" s="1" t="s">
        <v>53</v>
      </c>
      <c r="E595" s="1" t="s">
        <v>50</v>
      </c>
      <c r="F595">
        <v>137</v>
      </c>
      <c r="G595">
        <v>11.5</v>
      </c>
      <c r="H595">
        <v>1575.5</v>
      </c>
      <c r="I595" s="1" t="s">
        <v>46</v>
      </c>
      <c r="J595" s="1" t="s">
        <v>27</v>
      </c>
      <c r="K595" s="1" t="s">
        <v>41</v>
      </c>
      <c r="L595">
        <v>1033.75</v>
      </c>
      <c r="M595">
        <v>34.4</v>
      </c>
      <c r="N595">
        <v>2023</v>
      </c>
      <c r="O595">
        <f t="shared" si="9"/>
        <v>1</v>
      </c>
      <c r="P595" s="13" t="s">
        <v>60</v>
      </c>
      <c r="Q595">
        <v>541.75</v>
      </c>
      <c r="R595" s="3" t="s">
        <v>25</v>
      </c>
      <c r="S595" s="7">
        <f>Ventas[[#This Row],[Costo Material (€)]]/Ventas[[#This Row],[Beneficio (€)]]</f>
        <v>1.9081679741578219</v>
      </c>
      <c r="T595" s="3" t="str">
        <f>IF(Ventas[[#This Row],[Margen (%)]]&gt;20%,"Beneficio","Perdidas")</f>
        <v>Beneficio</v>
      </c>
    </row>
    <row r="596" spans="1:20" x14ac:dyDescent="0.25">
      <c r="A596" s="12">
        <v>44969</v>
      </c>
      <c r="B596" s="1" t="s">
        <v>58</v>
      </c>
      <c r="C596" s="1" t="s">
        <v>59</v>
      </c>
      <c r="D596" s="1" t="s">
        <v>48</v>
      </c>
      <c r="E596" s="1" t="s">
        <v>38</v>
      </c>
      <c r="F596">
        <v>259</v>
      </c>
      <c r="G596">
        <v>5.95</v>
      </c>
      <c r="H596">
        <v>1541.05</v>
      </c>
      <c r="I596" s="1" t="s">
        <v>46</v>
      </c>
      <c r="J596" s="1" t="s">
        <v>27</v>
      </c>
      <c r="K596" s="1" t="s">
        <v>41</v>
      </c>
      <c r="L596">
        <v>999.47</v>
      </c>
      <c r="M596">
        <v>35.1</v>
      </c>
      <c r="N596">
        <v>2023</v>
      </c>
      <c r="O596">
        <f t="shared" si="9"/>
        <v>1</v>
      </c>
      <c r="P596" s="13" t="s">
        <v>60</v>
      </c>
      <c r="Q596">
        <v>541.58000000000004</v>
      </c>
      <c r="R596" s="3" t="s">
        <v>25</v>
      </c>
      <c r="S596" s="7">
        <f>Ventas[[#This Row],[Costo Material (€)]]/Ventas[[#This Row],[Beneficio (€)]]</f>
        <v>1.8454706599209718</v>
      </c>
      <c r="T596" s="3" t="str">
        <f>IF(Ventas[[#This Row],[Margen (%)]]&gt;20%,"Beneficio","Perdidas")</f>
        <v>Beneficio</v>
      </c>
    </row>
    <row r="597" spans="1:20" x14ac:dyDescent="0.25">
      <c r="A597" s="12">
        <v>45592</v>
      </c>
      <c r="B597" s="1" t="s">
        <v>51</v>
      </c>
      <c r="C597" s="1" t="s">
        <v>52</v>
      </c>
      <c r="D597" s="1" t="s">
        <v>19</v>
      </c>
      <c r="E597" s="1" t="s">
        <v>20</v>
      </c>
      <c r="F597">
        <v>214</v>
      </c>
      <c r="G597">
        <v>8</v>
      </c>
      <c r="H597">
        <v>1712</v>
      </c>
      <c r="I597" s="1" t="s">
        <v>55</v>
      </c>
      <c r="J597" s="1" t="s">
        <v>27</v>
      </c>
      <c r="K597" s="1" t="s">
        <v>23</v>
      </c>
      <c r="L597">
        <v>1171.0899999999999</v>
      </c>
      <c r="M597">
        <v>31.6</v>
      </c>
      <c r="N597">
        <v>2024</v>
      </c>
      <c r="O597">
        <f t="shared" si="9"/>
        <v>4</v>
      </c>
      <c r="P597" s="13" t="s">
        <v>68</v>
      </c>
      <c r="Q597">
        <v>540.91</v>
      </c>
      <c r="R597" s="3" t="s">
        <v>25</v>
      </c>
      <c r="S597" s="7">
        <f>Ventas[[#This Row],[Costo Material (€)]]/Ventas[[#This Row],[Beneficio (€)]]</f>
        <v>2.1650366974173152</v>
      </c>
      <c r="T597" s="3" t="str">
        <f>IF(Ventas[[#This Row],[Margen (%)]]&gt;20%,"Beneficio","Perdidas")</f>
        <v>Beneficio</v>
      </c>
    </row>
    <row r="598" spans="1:20" x14ac:dyDescent="0.25">
      <c r="A598" s="12">
        <v>44976</v>
      </c>
      <c r="B598" s="1" t="s">
        <v>42</v>
      </c>
      <c r="C598" s="1" t="s">
        <v>43</v>
      </c>
      <c r="D598" s="1" t="s">
        <v>37</v>
      </c>
      <c r="E598" s="1" t="s">
        <v>38</v>
      </c>
      <c r="F598">
        <v>637</v>
      </c>
      <c r="G598">
        <v>6.75</v>
      </c>
      <c r="H598">
        <v>4299.75</v>
      </c>
      <c r="I598" s="1" t="s">
        <v>46</v>
      </c>
      <c r="J598" s="1" t="s">
        <v>27</v>
      </c>
      <c r="K598" s="1" t="s">
        <v>23</v>
      </c>
      <c r="L598">
        <v>3759.79</v>
      </c>
      <c r="M598">
        <v>12.6</v>
      </c>
      <c r="N598">
        <v>2023</v>
      </c>
      <c r="O598">
        <f t="shared" si="9"/>
        <v>1</v>
      </c>
      <c r="P598" s="13" t="s">
        <v>60</v>
      </c>
      <c r="Q598">
        <v>539.96</v>
      </c>
      <c r="R598" s="3" t="s">
        <v>29</v>
      </c>
      <c r="S598" s="7">
        <f>Ventas[[#This Row],[Costo Material (€)]]/Ventas[[#This Row],[Beneficio (€)]]</f>
        <v>6.9630898585080372</v>
      </c>
      <c r="T598" s="3" t="str">
        <f>IF(Ventas[[#This Row],[Margen (%)]]&gt;20%,"Beneficio","Perdidas")</f>
        <v>Beneficio</v>
      </c>
    </row>
    <row r="599" spans="1:20" x14ac:dyDescent="0.25">
      <c r="A599" s="12">
        <v>44989</v>
      </c>
      <c r="B599" s="1" t="s">
        <v>17</v>
      </c>
      <c r="C599" s="1" t="s">
        <v>18</v>
      </c>
      <c r="D599" s="1" t="s">
        <v>44</v>
      </c>
      <c r="E599" s="1" t="s">
        <v>38</v>
      </c>
      <c r="F599">
        <v>286</v>
      </c>
      <c r="G599">
        <v>4.7300000000000004</v>
      </c>
      <c r="H599">
        <v>1352.78</v>
      </c>
      <c r="I599" s="1" t="s">
        <v>26</v>
      </c>
      <c r="J599" s="1" t="s">
        <v>56</v>
      </c>
      <c r="K599" s="1" t="s">
        <v>23</v>
      </c>
      <c r="L599">
        <v>813.3</v>
      </c>
      <c r="M599">
        <v>39.9</v>
      </c>
      <c r="N599">
        <v>2023</v>
      </c>
      <c r="O599">
        <f t="shared" si="9"/>
        <v>1</v>
      </c>
      <c r="P599" s="13" t="s">
        <v>61</v>
      </c>
      <c r="Q599">
        <v>539.48</v>
      </c>
      <c r="R599" s="3" t="s">
        <v>25</v>
      </c>
      <c r="S599" s="7">
        <f>Ventas[[#This Row],[Costo Material (€)]]/Ventas[[#This Row],[Beneficio (€)]]</f>
        <v>1.5075628382887223</v>
      </c>
      <c r="T599" s="3" t="str">
        <f>IF(Ventas[[#This Row],[Margen (%)]]&gt;20%,"Beneficio","Perdidas")</f>
        <v>Beneficio</v>
      </c>
    </row>
    <row r="600" spans="1:20" x14ac:dyDescent="0.25">
      <c r="A600" s="12">
        <v>45022</v>
      </c>
      <c r="B600" s="1" t="s">
        <v>42</v>
      </c>
      <c r="C600" s="1" t="s">
        <v>43</v>
      </c>
      <c r="D600" s="1" t="s">
        <v>32</v>
      </c>
      <c r="E600" s="1" t="s">
        <v>20</v>
      </c>
      <c r="F600">
        <v>217</v>
      </c>
      <c r="G600">
        <v>11.64</v>
      </c>
      <c r="H600">
        <v>2525.88</v>
      </c>
      <c r="I600" s="1" t="s">
        <v>55</v>
      </c>
      <c r="J600" s="1" t="s">
        <v>22</v>
      </c>
      <c r="K600" s="1" t="s">
        <v>41</v>
      </c>
      <c r="L600">
        <v>1987.1</v>
      </c>
      <c r="M600">
        <v>21.3</v>
      </c>
      <c r="N600">
        <v>2023</v>
      </c>
      <c r="O600">
        <f t="shared" si="9"/>
        <v>2</v>
      </c>
      <c r="P600" s="13" t="s">
        <v>62</v>
      </c>
      <c r="Q600">
        <v>538.78</v>
      </c>
      <c r="R600" s="3" t="s">
        <v>29</v>
      </c>
      <c r="S600" s="7">
        <f>Ventas[[#This Row],[Costo Material (€)]]/Ventas[[#This Row],[Beneficio (€)]]</f>
        <v>3.6881472957422323</v>
      </c>
      <c r="T600" s="3" t="str">
        <f>IF(Ventas[[#This Row],[Margen (%)]]&gt;20%,"Beneficio","Perdidas")</f>
        <v>Beneficio</v>
      </c>
    </row>
    <row r="601" spans="1:20" x14ac:dyDescent="0.25">
      <c r="A601" s="12">
        <v>45251</v>
      </c>
      <c r="B601" s="1" t="s">
        <v>42</v>
      </c>
      <c r="C601" s="1" t="s">
        <v>43</v>
      </c>
      <c r="D601" s="1" t="s">
        <v>48</v>
      </c>
      <c r="E601" s="1" t="s">
        <v>38</v>
      </c>
      <c r="F601">
        <v>816</v>
      </c>
      <c r="G601">
        <v>4.66</v>
      </c>
      <c r="H601">
        <v>3802.56</v>
      </c>
      <c r="I601" s="1" t="s">
        <v>21</v>
      </c>
      <c r="J601" s="1" t="s">
        <v>56</v>
      </c>
      <c r="K601" s="1" t="s">
        <v>23</v>
      </c>
      <c r="L601">
        <v>3265.56</v>
      </c>
      <c r="M601">
        <v>14.1</v>
      </c>
      <c r="N601">
        <v>2023</v>
      </c>
      <c r="O601">
        <f t="shared" si="9"/>
        <v>4</v>
      </c>
      <c r="P601" s="13" t="s">
        <v>69</v>
      </c>
      <c r="Q601">
        <v>537</v>
      </c>
      <c r="R601" s="3" t="s">
        <v>29</v>
      </c>
      <c r="S601" s="7">
        <f>Ventas[[#This Row],[Costo Material (€)]]/Ventas[[#This Row],[Beneficio (€)]]</f>
        <v>6.0811173184357541</v>
      </c>
      <c r="T601" s="3" t="str">
        <f>IF(Ventas[[#This Row],[Margen (%)]]&gt;20%,"Beneficio","Perdidas")</f>
        <v>Beneficio</v>
      </c>
    </row>
    <row r="602" spans="1:20" x14ac:dyDescent="0.25">
      <c r="A602" s="12">
        <v>45754</v>
      </c>
      <c r="B602" s="1" t="s">
        <v>30</v>
      </c>
      <c r="C602" s="1" t="s">
        <v>31</v>
      </c>
      <c r="D602" s="1" t="s">
        <v>32</v>
      </c>
      <c r="E602" s="1" t="s">
        <v>20</v>
      </c>
      <c r="F602">
        <v>803</v>
      </c>
      <c r="G602">
        <v>2.17</v>
      </c>
      <c r="H602">
        <v>1742.51</v>
      </c>
      <c r="I602" s="1" t="s">
        <v>26</v>
      </c>
      <c r="J602" s="1" t="s">
        <v>47</v>
      </c>
      <c r="K602" s="1" t="s">
        <v>28</v>
      </c>
      <c r="L602">
        <v>1206.97</v>
      </c>
      <c r="M602">
        <v>30.7</v>
      </c>
      <c r="N602">
        <v>2025</v>
      </c>
      <c r="O602">
        <f t="shared" si="9"/>
        <v>2</v>
      </c>
      <c r="P602" s="13" t="s">
        <v>62</v>
      </c>
      <c r="Q602">
        <v>535.54</v>
      </c>
      <c r="R602" s="3" t="s">
        <v>25</v>
      </c>
      <c r="S602" s="7">
        <f>Ventas[[#This Row],[Costo Material (€)]]/Ventas[[#This Row],[Beneficio (€)]]</f>
        <v>2.2537438846771485</v>
      </c>
      <c r="T602" s="3" t="str">
        <f>IF(Ventas[[#This Row],[Margen (%)]]&gt;20%,"Beneficio","Perdidas")</f>
        <v>Beneficio</v>
      </c>
    </row>
    <row r="603" spans="1:20" x14ac:dyDescent="0.25">
      <c r="A603" s="12">
        <v>45016</v>
      </c>
      <c r="B603" s="1" t="s">
        <v>51</v>
      </c>
      <c r="C603" s="1" t="s">
        <v>52</v>
      </c>
      <c r="D603" s="1" t="s">
        <v>48</v>
      </c>
      <c r="E603" s="1" t="s">
        <v>38</v>
      </c>
      <c r="F603">
        <v>219</v>
      </c>
      <c r="G603">
        <v>8.6300000000000008</v>
      </c>
      <c r="H603">
        <v>1889.97</v>
      </c>
      <c r="I603" s="1" t="s">
        <v>39</v>
      </c>
      <c r="J603" s="1" t="s">
        <v>22</v>
      </c>
      <c r="K603" s="1" t="s">
        <v>23</v>
      </c>
      <c r="L603">
        <v>1355.9</v>
      </c>
      <c r="M603">
        <v>28.3</v>
      </c>
      <c r="N603">
        <v>2023</v>
      </c>
      <c r="O603">
        <f t="shared" si="9"/>
        <v>1</v>
      </c>
      <c r="P603" s="13" t="s">
        <v>61</v>
      </c>
      <c r="Q603">
        <v>534.07000000000005</v>
      </c>
      <c r="R603" s="3" t="s">
        <v>25</v>
      </c>
      <c r="S603" s="7">
        <f>Ventas[[#This Row],[Costo Material (€)]]/Ventas[[#This Row],[Beneficio (€)]]</f>
        <v>2.5388057745239387</v>
      </c>
      <c r="T603" s="3" t="str">
        <f>IF(Ventas[[#This Row],[Margen (%)]]&gt;20%,"Beneficio","Perdidas")</f>
        <v>Beneficio</v>
      </c>
    </row>
    <row r="604" spans="1:20" x14ac:dyDescent="0.25">
      <c r="A604" s="12">
        <v>45244</v>
      </c>
      <c r="B604" s="1" t="s">
        <v>17</v>
      </c>
      <c r="C604" s="1" t="s">
        <v>18</v>
      </c>
      <c r="D604" s="1" t="s">
        <v>48</v>
      </c>
      <c r="E604" s="1" t="s">
        <v>38</v>
      </c>
      <c r="F604">
        <v>349</v>
      </c>
      <c r="G604">
        <v>10.37</v>
      </c>
      <c r="H604">
        <v>3619.13</v>
      </c>
      <c r="I604" s="1" t="s">
        <v>55</v>
      </c>
      <c r="J604" s="1" t="s">
        <v>40</v>
      </c>
      <c r="K604" s="1" t="s">
        <v>41</v>
      </c>
      <c r="L604">
        <v>3085.67</v>
      </c>
      <c r="M604">
        <v>14.7</v>
      </c>
      <c r="N604">
        <v>2023</v>
      </c>
      <c r="O604">
        <f t="shared" si="9"/>
        <v>4</v>
      </c>
      <c r="P604" s="13" t="s">
        <v>69</v>
      </c>
      <c r="Q604">
        <v>533.46</v>
      </c>
      <c r="R604" s="3" t="s">
        <v>29</v>
      </c>
      <c r="S604" s="7">
        <f>Ventas[[#This Row],[Costo Material (€)]]/Ventas[[#This Row],[Beneficio (€)]]</f>
        <v>5.7842574888463991</v>
      </c>
      <c r="T604" s="3" t="str">
        <f>IF(Ventas[[#This Row],[Margen (%)]]&gt;20%,"Beneficio","Perdidas")</f>
        <v>Beneficio</v>
      </c>
    </row>
    <row r="605" spans="1:20" x14ac:dyDescent="0.25">
      <c r="A605" s="12">
        <v>45019</v>
      </c>
      <c r="B605" s="1" t="s">
        <v>17</v>
      </c>
      <c r="C605" s="1" t="s">
        <v>18</v>
      </c>
      <c r="D605" s="1" t="s">
        <v>45</v>
      </c>
      <c r="E605" s="1" t="s">
        <v>20</v>
      </c>
      <c r="F605">
        <v>885</v>
      </c>
      <c r="G605">
        <v>2</v>
      </c>
      <c r="H605">
        <v>1770</v>
      </c>
      <c r="I605" s="1" t="s">
        <v>26</v>
      </c>
      <c r="J605" s="1" t="s">
        <v>27</v>
      </c>
      <c r="K605" s="1" t="s">
        <v>23</v>
      </c>
      <c r="L605">
        <v>1236.8499999999999</v>
      </c>
      <c r="M605">
        <v>30.1</v>
      </c>
      <c r="N605">
        <v>2023</v>
      </c>
      <c r="O605">
        <f t="shared" si="9"/>
        <v>2</v>
      </c>
      <c r="P605" s="13" t="s">
        <v>62</v>
      </c>
      <c r="Q605">
        <v>533.15</v>
      </c>
      <c r="R605" s="3" t="s">
        <v>25</v>
      </c>
      <c r="S605" s="7">
        <f>Ventas[[#This Row],[Costo Material (€)]]/Ventas[[#This Row],[Beneficio (€)]]</f>
        <v>2.3198912126043325</v>
      </c>
      <c r="T605" s="3" t="str">
        <f>IF(Ventas[[#This Row],[Margen (%)]]&gt;20%,"Beneficio","Perdidas")</f>
        <v>Beneficio</v>
      </c>
    </row>
    <row r="606" spans="1:20" x14ac:dyDescent="0.25">
      <c r="A606" s="12">
        <v>45418</v>
      </c>
      <c r="B606" s="1" t="s">
        <v>51</v>
      </c>
      <c r="C606" s="1" t="s">
        <v>52</v>
      </c>
      <c r="D606" s="1" t="s">
        <v>44</v>
      </c>
      <c r="E606" s="1" t="s">
        <v>38</v>
      </c>
      <c r="F606">
        <v>767</v>
      </c>
      <c r="G606">
        <v>4.4000000000000004</v>
      </c>
      <c r="H606">
        <v>3374.8</v>
      </c>
      <c r="I606" s="1" t="s">
        <v>21</v>
      </c>
      <c r="J606" s="1" t="s">
        <v>40</v>
      </c>
      <c r="K606" s="1" t="s">
        <v>23</v>
      </c>
      <c r="L606">
        <v>2842.66</v>
      </c>
      <c r="M606">
        <v>15.8</v>
      </c>
      <c r="N606">
        <v>2024</v>
      </c>
      <c r="O606">
        <f t="shared" si="9"/>
        <v>2</v>
      </c>
      <c r="P606" s="13" t="s">
        <v>63</v>
      </c>
      <c r="Q606">
        <v>532.14</v>
      </c>
      <c r="R606" s="3" t="s">
        <v>29</v>
      </c>
      <c r="S606" s="7">
        <f>Ventas[[#This Row],[Costo Material (€)]]/Ventas[[#This Row],[Beneficio (€)]]</f>
        <v>5.341940090953508</v>
      </c>
      <c r="T606" s="3" t="str">
        <f>IF(Ventas[[#This Row],[Margen (%)]]&gt;20%,"Beneficio","Perdidas")</f>
        <v>Beneficio</v>
      </c>
    </row>
    <row r="607" spans="1:20" x14ac:dyDescent="0.25">
      <c r="A607" s="12">
        <v>45008</v>
      </c>
      <c r="B607" s="1" t="s">
        <v>42</v>
      </c>
      <c r="C607" s="1" t="s">
        <v>43</v>
      </c>
      <c r="D607" s="1" t="s">
        <v>32</v>
      </c>
      <c r="E607" s="1" t="s">
        <v>20</v>
      </c>
      <c r="F607">
        <v>264</v>
      </c>
      <c r="G607">
        <v>9.33</v>
      </c>
      <c r="H607">
        <v>2463.12</v>
      </c>
      <c r="I607" s="1" t="s">
        <v>39</v>
      </c>
      <c r="J607" s="1" t="s">
        <v>34</v>
      </c>
      <c r="K607" s="1" t="s">
        <v>41</v>
      </c>
      <c r="L607">
        <v>1932.94</v>
      </c>
      <c r="M607">
        <v>21.5</v>
      </c>
      <c r="N607">
        <v>2023</v>
      </c>
      <c r="O607">
        <f t="shared" si="9"/>
        <v>1</v>
      </c>
      <c r="P607" s="13" t="s">
        <v>61</v>
      </c>
      <c r="Q607">
        <v>530.17999999999995</v>
      </c>
      <c r="R607" s="3" t="s">
        <v>29</v>
      </c>
      <c r="S607" s="7">
        <f>Ventas[[#This Row],[Costo Material (€)]]/Ventas[[#This Row],[Beneficio (€)]]</f>
        <v>3.6458184012976731</v>
      </c>
      <c r="T607" s="3" t="str">
        <f>IF(Ventas[[#This Row],[Margen (%)]]&gt;20%,"Beneficio","Perdidas")</f>
        <v>Beneficio</v>
      </c>
    </row>
    <row r="608" spans="1:20" x14ac:dyDescent="0.25">
      <c r="A608" s="12">
        <v>45402</v>
      </c>
      <c r="B608" s="1" t="s">
        <v>51</v>
      </c>
      <c r="C608" s="1" t="s">
        <v>52</v>
      </c>
      <c r="D608" s="1" t="s">
        <v>49</v>
      </c>
      <c r="E608" s="1" t="s">
        <v>50</v>
      </c>
      <c r="F608">
        <v>152</v>
      </c>
      <c r="G608">
        <v>10.75</v>
      </c>
      <c r="H608">
        <v>1634</v>
      </c>
      <c r="I608" s="1" t="s">
        <v>33</v>
      </c>
      <c r="J608" s="1" t="s">
        <v>34</v>
      </c>
      <c r="K608" s="1" t="s">
        <v>41</v>
      </c>
      <c r="L608">
        <v>1106.8800000000001</v>
      </c>
      <c r="M608">
        <v>32.299999999999997</v>
      </c>
      <c r="N608">
        <v>2024</v>
      </c>
      <c r="O608">
        <f t="shared" si="9"/>
        <v>2</v>
      </c>
      <c r="P608" s="13" t="s">
        <v>62</v>
      </c>
      <c r="Q608">
        <v>527.12</v>
      </c>
      <c r="R608" s="3" t="s">
        <v>25</v>
      </c>
      <c r="S608" s="7">
        <f>Ventas[[#This Row],[Costo Material (€)]]/Ventas[[#This Row],[Beneficio (€)]]</f>
        <v>2.0998634087114891</v>
      </c>
      <c r="T608" s="3" t="str">
        <f>IF(Ventas[[#This Row],[Margen (%)]]&gt;20%,"Beneficio","Perdidas")</f>
        <v>Beneficio</v>
      </c>
    </row>
    <row r="609" spans="1:20" x14ac:dyDescent="0.25">
      <c r="A609" s="12">
        <v>45058</v>
      </c>
      <c r="B609" s="1" t="s">
        <v>42</v>
      </c>
      <c r="C609" s="1" t="s">
        <v>43</v>
      </c>
      <c r="D609" s="1" t="s">
        <v>49</v>
      </c>
      <c r="E609" s="1" t="s">
        <v>50</v>
      </c>
      <c r="F609">
        <v>371</v>
      </c>
      <c r="G609">
        <v>10.58</v>
      </c>
      <c r="H609">
        <v>3925.18</v>
      </c>
      <c r="I609" s="1" t="s">
        <v>39</v>
      </c>
      <c r="J609" s="1" t="s">
        <v>56</v>
      </c>
      <c r="K609" s="1" t="s">
        <v>23</v>
      </c>
      <c r="L609">
        <v>3399.32</v>
      </c>
      <c r="M609">
        <v>13.4</v>
      </c>
      <c r="N609">
        <v>2023</v>
      </c>
      <c r="O609">
        <f t="shared" si="9"/>
        <v>2</v>
      </c>
      <c r="P609" s="13" t="s">
        <v>63</v>
      </c>
      <c r="Q609">
        <v>525.86</v>
      </c>
      <c r="R609" s="3" t="s">
        <v>29</v>
      </c>
      <c r="S609" s="7">
        <f>Ventas[[#This Row],[Costo Material (€)]]/Ventas[[#This Row],[Beneficio (€)]]</f>
        <v>6.4643060890731379</v>
      </c>
      <c r="T609" s="3" t="str">
        <f>IF(Ventas[[#This Row],[Margen (%)]]&gt;20%,"Beneficio","Perdidas")</f>
        <v>Beneficio</v>
      </c>
    </row>
    <row r="610" spans="1:20" x14ac:dyDescent="0.25">
      <c r="A610" s="12">
        <v>45703</v>
      </c>
      <c r="B610" s="1" t="s">
        <v>51</v>
      </c>
      <c r="C610" s="1" t="s">
        <v>52</v>
      </c>
      <c r="D610" s="1" t="s">
        <v>44</v>
      </c>
      <c r="E610" s="1" t="s">
        <v>38</v>
      </c>
      <c r="F610">
        <v>544</v>
      </c>
      <c r="G610">
        <v>8.5299999999999994</v>
      </c>
      <c r="H610">
        <v>4640.32</v>
      </c>
      <c r="I610" s="1" t="s">
        <v>54</v>
      </c>
      <c r="J610" s="1" t="s">
        <v>47</v>
      </c>
      <c r="K610" s="1" t="s">
        <v>28</v>
      </c>
      <c r="L610">
        <v>4116.79</v>
      </c>
      <c r="M610">
        <v>11.3</v>
      </c>
      <c r="N610">
        <v>2025</v>
      </c>
      <c r="O610">
        <f t="shared" si="9"/>
        <v>1</v>
      </c>
      <c r="P610" s="13" t="s">
        <v>60</v>
      </c>
      <c r="Q610">
        <v>523.53</v>
      </c>
      <c r="R610" s="3" t="s">
        <v>29</v>
      </c>
      <c r="S610" s="7">
        <f>Ventas[[#This Row],[Costo Material (€)]]/Ventas[[#This Row],[Beneficio (€)]]</f>
        <v>7.8635226252554773</v>
      </c>
      <c r="T610" s="3" t="str">
        <f>IF(Ventas[[#This Row],[Margen (%)]]&gt;20%,"Beneficio","Perdidas")</f>
        <v>Beneficio</v>
      </c>
    </row>
    <row r="611" spans="1:20" x14ac:dyDescent="0.25">
      <c r="A611" s="12">
        <v>45913</v>
      </c>
      <c r="B611" s="1" t="s">
        <v>35</v>
      </c>
      <c r="C611" s="1" t="s">
        <v>36</v>
      </c>
      <c r="D611" s="1" t="s">
        <v>53</v>
      </c>
      <c r="E611" s="1" t="s">
        <v>50</v>
      </c>
      <c r="F611">
        <v>327</v>
      </c>
      <c r="G611">
        <v>4.13</v>
      </c>
      <c r="H611">
        <v>1350.51</v>
      </c>
      <c r="I611" s="1" t="s">
        <v>55</v>
      </c>
      <c r="J611" s="1" t="s">
        <v>27</v>
      </c>
      <c r="K611" s="1" t="s">
        <v>23</v>
      </c>
      <c r="L611">
        <v>827.7</v>
      </c>
      <c r="M611">
        <v>38.700000000000003</v>
      </c>
      <c r="N611">
        <v>2025</v>
      </c>
      <c r="O611">
        <f t="shared" si="9"/>
        <v>3</v>
      </c>
      <c r="P611" s="13" t="s">
        <v>67</v>
      </c>
      <c r="Q611">
        <v>522.80999999999995</v>
      </c>
      <c r="R611" s="3" t="s">
        <v>25</v>
      </c>
      <c r="S611" s="7">
        <f>Ventas[[#This Row],[Costo Material (€)]]/Ventas[[#This Row],[Beneficio (€)]]</f>
        <v>1.5831755322201184</v>
      </c>
      <c r="T611" s="3" t="str">
        <f>IF(Ventas[[#This Row],[Margen (%)]]&gt;20%,"Beneficio","Perdidas")</f>
        <v>Beneficio</v>
      </c>
    </row>
    <row r="612" spans="1:20" x14ac:dyDescent="0.25">
      <c r="A612" s="12">
        <v>45018</v>
      </c>
      <c r="B612" s="1" t="s">
        <v>51</v>
      </c>
      <c r="C612" s="1" t="s">
        <v>52</v>
      </c>
      <c r="D612" s="1" t="s">
        <v>37</v>
      </c>
      <c r="E612" s="1" t="s">
        <v>38</v>
      </c>
      <c r="F612">
        <v>610</v>
      </c>
      <c r="G612">
        <v>4.42</v>
      </c>
      <c r="H612">
        <v>2696.2</v>
      </c>
      <c r="I612" s="1" t="s">
        <v>46</v>
      </c>
      <c r="J612" s="1" t="s">
        <v>47</v>
      </c>
      <c r="K612" s="1" t="s">
        <v>41</v>
      </c>
      <c r="L612">
        <v>2173.85</v>
      </c>
      <c r="M612">
        <v>19.399999999999999</v>
      </c>
      <c r="N612">
        <v>2023</v>
      </c>
      <c r="O612">
        <f t="shared" si="9"/>
        <v>2</v>
      </c>
      <c r="P612" s="13" t="s">
        <v>62</v>
      </c>
      <c r="Q612">
        <v>522.35</v>
      </c>
      <c r="R612" s="3" t="s">
        <v>29</v>
      </c>
      <c r="S612" s="7">
        <f>Ventas[[#This Row],[Costo Material (€)]]/Ventas[[#This Row],[Beneficio (€)]]</f>
        <v>4.1616732076194118</v>
      </c>
      <c r="T612" s="3" t="str">
        <f>IF(Ventas[[#This Row],[Margen (%)]]&gt;20%,"Beneficio","Perdidas")</f>
        <v>Beneficio</v>
      </c>
    </row>
    <row r="613" spans="1:20" x14ac:dyDescent="0.25">
      <c r="A613" s="12">
        <v>45153</v>
      </c>
      <c r="B613" s="1" t="s">
        <v>42</v>
      </c>
      <c r="C613" s="1" t="s">
        <v>43</v>
      </c>
      <c r="D613" s="1" t="s">
        <v>49</v>
      </c>
      <c r="E613" s="1" t="s">
        <v>50</v>
      </c>
      <c r="F613">
        <v>544</v>
      </c>
      <c r="G613">
        <v>8.68</v>
      </c>
      <c r="H613">
        <v>4721.92</v>
      </c>
      <c r="I613" s="1" t="s">
        <v>21</v>
      </c>
      <c r="J613" s="1" t="s">
        <v>27</v>
      </c>
      <c r="K613" s="1" t="s">
        <v>23</v>
      </c>
      <c r="L613">
        <v>4199.79</v>
      </c>
      <c r="M613">
        <v>11.1</v>
      </c>
      <c r="N613">
        <v>2023</v>
      </c>
      <c r="O613">
        <f t="shared" si="9"/>
        <v>3</v>
      </c>
      <c r="P613" s="13" t="s">
        <v>66</v>
      </c>
      <c r="Q613">
        <v>522.13</v>
      </c>
      <c r="R613" s="3" t="s">
        <v>29</v>
      </c>
      <c r="S613" s="7">
        <f>Ventas[[#This Row],[Costo Material (€)]]/Ventas[[#This Row],[Beneficio (€)]]</f>
        <v>8.0435715243330197</v>
      </c>
      <c r="T613" s="3" t="str">
        <f>IF(Ventas[[#This Row],[Margen (%)]]&gt;20%,"Beneficio","Perdidas")</f>
        <v>Beneficio</v>
      </c>
    </row>
    <row r="614" spans="1:20" x14ac:dyDescent="0.25">
      <c r="A614" s="12">
        <v>45286</v>
      </c>
      <c r="B614" s="1" t="s">
        <v>58</v>
      </c>
      <c r="C614" s="1" t="s">
        <v>59</v>
      </c>
      <c r="D614" s="1" t="s">
        <v>48</v>
      </c>
      <c r="E614" s="1" t="s">
        <v>38</v>
      </c>
      <c r="F614">
        <v>744</v>
      </c>
      <c r="G614">
        <v>2.5</v>
      </c>
      <c r="H614">
        <v>1860</v>
      </c>
      <c r="I614" s="1" t="s">
        <v>21</v>
      </c>
      <c r="J614" s="1" t="s">
        <v>56</v>
      </c>
      <c r="K614" s="1" t="s">
        <v>41</v>
      </c>
      <c r="L614">
        <v>1339.55</v>
      </c>
      <c r="M614">
        <v>28</v>
      </c>
      <c r="N614">
        <v>2023</v>
      </c>
      <c r="O614">
        <f t="shared" si="9"/>
        <v>4</v>
      </c>
      <c r="P614" s="13" t="s">
        <v>70</v>
      </c>
      <c r="Q614">
        <v>520.45000000000005</v>
      </c>
      <c r="R614" s="3" t="s">
        <v>25</v>
      </c>
      <c r="S614" s="7">
        <f>Ventas[[#This Row],[Costo Material (€)]]/Ventas[[#This Row],[Beneficio (€)]]</f>
        <v>2.5738303391295991</v>
      </c>
      <c r="T614" s="3" t="str">
        <f>IF(Ventas[[#This Row],[Margen (%)]]&gt;20%,"Beneficio","Perdidas")</f>
        <v>Beneficio</v>
      </c>
    </row>
    <row r="615" spans="1:20" x14ac:dyDescent="0.25">
      <c r="A615" s="12">
        <v>44935</v>
      </c>
      <c r="B615" s="1" t="s">
        <v>17</v>
      </c>
      <c r="C615" s="1" t="s">
        <v>18</v>
      </c>
      <c r="D615" s="1" t="s">
        <v>45</v>
      </c>
      <c r="E615" s="1" t="s">
        <v>20</v>
      </c>
      <c r="F615">
        <v>706</v>
      </c>
      <c r="G615">
        <v>5.01</v>
      </c>
      <c r="H615">
        <v>3537.06</v>
      </c>
      <c r="I615" s="1" t="s">
        <v>54</v>
      </c>
      <c r="J615" s="1" t="s">
        <v>34</v>
      </c>
      <c r="K615" s="1" t="s">
        <v>41</v>
      </c>
      <c r="L615">
        <v>3018.46</v>
      </c>
      <c r="M615">
        <v>14.7</v>
      </c>
      <c r="N615">
        <v>2023</v>
      </c>
      <c r="O615">
        <f t="shared" si="9"/>
        <v>1</v>
      </c>
      <c r="P615" s="13" t="s">
        <v>24</v>
      </c>
      <c r="Q615">
        <v>518.6</v>
      </c>
      <c r="R615" s="3" t="s">
        <v>29</v>
      </c>
      <c r="S615" s="7">
        <f>Ventas[[#This Row],[Costo Material (€)]]/Ventas[[#This Row],[Beneficio (€)]]</f>
        <v>5.8204010798303125</v>
      </c>
      <c r="T615" s="3" t="str">
        <f>IF(Ventas[[#This Row],[Margen (%)]]&gt;20%,"Beneficio","Perdidas")</f>
        <v>Beneficio</v>
      </c>
    </row>
    <row r="616" spans="1:20" x14ac:dyDescent="0.25">
      <c r="A616" s="12">
        <v>44974</v>
      </c>
      <c r="B616" s="1" t="s">
        <v>35</v>
      </c>
      <c r="C616" s="1" t="s">
        <v>36</v>
      </c>
      <c r="D616" s="1" t="s">
        <v>48</v>
      </c>
      <c r="E616" s="1" t="s">
        <v>38</v>
      </c>
      <c r="F616">
        <v>388</v>
      </c>
      <c r="G616">
        <v>10.220000000000001</v>
      </c>
      <c r="H616">
        <v>3965.36</v>
      </c>
      <c r="I616" s="1" t="s">
        <v>55</v>
      </c>
      <c r="J616" s="1" t="s">
        <v>56</v>
      </c>
      <c r="K616" s="1" t="s">
        <v>28</v>
      </c>
      <c r="L616">
        <v>3446.96</v>
      </c>
      <c r="M616">
        <v>13.1</v>
      </c>
      <c r="N616">
        <v>2023</v>
      </c>
      <c r="O616">
        <f t="shared" si="9"/>
        <v>1</v>
      </c>
      <c r="P616" s="13" t="s">
        <v>60</v>
      </c>
      <c r="Q616">
        <v>518.4</v>
      </c>
      <c r="R616" s="3" t="s">
        <v>29</v>
      </c>
      <c r="S616" s="7">
        <f>Ventas[[#This Row],[Costo Material (€)]]/Ventas[[#This Row],[Beneficio (€)]]</f>
        <v>6.649228395061729</v>
      </c>
      <c r="T616" s="3" t="str">
        <f>IF(Ventas[[#This Row],[Margen (%)]]&gt;20%,"Beneficio","Perdidas")</f>
        <v>Beneficio</v>
      </c>
    </row>
    <row r="617" spans="1:20" x14ac:dyDescent="0.25">
      <c r="A617" s="12">
        <v>44949</v>
      </c>
      <c r="B617" s="1" t="s">
        <v>35</v>
      </c>
      <c r="C617" s="1" t="s">
        <v>36</v>
      </c>
      <c r="D617" s="1" t="s">
        <v>53</v>
      </c>
      <c r="E617" s="1" t="s">
        <v>50</v>
      </c>
      <c r="F617">
        <v>427</v>
      </c>
      <c r="G617">
        <v>5.54</v>
      </c>
      <c r="H617">
        <v>2365.58</v>
      </c>
      <c r="I617" s="1" t="s">
        <v>54</v>
      </c>
      <c r="J617" s="1" t="s">
        <v>40</v>
      </c>
      <c r="K617" s="1" t="s">
        <v>41</v>
      </c>
      <c r="L617">
        <v>1849.13</v>
      </c>
      <c r="M617">
        <v>21.8</v>
      </c>
      <c r="N617">
        <v>2023</v>
      </c>
      <c r="O617">
        <f t="shared" si="9"/>
        <v>1</v>
      </c>
      <c r="P617" s="13" t="s">
        <v>24</v>
      </c>
      <c r="Q617">
        <v>516.45000000000005</v>
      </c>
      <c r="R617" s="3" t="s">
        <v>29</v>
      </c>
      <c r="S617" s="7">
        <f>Ventas[[#This Row],[Costo Material (€)]]/Ventas[[#This Row],[Beneficio (€)]]</f>
        <v>3.5804627747119757</v>
      </c>
      <c r="T617" s="3" t="str">
        <f>IF(Ventas[[#This Row],[Margen (%)]]&gt;20%,"Beneficio","Perdidas")</f>
        <v>Beneficio</v>
      </c>
    </row>
    <row r="618" spans="1:20" x14ac:dyDescent="0.25">
      <c r="A618" s="12">
        <v>45100</v>
      </c>
      <c r="B618" s="1" t="s">
        <v>58</v>
      </c>
      <c r="C618" s="1" t="s">
        <v>59</v>
      </c>
      <c r="D618" s="1" t="s">
        <v>19</v>
      </c>
      <c r="E618" s="1" t="s">
        <v>20</v>
      </c>
      <c r="F618">
        <v>326</v>
      </c>
      <c r="G618">
        <v>9.8699999999999992</v>
      </c>
      <c r="H618">
        <v>3217.62</v>
      </c>
      <c r="I618" s="1" t="s">
        <v>54</v>
      </c>
      <c r="J618" s="1" t="s">
        <v>22</v>
      </c>
      <c r="K618" s="1" t="s">
        <v>23</v>
      </c>
      <c r="L618">
        <v>2702.87</v>
      </c>
      <c r="M618">
        <v>16</v>
      </c>
      <c r="N618">
        <v>2023</v>
      </c>
      <c r="O618">
        <f t="shared" si="9"/>
        <v>2</v>
      </c>
      <c r="P618" s="13" t="s">
        <v>64</v>
      </c>
      <c r="Q618">
        <v>514.75</v>
      </c>
      <c r="R618" s="3" t="s">
        <v>29</v>
      </c>
      <c r="S618" s="7">
        <f>Ventas[[#This Row],[Costo Material (€)]]/Ventas[[#This Row],[Beneficio (€)]]</f>
        <v>5.2508402136959687</v>
      </c>
      <c r="T618" s="3" t="str">
        <f>IF(Ventas[[#This Row],[Margen (%)]]&gt;20%,"Beneficio","Perdidas")</f>
        <v>Beneficio</v>
      </c>
    </row>
    <row r="619" spans="1:20" x14ac:dyDescent="0.25">
      <c r="A619" s="12">
        <v>45127</v>
      </c>
      <c r="B619" s="1" t="s">
        <v>58</v>
      </c>
      <c r="C619" s="1" t="s">
        <v>59</v>
      </c>
      <c r="D619" s="1" t="s">
        <v>44</v>
      </c>
      <c r="E619" s="1" t="s">
        <v>38</v>
      </c>
      <c r="F619">
        <v>854</v>
      </c>
      <c r="G619">
        <v>3.77</v>
      </c>
      <c r="H619">
        <v>3219.58</v>
      </c>
      <c r="I619" s="1" t="s">
        <v>57</v>
      </c>
      <c r="J619" s="1" t="s">
        <v>40</v>
      </c>
      <c r="K619" s="1" t="s">
        <v>23</v>
      </c>
      <c r="L619">
        <v>2705.8</v>
      </c>
      <c r="M619">
        <v>16</v>
      </c>
      <c r="N619">
        <v>2023</v>
      </c>
      <c r="O619">
        <f t="shared" si="9"/>
        <v>3</v>
      </c>
      <c r="P619" s="13" t="s">
        <v>65</v>
      </c>
      <c r="Q619">
        <v>513.78</v>
      </c>
      <c r="R619" s="3" t="s">
        <v>29</v>
      </c>
      <c r="S619" s="7">
        <f>Ventas[[#This Row],[Costo Material (€)]]/Ventas[[#This Row],[Beneficio (€)]]</f>
        <v>5.2664564599634094</v>
      </c>
      <c r="T619" s="3" t="str">
        <f>IF(Ventas[[#This Row],[Margen (%)]]&gt;20%,"Beneficio","Perdidas")</f>
        <v>Beneficio</v>
      </c>
    </row>
    <row r="620" spans="1:20" x14ac:dyDescent="0.25">
      <c r="A620" s="12">
        <v>45361</v>
      </c>
      <c r="B620" s="1" t="s">
        <v>42</v>
      </c>
      <c r="C620" s="1" t="s">
        <v>43</v>
      </c>
      <c r="D620" s="1" t="s">
        <v>37</v>
      </c>
      <c r="E620" s="1" t="s">
        <v>38</v>
      </c>
      <c r="F620">
        <v>387</v>
      </c>
      <c r="G620">
        <v>5.07</v>
      </c>
      <c r="H620">
        <v>1962.09</v>
      </c>
      <c r="I620" s="1" t="s">
        <v>54</v>
      </c>
      <c r="J620" s="1" t="s">
        <v>34</v>
      </c>
      <c r="K620" s="1" t="s">
        <v>23</v>
      </c>
      <c r="L620">
        <v>1449.52</v>
      </c>
      <c r="M620">
        <v>26.1</v>
      </c>
      <c r="N620">
        <v>2024</v>
      </c>
      <c r="O620">
        <f t="shared" si="9"/>
        <v>1</v>
      </c>
      <c r="P620" s="13" t="s">
        <v>61</v>
      </c>
      <c r="Q620">
        <v>512.57000000000005</v>
      </c>
      <c r="R620" s="3" t="s">
        <v>25</v>
      </c>
      <c r="S620" s="7">
        <f>Ventas[[#This Row],[Costo Material (€)]]/Ventas[[#This Row],[Beneficio (€)]]</f>
        <v>2.8279454513529858</v>
      </c>
      <c r="T620" s="3" t="str">
        <f>IF(Ventas[[#This Row],[Margen (%)]]&gt;20%,"Beneficio","Perdidas")</f>
        <v>Beneficio</v>
      </c>
    </row>
    <row r="621" spans="1:20" x14ac:dyDescent="0.25">
      <c r="A621" s="12">
        <v>45209</v>
      </c>
      <c r="B621" s="1" t="s">
        <v>30</v>
      </c>
      <c r="C621" s="1" t="s">
        <v>31</v>
      </c>
      <c r="D621" s="1" t="s">
        <v>45</v>
      </c>
      <c r="E621" s="1" t="s">
        <v>20</v>
      </c>
      <c r="F621">
        <v>341</v>
      </c>
      <c r="G621">
        <v>4.12</v>
      </c>
      <c r="H621">
        <v>1404.92</v>
      </c>
      <c r="I621" s="1" t="s">
        <v>57</v>
      </c>
      <c r="J621" s="1" t="s">
        <v>40</v>
      </c>
      <c r="K621" s="1" t="s">
        <v>41</v>
      </c>
      <c r="L621">
        <v>893.56</v>
      </c>
      <c r="M621">
        <v>36.4</v>
      </c>
      <c r="N621">
        <v>2023</v>
      </c>
      <c r="O621">
        <f t="shared" si="9"/>
        <v>4</v>
      </c>
      <c r="P621" s="13" t="s">
        <v>68</v>
      </c>
      <c r="Q621">
        <v>511.36</v>
      </c>
      <c r="R621" s="3" t="s">
        <v>25</v>
      </c>
      <c r="S621" s="7">
        <f>Ventas[[#This Row],[Costo Material (€)]]/Ventas[[#This Row],[Beneficio (€)]]</f>
        <v>1.7474186483103877</v>
      </c>
      <c r="T621" s="3" t="str">
        <f>IF(Ventas[[#This Row],[Margen (%)]]&gt;20%,"Beneficio","Perdidas")</f>
        <v>Beneficio</v>
      </c>
    </row>
    <row r="622" spans="1:20" x14ac:dyDescent="0.25">
      <c r="A622" s="12">
        <v>45021</v>
      </c>
      <c r="B622" s="1" t="s">
        <v>17</v>
      </c>
      <c r="C622" s="1" t="s">
        <v>18</v>
      </c>
      <c r="D622" s="1" t="s">
        <v>19</v>
      </c>
      <c r="E622" s="1" t="s">
        <v>20</v>
      </c>
      <c r="F622">
        <v>431</v>
      </c>
      <c r="G622">
        <v>5.74</v>
      </c>
      <c r="H622">
        <v>2473.94</v>
      </c>
      <c r="I622" s="1" t="s">
        <v>21</v>
      </c>
      <c r="J622" s="1" t="s">
        <v>40</v>
      </c>
      <c r="K622" s="1" t="s">
        <v>28</v>
      </c>
      <c r="L622">
        <v>1964.13</v>
      </c>
      <c r="M622">
        <v>20.6</v>
      </c>
      <c r="N622">
        <v>2023</v>
      </c>
      <c r="O622">
        <f t="shared" si="9"/>
        <v>2</v>
      </c>
      <c r="P622" s="13" t="s">
        <v>62</v>
      </c>
      <c r="Q622">
        <v>509.81</v>
      </c>
      <c r="R622" s="3" t="s">
        <v>29</v>
      </c>
      <c r="S622" s="7">
        <f>Ventas[[#This Row],[Costo Material (€)]]/Ventas[[#This Row],[Beneficio (€)]]</f>
        <v>3.8526706027735824</v>
      </c>
      <c r="T622" s="3" t="str">
        <f>IF(Ventas[[#This Row],[Margen (%)]]&gt;20%,"Beneficio","Perdidas")</f>
        <v>Beneficio</v>
      </c>
    </row>
    <row r="623" spans="1:20" x14ac:dyDescent="0.25">
      <c r="A623" s="12">
        <v>45110</v>
      </c>
      <c r="B623" s="1" t="s">
        <v>17</v>
      </c>
      <c r="C623" s="1" t="s">
        <v>18</v>
      </c>
      <c r="D623" s="1" t="s">
        <v>49</v>
      </c>
      <c r="E623" s="1" t="s">
        <v>50</v>
      </c>
      <c r="F623">
        <v>416</v>
      </c>
      <c r="G623">
        <v>10.61</v>
      </c>
      <c r="H623">
        <v>4413.76</v>
      </c>
      <c r="I623" s="1" t="s">
        <v>21</v>
      </c>
      <c r="J623" s="1" t="s">
        <v>34</v>
      </c>
      <c r="K623" s="1" t="s">
        <v>23</v>
      </c>
      <c r="L623">
        <v>3904.27</v>
      </c>
      <c r="M623">
        <v>11.5</v>
      </c>
      <c r="N623">
        <v>2023</v>
      </c>
      <c r="O623">
        <f t="shared" si="9"/>
        <v>3</v>
      </c>
      <c r="P623" s="13" t="s">
        <v>65</v>
      </c>
      <c r="Q623">
        <v>509.49</v>
      </c>
      <c r="R623" s="3" t="s">
        <v>29</v>
      </c>
      <c r="S623" s="7">
        <f>Ventas[[#This Row],[Costo Material (€)]]/Ventas[[#This Row],[Beneficio (€)]]</f>
        <v>7.6630944670160357</v>
      </c>
      <c r="T623" s="3" t="str">
        <f>IF(Ventas[[#This Row],[Margen (%)]]&gt;20%,"Beneficio","Perdidas")</f>
        <v>Beneficio</v>
      </c>
    </row>
    <row r="624" spans="1:20" x14ac:dyDescent="0.25">
      <c r="A624" s="12">
        <v>45234</v>
      </c>
      <c r="B624" s="1" t="s">
        <v>30</v>
      </c>
      <c r="C624" s="1" t="s">
        <v>31</v>
      </c>
      <c r="D624" s="1" t="s">
        <v>48</v>
      </c>
      <c r="E624" s="1" t="s">
        <v>38</v>
      </c>
      <c r="F624">
        <v>510</v>
      </c>
      <c r="G624">
        <v>6.97</v>
      </c>
      <c r="H624">
        <v>3554.7</v>
      </c>
      <c r="I624" s="1" t="s">
        <v>57</v>
      </c>
      <c r="J624" s="1" t="s">
        <v>34</v>
      </c>
      <c r="K624" s="1" t="s">
        <v>41</v>
      </c>
      <c r="L624">
        <v>3045.53</v>
      </c>
      <c r="M624">
        <v>14.3</v>
      </c>
      <c r="N624">
        <v>2023</v>
      </c>
      <c r="O624">
        <f t="shared" si="9"/>
        <v>4</v>
      </c>
      <c r="P624" s="13" t="s">
        <v>69</v>
      </c>
      <c r="Q624">
        <v>509.17</v>
      </c>
      <c r="R624" s="3" t="s">
        <v>29</v>
      </c>
      <c r="S624" s="7">
        <f>Ventas[[#This Row],[Costo Material (€)]]/Ventas[[#This Row],[Beneficio (€)]]</f>
        <v>5.9813618241451776</v>
      </c>
      <c r="T624" s="3" t="str">
        <f>IF(Ventas[[#This Row],[Margen (%)]]&gt;20%,"Beneficio","Perdidas")</f>
        <v>Beneficio</v>
      </c>
    </row>
    <row r="625" spans="1:20" x14ac:dyDescent="0.25">
      <c r="A625" s="12">
        <v>45028</v>
      </c>
      <c r="B625" s="1" t="s">
        <v>51</v>
      </c>
      <c r="C625" s="1" t="s">
        <v>52</v>
      </c>
      <c r="D625" s="1" t="s">
        <v>45</v>
      </c>
      <c r="E625" s="1" t="s">
        <v>20</v>
      </c>
      <c r="F625">
        <v>263</v>
      </c>
      <c r="G625">
        <v>6.02</v>
      </c>
      <c r="H625">
        <v>1583.26</v>
      </c>
      <c r="I625" s="1" t="s">
        <v>39</v>
      </c>
      <c r="J625" s="1" t="s">
        <v>34</v>
      </c>
      <c r="K625" s="1" t="s">
        <v>41</v>
      </c>
      <c r="L625">
        <v>1078.06</v>
      </c>
      <c r="M625">
        <v>31.9</v>
      </c>
      <c r="N625">
        <v>2023</v>
      </c>
      <c r="O625">
        <f t="shared" si="9"/>
        <v>2</v>
      </c>
      <c r="P625" s="13" t="s">
        <v>62</v>
      </c>
      <c r="Q625">
        <v>505.2</v>
      </c>
      <c r="R625" s="3" t="s">
        <v>25</v>
      </c>
      <c r="S625" s="7">
        <f>Ventas[[#This Row],[Costo Material (€)]]/Ventas[[#This Row],[Beneficio (€)]]</f>
        <v>2.1339271575613616</v>
      </c>
      <c r="T625" s="3" t="str">
        <f>IF(Ventas[[#This Row],[Margen (%)]]&gt;20%,"Beneficio","Perdidas")</f>
        <v>Beneficio</v>
      </c>
    </row>
    <row r="626" spans="1:20" x14ac:dyDescent="0.25">
      <c r="A626" s="12">
        <v>45277</v>
      </c>
      <c r="B626" s="1" t="s">
        <v>51</v>
      </c>
      <c r="C626" s="1" t="s">
        <v>52</v>
      </c>
      <c r="D626" s="1" t="s">
        <v>48</v>
      </c>
      <c r="E626" s="1" t="s">
        <v>38</v>
      </c>
      <c r="F626">
        <v>235</v>
      </c>
      <c r="G626">
        <v>10.56</v>
      </c>
      <c r="H626">
        <v>2481.6</v>
      </c>
      <c r="I626" s="1" t="s">
        <v>54</v>
      </c>
      <c r="J626" s="1" t="s">
        <v>27</v>
      </c>
      <c r="K626" s="1" t="s">
        <v>41</v>
      </c>
      <c r="L626">
        <v>1976.44</v>
      </c>
      <c r="M626">
        <v>20.399999999999999</v>
      </c>
      <c r="N626">
        <v>2023</v>
      </c>
      <c r="O626">
        <f t="shared" si="9"/>
        <v>4</v>
      </c>
      <c r="P626" s="13" t="s">
        <v>70</v>
      </c>
      <c r="Q626">
        <v>505.16</v>
      </c>
      <c r="R626" s="3" t="s">
        <v>29</v>
      </c>
      <c r="S626" s="7">
        <f>Ventas[[#This Row],[Costo Material (€)]]/Ventas[[#This Row],[Beneficio (€)]]</f>
        <v>3.9125029693562436</v>
      </c>
      <c r="T626" s="3" t="str">
        <f>IF(Ventas[[#This Row],[Margen (%)]]&gt;20%,"Beneficio","Perdidas")</f>
        <v>Beneficio</v>
      </c>
    </row>
    <row r="627" spans="1:20" x14ac:dyDescent="0.25">
      <c r="A627" s="12">
        <v>44939</v>
      </c>
      <c r="B627" s="1" t="s">
        <v>30</v>
      </c>
      <c r="C627" s="1" t="s">
        <v>31</v>
      </c>
      <c r="D627" s="1" t="s">
        <v>44</v>
      </c>
      <c r="E627" s="1" t="s">
        <v>38</v>
      </c>
      <c r="F627">
        <v>441</v>
      </c>
      <c r="G627">
        <v>5.78</v>
      </c>
      <c r="H627">
        <v>2548.98</v>
      </c>
      <c r="I627" s="1" t="s">
        <v>21</v>
      </c>
      <c r="J627" s="1" t="s">
        <v>27</v>
      </c>
      <c r="K627" s="1" t="s">
        <v>28</v>
      </c>
      <c r="L627">
        <v>2044.12</v>
      </c>
      <c r="M627">
        <v>19.8</v>
      </c>
      <c r="N627">
        <v>2023</v>
      </c>
      <c r="O627">
        <f t="shared" si="9"/>
        <v>1</v>
      </c>
      <c r="P627" s="13" t="s">
        <v>24</v>
      </c>
      <c r="Q627">
        <v>504.86</v>
      </c>
      <c r="R627" s="3" t="s">
        <v>29</v>
      </c>
      <c r="S627" s="7">
        <f>Ventas[[#This Row],[Costo Material (€)]]/Ventas[[#This Row],[Beneficio (€)]]</f>
        <v>4.0488848393614072</v>
      </c>
      <c r="T627" s="3" t="str">
        <f>IF(Ventas[[#This Row],[Margen (%)]]&gt;20%,"Beneficio","Perdidas")</f>
        <v>Beneficio</v>
      </c>
    </row>
    <row r="628" spans="1:20" x14ac:dyDescent="0.25">
      <c r="A628" s="12">
        <v>44938</v>
      </c>
      <c r="B628" s="1" t="s">
        <v>51</v>
      </c>
      <c r="C628" s="1" t="s">
        <v>52</v>
      </c>
      <c r="D628" s="1" t="s">
        <v>44</v>
      </c>
      <c r="E628" s="1" t="s">
        <v>38</v>
      </c>
      <c r="F628">
        <v>181</v>
      </c>
      <c r="G628">
        <v>10.82</v>
      </c>
      <c r="H628">
        <v>1958.42</v>
      </c>
      <c r="I628" s="1" t="s">
        <v>26</v>
      </c>
      <c r="J628" s="1" t="s">
        <v>40</v>
      </c>
      <c r="K628" s="1" t="s">
        <v>28</v>
      </c>
      <c r="L628">
        <v>1454.83</v>
      </c>
      <c r="M628">
        <v>25.7</v>
      </c>
      <c r="N628">
        <v>2023</v>
      </c>
      <c r="O628">
        <f t="shared" si="9"/>
        <v>1</v>
      </c>
      <c r="P628" s="13" t="s">
        <v>24</v>
      </c>
      <c r="Q628">
        <v>503.59</v>
      </c>
      <c r="R628" s="3" t="s">
        <v>25</v>
      </c>
      <c r="S628" s="7">
        <f>Ventas[[#This Row],[Costo Material (€)]]/Ventas[[#This Row],[Beneficio (€)]]</f>
        <v>2.8889175718342304</v>
      </c>
      <c r="T628" s="3" t="str">
        <f>IF(Ventas[[#This Row],[Margen (%)]]&gt;20%,"Beneficio","Perdidas")</f>
        <v>Beneficio</v>
      </c>
    </row>
    <row r="629" spans="1:20" x14ac:dyDescent="0.25">
      <c r="A629" s="12">
        <v>45262</v>
      </c>
      <c r="B629" s="1" t="s">
        <v>35</v>
      </c>
      <c r="C629" s="1" t="s">
        <v>36</v>
      </c>
      <c r="D629" s="1" t="s">
        <v>37</v>
      </c>
      <c r="E629" s="1" t="s">
        <v>38</v>
      </c>
      <c r="F629">
        <v>330</v>
      </c>
      <c r="G629">
        <v>7.22</v>
      </c>
      <c r="H629">
        <v>2382.6</v>
      </c>
      <c r="I629" s="1" t="s">
        <v>55</v>
      </c>
      <c r="J629" s="1" t="s">
        <v>40</v>
      </c>
      <c r="K629" s="1" t="s">
        <v>28</v>
      </c>
      <c r="L629">
        <v>1880.05</v>
      </c>
      <c r="M629">
        <v>21.1</v>
      </c>
      <c r="N629">
        <v>2023</v>
      </c>
      <c r="O629">
        <f t="shared" si="9"/>
        <v>4</v>
      </c>
      <c r="P629" s="13" t="s">
        <v>70</v>
      </c>
      <c r="Q629">
        <v>502.55</v>
      </c>
      <c r="R629" s="3" t="s">
        <v>29</v>
      </c>
      <c r="S629" s="7">
        <f>Ventas[[#This Row],[Costo Material (€)]]/Ventas[[#This Row],[Beneficio (€)]]</f>
        <v>3.7410207939508506</v>
      </c>
      <c r="T629" s="3" t="str">
        <f>IF(Ventas[[#This Row],[Margen (%)]]&gt;20%,"Beneficio","Perdidas")</f>
        <v>Beneficio</v>
      </c>
    </row>
    <row r="630" spans="1:20" x14ac:dyDescent="0.25">
      <c r="A630" s="12">
        <v>44934</v>
      </c>
      <c r="B630" s="1" t="s">
        <v>30</v>
      </c>
      <c r="C630" s="1" t="s">
        <v>31</v>
      </c>
      <c r="D630" s="1" t="s">
        <v>19</v>
      </c>
      <c r="E630" s="1" t="s">
        <v>20</v>
      </c>
      <c r="F630">
        <v>168</v>
      </c>
      <c r="G630">
        <v>11.15</v>
      </c>
      <c r="H630">
        <v>1873.2</v>
      </c>
      <c r="I630" s="1" t="s">
        <v>33</v>
      </c>
      <c r="J630" s="1" t="s">
        <v>22</v>
      </c>
      <c r="K630" s="1" t="s">
        <v>23</v>
      </c>
      <c r="L630">
        <v>1371.44</v>
      </c>
      <c r="M630">
        <v>26.8</v>
      </c>
      <c r="N630">
        <v>2023</v>
      </c>
      <c r="O630">
        <f t="shared" si="9"/>
        <v>1</v>
      </c>
      <c r="P630" s="13" t="s">
        <v>24</v>
      </c>
      <c r="Q630">
        <v>501.76</v>
      </c>
      <c r="R630" s="3" t="s">
        <v>25</v>
      </c>
      <c r="S630" s="7">
        <f>Ventas[[#This Row],[Costo Material (€)]]/Ventas[[#This Row],[Beneficio (€)]]</f>
        <v>2.7332589285714288</v>
      </c>
      <c r="T630" s="3" t="str">
        <f>IF(Ventas[[#This Row],[Margen (%)]]&gt;20%,"Beneficio","Perdidas")</f>
        <v>Beneficio</v>
      </c>
    </row>
    <row r="631" spans="1:20" x14ac:dyDescent="0.25">
      <c r="A631" s="12">
        <v>44927</v>
      </c>
      <c r="B631" s="1" t="s">
        <v>17</v>
      </c>
      <c r="C631" s="1" t="s">
        <v>18</v>
      </c>
      <c r="D631" s="1" t="s">
        <v>19</v>
      </c>
      <c r="E631" s="1" t="s">
        <v>20</v>
      </c>
      <c r="F631">
        <v>572</v>
      </c>
      <c r="G631">
        <v>8.4499999999999993</v>
      </c>
      <c r="H631">
        <v>4833.3999999999996</v>
      </c>
      <c r="I631" s="1" t="s">
        <v>26</v>
      </c>
      <c r="J631" s="1" t="s">
        <v>27</v>
      </c>
      <c r="K631" s="1" t="s">
        <v>28</v>
      </c>
      <c r="L631">
        <v>4338.91</v>
      </c>
      <c r="M631">
        <v>10.199999999999999</v>
      </c>
      <c r="N631">
        <v>2023</v>
      </c>
      <c r="O631">
        <f t="shared" si="9"/>
        <v>1</v>
      </c>
      <c r="P631" s="13" t="s">
        <v>24</v>
      </c>
      <c r="Q631">
        <v>494.49</v>
      </c>
      <c r="R631" s="3" t="s">
        <v>29</v>
      </c>
      <c r="S631" s="7">
        <f>Ventas[[#This Row],[Costo Material (€)]]/Ventas[[#This Row],[Beneficio (€)]]</f>
        <v>8.7745151570304749</v>
      </c>
      <c r="T631" s="3" t="str">
        <f>IF(Ventas[[#This Row],[Margen (%)]]&gt;20%,"Beneficio","Perdidas")</f>
        <v>Beneficio</v>
      </c>
    </row>
    <row r="632" spans="1:20" x14ac:dyDescent="0.25">
      <c r="A632" s="12">
        <v>45055</v>
      </c>
      <c r="B632" s="1" t="s">
        <v>42</v>
      </c>
      <c r="C632" s="1" t="s">
        <v>43</v>
      </c>
      <c r="D632" s="1" t="s">
        <v>48</v>
      </c>
      <c r="E632" s="1" t="s">
        <v>38</v>
      </c>
      <c r="F632">
        <v>688</v>
      </c>
      <c r="G632">
        <v>4.59</v>
      </c>
      <c r="H632">
        <v>3157.92</v>
      </c>
      <c r="I632" s="1" t="s">
        <v>26</v>
      </c>
      <c r="J632" s="1" t="s">
        <v>34</v>
      </c>
      <c r="K632" s="1" t="s">
        <v>23</v>
      </c>
      <c r="L632">
        <v>2664.12</v>
      </c>
      <c r="M632">
        <v>15.6</v>
      </c>
      <c r="N632">
        <v>2023</v>
      </c>
      <c r="O632">
        <f t="shared" si="9"/>
        <v>2</v>
      </c>
      <c r="P632" s="13" t="s">
        <v>63</v>
      </c>
      <c r="Q632">
        <v>493.8</v>
      </c>
      <c r="R632" s="3" t="s">
        <v>29</v>
      </c>
      <c r="S632" s="7">
        <f>Ventas[[#This Row],[Costo Material (€)]]/Ventas[[#This Row],[Beneficio (€)]]</f>
        <v>5.3951397326852977</v>
      </c>
      <c r="T632" s="3" t="str">
        <f>IF(Ventas[[#This Row],[Margen (%)]]&gt;20%,"Beneficio","Perdidas")</f>
        <v>Beneficio</v>
      </c>
    </row>
    <row r="633" spans="1:20" x14ac:dyDescent="0.25">
      <c r="A633" s="12">
        <v>45112</v>
      </c>
      <c r="B633" s="1" t="s">
        <v>42</v>
      </c>
      <c r="C633" s="1" t="s">
        <v>43</v>
      </c>
      <c r="D633" s="1" t="s">
        <v>45</v>
      </c>
      <c r="E633" s="1" t="s">
        <v>20</v>
      </c>
      <c r="F633">
        <v>445</v>
      </c>
      <c r="G633">
        <v>9.68</v>
      </c>
      <c r="H633">
        <v>4307.6000000000004</v>
      </c>
      <c r="I633" s="1" t="s">
        <v>39</v>
      </c>
      <c r="J633" s="1" t="s">
        <v>47</v>
      </c>
      <c r="K633" s="1" t="s">
        <v>23</v>
      </c>
      <c r="L633">
        <v>3814.6</v>
      </c>
      <c r="M633">
        <v>11.4</v>
      </c>
      <c r="N633">
        <v>2023</v>
      </c>
      <c r="O633">
        <f t="shared" si="9"/>
        <v>3</v>
      </c>
      <c r="P633" s="13" t="s">
        <v>65</v>
      </c>
      <c r="Q633">
        <v>493</v>
      </c>
      <c r="R633" s="3" t="s">
        <v>29</v>
      </c>
      <c r="S633" s="7">
        <f>Ventas[[#This Row],[Costo Material (€)]]/Ventas[[#This Row],[Beneficio (€)]]</f>
        <v>7.7375253549695735</v>
      </c>
      <c r="T633" s="3" t="str">
        <f>IF(Ventas[[#This Row],[Margen (%)]]&gt;20%,"Beneficio","Perdidas")</f>
        <v>Beneficio</v>
      </c>
    </row>
    <row r="634" spans="1:20" x14ac:dyDescent="0.25">
      <c r="A634" s="12">
        <v>45421</v>
      </c>
      <c r="B634" s="1" t="s">
        <v>42</v>
      </c>
      <c r="C634" s="1" t="s">
        <v>43</v>
      </c>
      <c r="D634" s="1" t="s">
        <v>48</v>
      </c>
      <c r="E634" s="1" t="s">
        <v>38</v>
      </c>
      <c r="F634">
        <v>270</v>
      </c>
      <c r="G634">
        <v>4.92</v>
      </c>
      <c r="H634">
        <v>1328.4</v>
      </c>
      <c r="I634" s="1" t="s">
        <v>21</v>
      </c>
      <c r="J634" s="1" t="s">
        <v>56</v>
      </c>
      <c r="K634" s="1" t="s">
        <v>41</v>
      </c>
      <c r="L634">
        <v>836.92</v>
      </c>
      <c r="M634">
        <v>37</v>
      </c>
      <c r="N634">
        <v>2024</v>
      </c>
      <c r="O634">
        <f t="shared" si="9"/>
        <v>2</v>
      </c>
      <c r="P634" s="13" t="s">
        <v>63</v>
      </c>
      <c r="Q634">
        <v>491.48</v>
      </c>
      <c r="R634" s="3" t="s">
        <v>25</v>
      </c>
      <c r="S634" s="7">
        <f>Ventas[[#This Row],[Costo Material (€)]]/Ventas[[#This Row],[Beneficio (€)]]</f>
        <v>1.7028566777895335</v>
      </c>
      <c r="T634" s="3" t="str">
        <f>IF(Ventas[[#This Row],[Margen (%)]]&gt;20%,"Beneficio","Perdidas")</f>
        <v>Beneficio</v>
      </c>
    </row>
    <row r="635" spans="1:20" x14ac:dyDescent="0.25">
      <c r="A635" s="12">
        <v>44951</v>
      </c>
      <c r="B635" s="1" t="s">
        <v>35</v>
      </c>
      <c r="C635" s="1" t="s">
        <v>36</v>
      </c>
      <c r="D635" s="1" t="s">
        <v>49</v>
      </c>
      <c r="E635" s="1" t="s">
        <v>50</v>
      </c>
      <c r="F635">
        <v>612</v>
      </c>
      <c r="G635">
        <v>5.36</v>
      </c>
      <c r="H635">
        <v>3280.32</v>
      </c>
      <c r="I635" s="1" t="s">
        <v>54</v>
      </c>
      <c r="J635" s="1" t="s">
        <v>47</v>
      </c>
      <c r="K635" s="1" t="s">
        <v>23</v>
      </c>
      <c r="L635">
        <v>2789.92</v>
      </c>
      <c r="M635">
        <v>14.9</v>
      </c>
      <c r="N635">
        <v>2023</v>
      </c>
      <c r="O635">
        <f t="shared" si="9"/>
        <v>1</v>
      </c>
      <c r="P635" s="13" t="s">
        <v>24</v>
      </c>
      <c r="Q635">
        <v>490.4</v>
      </c>
      <c r="R635" s="3" t="s">
        <v>29</v>
      </c>
      <c r="S635" s="7">
        <f>Ventas[[#This Row],[Costo Material (€)]]/Ventas[[#This Row],[Beneficio (€)]]</f>
        <v>5.6890701468189233</v>
      </c>
      <c r="T635" s="3" t="str">
        <f>IF(Ventas[[#This Row],[Margen (%)]]&gt;20%,"Beneficio","Perdidas")</f>
        <v>Beneficio</v>
      </c>
    </row>
    <row r="636" spans="1:20" x14ac:dyDescent="0.25">
      <c r="A636" s="12">
        <v>45151</v>
      </c>
      <c r="B636" s="1" t="s">
        <v>17</v>
      </c>
      <c r="C636" s="1" t="s">
        <v>18</v>
      </c>
      <c r="D636" s="1" t="s">
        <v>19</v>
      </c>
      <c r="E636" s="1" t="s">
        <v>20</v>
      </c>
      <c r="F636">
        <v>279</v>
      </c>
      <c r="G636">
        <v>5.39</v>
      </c>
      <c r="H636">
        <v>1503.81</v>
      </c>
      <c r="I636" s="1" t="s">
        <v>39</v>
      </c>
      <c r="J636" s="1" t="s">
        <v>40</v>
      </c>
      <c r="K636" s="1" t="s">
        <v>28</v>
      </c>
      <c r="L636">
        <v>1014.58</v>
      </c>
      <c r="M636">
        <v>32.5</v>
      </c>
      <c r="N636">
        <v>2023</v>
      </c>
      <c r="O636">
        <f t="shared" si="9"/>
        <v>3</v>
      </c>
      <c r="P636" s="13" t="s">
        <v>66</v>
      </c>
      <c r="Q636">
        <v>489.23</v>
      </c>
      <c r="R636" s="3" t="s">
        <v>25</v>
      </c>
      <c r="S636" s="7">
        <f>Ventas[[#This Row],[Costo Material (€)]]/Ventas[[#This Row],[Beneficio (€)]]</f>
        <v>2.07383030476463</v>
      </c>
      <c r="T636" s="3" t="str">
        <f>IF(Ventas[[#This Row],[Margen (%)]]&gt;20%,"Beneficio","Perdidas")</f>
        <v>Beneficio</v>
      </c>
    </row>
    <row r="637" spans="1:20" x14ac:dyDescent="0.25">
      <c r="A637" s="12">
        <v>45255</v>
      </c>
      <c r="B637" s="1" t="s">
        <v>58</v>
      </c>
      <c r="C637" s="1" t="s">
        <v>59</v>
      </c>
      <c r="D637" s="1" t="s">
        <v>44</v>
      </c>
      <c r="E637" s="1" t="s">
        <v>38</v>
      </c>
      <c r="F637">
        <v>533</v>
      </c>
      <c r="G637">
        <v>8.99</v>
      </c>
      <c r="H637">
        <v>4791.67</v>
      </c>
      <c r="I637" s="1" t="s">
        <v>55</v>
      </c>
      <c r="J637" s="1" t="s">
        <v>47</v>
      </c>
      <c r="K637" s="1" t="s">
        <v>23</v>
      </c>
      <c r="L637">
        <v>4303.45</v>
      </c>
      <c r="M637">
        <v>10.199999999999999</v>
      </c>
      <c r="N637">
        <v>2023</v>
      </c>
      <c r="O637">
        <f t="shared" si="9"/>
        <v>4</v>
      </c>
      <c r="P637" s="13" t="s">
        <v>69</v>
      </c>
      <c r="Q637">
        <v>488.22</v>
      </c>
      <c r="R637" s="3" t="s">
        <v>29</v>
      </c>
      <c r="S637" s="7">
        <f>Ventas[[#This Row],[Costo Material (€)]]/Ventas[[#This Row],[Beneficio (€)]]</f>
        <v>8.8145712998238483</v>
      </c>
      <c r="T637" s="3" t="str">
        <f>IF(Ventas[[#This Row],[Margen (%)]]&gt;20%,"Beneficio","Perdidas")</f>
        <v>Beneficio</v>
      </c>
    </row>
    <row r="638" spans="1:20" x14ac:dyDescent="0.25">
      <c r="A638" s="12">
        <v>45001</v>
      </c>
      <c r="B638" s="1" t="s">
        <v>51</v>
      </c>
      <c r="C638" s="1" t="s">
        <v>52</v>
      </c>
      <c r="D638" s="1" t="s">
        <v>32</v>
      </c>
      <c r="E638" s="1" t="s">
        <v>20</v>
      </c>
      <c r="F638">
        <v>230</v>
      </c>
      <c r="G638">
        <v>6.51</v>
      </c>
      <c r="H638">
        <v>1497.3</v>
      </c>
      <c r="I638" s="1" t="s">
        <v>39</v>
      </c>
      <c r="J638" s="1" t="s">
        <v>56</v>
      </c>
      <c r="K638" s="1" t="s">
        <v>28</v>
      </c>
      <c r="L638">
        <v>1011.37</v>
      </c>
      <c r="M638">
        <v>32.5</v>
      </c>
      <c r="N638">
        <v>2023</v>
      </c>
      <c r="O638">
        <f t="shared" si="9"/>
        <v>1</v>
      </c>
      <c r="P638" s="13" t="s">
        <v>61</v>
      </c>
      <c r="Q638">
        <v>485.93</v>
      </c>
      <c r="R638" s="3" t="s">
        <v>25</v>
      </c>
      <c r="S638" s="7">
        <f>Ventas[[#This Row],[Costo Material (€)]]/Ventas[[#This Row],[Beneficio (€)]]</f>
        <v>2.0813080073261583</v>
      </c>
      <c r="T638" s="3" t="str">
        <f>IF(Ventas[[#This Row],[Margen (%)]]&gt;20%,"Beneficio","Perdidas")</f>
        <v>Beneficio</v>
      </c>
    </row>
    <row r="639" spans="1:20" x14ac:dyDescent="0.25">
      <c r="A639" s="12">
        <v>45302</v>
      </c>
      <c r="B639" s="1" t="s">
        <v>42</v>
      </c>
      <c r="C639" s="1" t="s">
        <v>43</v>
      </c>
      <c r="D639" s="1" t="s">
        <v>53</v>
      </c>
      <c r="E639" s="1" t="s">
        <v>50</v>
      </c>
      <c r="F639">
        <v>281</v>
      </c>
      <c r="G639">
        <v>8.26</v>
      </c>
      <c r="H639">
        <v>2321.06</v>
      </c>
      <c r="I639" s="1" t="s">
        <v>21</v>
      </c>
      <c r="J639" s="1" t="s">
        <v>22</v>
      </c>
      <c r="K639" s="1" t="s">
        <v>41</v>
      </c>
      <c r="L639">
        <v>1835.14</v>
      </c>
      <c r="M639">
        <v>20.9</v>
      </c>
      <c r="N639">
        <v>2024</v>
      </c>
      <c r="O639">
        <f t="shared" si="9"/>
        <v>1</v>
      </c>
      <c r="P639" s="13" t="s">
        <v>24</v>
      </c>
      <c r="Q639">
        <v>485.92</v>
      </c>
      <c r="R639" s="3" t="s">
        <v>29</v>
      </c>
      <c r="S639" s="7">
        <f>Ventas[[#This Row],[Costo Material (€)]]/Ventas[[#This Row],[Beneficio (€)]]</f>
        <v>3.7766298979255843</v>
      </c>
      <c r="T639" s="3" t="str">
        <f>IF(Ventas[[#This Row],[Margen (%)]]&gt;20%,"Beneficio","Perdidas")</f>
        <v>Beneficio</v>
      </c>
    </row>
    <row r="640" spans="1:20" x14ac:dyDescent="0.25">
      <c r="A640" s="12">
        <v>45220</v>
      </c>
      <c r="B640" s="1" t="s">
        <v>42</v>
      </c>
      <c r="C640" s="1" t="s">
        <v>43</v>
      </c>
      <c r="D640" s="1" t="s">
        <v>49</v>
      </c>
      <c r="E640" s="1" t="s">
        <v>50</v>
      </c>
      <c r="F640">
        <v>319</v>
      </c>
      <c r="G640">
        <v>6.88</v>
      </c>
      <c r="H640">
        <v>2194.7199999999998</v>
      </c>
      <c r="I640" s="1" t="s">
        <v>39</v>
      </c>
      <c r="J640" s="1" t="s">
        <v>22</v>
      </c>
      <c r="K640" s="1" t="s">
        <v>41</v>
      </c>
      <c r="L640">
        <v>1709.19</v>
      </c>
      <c r="M640">
        <v>22.1</v>
      </c>
      <c r="N640">
        <v>2023</v>
      </c>
      <c r="O640">
        <f t="shared" si="9"/>
        <v>4</v>
      </c>
      <c r="P640" s="13" t="s">
        <v>68</v>
      </c>
      <c r="Q640">
        <v>485.53</v>
      </c>
      <c r="R640" s="3" t="s">
        <v>29</v>
      </c>
      <c r="S640" s="7">
        <f>Ventas[[#This Row],[Costo Material (€)]]/Ventas[[#This Row],[Beneficio (€)]]</f>
        <v>3.5202562148579903</v>
      </c>
      <c r="T640" s="3" t="str">
        <f>IF(Ventas[[#This Row],[Margen (%)]]&gt;20%,"Beneficio","Perdidas")</f>
        <v>Beneficio</v>
      </c>
    </row>
    <row r="641" spans="1:20" x14ac:dyDescent="0.25">
      <c r="A641" s="12">
        <v>44966</v>
      </c>
      <c r="B641" s="1" t="s">
        <v>51</v>
      </c>
      <c r="C641" s="1" t="s">
        <v>52</v>
      </c>
      <c r="D641" s="1" t="s">
        <v>45</v>
      </c>
      <c r="E641" s="1" t="s">
        <v>20</v>
      </c>
      <c r="F641">
        <v>226</v>
      </c>
      <c r="G641">
        <v>6.91</v>
      </c>
      <c r="H641">
        <v>1561.66</v>
      </c>
      <c r="I641" s="1" t="s">
        <v>21</v>
      </c>
      <c r="J641" s="1" t="s">
        <v>22</v>
      </c>
      <c r="K641" s="1" t="s">
        <v>28</v>
      </c>
      <c r="L641">
        <v>1077.53</v>
      </c>
      <c r="M641">
        <v>31</v>
      </c>
      <c r="N641">
        <v>2023</v>
      </c>
      <c r="O641">
        <f t="shared" si="9"/>
        <v>1</v>
      </c>
      <c r="P641" s="13" t="s">
        <v>60</v>
      </c>
      <c r="Q641">
        <v>484.13</v>
      </c>
      <c r="R641" s="3" t="s">
        <v>25</v>
      </c>
      <c r="S641" s="7">
        <f>Ventas[[#This Row],[Costo Material (€)]]/Ventas[[#This Row],[Beneficio (€)]]</f>
        <v>2.2257038398777187</v>
      </c>
      <c r="T641" s="3" t="str">
        <f>IF(Ventas[[#This Row],[Margen (%)]]&gt;20%,"Beneficio","Perdidas")</f>
        <v>Beneficio</v>
      </c>
    </row>
    <row r="642" spans="1:20" x14ac:dyDescent="0.25">
      <c r="A642" s="12">
        <v>44999</v>
      </c>
      <c r="B642" s="1" t="s">
        <v>17</v>
      </c>
      <c r="C642" s="1" t="s">
        <v>18</v>
      </c>
      <c r="D642" s="1" t="s">
        <v>49</v>
      </c>
      <c r="E642" s="1" t="s">
        <v>50</v>
      </c>
      <c r="F642">
        <v>894</v>
      </c>
      <c r="G642">
        <v>3.09</v>
      </c>
      <c r="H642">
        <v>2762.46</v>
      </c>
      <c r="I642" s="1" t="s">
        <v>21</v>
      </c>
      <c r="J642" s="1" t="s">
        <v>56</v>
      </c>
      <c r="K642" s="1" t="s">
        <v>41</v>
      </c>
      <c r="L642">
        <v>2278.9499999999998</v>
      </c>
      <c r="M642">
        <v>17.5</v>
      </c>
      <c r="N642">
        <v>2023</v>
      </c>
      <c r="O642">
        <f t="shared" ref="O642:O705" si="10">ROUNDUP(MONTH(A642)/3,0)</f>
        <v>1</v>
      </c>
      <c r="P642" s="13" t="s">
        <v>61</v>
      </c>
      <c r="Q642">
        <v>483.51</v>
      </c>
      <c r="R642" s="3" t="s">
        <v>29</v>
      </c>
      <c r="S642" s="7">
        <f>Ventas[[#This Row],[Costo Material (€)]]/Ventas[[#This Row],[Beneficio (€)]]</f>
        <v>4.7133461562325492</v>
      </c>
      <c r="T642" s="3" t="str">
        <f>IF(Ventas[[#This Row],[Margen (%)]]&gt;20%,"Beneficio","Perdidas")</f>
        <v>Beneficio</v>
      </c>
    </row>
    <row r="643" spans="1:20" x14ac:dyDescent="0.25">
      <c r="A643" s="12">
        <v>44928</v>
      </c>
      <c r="B643" s="1" t="s">
        <v>17</v>
      </c>
      <c r="C643" s="1" t="s">
        <v>18</v>
      </c>
      <c r="D643" s="1" t="s">
        <v>45</v>
      </c>
      <c r="E643" s="1" t="s">
        <v>20</v>
      </c>
      <c r="F643">
        <v>320</v>
      </c>
      <c r="G643">
        <v>4.37</v>
      </c>
      <c r="H643">
        <v>1398.4</v>
      </c>
      <c r="I643" s="1" t="s">
        <v>21</v>
      </c>
      <c r="J643" s="1" t="s">
        <v>34</v>
      </c>
      <c r="K643" s="1" t="s">
        <v>28</v>
      </c>
      <c r="L643">
        <v>917.37</v>
      </c>
      <c r="M643">
        <v>34.4</v>
      </c>
      <c r="N643">
        <v>2023</v>
      </c>
      <c r="O643">
        <f t="shared" si="10"/>
        <v>1</v>
      </c>
      <c r="P643" s="13" t="s">
        <v>24</v>
      </c>
      <c r="Q643">
        <v>481.03</v>
      </c>
      <c r="R643" s="3" t="s">
        <v>25</v>
      </c>
      <c r="S643" s="7">
        <f>Ventas[[#This Row],[Costo Material (€)]]/Ventas[[#This Row],[Beneficio (€)]]</f>
        <v>1.9070951915680936</v>
      </c>
      <c r="T643" s="3" t="str">
        <f>IF(Ventas[[#This Row],[Margen (%)]]&gt;20%,"Beneficio","Perdidas")</f>
        <v>Beneficio</v>
      </c>
    </row>
    <row r="644" spans="1:20" x14ac:dyDescent="0.25">
      <c r="A644" s="12">
        <v>45092</v>
      </c>
      <c r="B644" s="1" t="s">
        <v>51</v>
      </c>
      <c r="C644" s="1" t="s">
        <v>52</v>
      </c>
      <c r="D644" s="1" t="s">
        <v>48</v>
      </c>
      <c r="E644" s="1" t="s">
        <v>38</v>
      </c>
      <c r="F644">
        <v>228</v>
      </c>
      <c r="G644">
        <v>11.78</v>
      </c>
      <c r="H644">
        <v>2685.84</v>
      </c>
      <c r="I644" s="1" t="s">
        <v>33</v>
      </c>
      <c r="J644" s="1" t="s">
        <v>27</v>
      </c>
      <c r="K644" s="1" t="s">
        <v>41</v>
      </c>
      <c r="L644">
        <v>2205.6799999999998</v>
      </c>
      <c r="M644">
        <v>17.899999999999999</v>
      </c>
      <c r="N644">
        <v>2023</v>
      </c>
      <c r="O644">
        <f t="shared" si="10"/>
        <v>2</v>
      </c>
      <c r="P644" s="13" t="s">
        <v>64</v>
      </c>
      <c r="Q644">
        <v>480.16</v>
      </c>
      <c r="R644" s="3" t="s">
        <v>29</v>
      </c>
      <c r="S644" s="7">
        <f>Ventas[[#This Row],[Costo Material (€)]]/Ventas[[#This Row],[Beneficio (€)]]</f>
        <v>4.5936354548483829</v>
      </c>
      <c r="T644" s="3" t="str">
        <f>IF(Ventas[[#This Row],[Margen (%)]]&gt;20%,"Beneficio","Perdidas")</f>
        <v>Beneficio</v>
      </c>
    </row>
    <row r="645" spans="1:20" x14ac:dyDescent="0.25">
      <c r="A645" s="12">
        <v>45085</v>
      </c>
      <c r="B645" s="1" t="s">
        <v>30</v>
      </c>
      <c r="C645" s="1" t="s">
        <v>31</v>
      </c>
      <c r="D645" s="1" t="s">
        <v>44</v>
      </c>
      <c r="E645" s="1" t="s">
        <v>38</v>
      </c>
      <c r="F645">
        <v>512</v>
      </c>
      <c r="G645">
        <v>5.82</v>
      </c>
      <c r="H645">
        <v>2979.84</v>
      </c>
      <c r="I645" s="1" t="s">
        <v>54</v>
      </c>
      <c r="J645" s="1" t="s">
        <v>47</v>
      </c>
      <c r="K645" s="1" t="s">
        <v>23</v>
      </c>
      <c r="L645">
        <v>2500.6799999999998</v>
      </c>
      <c r="M645">
        <v>16.100000000000001</v>
      </c>
      <c r="N645">
        <v>2023</v>
      </c>
      <c r="O645">
        <f t="shared" si="10"/>
        <v>2</v>
      </c>
      <c r="P645" s="13" t="s">
        <v>64</v>
      </c>
      <c r="Q645">
        <v>479.16</v>
      </c>
      <c r="R645" s="3" t="s">
        <v>29</v>
      </c>
      <c r="S645" s="7">
        <f>Ventas[[#This Row],[Costo Material (€)]]/Ventas[[#This Row],[Beneficio (€)]]</f>
        <v>5.218883045329326</v>
      </c>
      <c r="T645" s="3" t="str">
        <f>IF(Ventas[[#This Row],[Margen (%)]]&gt;20%,"Beneficio","Perdidas")</f>
        <v>Beneficio</v>
      </c>
    </row>
    <row r="646" spans="1:20" x14ac:dyDescent="0.25">
      <c r="A646" s="12">
        <v>45312</v>
      </c>
      <c r="B646" s="1" t="s">
        <v>51</v>
      </c>
      <c r="C646" s="1" t="s">
        <v>52</v>
      </c>
      <c r="D646" s="1" t="s">
        <v>49</v>
      </c>
      <c r="E646" s="1" t="s">
        <v>50</v>
      </c>
      <c r="F646">
        <v>726</v>
      </c>
      <c r="G646">
        <v>3.6</v>
      </c>
      <c r="H646">
        <v>2613.6</v>
      </c>
      <c r="I646" s="1" t="s">
        <v>55</v>
      </c>
      <c r="J646" s="1" t="s">
        <v>40</v>
      </c>
      <c r="K646" s="1" t="s">
        <v>41</v>
      </c>
      <c r="L646">
        <v>2134.77</v>
      </c>
      <c r="M646">
        <v>18.3</v>
      </c>
      <c r="N646">
        <v>2024</v>
      </c>
      <c r="O646">
        <f t="shared" si="10"/>
        <v>1</v>
      </c>
      <c r="P646" s="13" t="s">
        <v>24</v>
      </c>
      <c r="Q646">
        <v>478.83</v>
      </c>
      <c r="R646" s="3" t="s">
        <v>29</v>
      </c>
      <c r="S646" s="7">
        <f>Ventas[[#This Row],[Costo Material (€)]]/Ventas[[#This Row],[Beneficio (€)]]</f>
        <v>4.4583046175051688</v>
      </c>
      <c r="T646" s="3" t="str">
        <f>IF(Ventas[[#This Row],[Margen (%)]]&gt;20%,"Beneficio","Perdidas")</f>
        <v>Beneficio</v>
      </c>
    </row>
    <row r="647" spans="1:20" x14ac:dyDescent="0.25">
      <c r="A647" s="12">
        <v>45220</v>
      </c>
      <c r="B647" s="1" t="s">
        <v>42</v>
      </c>
      <c r="C647" s="1" t="s">
        <v>43</v>
      </c>
      <c r="D647" s="1" t="s">
        <v>44</v>
      </c>
      <c r="E647" s="1" t="s">
        <v>38</v>
      </c>
      <c r="F647">
        <v>189</v>
      </c>
      <c r="G647">
        <v>8.1199999999999992</v>
      </c>
      <c r="H647">
        <v>1534.68</v>
      </c>
      <c r="I647" s="1" t="s">
        <v>21</v>
      </c>
      <c r="J647" s="1" t="s">
        <v>56</v>
      </c>
      <c r="K647" s="1" t="s">
        <v>23</v>
      </c>
      <c r="L647">
        <v>1057.18</v>
      </c>
      <c r="M647">
        <v>31.1</v>
      </c>
      <c r="N647">
        <v>2023</v>
      </c>
      <c r="O647">
        <f t="shared" si="10"/>
        <v>4</v>
      </c>
      <c r="P647" s="13" t="s">
        <v>68</v>
      </c>
      <c r="Q647">
        <v>477.5</v>
      </c>
      <c r="R647" s="3" t="s">
        <v>25</v>
      </c>
      <c r="S647" s="7">
        <f>Ventas[[#This Row],[Costo Material (€)]]/Ventas[[#This Row],[Beneficio (€)]]</f>
        <v>2.2139895287958118</v>
      </c>
      <c r="T647" s="3" t="str">
        <f>IF(Ventas[[#This Row],[Margen (%)]]&gt;20%,"Beneficio","Perdidas")</f>
        <v>Beneficio</v>
      </c>
    </row>
    <row r="648" spans="1:20" x14ac:dyDescent="0.25">
      <c r="A648" s="12">
        <v>44977</v>
      </c>
      <c r="B648" s="1" t="s">
        <v>30</v>
      </c>
      <c r="C648" s="1" t="s">
        <v>31</v>
      </c>
      <c r="D648" s="1" t="s">
        <v>45</v>
      </c>
      <c r="E648" s="1" t="s">
        <v>20</v>
      </c>
      <c r="F648">
        <v>157</v>
      </c>
      <c r="G648">
        <v>8.41</v>
      </c>
      <c r="H648">
        <v>1320.37</v>
      </c>
      <c r="I648" s="1" t="s">
        <v>55</v>
      </c>
      <c r="J648" s="1" t="s">
        <v>56</v>
      </c>
      <c r="K648" s="1" t="s">
        <v>41</v>
      </c>
      <c r="L648">
        <v>845.62</v>
      </c>
      <c r="M648">
        <v>36</v>
      </c>
      <c r="N648">
        <v>2023</v>
      </c>
      <c r="O648">
        <f t="shared" si="10"/>
        <v>1</v>
      </c>
      <c r="P648" s="13" t="s">
        <v>60</v>
      </c>
      <c r="Q648">
        <v>474.75</v>
      </c>
      <c r="R648" s="3" t="s">
        <v>25</v>
      </c>
      <c r="S648" s="7">
        <f>Ventas[[#This Row],[Costo Material (€)]]/Ventas[[#This Row],[Beneficio (€)]]</f>
        <v>1.7811901000526593</v>
      </c>
      <c r="T648" s="3" t="str">
        <f>IF(Ventas[[#This Row],[Margen (%)]]&gt;20%,"Beneficio","Perdidas")</f>
        <v>Beneficio</v>
      </c>
    </row>
    <row r="649" spans="1:20" x14ac:dyDescent="0.25">
      <c r="A649" s="12">
        <v>45120</v>
      </c>
      <c r="B649" s="1" t="s">
        <v>17</v>
      </c>
      <c r="C649" s="1" t="s">
        <v>18</v>
      </c>
      <c r="D649" s="1" t="s">
        <v>44</v>
      </c>
      <c r="E649" s="1" t="s">
        <v>38</v>
      </c>
      <c r="F649">
        <v>444</v>
      </c>
      <c r="G649">
        <v>8.07</v>
      </c>
      <c r="H649">
        <v>3583.08</v>
      </c>
      <c r="I649" s="1" t="s">
        <v>26</v>
      </c>
      <c r="J649" s="1" t="s">
        <v>22</v>
      </c>
      <c r="K649" s="1" t="s">
        <v>28</v>
      </c>
      <c r="L649">
        <v>3108.85</v>
      </c>
      <c r="M649">
        <v>13.2</v>
      </c>
      <c r="N649">
        <v>2023</v>
      </c>
      <c r="O649">
        <f t="shared" si="10"/>
        <v>3</v>
      </c>
      <c r="P649" s="13" t="s">
        <v>65</v>
      </c>
      <c r="Q649">
        <v>474.23</v>
      </c>
      <c r="R649" s="3" t="s">
        <v>29</v>
      </c>
      <c r="S649" s="7">
        <f>Ventas[[#This Row],[Costo Material (€)]]/Ventas[[#This Row],[Beneficio (€)]]</f>
        <v>6.5555742993905906</v>
      </c>
      <c r="T649" s="3" t="str">
        <f>IF(Ventas[[#This Row],[Margen (%)]]&gt;20%,"Beneficio","Perdidas")</f>
        <v>Beneficio</v>
      </c>
    </row>
    <row r="650" spans="1:20" x14ac:dyDescent="0.25">
      <c r="A650" s="12">
        <v>45269</v>
      </c>
      <c r="B650" s="1" t="s">
        <v>51</v>
      </c>
      <c r="C650" s="1" t="s">
        <v>52</v>
      </c>
      <c r="D650" s="1" t="s">
        <v>45</v>
      </c>
      <c r="E650" s="1" t="s">
        <v>20</v>
      </c>
      <c r="F650">
        <v>461</v>
      </c>
      <c r="G650">
        <v>5.68</v>
      </c>
      <c r="H650">
        <v>2618.48</v>
      </c>
      <c r="I650" s="1" t="s">
        <v>21</v>
      </c>
      <c r="J650" s="1" t="s">
        <v>40</v>
      </c>
      <c r="K650" s="1" t="s">
        <v>23</v>
      </c>
      <c r="L650">
        <v>2146.0100000000002</v>
      </c>
      <c r="M650">
        <v>18</v>
      </c>
      <c r="N650">
        <v>2023</v>
      </c>
      <c r="O650">
        <f t="shared" si="10"/>
        <v>4</v>
      </c>
      <c r="P650" s="13" t="s">
        <v>70</v>
      </c>
      <c r="Q650">
        <v>472.47</v>
      </c>
      <c r="R650" s="3" t="s">
        <v>29</v>
      </c>
      <c r="S650" s="7">
        <f>Ventas[[#This Row],[Costo Material (€)]]/Ventas[[#This Row],[Beneficio (€)]]</f>
        <v>4.5421084936609732</v>
      </c>
      <c r="T650" s="3" t="str">
        <f>IF(Ventas[[#This Row],[Margen (%)]]&gt;20%,"Beneficio","Perdidas")</f>
        <v>Beneficio</v>
      </c>
    </row>
    <row r="651" spans="1:20" x14ac:dyDescent="0.25">
      <c r="A651" s="12">
        <v>45383</v>
      </c>
      <c r="B651" s="1" t="s">
        <v>58</v>
      </c>
      <c r="C651" s="1" t="s">
        <v>59</v>
      </c>
      <c r="D651" s="1" t="s">
        <v>48</v>
      </c>
      <c r="E651" s="1" t="s">
        <v>38</v>
      </c>
      <c r="F651">
        <v>275</v>
      </c>
      <c r="G651">
        <v>5.32</v>
      </c>
      <c r="H651">
        <v>1463</v>
      </c>
      <c r="I651" s="1" t="s">
        <v>21</v>
      </c>
      <c r="J651" s="1" t="s">
        <v>47</v>
      </c>
      <c r="K651" s="1" t="s">
        <v>23</v>
      </c>
      <c r="L651">
        <v>990.94</v>
      </c>
      <c r="M651">
        <v>32.299999999999997</v>
      </c>
      <c r="N651">
        <v>2024</v>
      </c>
      <c r="O651">
        <f t="shared" si="10"/>
        <v>2</v>
      </c>
      <c r="P651" s="13" t="s">
        <v>62</v>
      </c>
      <c r="Q651">
        <v>472.06</v>
      </c>
      <c r="R651" s="3" t="s">
        <v>25</v>
      </c>
      <c r="S651" s="7">
        <f>Ventas[[#This Row],[Costo Material (€)]]/Ventas[[#This Row],[Beneficio (€)]]</f>
        <v>2.0991823073338134</v>
      </c>
      <c r="T651" s="3" t="str">
        <f>IF(Ventas[[#This Row],[Margen (%)]]&gt;20%,"Beneficio","Perdidas")</f>
        <v>Beneficio</v>
      </c>
    </row>
    <row r="652" spans="1:20" x14ac:dyDescent="0.25">
      <c r="A652" s="12">
        <v>45312</v>
      </c>
      <c r="B652" s="1" t="s">
        <v>42</v>
      </c>
      <c r="C652" s="1" t="s">
        <v>43</v>
      </c>
      <c r="D652" s="1" t="s">
        <v>37</v>
      </c>
      <c r="E652" s="1" t="s">
        <v>38</v>
      </c>
      <c r="F652">
        <v>472</v>
      </c>
      <c r="G652">
        <v>2.89</v>
      </c>
      <c r="H652">
        <v>1364.08</v>
      </c>
      <c r="I652" s="1" t="s">
        <v>21</v>
      </c>
      <c r="J652" s="1" t="s">
        <v>40</v>
      </c>
      <c r="K652" s="1" t="s">
        <v>41</v>
      </c>
      <c r="L652">
        <v>893.7</v>
      </c>
      <c r="M652">
        <v>34.5</v>
      </c>
      <c r="N652">
        <v>2024</v>
      </c>
      <c r="O652">
        <f t="shared" si="10"/>
        <v>1</v>
      </c>
      <c r="P652" s="13" t="s">
        <v>24</v>
      </c>
      <c r="Q652">
        <v>470.38</v>
      </c>
      <c r="R652" s="3" t="s">
        <v>25</v>
      </c>
      <c r="S652" s="7">
        <f>Ventas[[#This Row],[Costo Material (€)]]/Ventas[[#This Row],[Beneficio (€)]]</f>
        <v>1.8999532293039672</v>
      </c>
      <c r="T652" s="3" t="str">
        <f>IF(Ventas[[#This Row],[Margen (%)]]&gt;20%,"Beneficio","Perdidas")</f>
        <v>Beneficio</v>
      </c>
    </row>
    <row r="653" spans="1:20" x14ac:dyDescent="0.25">
      <c r="A653" s="12">
        <v>45729</v>
      </c>
      <c r="B653" s="1" t="s">
        <v>42</v>
      </c>
      <c r="C653" s="1" t="s">
        <v>43</v>
      </c>
      <c r="D653" s="1" t="s">
        <v>19</v>
      </c>
      <c r="E653" s="1" t="s">
        <v>20</v>
      </c>
      <c r="F653">
        <v>232</v>
      </c>
      <c r="G653">
        <v>9.56</v>
      </c>
      <c r="H653">
        <v>2217.92</v>
      </c>
      <c r="I653" s="1" t="s">
        <v>54</v>
      </c>
      <c r="J653" s="1" t="s">
        <v>56</v>
      </c>
      <c r="K653" s="1" t="s">
        <v>23</v>
      </c>
      <c r="L653">
        <v>1748.05</v>
      </c>
      <c r="M653">
        <v>21.2</v>
      </c>
      <c r="N653">
        <v>2025</v>
      </c>
      <c r="O653">
        <f t="shared" si="10"/>
        <v>1</v>
      </c>
      <c r="P653" s="13" t="s">
        <v>61</v>
      </c>
      <c r="Q653">
        <v>469.87</v>
      </c>
      <c r="R653" s="3" t="s">
        <v>29</v>
      </c>
      <c r="S653" s="7">
        <f>Ventas[[#This Row],[Costo Material (€)]]/Ventas[[#This Row],[Beneficio (€)]]</f>
        <v>3.7202843339647136</v>
      </c>
      <c r="T653" s="3" t="str">
        <f>IF(Ventas[[#This Row],[Margen (%)]]&gt;20%,"Beneficio","Perdidas")</f>
        <v>Beneficio</v>
      </c>
    </row>
    <row r="654" spans="1:20" x14ac:dyDescent="0.25">
      <c r="A654" s="12">
        <v>44983</v>
      </c>
      <c r="B654" s="1" t="s">
        <v>51</v>
      </c>
      <c r="C654" s="1" t="s">
        <v>52</v>
      </c>
      <c r="D654" s="1" t="s">
        <v>49</v>
      </c>
      <c r="E654" s="1" t="s">
        <v>50</v>
      </c>
      <c r="F654">
        <v>227</v>
      </c>
      <c r="G654">
        <v>10.95</v>
      </c>
      <c r="H654">
        <v>2485.65</v>
      </c>
      <c r="I654" s="1" t="s">
        <v>21</v>
      </c>
      <c r="J654" s="1" t="s">
        <v>22</v>
      </c>
      <c r="K654" s="1" t="s">
        <v>23</v>
      </c>
      <c r="L654">
        <v>2016.32</v>
      </c>
      <c r="M654">
        <v>18.899999999999999</v>
      </c>
      <c r="N654">
        <v>2023</v>
      </c>
      <c r="O654">
        <f t="shared" si="10"/>
        <v>1</v>
      </c>
      <c r="P654" s="13" t="s">
        <v>60</v>
      </c>
      <c r="Q654">
        <v>469.33</v>
      </c>
      <c r="R654" s="3" t="s">
        <v>29</v>
      </c>
      <c r="S654" s="7">
        <f>Ventas[[#This Row],[Costo Material (€)]]/Ventas[[#This Row],[Beneficio (€)]]</f>
        <v>4.2961668761852003</v>
      </c>
      <c r="T654" s="3" t="str">
        <f>IF(Ventas[[#This Row],[Margen (%)]]&gt;20%,"Beneficio","Perdidas")</f>
        <v>Beneficio</v>
      </c>
    </row>
    <row r="655" spans="1:20" x14ac:dyDescent="0.25">
      <c r="A655" s="12">
        <v>45238</v>
      </c>
      <c r="B655" s="1" t="s">
        <v>35</v>
      </c>
      <c r="C655" s="1" t="s">
        <v>36</v>
      </c>
      <c r="D655" s="1" t="s">
        <v>53</v>
      </c>
      <c r="E655" s="1" t="s">
        <v>50</v>
      </c>
      <c r="F655">
        <v>283</v>
      </c>
      <c r="G655">
        <v>4.8600000000000003</v>
      </c>
      <c r="H655">
        <v>1375.38</v>
      </c>
      <c r="I655" s="1" t="s">
        <v>39</v>
      </c>
      <c r="J655" s="1" t="s">
        <v>56</v>
      </c>
      <c r="K655" s="1" t="s">
        <v>41</v>
      </c>
      <c r="L655">
        <v>907.31</v>
      </c>
      <c r="M655">
        <v>34</v>
      </c>
      <c r="N655">
        <v>2023</v>
      </c>
      <c r="O655">
        <f t="shared" si="10"/>
        <v>4</v>
      </c>
      <c r="P655" s="13" t="s">
        <v>69</v>
      </c>
      <c r="Q655">
        <v>468.07</v>
      </c>
      <c r="R655" s="3" t="s">
        <v>25</v>
      </c>
      <c r="S655" s="7">
        <f>Ventas[[#This Row],[Costo Material (€)]]/Ventas[[#This Row],[Beneficio (€)]]</f>
        <v>1.9384066485782041</v>
      </c>
      <c r="T655" s="3" t="str">
        <f>IF(Ventas[[#This Row],[Margen (%)]]&gt;20%,"Beneficio","Perdidas")</f>
        <v>Beneficio</v>
      </c>
    </row>
    <row r="656" spans="1:20" x14ac:dyDescent="0.25">
      <c r="A656" s="12">
        <v>44967</v>
      </c>
      <c r="B656" s="1" t="s">
        <v>17</v>
      </c>
      <c r="C656" s="1" t="s">
        <v>18</v>
      </c>
      <c r="D656" s="1" t="s">
        <v>53</v>
      </c>
      <c r="E656" s="1" t="s">
        <v>50</v>
      </c>
      <c r="F656">
        <v>267</v>
      </c>
      <c r="G656">
        <v>4.58</v>
      </c>
      <c r="H656">
        <v>1222.8599999999999</v>
      </c>
      <c r="I656" s="1" t="s">
        <v>26</v>
      </c>
      <c r="J656" s="1" t="s">
        <v>47</v>
      </c>
      <c r="K656" s="1" t="s">
        <v>23</v>
      </c>
      <c r="L656">
        <v>756.58</v>
      </c>
      <c r="M656">
        <v>38.1</v>
      </c>
      <c r="N656">
        <v>2023</v>
      </c>
      <c r="O656">
        <f t="shared" si="10"/>
        <v>1</v>
      </c>
      <c r="P656" s="13" t="s">
        <v>60</v>
      </c>
      <c r="Q656">
        <v>466.28</v>
      </c>
      <c r="R656" s="3" t="s">
        <v>25</v>
      </c>
      <c r="S656" s="7">
        <f>Ventas[[#This Row],[Costo Material (€)]]/Ventas[[#This Row],[Beneficio (€)]]</f>
        <v>1.6225872866089046</v>
      </c>
      <c r="T656" s="3" t="str">
        <f>IF(Ventas[[#This Row],[Margen (%)]]&gt;20%,"Beneficio","Perdidas")</f>
        <v>Beneficio</v>
      </c>
    </row>
    <row r="657" spans="1:20" x14ac:dyDescent="0.25">
      <c r="A657" s="12">
        <v>45118</v>
      </c>
      <c r="B657" s="1" t="s">
        <v>17</v>
      </c>
      <c r="C657" s="1" t="s">
        <v>18</v>
      </c>
      <c r="D657" s="1" t="s">
        <v>45</v>
      </c>
      <c r="E657" s="1" t="s">
        <v>20</v>
      </c>
      <c r="F657">
        <v>119</v>
      </c>
      <c r="G657">
        <v>10.48</v>
      </c>
      <c r="H657">
        <v>1247.1199999999999</v>
      </c>
      <c r="I657" s="1" t="s">
        <v>55</v>
      </c>
      <c r="J657" s="1" t="s">
        <v>27</v>
      </c>
      <c r="K657" s="1" t="s">
        <v>28</v>
      </c>
      <c r="L657">
        <v>782.61</v>
      </c>
      <c r="M657">
        <v>37.200000000000003</v>
      </c>
      <c r="N657">
        <v>2023</v>
      </c>
      <c r="O657">
        <f t="shared" si="10"/>
        <v>3</v>
      </c>
      <c r="P657" s="13" t="s">
        <v>65</v>
      </c>
      <c r="Q657">
        <v>464.51</v>
      </c>
      <c r="R657" s="3" t="s">
        <v>25</v>
      </c>
      <c r="S657" s="7">
        <f>Ventas[[#This Row],[Costo Material (€)]]/Ventas[[#This Row],[Beneficio (€)]]</f>
        <v>1.6848076467675617</v>
      </c>
      <c r="T657" s="3" t="str">
        <f>IF(Ventas[[#This Row],[Margen (%)]]&gt;20%,"Beneficio","Perdidas")</f>
        <v>Beneficio</v>
      </c>
    </row>
    <row r="658" spans="1:20" x14ac:dyDescent="0.25">
      <c r="A658" s="12">
        <v>44981</v>
      </c>
      <c r="B658" s="1" t="s">
        <v>42</v>
      </c>
      <c r="C658" s="1" t="s">
        <v>43</v>
      </c>
      <c r="D658" s="1" t="s">
        <v>19</v>
      </c>
      <c r="E658" s="1" t="s">
        <v>20</v>
      </c>
      <c r="F658">
        <v>379</v>
      </c>
      <c r="G658">
        <v>6.68</v>
      </c>
      <c r="H658">
        <v>2531.7199999999998</v>
      </c>
      <c r="I658" s="1" t="s">
        <v>46</v>
      </c>
      <c r="J658" s="1" t="s">
        <v>27</v>
      </c>
      <c r="K658" s="1" t="s">
        <v>41</v>
      </c>
      <c r="L658">
        <v>2067.36</v>
      </c>
      <c r="M658">
        <v>18.3</v>
      </c>
      <c r="N658">
        <v>2023</v>
      </c>
      <c r="O658">
        <f t="shared" si="10"/>
        <v>1</v>
      </c>
      <c r="P658" s="13" t="s">
        <v>60</v>
      </c>
      <c r="Q658">
        <v>464.36</v>
      </c>
      <c r="R658" s="3" t="s">
        <v>29</v>
      </c>
      <c r="S658" s="7">
        <f>Ventas[[#This Row],[Costo Material (€)]]/Ventas[[#This Row],[Beneficio (€)]]</f>
        <v>4.4520630545266604</v>
      </c>
      <c r="T658" s="3" t="str">
        <f>IF(Ventas[[#This Row],[Margen (%)]]&gt;20%,"Beneficio","Perdidas")</f>
        <v>Beneficio</v>
      </c>
    </row>
    <row r="659" spans="1:20" x14ac:dyDescent="0.25">
      <c r="A659" s="12">
        <v>45262</v>
      </c>
      <c r="B659" s="1" t="s">
        <v>17</v>
      </c>
      <c r="C659" s="1" t="s">
        <v>18</v>
      </c>
      <c r="D659" s="1" t="s">
        <v>32</v>
      </c>
      <c r="E659" s="1" t="s">
        <v>20</v>
      </c>
      <c r="F659">
        <v>537</v>
      </c>
      <c r="G659">
        <v>5.0999999999999996</v>
      </c>
      <c r="H659">
        <v>2738.7</v>
      </c>
      <c r="I659" s="1" t="s">
        <v>46</v>
      </c>
      <c r="J659" s="1" t="s">
        <v>22</v>
      </c>
      <c r="K659" s="1" t="s">
        <v>23</v>
      </c>
      <c r="L659">
        <v>2274.73</v>
      </c>
      <c r="M659">
        <v>16.899999999999999</v>
      </c>
      <c r="N659">
        <v>2023</v>
      </c>
      <c r="O659">
        <f t="shared" si="10"/>
        <v>4</v>
      </c>
      <c r="P659" s="13" t="s">
        <v>70</v>
      </c>
      <c r="Q659">
        <v>463.97</v>
      </c>
      <c r="R659" s="3" t="s">
        <v>29</v>
      </c>
      <c r="S659" s="7">
        <f>Ventas[[#This Row],[Costo Material (€)]]/Ventas[[#This Row],[Beneficio (€)]]</f>
        <v>4.9027523331249867</v>
      </c>
      <c r="T659" s="3" t="str">
        <f>IF(Ventas[[#This Row],[Margen (%)]]&gt;20%,"Beneficio","Perdidas")</f>
        <v>Beneficio</v>
      </c>
    </row>
    <row r="660" spans="1:20" x14ac:dyDescent="0.25">
      <c r="A660" s="12">
        <v>44931</v>
      </c>
      <c r="B660" s="1" t="s">
        <v>35</v>
      </c>
      <c r="C660" s="1" t="s">
        <v>36</v>
      </c>
      <c r="D660" s="1" t="s">
        <v>19</v>
      </c>
      <c r="E660" s="1" t="s">
        <v>20</v>
      </c>
      <c r="F660">
        <v>521</v>
      </c>
      <c r="G660">
        <v>3.4</v>
      </c>
      <c r="H660">
        <v>1771.4</v>
      </c>
      <c r="I660" s="1" t="s">
        <v>55</v>
      </c>
      <c r="J660" s="1" t="s">
        <v>27</v>
      </c>
      <c r="K660" s="1" t="s">
        <v>41</v>
      </c>
      <c r="L660">
        <v>1308.04</v>
      </c>
      <c r="M660">
        <v>26.2</v>
      </c>
      <c r="N660">
        <v>2023</v>
      </c>
      <c r="O660">
        <f t="shared" si="10"/>
        <v>1</v>
      </c>
      <c r="P660" s="13" t="s">
        <v>24</v>
      </c>
      <c r="Q660">
        <v>463.36</v>
      </c>
      <c r="R660" s="3" t="s">
        <v>25</v>
      </c>
      <c r="S660" s="7">
        <f>Ventas[[#This Row],[Costo Material (€)]]/Ventas[[#This Row],[Beneficio (€)]]</f>
        <v>2.8229454419889501</v>
      </c>
      <c r="T660" s="3" t="str">
        <f>IF(Ventas[[#This Row],[Margen (%)]]&gt;20%,"Beneficio","Perdidas")</f>
        <v>Beneficio</v>
      </c>
    </row>
    <row r="661" spans="1:20" x14ac:dyDescent="0.25">
      <c r="A661" s="12">
        <v>45009</v>
      </c>
      <c r="B661" s="1" t="s">
        <v>58</v>
      </c>
      <c r="C661" s="1" t="s">
        <v>59</v>
      </c>
      <c r="D661" s="1" t="s">
        <v>44</v>
      </c>
      <c r="E661" s="1" t="s">
        <v>38</v>
      </c>
      <c r="F661">
        <v>570</v>
      </c>
      <c r="G661">
        <v>8.1</v>
      </c>
      <c r="H661">
        <v>4617</v>
      </c>
      <c r="I661" s="1" t="s">
        <v>46</v>
      </c>
      <c r="J661" s="1" t="s">
        <v>34</v>
      </c>
      <c r="K661" s="1" t="s">
        <v>23</v>
      </c>
      <c r="L661">
        <v>4154.63</v>
      </c>
      <c r="M661">
        <v>10</v>
      </c>
      <c r="N661">
        <v>2023</v>
      </c>
      <c r="O661">
        <f t="shared" si="10"/>
        <v>1</v>
      </c>
      <c r="P661" s="13" t="s">
        <v>61</v>
      </c>
      <c r="Q661">
        <v>462.37</v>
      </c>
      <c r="R661" s="3" t="s">
        <v>29</v>
      </c>
      <c r="S661" s="7">
        <f>Ventas[[#This Row],[Costo Material (€)]]/Ventas[[#This Row],[Beneficio (€)]]</f>
        <v>8.9855094404913807</v>
      </c>
      <c r="T661" s="3" t="str">
        <f>IF(Ventas[[#This Row],[Margen (%)]]&gt;20%,"Beneficio","Perdidas")</f>
        <v>Beneficio</v>
      </c>
    </row>
    <row r="662" spans="1:20" x14ac:dyDescent="0.25">
      <c r="A662" s="12">
        <v>45586</v>
      </c>
      <c r="B662" s="1" t="s">
        <v>30</v>
      </c>
      <c r="C662" s="1" t="s">
        <v>31</v>
      </c>
      <c r="D662" s="1" t="s">
        <v>44</v>
      </c>
      <c r="E662" s="1" t="s">
        <v>38</v>
      </c>
      <c r="F662">
        <v>302</v>
      </c>
      <c r="G662">
        <v>7.75</v>
      </c>
      <c r="H662">
        <v>2340.5</v>
      </c>
      <c r="I662" s="1" t="s">
        <v>39</v>
      </c>
      <c r="J662" s="1" t="s">
        <v>34</v>
      </c>
      <c r="K662" s="1" t="s">
        <v>41</v>
      </c>
      <c r="L662">
        <v>1878.63</v>
      </c>
      <c r="M662">
        <v>19.7</v>
      </c>
      <c r="N662">
        <v>2024</v>
      </c>
      <c r="O662">
        <f t="shared" si="10"/>
        <v>4</v>
      </c>
      <c r="P662" s="13" t="s">
        <v>68</v>
      </c>
      <c r="Q662">
        <v>461.87</v>
      </c>
      <c r="R662" s="3" t="s">
        <v>29</v>
      </c>
      <c r="S662" s="7">
        <f>Ventas[[#This Row],[Costo Material (€)]]/Ventas[[#This Row],[Beneficio (€)]]</f>
        <v>4.0674432199536668</v>
      </c>
      <c r="T662" s="3" t="str">
        <f>IF(Ventas[[#This Row],[Margen (%)]]&gt;20%,"Beneficio","Perdidas")</f>
        <v>Beneficio</v>
      </c>
    </row>
    <row r="663" spans="1:20" x14ac:dyDescent="0.25">
      <c r="A663" s="12">
        <v>45222</v>
      </c>
      <c r="B663" s="1" t="s">
        <v>35</v>
      </c>
      <c r="C663" s="1" t="s">
        <v>36</v>
      </c>
      <c r="D663" s="1" t="s">
        <v>32</v>
      </c>
      <c r="E663" s="1" t="s">
        <v>20</v>
      </c>
      <c r="F663">
        <v>862</v>
      </c>
      <c r="G663">
        <v>4.91</v>
      </c>
      <c r="H663">
        <v>4232.42</v>
      </c>
      <c r="I663" s="1" t="s">
        <v>55</v>
      </c>
      <c r="J663" s="1" t="s">
        <v>27</v>
      </c>
      <c r="K663" s="1" t="s">
        <v>23</v>
      </c>
      <c r="L663">
        <v>3774.25</v>
      </c>
      <c r="M663">
        <v>10.8</v>
      </c>
      <c r="N663">
        <v>2023</v>
      </c>
      <c r="O663">
        <f t="shared" si="10"/>
        <v>4</v>
      </c>
      <c r="P663" s="13" t="s">
        <v>68</v>
      </c>
      <c r="Q663">
        <v>458.17</v>
      </c>
      <c r="R663" s="3" t="s">
        <v>29</v>
      </c>
      <c r="S663" s="7">
        <f>Ventas[[#This Row],[Costo Material (€)]]/Ventas[[#This Row],[Beneficio (€)]]</f>
        <v>8.2376628762249808</v>
      </c>
      <c r="T663" s="3" t="str">
        <f>IF(Ventas[[#This Row],[Margen (%)]]&gt;20%,"Beneficio","Perdidas")</f>
        <v>Beneficio</v>
      </c>
    </row>
    <row r="664" spans="1:20" x14ac:dyDescent="0.25">
      <c r="A664" s="12">
        <v>45040</v>
      </c>
      <c r="B664" s="1" t="s">
        <v>35</v>
      </c>
      <c r="C664" s="1" t="s">
        <v>36</v>
      </c>
      <c r="D664" s="1" t="s">
        <v>37</v>
      </c>
      <c r="E664" s="1" t="s">
        <v>38</v>
      </c>
      <c r="F664">
        <v>653</v>
      </c>
      <c r="G664">
        <v>5.6</v>
      </c>
      <c r="H664">
        <v>3656.8</v>
      </c>
      <c r="I664" s="1" t="s">
        <v>54</v>
      </c>
      <c r="J664" s="1" t="s">
        <v>22</v>
      </c>
      <c r="K664" s="1" t="s">
        <v>23</v>
      </c>
      <c r="L664">
        <v>3198.71</v>
      </c>
      <c r="M664">
        <v>12.5</v>
      </c>
      <c r="N664">
        <v>2023</v>
      </c>
      <c r="O664">
        <f t="shared" si="10"/>
        <v>2</v>
      </c>
      <c r="P664" s="13" t="s">
        <v>62</v>
      </c>
      <c r="Q664">
        <v>458.09</v>
      </c>
      <c r="R664" s="3" t="s">
        <v>29</v>
      </c>
      <c r="S664" s="7">
        <f>Ventas[[#This Row],[Costo Material (€)]]/Ventas[[#This Row],[Beneficio (€)]]</f>
        <v>6.9827108210177045</v>
      </c>
      <c r="T664" s="3" t="str">
        <f>IF(Ventas[[#This Row],[Margen (%)]]&gt;20%,"Beneficio","Perdidas")</f>
        <v>Beneficio</v>
      </c>
    </row>
    <row r="665" spans="1:20" x14ac:dyDescent="0.25">
      <c r="A665" s="12">
        <v>45118</v>
      </c>
      <c r="B665" s="1" t="s">
        <v>17</v>
      </c>
      <c r="C665" s="1" t="s">
        <v>18</v>
      </c>
      <c r="D665" s="1" t="s">
        <v>32</v>
      </c>
      <c r="E665" s="1" t="s">
        <v>20</v>
      </c>
      <c r="F665">
        <v>636</v>
      </c>
      <c r="G665">
        <v>3.61</v>
      </c>
      <c r="H665">
        <v>2295.96</v>
      </c>
      <c r="I665" s="1" t="s">
        <v>33</v>
      </c>
      <c r="J665" s="1" t="s">
        <v>27</v>
      </c>
      <c r="K665" s="1" t="s">
        <v>23</v>
      </c>
      <c r="L665">
        <v>1839.27</v>
      </c>
      <c r="M665">
        <v>19.899999999999999</v>
      </c>
      <c r="N665">
        <v>2023</v>
      </c>
      <c r="O665">
        <f t="shared" si="10"/>
        <v>3</v>
      </c>
      <c r="P665" s="13" t="s">
        <v>65</v>
      </c>
      <c r="Q665">
        <v>456.69</v>
      </c>
      <c r="R665" s="3" t="s">
        <v>29</v>
      </c>
      <c r="S665" s="7">
        <f>Ventas[[#This Row],[Costo Material (€)]]/Ventas[[#This Row],[Beneficio (€)]]</f>
        <v>4.0273927609538198</v>
      </c>
      <c r="T665" s="3" t="str">
        <f>IF(Ventas[[#This Row],[Margen (%)]]&gt;20%,"Beneficio","Perdidas")</f>
        <v>Beneficio</v>
      </c>
    </row>
    <row r="666" spans="1:20" x14ac:dyDescent="0.25">
      <c r="A666" s="12">
        <v>45232</v>
      </c>
      <c r="B666" s="1" t="s">
        <v>35</v>
      </c>
      <c r="C666" s="1" t="s">
        <v>36</v>
      </c>
      <c r="D666" s="1" t="s">
        <v>48</v>
      </c>
      <c r="E666" s="1" t="s">
        <v>38</v>
      </c>
      <c r="F666">
        <v>478</v>
      </c>
      <c r="G666">
        <v>7.11</v>
      </c>
      <c r="H666">
        <v>3398.58</v>
      </c>
      <c r="I666" s="1" t="s">
        <v>26</v>
      </c>
      <c r="J666" s="1" t="s">
        <v>27</v>
      </c>
      <c r="K666" s="1" t="s">
        <v>41</v>
      </c>
      <c r="L666">
        <v>2946.19</v>
      </c>
      <c r="M666">
        <v>13.3</v>
      </c>
      <c r="N666">
        <v>2023</v>
      </c>
      <c r="O666">
        <f t="shared" si="10"/>
        <v>4</v>
      </c>
      <c r="P666" s="13" t="s">
        <v>69</v>
      </c>
      <c r="Q666">
        <v>452.39</v>
      </c>
      <c r="R666" s="3" t="s">
        <v>29</v>
      </c>
      <c r="S666" s="7">
        <f>Ventas[[#This Row],[Costo Material (€)]]/Ventas[[#This Row],[Beneficio (€)]]</f>
        <v>6.5125002763102637</v>
      </c>
      <c r="T666" s="3" t="str">
        <f>IF(Ventas[[#This Row],[Margen (%)]]&gt;20%,"Beneficio","Perdidas")</f>
        <v>Beneficio</v>
      </c>
    </row>
    <row r="667" spans="1:20" x14ac:dyDescent="0.25">
      <c r="A667" s="12">
        <v>44945</v>
      </c>
      <c r="B667" s="1" t="s">
        <v>30</v>
      </c>
      <c r="C667" s="1" t="s">
        <v>31</v>
      </c>
      <c r="D667" s="1" t="s">
        <v>44</v>
      </c>
      <c r="E667" s="1" t="s">
        <v>38</v>
      </c>
      <c r="F667">
        <v>509</v>
      </c>
      <c r="G667">
        <v>4.1900000000000004</v>
      </c>
      <c r="H667">
        <v>2132.71</v>
      </c>
      <c r="I667" s="1" t="s">
        <v>33</v>
      </c>
      <c r="J667" s="1" t="s">
        <v>22</v>
      </c>
      <c r="K667" s="1" t="s">
        <v>41</v>
      </c>
      <c r="L667">
        <v>1682.09</v>
      </c>
      <c r="M667">
        <v>21.1</v>
      </c>
      <c r="N667">
        <v>2023</v>
      </c>
      <c r="O667">
        <f t="shared" si="10"/>
        <v>1</v>
      </c>
      <c r="P667" s="13" t="s">
        <v>24</v>
      </c>
      <c r="Q667">
        <v>450.62</v>
      </c>
      <c r="R667" s="3" t="s">
        <v>29</v>
      </c>
      <c r="S667" s="7">
        <f>Ventas[[#This Row],[Costo Material (€)]]/Ventas[[#This Row],[Beneficio (€)]]</f>
        <v>3.7328347609959609</v>
      </c>
      <c r="T667" s="3" t="str">
        <f>IF(Ventas[[#This Row],[Margen (%)]]&gt;20%,"Beneficio","Perdidas")</f>
        <v>Beneficio</v>
      </c>
    </row>
    <row r="668" spans="1:20" x14ac:dyDescent="0.25">
      <c r="A668" s="12">
        <v>44966</v>
      </c>
      <c r="B668" s="1" t="s">
        <v>58</v>
      </c>
      <c r="C668" s="1" t="s">
        <v>59</v>
      </c>
      <c r="D668" s="1" t="s">
        <v>19</v>
      </c>
      <c r="E668" s="1" t="s">
        <v>20</v>
      </c>
      <c r="F668">
        <v>188</v>
      </c>
      <c r="G668">
        <v>10.49</v>
      </c>
      <c r="H668">
        <v>1972.12</v>
      </c>
      <c r="I668" s="1" t="s">
        <v>55</v>
      </c>
      <c r="J668" s="1" t="s">
        <v>56</v>
      </c>
      <c r="K668" s="1" t="s">
        <v>28</v>
      </c>
      <c r="L668">
        <v>1525.91</v>
      </c>
      <c r="M668">
        <v>22.6</v>
      </c>
      <c r="N668">
        <v>2023</v>
      </c>
      <c r="O668">
        <f t="shared" si="10"/>
        <v>1</v>
      </c>
      <c r="P668" s="13" t="s">
        <v>60</v>
      </c>
      <c r="Q668">
        <v>446.21</v>
      </c>
      <c r="R668" s="3" t="s">
        <v>29</v>
      </c>
      <c r="S668" s="7">
        <f>Ventas[[#This Row],[Costo Material (€)]]/Ventas[[#This Row],[Beneficio (€)]]</f>
        <v>3.4197126913336775</v>
      </c>
      <c r="T668" s="3" t="str">
        <f>IF(Ventas[[#This Row],[Margen (%)]]&gt;20%,"Beneficio","Perdidas")</f>
        <v>Beneficio</v>
      </c>
    </row>
    <row r="669" spans="1:20" x14ac:dyDescent="0.25">
      <c r="A669" s="12">
        <v>45142</v>
      </c>
      <c r="B669" s="1" t="s">
        <v>51</v>
      </c>
      <c r="C669" s="1" t="s">
        <v>52</v>
      </c>
      <c r="D669" s="1" t="s">
        <v>19</v>
      </c>
      <c r="E669" s="1" t="s">
        <v>20</v>
      </c>
      <c r="F669">
        <v>113</v>
      </c>
      <c r="G669">
        <v>11.82</v>
      </c>
      <c r="H669">
        <v>1335.66</v>
      </c>
      <c r="I669" s="1" t="s">
        <v>26</v>
      </c>
      <c r="J669" s="1" t="s">
        <v>34</v>
      </c>
      <c r="K669" s="1" t="s">
        <v>41</v>
      </c>
      <c r="L669">
        <v>889.92</v>
      </c>
      <c r="M669">
        <v>33.4</v>
      </c>
      <c r="N669">
        <v>2023</v>
      </c>
      <c r="O669">
        <f t="shared" si="10"/>
        <v>3</v>
      </c>
      <c r="P669" s="13" t="s">
        <v>66</v>
      </c>
      <c r="Q669">
        <v>445.74</v>
      </c>
      <c r="R669" s="3" t="s">
        <v>25</v>
      </c>
      <c r="S669" s="7">
        <f>Ventas[[#This Row],[Costo Material (€)]]/Ventas[[#This Row],[Beneficio (€)]]</f>
        <v>1.996500201911428</v>
      </c>
      <c r="T669" s="3" t="str">
        <f>IF(Ventas[[#This Row],[Margen (%)]]&gt;20%,"Beneficio","Perdidas")</f>
        <v>Beneficio</v>
      </c>
    </row>
    <row r="670" spans="1:20" x14ac:dyDescent="0.25">
      <c r="A670" s="12">
        <v>45133</v>
      </c>
      <c r="B670" s="1" t="s">
        <v>58</v>
      </c>
      <c r="C670" s="1" t="s">
        <v>59</v>
      </c>
      <c r="D670" s="1" t="s">
        <v>48</v>
      </c>
      <c r="E670" s="1" t="s">
        <v>38</v>
      </c>
      <c r="F670">
        <v>424</v>
      </c>
      <c r="G670">
        <v>7.19</v>
      </c>
      <c r="H670">
        <v>3048.56</v>
      </c>
      <c r="I670" s="1" t="s">
        <v>39</v>
      </c>
      <c r="J670" s="1" t="s">
        <v>22</v>
      </c>
      <c r="K670" s="1" t="s">
        <v>23</v>
      </c>
      <c r="L670">
        <v>2603.5500000000002</v>
      </c>
      <c r="M670">
        <v>14.6</v>
      </c>
      <c r="N670">
        <v>2023</v>
      </c>
      <c r="O670">
        <f t="shared" si="10"/>
        <v>3</v>
      </c>
      <c r="P670" s="13" t="s">
        <v>65</v>
      </c>
      <c r="Q670">
        <v>445.01</v>
      </c>
      <c r="R670" s="3" t="s">
        <v>29</v>
      </c>
      <c r="S670" s="7">
        <f>Ventas[[#This Row],[Costo Material (€)]]/Ventas[[#This Row],[Beneficio (€)]]</f>
        <v>5.8505426844340578</v>
      </c>
      <c r="T670" s="3" t="str">
        <f>IF(Ventas[[#This Row],[Margen (%)]]&gt;20%,"Beneficio","Perdidas")</f>
        <v>Beneficio</v>
      </c>
    </row>
    <row r="671" spans="1:20" x14ac:dyDescent="0.25">
      <c r="A671" s="12">
        <v>44993</v>
      </c>
      <c r="B671" s="1" t="s">
        <v>51</v>
      </c>
      <c r="C671" s="1" t="s">
        <v>52</v>
      </c>
      <c r="D671" s="1" t="s">
        <v>44</v>
      </c>
      <c r="E671" s="1" t="s">
        <v>38</v>
      </c>
      <c r="F671">
        <v>385</v>
      </c>
      <c r="G671">
        <v>8.94</v>
      </c>
      <c r="H671">
        <v>3441.9</v>
      </c>
      <c r="I671" s="1" t="s">
        <v>46</v>
      </c>
      <c r="J671" s="1" t="s">
        <v>22</v>
      </c>
      <c r="K671" s="1" t="s">
        <v>41</v>
      </c>
      <c r="L671">
        <v>2998.87</v>
      </c>
      <c r="M671">
        <v>12.9</v>
      </c>
      <c r="N671">
        <v>2023</v>
      </c>
      <c r="O671">
        <f t="shared" si="10"/>
        <v>1</v>
      </c>
      <c r="P671" s="13" t="s">
        <v>61</v>
      </c>
      <c r="Q671">
        <v>443.03</v>
      </c>
      <c r="R671" s="3" t="s">
        <v>29</v>
      </c>
      <c r="S671" s="7">
        <f>Ventas[[#This Row],[Costo Material (€)]]/Ventas[[#This Row],[Beneficio (€)]]</f>
        <v>6.7689998419971564</v>
      </c>
      <c r="T671" s="3" t="str">
        <f>IF(Ventas[[#This Row],[Margen (%)]]&gt;20%,"Beneficio","Perdidas")</f>
        <v>Beneficio</v>
      </c>
    </row>
    <row r="672" spans="1:20" x14ac:dyDescent="0.25">
      <c r="A672" s="12">
        <v>44990</v>
      </c>
      <c r="B672" s="1" t="s">
        <v>17</v>
      </c>
      <c r="C672" s="1" t="s">
        <v>18</v>
      </c>
      <c r="D672" s="1" t="s">
        <v>48</v>
      </c>
      <c r="E672" s="1" t="s">
        <v>38</v>
      </c>
      <c r="F672">
        <v>268</v>
      </c>
      <c r="G672">
        <v>6.55</v>
      </c>
      <c r="H672">
        <v>1755.4</v>
      </c>
      <c r="I672" s="1" t="s">
        <v>33</v>
      </c>
      <c r="J672" s="1" t="s">
        <v>47</v>
      </c>
      <c r="K672" s="1" t="s">
        <v>41</v>
      </c>
      <c r="L672">
        <v>1314.54</v>
      </c>
      <c r="M672">
        <v>25.1</v>
      </c>
      <c r="N672">
        <v>2023</v>
      </c>
      <c r="O672">
        <f t="shared" si="10"/>
        <v>1</v>
      </c>
      <c r="P672" s="13" t="s">
        <v>61</v>
      </c>
      <c r="Q672">
        <v>440.86</v>
      </c>
      <c r="R672" s="3" t="s">
        <v>25</v>
      </c>
      <c r="S672" s="7">
        <f>Ventas[[#This Row],[Costo Material (€)]]/Ventas[[#This Row],[Beneficio (€)]]</f>
        <v>2.9817629179331306</v>
      </c>
      <c r="T672" s="3" t="str">
        <f>IF(Ventas[[#This Row],[Margen (%)]]&gt;20%,"Beneficio","Perdidas")</f>
        <v>Beneficio</v>
      </c>
    </row>
    <row r="673" spans="1:20" x14ac:dyDescent="0.25">
      <c r="A673" s="12">
        <v>45078</v>
      </c>
      <c r="B673" s="1" t="s">
        <v>35</v>
      </c>
      <c r="C673" s="1" t="s">
        <v>36</v>
      </c>
      <c r="D673" s="1" t="s">
        <v>53</v>
      </c>
      <c r="E673" s="1" t="s">
        <v>50</v>
      </c>
      <c r="F673">
        <v>888</v>
      </c>
      <c r="G673">
        <v>4.54</v>
      </c>
      <c r="H673">
        <v>4031.52</v>
      </c>
      <c r="I673" s="1" t="s">
        <v>55</v>
      </c>
      <c r="J673" s="1" t="s">
        <v>27</v>
      </c>
      <c r="K673" s="1" t="s">
        <v>41</v>
      </c>
      <c r="L673">
        <v>3591.05</v>
      </c>
      <c r="M673">
        <v>10.9</v>
      </c>
      <c r="N673">
        <v>2023</v>
      </c>
      <c r="O673">
        <f t="shared" si="10"/>
        <v>2</v>
      </c>
      <c r="P673" s="13" t="s">
        <v>64</v>
      </c>
      <c r="Q673">
        <v>440.47</v>
      </c>
      <c r="R673" s="3" t="s">
        <v>29</v>
      </c>
      <c r="S673" s="7">
        <f>Ventas[[#This Row],[Costo Material (€)]]/Ventas[[#This Row],[Beneficio (€)]]</f>
        <v>8.1527686335051186</v>
      </c>
      <c r="T673" s="3" t="str">
        <f>IF(Ventas[[#This Row],[Margen (%)]]&gt;20%,"Beneficio","Perdidas")</f>
        <v>Beneficio</v>
      </c>
    </row>
    <row r="674" spans="1:20" x14ac:dyDescent="0.25">
      <c r="A674" s="12">
        <v>44955</v>
      </c>
      <c r="B674" s="1" t="s">
        <v>51</v>
      </c>
      <c r="C674" s="1" t="s">
        <v>52</v>
      </c>
      <c r="D674" s="1" t="s">
        <v>37</v>
      </c>
      <c r="E674" s="1" t="s">
        <v>38</v>
      </c>
      <c r="F674">
        <v>332</v>
      </c>
      <c r="G674">
        <v>6.94</v>
      </c>
      <c r="H674">
        <v>2304.08</v>
      </c>
      <c r="I674" s="1" t="s">
        <v>21</v>
      </c>
      <c r="J674" s="1" t="s">
        <v>40</v>
      </c>
      <c r="K674" s="1" t="s">
        <v>28</v>
      </c>
      <c r="L674">
        <v>1866.86</v>
      </c>
      <c r="M674">
        <v>19</v>
      </c>
      <c r="N674">
        <v>2023</v>
      </c>
      <c r="O674">
        <f t="shared" si="10"/>
        <v>1</v>
      </c>
      <c r="P674" s="13" t="s">
        <v>24</v>
      </c>
      <c r="Q674">
        <v>437.22</v>
      </c>
      <c r="R674" s="3" t="s">
        <v>29</v>
      </c>
      <c r="S674" s="7">
        <f>Ventas[[#This Row],[Costo Material (€)]]/Ventas[[#This Row],[Beneficio (€)]]</f>
        <v>4.2698412698412698</v>
      </c>
      <c r="T674" s="3" t="str">
        <f>IF(Ventas[[#This Row],[Margen (%)]]&gt;20%,"Beneficio","Perdidas")</f>
        <v>Beneficio</v>
      </c>
    </row>
    <row r="675" spans="1:20" x14ac:dyDescent="0.25">
      <c r="A675" s="12">
        <v>45097</v>
      </c>
      <c r="B675" s="1" t="s">
        <v>42</v>
      </c>
      <c r="C675" s="1" t="s">
        <v>43</v>
      </c>
      <c r="D675" s="1" t="s">
        <v>53</v>
      </c>
      <c r="E675" s="1" t="s">
        <v>50</v>
      </c>
      <c r="F675">
        <v>737</v>
      </c>
      <c r="G675">
        <v>5.19</v>
      </c>
      <c r="H675">
        <v>3825.03</v>
      </c>
      <c r="I675" s="1" t="s">
        <v>21</v>
      </c>
      <c r="J675" s="1" t="s">
        <v>34</v>
      </c>
      <c r="K675" s="1" t="s">
        <v>23</v>
      </c>
      <c r="L675">
        <v>3390.18</v>
      </c>
      <c r="M675">
        <v>11.4</v>
      </c>
      <c r="N675">
        <v>2023</v>
      </c>
      <c r="O675">
        <f t="shared" si="10"/>
        <v>2</v>
      </c>
      <c r="P675" s="13" t="s">
        <v>64</v>
      </c>
      <c r="Q675">
        <v>434.85</v>
      </c>
      <c r="R675" s="3" t="s">
        <v>29</v>
      </c>
      <c r="S675" s="7">
        <f>Ventas[[#This Row],[Costo Material (€)]]/Ventas[[#This Row],[Beneficio (€)]]</f>
        <v>7.7962055881338381</v>
      </c>
      <c r="T675" s="3" t="str">
        <f>IF(Ventas[[#This Row],[Margen (%)]]&gt;20%,"Beneficio","Perdidas")</f>
        <v>Beneficio</v>
      </c>
    </row>
    <row r="676" spans="1:20" x14ac:dyDescent="0.25">
      <c r="A676" s="12">
        <v>45042</v>
      </c>
      <c r="B676" s="1" t="s">
        <v>17</v>
      </c>
      <c r="C676" s="1" t="s">
        <v>18</v>
      </c>
      <c r="D676" s="1" t="s">
        <v>53</v>
      </c>
      <c r="E676" s="1" t="s">
        <v>50</v>
      </c>
      <c r="F676">
        <v>826</v>
      </c>
      <c r="G676">
        <v>2.97</v>
      </c>
      <c r="H676">
        <v>2453.2199999999998</v>
      </c>
      <c r="I676" s="1" t="s">
        <v>46</v>
      </c>
      <c r="J676" s="1" t="s">
        <v>40</v>
      </c>
      <c r="K676" s="1" t="s">
        <v>23</v>
      </c>
      <c r="L676">
        <v>2024.46</v>
      </c>
      <c r="M676">
        <v>17.5</v>
      </c>
      <c r="N676">
        <v>2023</v>
      </c>
      <c r="O676">
        <f t="shared" si="10"/>
        <v>2</v>
      </c>
      <c r="P676" s="13" t="s">
        <v>62</v>
      </c>
      <c r="Q676">
        <v>428.76</v>
      </c>
      <c r="R676" s="3" t="s">
        <v>29</v>
      </c>
      <c r="S676" s="7">
        <f>Ventas[[#This Row],[Costo Material (€)]]/Ventas[[#This Row],[Beneficio (€)]]</f>
        <v>4.7216624685138537</v>
      </c>
      <c r="T676" s="3" t="str">
        <f>IF(Ventas[[#This Row],[Margen (%)]]&gt;20%,"Beneficio","Perdidas")</f>
        <v>Beneficio</v>
      </c>
    </row>
    <row r="677" spans="1:20" x14ac:dyDescent="0.25">
      <c r="A677" s="12">
        <v>45092</v>
      </c>
      <c r="B677" s="1" t="s">
        <v>58</v>
      </c>
      <c r="C677" s="1" t="s">
        <v>59</v>
      </c>
      <c r="D677" s="1" t="s">
        <v>45</v>
      </c>
      <c r="E677" s="1" t="s">
        <v>20</v>
      </c>
      <c r="F677">
        <v>94</v>
      </c>
      <c r="G677">
        <v>11.39</v>
      </c>
      <c r="H677">
        <v>1070.6600000000001</v>
      </c>
      <c r="I677" s="1" t="s">
        <v>33</v>
      </c>
      <c r="J677" s="1" t="s">
        <v>27</v>
      </c>
      <c r="K677" s="1" t="s">
        <v>28</v>
      </c>
      <c r="L677">
        <v>644.1</v>
      </c>
      <c r="M677">
        <v>39.799999999999997</v>
      </c>
      <c r="N677">
        <v>2023</v>
      </c>
      <c r="O677">
        <f t="shared" si="10"/>
        <v>2</v>
      </c>
      <c r="P677" s="13" t="s">
        <v>64</v>
      </c>
      <c r="Q677">
        <v>426.56</v>
      </c>
      <c r="R677" s="3" t="s">
        <v>25</v>
      </c>
      <c r="S677" s="7">
        <f>Ventas[[#This Row],[Costo Material (€)]]/Ventas[[#This Row],[Beneficio (€)]]</f>
        <v>1.5099868717179294</v>
      </c>
      <c r="T677" s="3" t="str">
        <f>IF(Ventas[[#This Row],[Margen (%)]]&gt;20%,"Beneficio","Perdidas")</f>
        <v>Beneficio</v>
      </c>
    </row>
    <row r="678" spans="1:20" x14ac:dyDescent="0.25">
      <c r="A678" s="12">
        <v>45154</v>
      </c>
      <c r="B678" s="1" t="s">
        <v>35</v>
      </c>
      <c r="C678" s="1" t="s">
        <v>36</v>
      </c>
      <c r="D678" s="1" t="s">
        <v>32</v>
      </c>
      <c r="E678" s="1" t="s">
        <v>20</v>
      </c>
      <c r="F678">
        <v>395</v>
      </c>
      <c r="G678">
        <v>3.37</v>
      </c>
      <c r="H678">
        <v>1331.15</v>
      </c>
      <c r="I678" s="1" t="s">
        <v>46</v>
      </c>
      <c r="J678" s="1" t="s">
        <v>22</v>
      </c>
      <c r="K678" s="1" t="s">
        <v>28</v>
      </c>
      <c r="L678">
        <v>906.19</v>
      </c>
      <c r="M678">
        <v>31.9</v>
      </c>
      <c r="N678">
        <v>2023</v>
      </c>
      <c r="O678">
        <f t="shared" si="10"/>
        <v>3</v>
      </c>
      <c r="P678" s="13" t="s">
        <v>66</v>
      </c>
      <c r="Q678">
        <v>424.96</v>
      </c>
      <c r="R678" s="3" t="s">
        <v>25</v>
      </c>
      <c r="S678" s="7">
        <f>Ventas[[#This Row],[Costo Material (€)]]/Ventas[[#This Row],[Beneficio (€)]]</f>
        <v>2.1324124623493979</v>
      </c>
      <c r="T678" s="3" t="str">
        <f>IF(Ventas[[#This Row],[Margen (%)]]&gt;20%,"Beneficio","Perdidas")</f>
        <v>Beneficio</v>
      </c>
    </row>
    <row r="679" spans="1:20" x14ac:dyDescent="0.25">
      <c r="A679" s="12">
        <v>45008</v>
      </c>
      <c r="B679" s="1" t="s">
        <v>30</v>
      </c>
      <c r="C679" s="1" t="s">
        <v>31</v>
      </c>
      <c r="D679" s="1" t="s">
        <v>53</v>
      </c>
      <c r="E679" s="1" t="s">
        <v>50</v>
      </c>
      <c r="F679">
        <v>330</v>
      </c>
      <c r="G679">
        <v>6.15</v>
      </c>
      <c r="H679">
        <v>2029.5</v>
      </c>
      <c r="I679" s="1" t="s">
        <v>26</v>
      </c>
      <c r="J679" s="1" t="s">
        <v>40</v>
      </c>
      <c r="K679" s="1" t="s">
        <v>23</v>
      </c>
      <c r="L679">
        <v>1605.8</v>
      </c>
      <c r="M679">
        <v>20.9</v>
      </c>
      <c r="N679">
        <v>2023</v>
      </c>
      <c r="O679">
        <f t="shared" si="10"/>
        <v>1</v>
      </c>
      <c r="P679" s="13" t="s">
        <v>61</v>
      </c>
      <c r="Q679">
        <v>423.7</v>
      </c>
      <c r="R679" s="3" t="s">
        <v>29</v>
      </c>
      <c r="S679" s="7">
        <f>Ventas[[#This Row],[Costo Material (€)]]/Ventas[[#This Row],[Beneficio (€)]]</f>
        <v>3.7899457163087091</v>
      </c>
      <c r="T679" s="3" t="str">
        <f>IF(Ventas[[#This Row],[Margen (%)]]&gt;20%,"Beneficio","Perdidas")</f>
        <v>Beneficio</v>
      </c>
    </row>
    <row r="680" spans="1:20" x14ac:dyDescent="0.25">
      <c r="A680" s="12">
        <v>44987</v>
      </c>
      <c r="B680" s="1" t="s">
        <v>51</v>
      </c>
      <c r="C680" s="1" t="s">
        <v>52</v>
      </c>
      <c r="D680" s="1" t="s">
        <v>45</v>
      </c>
      <c r="E680" s="1" t="s">
        <v>20</v>
      </c>
      <c r="F680">
        <v>902</v>
      </c>
      <c r="G680">
        <v>4.2</v>
      </c>
      <c r="H680">
        <v>3788.4</v>
      </c>
      <c r="I680" s="1" t="s">
        <v>39</v>
      </c>
      <c r="J680" s="1" t="s">
        <v>56</v>
      </c>
      <c r="K680" s="1" t="s">
        <v>41</v>
      </c>
      <c r="L680">
        <v>3368.55</v>
      </c>
      <c r="M680">
        <v>11.1</v>
      </c>
      <c r="N680">
        <v>2023</v>
      </c>
      <c r="O680">
        <f t="shared" si="10"/>
        <v>1</v>
      </c>
      <c r="P680" s="13" t="s">
        <v>61</v>
      </c>
      <c r="Q680">
        <v>419.85</v>
      </c>
      <c r="R680" s="3" t="s">
        <v>29</v>
      </c>
      <c r="S680" s="7">
        <f>Ventas[[#This Row],[Costo Material (€)]]/Ventas[[#This Row],[Beneficio (€)]]</f>
        <v>8.0232225794926766</v>
      </c>
      <c r="T680" s="3" t="str">
        <f>IF(Ventas[[#This Row],[Margen (%)]]&gt;20%,"Beneficio","Perdidas")</f>
        <v>Beneficio</v>
      </c>
    </row>
    <row r="681" spans="1:20" x14ac:dyDescent="0.25">
      <c r="A681" s="12">
        <v>45012</v>
      </c>
      <c r="B681" s="1" t="s">
        <v>58</v>
      </c>
      <c r="C681" s="1" t="s">
        <v>59</v>
      </c>
      <c r="D681" s="1" t="s">
        <v>48</v>
      </c>
      <c r="E681" s="1" t="s">
        <v>38</v>
      </c>
      <c r="F681">
        <v>478</v>
      </c>
      <c r="G681">
        <v>6.43</v>
      </c>
      <c r="H681">
        <v>3073.54</v>
      </c>
      <c r="I681" s="1" t="s">
        <v>26</v>
      </c>
      <c r="J681" s="1" t="s">
        <v>47</v>
      </c>
      <c r="K681" s="1" t="s">
        <v>41</v>
      </c>
      <c r="L681">
        <v>2654.27</v>
      </c>
      <c r="M681">
        <v>13.6</v>
      </c>
      <c r="N681">
        <v>2023</v>
      </c>
      <c r="O681">
        <f t="shared" si="10"/>
        <v>1</v>
      </c>
      <c r="P681" s="13" t="s">
        <v>61</v>
      </c>
      <c r="Q681">
        <v>419.27</v>
      </c>
      <c r="R681" s="3" t="s">
        <v>29</v>
      </c>
      <c r="S681" s="7">
        <f>Ventas[[#This Row],[Costo Material (€)]]/Ventas[[#This Row],[Beneficio (€)]]</f>
        <v>6.3306938249815161</v>
      </c>
      <c r="T681" s="3" t="str">
        <f>IF(Ventas[[#This Row],[Margen (%)]]&gt;20%,"Beneficio","Perdidas")</f>
        <v>Beneficio</v>
      </c>
    </row>
    <row r="682" spans="1:20" x14ac:dyDescent="0.25">
      <c r="A682" s="12">
        <v>45172</v>
      </c>
      <c r="B682" s="1" t="s">
        <v>30</v>
      </c>
      <c r="C682" s="1" t="s">
        <v>31</v>
      </c>
      <c r="D682" s="1" t="s">
        <v>32</v>
      </c>
      <c r="E682" s="1" t="s">
        <v>20</v>
      </c>
      <c r="F682">
        <v>142</v>
      </c>
      <c r="G682">
        <v>11.17</v>
      </c>
      <c r="H682">
        <v>1586.14</v>
      </c>
      <c r="I682" s="1" t="s">
        <v>33</v>
      </c>
      <c r="J682" s="1" t="s">
        <v>27</v>
      </c>
      <c r="K682" s="1" t="s">
        <v>28</v>
      </c>
      <c r="L682">
        <v>1167.0899999999999</v>
      </c>
      <c r="M682">
        <v>26.4</v>
      </c>
      <c r="N682">
        <v>2023</v>
      </c>
      <c r="O682">
        <f t="shared" si="10"/>
        <v>3</v>
      </c>
      <c r="P682" s="13" t="s">
        <v>67</v>
      </c>
      <c r="Q682">
        <v>419.05</v>
      </c>
      <c r="R682" s="3" t="s">
        <v>25</v>
      </c>
      <c r="S682" s="7">
        <f>Ventas[[#This Row],[Costo Material (€)]]/Ventas[[#This Row],[Beneficio (€)]]</f>
        <v>2.7850853120152723</v>
      </c>
      <c r="T682" s="3" t="str">
        <f>IF(Ventas[[#This Row],[Margen (%)]]&gt;20%,"Beneficio","Perdidas")</f>
        <v>Beneficio</v>
      </c>
    </row>
    <row r="683" spans="1:20" x14ac:dyDescent="0.25">
      <c r="A683" s="12">
        <v>45035</v>
      </c>
      <c r="B683" s="1" t="s">
        <v>35</v>
      </c>
      <c r="C683" s="1" t="s">
        <v>36</v>
      </c>
      <c r="D683" s="1" t="s">
        <v>53</v>
      </c>
      <c r="E683" s="1" t="s">
        <v>50</v>
      </c>
      <c r="F683">
        <v>255</v>
      </c>
      <c r="G683">
        <v>5.35</v>
      </c>
      <c r="H683">
        <v>1364.25</v>
      </c>
      <c r="I683" s="1" t="s">
        <v>26</v>
      </c>
      <c r="J683" s="1" t="s">
        <v>22</v>
      </c>
      <c r="K683" s="1" t="s">
        <v>41</v>
      </c>
      <c r="L683">
        <v>945.44</v>
      </c>
      <c r="M683">
        <v>30.7</v>
      </c>
      <c r="N683">
        <v>2023</v>
      </c>
      <c r="O683">
        <f t="shared" si="10"/>
        <v>2</v>
      </c>
      <c r="P683" s="13" t="s">
        <v>62</v>
      </c>
      <c r="Q683">
        <v>418.81</v>
      </c>
      <c r="R683" s="3" t="s">
        <v>25</v>
      </c>
      <c r="S683" s="7">
        <f>Ventas[[#This Row],[Costo Material (€)]]/Ventas[[#This Row],[Beneficio (€)]]</f>
        <v>2.2574437095580335</v>
      </c>
      <c r="T683" s="3" t="str">
        <f>IF(Ventas[[#This Row],[Margen (%)]]&gt;20%,"Beneficio","Perdidas")</f>
        <v>Beneficio</v>
      </c>
    </row>
    <row r="684" spans="1:20" x14ac:dyDescent="0.25">
      <c r="A684" s="12">
        <v>45292</v>
      </c>
      <c r="B684" s="1" t="s">
        <v>35</v>
      </c>
      <c r="C684" s="1" t="s">
        <v>36</v>
      </c>
      <c r="D684" s="1" t="s">
        <v>19</v>
      </c>
      <c r="E684" s="1" t="s">
        <v>20</v>
      </c>
      <c r="F684">
        <v>573</v>
      </c>
      <c r="G684">
        <v>3.1</v>
      </c>
      <c r="H684">
        <v>1776.3</v>
      </c>
      <c r="I684" s="1" t="s">
        <v>57</v>
      </c>
      <c r="J684" s="1" t="s">
        <v>22</v>
      </c>
      <c r="K684" s="1" t="s">
        <v>28</v>
      </c>
      <c r="L684">
        <v>1359.65</v>
      </c>
      <c r="M684">
        <v>23.5</v>
      </c>
      <c r="N684">
        <v>2024</v>
      </c>
      <c r="O684">
        <f t="shared" si="10"/>
        <v>1</v>
      </c>
      <c r="P684" s="13" t="s">
        <v>24</v>
      </c>
      <c r="Q684">
        <v>416.65</v>
      </c>
      <c r="R684" s="3" t="s">
        <v>29</v>
      </c>
      <c r="S684" s="7">
        <f>Ventas[[#This Row],[Costo Material (€)]]/Ventas[[#This Row],[Beneficio (€)]]</f>
        <v>3.2632905316212653</v>
      </c>
      <c r="T684" s="3" t="str">
        <f>IF(Ventas[[#This Row],[Margen (%)]]&gt;20%,"Beneficio","Perdidas")</f>
        <v>Beneficio</v>
      </c>
    </row>
    <row r="685" spans="1:20" x14ac:dyDescent="0.25">
      <c r="A685" s="12">
        <v>45016</v>
      </c>
      <c r="B685" s="1" t="s">
        <v>17</v>
      </c>
      <c r="C685" s="1" t="s">
        <v>18</v>
      </c>
      <c r="D685" s="1" t="s">
        <v>53</v>
      </c>
      <c r="E685" s="1" t="s">
        <v>50</v>
      </c>
      <c r="F685">
        <v>417</v>
      </c>
      <c r="G685">
        <v>6.95</v>
      </c>
      <c r="H685">
        <v>2898.15</v>
      </c>
      <c r="I685" s="1" t="s">
        <v>54</v>
      </c>
      <c r="J685" s="1" t="s">
        <v>56</v>
      </c>
      <c r="K685" s="1" t="s">
        <v>23</v>
      </c>
      <c r="L685">
        <v>2483.0500000000002</v>
      </c>
      <c r="M685">
        <v>14.3</v>
      </c>
      <c r="N685">
        <v>2023</v>
      </c>
      <c r="O685">
        <f t="shared" si="10"/>
        <v>1</v>
      </c>
      <c r="P685" s="13" t="s">
        <v>61</v>
      </c>
      <c r="Q685">
        <v>415.1</v>
      </c>
      <c r="R685" s="3" t="s">
        <v>29</v>
      </c>
      <c r="S685" s="7">
        <f>Ventas[[#This Row],[Costo Material (€)]]/Ventas[[#This Row],[Beneficio (€)]]</f>
        <v>5.9818116116598414</v>
      </c>
      <c r="T685" s="3" t="str">
        <f>IF(Ventas[[#This Row],[Margen (%)]]&gt;20%,"Beneficio","Perdidas")</f>
        <v>Beneficio</v>
      </c>
    </row>
    <row r="686" spans="1:20" x14ac:dyDescent="0.25">
      <c r="A686" s="12">
        <v>45167</v>
      </c>
      <c r="B686" s="1" t="s">
        <v>51</v>
      </c>
      <c r="C686" s="1" t="s">
        <v>52</v>
      </c>
      <c r="D686" s="1" t="s">
        <v>45</v>
      </c>
      <c r="E686" s="1" t="s">
        <v>20</v>
      </c>
      <c r="F686">
        <v>107</v>
      </c>
      <c r="G686">
        <v>11.33</v>
      </c>
      <c r="H686">
        <v>1212.31</v>
      </c>
      <c r="I686" s="1" t="s">
        <v>55</v>
      </c>
      <c r="J686" s="1" t="s">
        <v>47</v>
      </c>
      <c r="K686" s="1" t="s">
        <v>28</v>
      </c>
      <c r="L686">
        <v>798.19</v>
      </c>
      <c r="M686">
        <v>34.200000000000003</v>
      </c>
      <c r="N686">
        <v>2023</v>
      </c>
      <c r="O686">
        <f t="shared" si="10"/>
        <v>3</v>
      </c>
      <c r="P686" s="13" t="s">
        <v>66</v>
      </c>
      <c r="Q686">
        <v>414.12</v>
      </c>
      <c r="R686" s="3" t="s">
        <v>25</v>
      </c>
      <c r="S686" s="7">
        <f>Ventas[[#This Row],[Costo Material (€)]]/Ventas[[#This Row],[Beneficio (€)]]</f>
        <v>1.9274364918381146</v>
      </c>
      <c r="T686" s="3" t="str">
        <f>IF(Ventas[[#This Row],[Margen (%)]]&gt;20%,"Beneficio","Perdidas")</f>
        <v>Beneficio</v>
      </c>
    </row>
    <row r="687" spans="1:20" x14ac:dyDescent="0.25">
      <c r="A687" s="12">
        <v>45069</v>
      </c>
      <c r="B687" s="1" t="s">
        <v>35</v>
      </c>
      <c r="C687" s="1" t="s">
        <v>36</v>
      </c>
      <c r="D687" s="1" t="s">
        <v>48</v>
      </c>
      <c r="E687" s="1" t="s">
        <v>38</v>
      </c>
      <c r="F687">
        <v>258</v>
      </c>
      <c r="G687">
        <v>5.88</v>
      </c>
      <c r="H687">
        <v>1517.04</v>
      </c>
      <c r="I687" s="1" t="s">
        <v>33</v>
      </c>
      <c r="J687" s="1" t="s">
        <v>34</v>
      </c>
      <c r="K687" s="1" t="s">
        <v>28</v>
      </c>
      <c r="L687">
        <v>1103.94</v>
      </c>
      <c r="M687">
        <v>27.2</v>
      </c>
      <c r="N687">
        <v>2023</v>
      </c>
      <c r="O687">
        <f t="shared" si="10"/>
        <v>2</v>
      </c>
      <c r="P687" s="13" t="s">
        <v>63</v>
      </c>
      <c r="Q687">
        <v>413.1</v>
      </c>
      <c r="R687" s="3" t="s">
        <v>25</v>
      </c>
      <c r="S687" s="7">
        <f>Ventas[[#This Row],[Costo Material (€)]]/Ventas[[#This Row],[Beneficio (€)]]</f>
        <v>2.672331154684096</v>
      </c>
      <c r="T687" s="3" t="str">
        <f>IF(Ventas[[#This Row],[Margen (%)]]&gt;20%,"Beneficio","Perdidas")</f>
        <v>Beneficio</v>
      </c>
    </row>
    <row r="688" spans="1:20" x14ac:dyDescent="0.25">
      <c r="A688" s="12">
        <v>44999</v>
      </c>
      <c r="B688" s="1" t="s">
        <v>30</v>
      </c>
      <c r="C688" s="1" t="s">
        <v>31</v>
      </c>
      <c r="D688" s="1" t="s">
        <v>44</v>
      </c>
      <c r="E688" s="1" t="s">
        <v>38</v>
      </c>
      <c r="F688">
        <v>148</v>
      </c>
      <c r="G688">
        <v>7.24</v>
      </c>
      <c r="H688">
        <v>1071.52</v>
      </c>
      <c r="I688" s="1" t="s">
        <v>33</v>
      </c>
      <c r="J688" s="1" t="s">
        <v>27</v>
      </c>
      <c r="K688" s="1" t="s">
        <v>28</v>
      </c>
      <c r="L688">
        <v>661.05</v>
      </c>
      <c r="M688">
        <v>38.299999999999997</v>
      </c>
      <c r="N688">
        <v>2023</v>
      </c>
      <c r="O688">
        <f t="shared" si="10"/>
        <v>1</v>
      </c>
      <c r="P688" s="13" t="s">
        <v>61</v>
      </c>
      <c r="Q688">
        <v>410.47</v>
      </c>
      <c r="R688" s="3" t="s">
        <v>25</v>
      </c>
      <c r="S688" s="7">
        <f>Ventas[[#This Row],[Costo Material (€)]]/Ventas[[#This Row],[Beneficio (€)]]</f>
        <v>1.6104709235754133</v>
      </c>
      <c r="T688" s="3" t="str">
        <f>IF(Ventas[[#This Row],[Margen (%)]]&gt;20%,"Beneficio","Perdidas")</f>
        <v>Beneficio</v>
      </c>
    </row>
    <row r="689" spans="1:20" x14ac:dyDescent="0.25">
      <c r="A689" s="12">
        <v>45096</v>
      </c>
      <c r="B689" s="1" t="s">
        <v>51</v>
      </c>
      <c r="C689" s="1" t="s">
        <v>52</v>
      </c>
      <c r="D689" s="1" t="s">
        <v>37</v>
      </c>
      <c r="E689" s="1" t="s">
        <v>38</v>
      </c>
      <c r="F689">
        <v>123</v>
      </c>
      <c r="G689">
        <v>11.16</v>
      </c>
      <c r="H689">
        <v>1372.68</v>
      </c>
      <c r="I689" s="1" t="s">
        <v>57</v>
      </c>
      <c r="J689" s="1" t="s">
        <v>56</v>
      </c>
      <c r="K689" s="1" t="s">
        <v>28</v>
      </c>
      <c r="L689">
        <v>965.87</v>
      </c>
      <c r="M689">
        <v>29.6</v>
      </c>
      <c r="N689">
        <v>2023</v>
      </c>
      <c r="O689">
        <f t="shared" si="10"/>
        <v>2</v>
      </c>
      <c r="P689" s="13" t="s">
        <v>64</v>
      </c>
      <c r="Q689">
        <v>406.81</v>
      </c>
      <c r="R689" s="3" t="s">
        <v>25</v>
      </c>
      <c r="S689" s="7">
        <f>Ventas[[#This Row],[Costo Material (€)]]/Ventas[[#This Row],[Beneficio (€)]]</f>
        <v>2.3742533369386201</v>
      </c>
      <c r="T689" s="3" t="str">
        <f>IF(Ventas[[#This Row],[Margen (%)]]&gt;20%,"Beneficio","Perdidas")</f>
        <v>Beneficio</v>
      </c>
    </row>
    <row r="690" spans="1:20" x14ac:dyDescent="0.25">
      <c r="A690" s="12">
        <v>44965</v>
      </c>
      <c r="B690" s="1" t="s">
        <v>51</v>
      </c>
      <c r="C690" s="1" t="s">
        <v>52</v>
      </c>
      <c r="D690" s="1" t="s">
        <v>45</v>
      </c>
      <c r="E690" s="1" t="s">
        <v>20</v>
      </c>
      <c r="F690">
        <v>137</v>
      </c>
      <c r="G690">
        <v>10.23</v>
      </c>
      <c r="H690">
        <v>1401.51</v>
      </c>
      <c r="I690" s="1" t="s">
        <v>57</v>
      </c>
      <c r="J690" s="1" t="s">
        <v>47</v>
      </c>
      <c r="K690" s="1" t="s">
        <v>41</v>
      </c>
      <c r="L690">
        <v>995.01</v>
      </c>
      <c r="M690">
        <v>29</v>
      </c>
      <c r="N690">
        <v>2023</v>
      </c>
      <c r="O690">
        <f t="shared" si="10"/>
        <v>1</v>
      </c>
      <c r="P690" s="13" t="s">
        <v>60</v>
      </c>
      <c r="Q690">
        <v>406.5</v>
      </c>
      <c r="R690" s="3" t="s">
        <v>25</v>
      </c>
      <c r="S690" s="7">
        <f>Ventas[[#This Row],[Costo Material (€)]]/Ventas[[#This Row],[Beneficio (€)]]</f>
        <v>2.4477490774907751</v>
      </c>
      <c r="T690" s="3" t="str">
        <f>IF(Ventas[[#This Row],[Margen (%)]]&gt;20%,"Beneficio","Perdidas")</f>
        <v>Beneficio</v>
      </c>
    </row>
    <row r="691" spans="1:20" x14ac:dyDescent="0.25">
      <c r="A691" s="12">
        <v>45114</v>
      </c>
      <c r="B691" s="1" t="s">
        <v>42</v>
      </c>
      <c r="C691" s="1" t="s">
        <v>43</v>
      </c>
      <c r="D691" s="1" t="s">
        <v>37</v>
      </c>
      <c r="E691" s="1" t="s">
        <v>38</v>
      </c>
      <c r="F691">
        <v>317</v>
      </c>
      <c r="G691">
        <v>6.03</v>
      </c>
      <c r="H691">
        <v>1911.51</v>
      </c>
      <c r="I691" s="1" t="s">
        <v>26</v>
      </c>
      <c r="J691" s="1" t="s">
        <v>47</v>
      </c>
      <c r="K691" s="1" t="s">
        <v>28</v>
      </c>
      <c r="L691">
        <v>1505.37</v>
      </c>
      <c r="M691">
        <v>21.2</v>
      </c>
      <c r="N691">
        <v>2023</v>
      </c>
      <c r="O691">
        <f t="shared" si="10"/>
        <v>3</v>
      </c>
      <c r="P691" s="13" t="s">
        <v>65</v>
      </c>
      <c r="Q691">
        <v>406.14</v>
      </c>
      <c r="R691" s="3" t="s">
        <v>29</v>
      </c>
      <c r="S691" s="7">
        <f>Ventas[[#This Row],[Costo Material (€)]]/Ventas[[#This Row],[Beneficio (€)]]</f>
        <v>3.7065297680602747</v>
      </c>
      <c r="T691" s="3" t="str">
        <f>IF(Ventas[[#This Row],[Margen (%)]]&gt;20%,"Beneficio","Perdidas")</f>
        <v>Beneficio</v>
      </c>
    </row>
    <row r="692" spans="1:20" x14ac:dyDescent="0.25">
      <c r="A692" s="12">
        <v>44930</v>
      </c>
      <c r="B692" s="1" t="s">
        <v>42</v>
      </c>
      <c r="C692" s="1" t="s">
        <v>43</v>
      </c>
      <c r="D692" s="1" t="s">
        <v>37</v>
      </c>
      <c r="E692" s="1" t="s">
        <v>38</v>
      </c>
      <c r="F692">
        <v>316</v>
      </c>
      <c r="G692">
        <v>11.31</v>
      </c>
      <c r="H692">
        <v>3573.96</v>
      </c>
      <c r="I692" s="1" t="s">
        <v>46</v>
      </c>
      <c r="J692" s="1" t="s">
        <v>40</v>
      </c>
      <c r="K692" s="1" t="s">
        <v>41</v>
      </c>
      <c r="L692">
        <v>3168.79</v>
      </c>
      <c r="M692">
        <v>11.3</v>
      </c>
      <c r="N692">
        <v>2023</v>
      </c>
      <c r="O692">
        <f t="shared" si="10"/>
        <v>1</v>
      </c>
      <c r="P692" s="13" t="s">
        <v>24</v>
      </c>
      <c r="Q692">
        <v>405.17</v>
      </c>
      <c r="R692" s="3" t="s">
        <v>29</v>
      </c>
      <c r="S692" s="7">
        <f>Ventas[[#This Row],[Costo Material (€)]]/Ventas[[#This Row],[Beneficio (€)]]</f>
        <v>7.82088999679147</v>
      </c>
      <c r="T692" s="3" t="str">
        <f>IF(Ventas[[#This Row],[Margen (%)]]&gt;20%,"Beneficio","Perdidas")</f>
        <v>Beneficio</v>
      </c>
    </row>
    <row r="693" spans="1:20" x14ac:dyDescent="0.25">
      <c r="A693" s="12">
        <v>45069</v>
      </c>
      <c r="B693" s="1" t="s">
        <v>42</v>
      </c>
      <c r="C693" s="1" t="s">
        <v>43</v>
      </c>
      <c r="D693" s="1" t="s">
        <v>53</v>
      </c>
      <c r="E693" s="1" t="s">
        <v>50</v>
      </c>
      <c r="F693">
        <v>393</v>
      </c>
      <c r="G693">
        <v>6.37</v>
      </c>
      <c r="H693">
        <v>2503.41</v>
      </c>
      <c r="I693" s="1" t="s">
        <v>33</v>
      </c>
      <c r="J693" s="1" t="s">
        <v>34</v>
      </c>
      <c r="K693" s="1" t="s">
        <v>28</v>
      </c>
      <c r="L693">
        <v>2100.84</v>
      </c>
      <c r="M693">
        <v>16.100000000000001</v>
      </c>
      <c r="N693">
        <v>2023</v>
      </c>
      <c r="O693">
        <f t="shared" si="10"/>
        <v>2</v>
      </c>
      <c r="P693" s="13" t="s">
        <v>63</v>
      </c>
      <c r="Q693">
        <v>402.57</v>
      </c>
      <c r="R693" s="3" t="s">
        <v>29</v>
      </c>
      <c r="S693" s="7">
        <f>Ventas[[#This Row],[Costo Material (€)]]/Ventas[[#This Row],[Beneficio (€)]]</f>
        <v>5.2185706833594159</v>
      </c>
      <c r="T693" s="3" t="str">
        <f>IF(Ventas[[#This Row],[Margen (%)]]&gt;20%,"Beneficio","Perdidas")</f>
        <v>Beneficio</v>
      </c>
    </row>
    <row r="694" spans="1:20" x14ac:dyDescent="0.25">
      <c r="A694" s="12">
        <v>45279</v>
      </c>
      <c r="B694" s="1" t="s">
        <v>17</v>
      </c>
      <c r="C694" s="1" t="s">
        <v>18</v>
      </c>
      <c r="D694" s="1" t="s">
        <v>53</v>
      </c>
      <c r="E694" s="1" t="s">
        <v>50</v>
      </c>
      <c r="F694">
        <v>823</v>
      </c>
      <c r="G694">
        <v>4.0199999999999996</v>
      </c>
      <c r="H694">
        <v>3308.46</v>
      </c>
      <c r="I694" s="1" t="s">
        <v>21</v>
      </c>
      <c r="J694" s="1" t="s">
        <v>22</v>
      </c>
      <c r="K694" s="1" t="s">
        <v>23</v>
      </c>
      <c r="L694">
        <v>2905.97</v>
      </c>
      <c r="M694">
        <v>12.2</v>
      </c>
      <c r="N694">
        <v>2023</v>
      </c>
      <c r="O694">
        <f t="shared" si="10"/>
        <v>4</v>
      </c>
      <c r="P694" s="13" t="s">
        <v>70</v>
      </c>
      <c r="Q694">
        <v>402.49</v>
      </c>
      <c r="R694" s="3" t="s">
        <v>29</v>
      </c>
      <c r="S694" s="7">
        <f>Ventas[[#This Row],[Costo Material (€)]]/Ventas[[#This Row],[Beneficio (€)]]</f>
        <v>7.2199806206365365</v>
      </c>
      <c r="T694" s="3" t="str">
        <f>IF(Ventas[[#This Row],[Margen (%)]]&gt;20%,"Beneficio","Perdidas")</f>
        <v>Beneficio</v>
      </c>
    </row>
    <row r="695" spans="1:20" x14ac:dyDescent="0.25">
      <c r="A695" s="12">
        <v>45229</v>
      </c>
      <c r="B695" s="1" t="s">
        <v>30</v>
      </c>
      <c r="C695" s="1" t="s">
        <v>31</v>
      </c>
      <c r="D695" s="1" t="s">
        <v>19</v>
      </c>
      <c r="E695" s="1" t="s">
        <v>20</v>
      </c>
      <c r="F695">
        <v>309</v>
      </c>
      <c r="G695">
        <v>8.01</v>
      </c>
      <c r="H695">
        <v>2475.09</v>
      </c>
      <c r="I695" s="1" t="s">
        <v>46</v>
      </c>
      <c r="J695" s="1" t="s">
        <v>27</v>
      </c>
      <c r="K695" s="1" t="s">
        <v>23</v>
      </c>
      <c r="L695">
        <v>2074.92</v>
      </c>
      <c r="M695">
        <v>16.2</v>
      </c>
      <c r="N695">
        <v>2023</v>
      </c>
      <c r="O695">
        <f t="shared" si="10"/>
        <v>4</v>
      </c>
      <c r="P695" s="13" t="s">
        <v>68</v>
      </c>
      <c r="Q695">
        <v>400.17</v>
      </c>
      <c r="R695" s="3" t="s">
        <v>29</v>
      </c>
      <c r="S695" s="7">
        <f>Ventas[[#This Row],[Costo Material (€)]]/Ventas[[#This Row],[Beneficio (€)]]</f>
        <v>5.1850963340580254</v>
      </c>
      <c r="T695" s="3" t="str">
        <f>IF(Ventas[[#This Row],[Margen (%)]]&gt;20%,"Beneficio","Perdidas")</f>
        <v>Beneficio</v>
      </c>
    </row>
    <row r="696" spans="1:20" x14ac:dyDescent="0.25">
      <c r="A696" s="12">
        <v>45055</v>
      </c>
      <c r="B696" s="1" t="s">
        <v>35</v>
      </c>
      <c r="C696" s="1" t="s">
        <v>36</v>
      </c>
      <c r="D696" s="1" t="s">
        <v>32</v>
      </c>
      <c r="E696" s="1" t="s">
        <v>20</v>
      </c>
      <c r="F696">
        <v>202</v>
      </c>
      <c r="G696">
        <v>9.8800000000000008</v>
      </c>
      <c r="H696">
        <v>1995.76</v>
      </c>
      <c r="I696" s="1" t="s">
        <v>33</v>
      </c>
      <c r="J696" s="1" t="s">
        <v>56</v>
      </c>
      <c r="K696" s="1" t="s">
        <v>23</v>
      </c>
      <c r="L696">
        <v>1598.34</v>
      </c>
      <c r="M696">
        <v>19.899999999999999</v>
      </c>
      <c r="N696">
        <v>2023</v>
      </c>
      <c r="O696">
        <f t="shared" si="10"/>
        <v>2</v>
      </c>
      <c r="P696" s="13" t="s">
        <v>63</v>
      </c>
      <c r="Q696">
        <v>397.42</v>
      </c>
      <c r="R696" s="3" t="s">
        <v>29</v>
      </c>
      <c r="S696" s="7">
        <f>Ventas[[#This Row],[Costo Material (€)]]/Ventas[[#This Row],[Beneficio (€)]]</f>
        <v>4.0217905490413157</v>
      </c>
      <c r="T696" s="3" t="str">
        <f>IF(Ventas[[#This Row],[Margen (%)]]&gt;20%,"Beneficio","Perdidas")</f>
        <v>Beneficio</v>
      </c>
    </row>
    <row r="697" spans="1:20" x14ac:dyDescent="0.25">
      <c r="A697" s="12">
        <v>45459</v>
      </c>
      <c r="B697" s="1" t="s">
        <v>42</v>
      </c>
      <c r="C697" s="1" t="s">
        <v>43</v>
      </c>
      <c r="D697" s="1" t="s">
        <v>48</v>
      </c>
      <c r="E697" s="1" t="s">
        <v>38</v>
      </c>
      <c r="F697">
        <v>272</v>
      </c>
      <c r="G697">
        <v>11.65</v>
      </c>
      <c r="H697">
        <v>3168.8</v>
      </c>
      <c r="I697" s="1" t="s">
        <v>54</v>
      </c>
      <c r="J697" s="1" t="s">
        <v>34</v>
      </c>
      <c r="K697" s="1" t="s">
        <v>41</v>
      </c>
      <c r="L697">
        <v>2771.94</v>
      </c>
      <c r="M697">
        <v>12.5</v>
      </c>
      <c r="N697">
        <v>2024</v>
      </c>
      <c r="O697">
        <f t="shared" si="10"/>
        <v>2</v>
      </c>
      <c r="P697" s="13" t="s">
        <v>64</v>
      </c>
      <c r="Q697">
        <v>396.86</v>
      </c>
      <c r="R697" s="3" t="s">
        <v>29</v>
      </c>
      <c r="S697" s="7">
        <f>Ventas[[#This Row],[Costo Material (€)]]/Ventas[[#This Row],[Beneficio (€)]]</f>
        <v>6.9846797359270267</v>
      </c>
      <c r="T697" s="3" t="str">
        <f>IF(Ventas[[#This Row],[Margen (%)]]&gt;20%,"Beneficio","Perdidas")</f>
        <v>Beneficio</v>
      </c>
    </row>
    <row r="698" spans="1:20" x14ac:dyDescent="0.25">
      <c r="A698" s="12">
        <v>44927</v>
      </c>
      <c r="B698" s="1" t="s">
        <v>42</v>
      </c>
      <c r="C698" s="1" t="s">
        <v>43</v>
      </c>
      <c r="D698" s="1" t="s">
        <v>44</v>
      </c>
      <c r="E698" s="1" t="s">
        <v>38</v>
      </c>
      <c r="F698">
        <v>436</v>
      </c>
      <c r="G698">
        <v>2.31</v>
      </c>
      <c r="H698">
        <v>1007.16</v>
      </c>
      <c r="I698" s="1" t="s">
        <v>26</v>
      </c>
      <c r="J698" s="1" t="s">
        <v>34</v>
      </c>
      <c r="K698" s="1" t="s">
        <v>28</v>
      </c>
      <c r="L698">
        <v>612.05999999999995</v>
      </c>
      <c r="M698">
        <v>39.200000000000003</v>
      </c>
      <c r="N698">
        <v>2023</v>
      </c>
      <c r="O698">
        <f t="shared" si="10"/>
        <v>1</v>
      </c>
      <c r="P698" s="13" t="s">
        <v>24</v>
      </c>
      <c r="Q698">
        <v>395.1</v>
      </c>
      <c r="R698" s="3" t="s">
        <v>25</v>
      </c>
      <c r="S698" s="7">
        <f>Ventas[[#This Row],[Costo Material (€)]]/Ventas[[#This Row],[Beneficio (€)]]</f>
        <v>1.5491268033409262</v>
      </c>
      <c r="T698" s="3" t="str">
        <f>IF(Ventas[[#This Row],[Margen (%)]]&gt;20%,"Beneficio","Perdidas")</f>
        <v>Beneficio</v>
      </c>
    </row>
    <row r="699" spans="1:20" x14ac:dyDescent="0.25">
      <c r="A699" s="12">
        <v>45258</v>
      </c>
      <c r="B699" s="1" t="s">
        <v>35</v>
      </c>
      <c r="C699" s="1" t="s">
        <v>36</v>
      </c>
      <c r="D699" s="1" t="s">
        <v>32</v>
      </c>
      <c r="E699" s="1" t="s">
        <v>20</v>
      </c>
      <c r="F699">
        <v>742</v>
      </c>
      <c r="G699">
        <v>5.27</v>
      </c>
      <c r="H699">
        <v>3910.34</v>
      </c>
      <c r="I699" s="1" t="s">
        <v>46</v>
      </c>
      <c r="J699" s="1" t="s">
        <v>22</v>
      </c>
      <c r="K699" s="1" t="s">
        <v>23</v>
      </c>
      <c r="L699">
        <v>3515.43</v>
      </c>
      <c r="M699">
        <v>10.1</v>
      </c>
      <c r="N699">
        <v>2023</v>
      </c>
      <c r="O699">
        <f t="shared" si="10"/>
        <v>4</v>
      </c>
      <c r="P699" s="13" t="s">
        <v>69</v>
      </c>
      <c r="Q699">
        <v>394.91</v>
      </c>
      <c r="R699" s="3" t="s">
        <v>29</v>
      </c>
      <c r="S699" s="7">
        <f>Ventas[[#This Row],[Costo Material (€)]]/Ventas[[#This Row],[Beneficio (€)]]</f>
        <v>8.9018510546706828</v>
      </c>
      <c r="T699" s="3" t="str">
        <f>IF(Ventas[[#This Row],[Margen (%)]]&gt;20%,"Beneficio","Perdidas")</f>
        <v>Beneficio</v>
      </c>
    </row>
    <row r="700" spans="1:20" x14ac:dyDescent="0.25">
      <c r="A700" s="12">
        <v>44933</v>
      </c>
      <c r="B700" s="1" t="s">
        <v>58</v>
      </c>
      <c r="C700" s="1" t="s">
        <v>59</v>
      </c>
      <c r="D700" s="1" t="s">
        <v>49</v>
      </c>
      <c r="E700" s="1" t="s">
        <v>50</v>
      </c>
      <c r="F700">
        <v>827</v>
      </c>
      <c r="G700">
        <v>2.0099999999999998</v>
      </c>
      <c r="H700">
        <v>1662.27</v>
      </c>
      <c r="I700" s="1" t="s">
        <v>57</v>
      </c>
      <c r="J700" s="1" t="s">
        <v>56</v>
      </c>
      <c r="K700" s="1" t="s">
        <v>41</v>
      </c>
      <c r="L700">
        <v>1272.55</v>
      </c>
      <c r="M700">
        <v>23.4</v>
      </c>
      <c r="N700">
        <v>2023</v>
      </c>
      <c r="O700">
        <f t="shared" si="10"/>
        <v>1</v>
      </c>
      <c r="P700" s="13" t="s">
        <v>24</v>
      </c>
      <c r="Q700">
        <v>389.72</v>
      </c>
      <c r="R700" s="3" t="s">
        <v>29</v>
      </c>
      <c r="S700" s="7">
        <f>Ventas[[#This Row],[Costo Material (€)]]/Ventas[[#This Row],[Beneficio (€)]]</f>
        <v>3.2652930308939747</v>
      </c>
      <c r="T700" s="3" t="str">
        <f>IF(Ventas[[#This Row],[Margen (%)]]&gt;20%,"Beneficio","Perdidas")</f>
        <v>Beneficio</v>
      </c>
    </row>
    <row r="701" spans="1:20" x14ac:dyDescent="0.25">
      <c r="A701" s="12">
        <v>45196</v>
      </c>
      <c r="B701" s="1" t="s">
        <v>42</v>
      </c>
      <c r="C701" s="1" t="s">
        <v>43</v>
      </c>
      <c r="D701" s="1" t="s">
        <v>19</v>
      </c>
      <c r="E701" s="1" t="s">
        <v>20</v>
      </c>
      <c r="F701">
        <v>320</v>
      </c>
      <c r="G701">
        <v>3.16</v>
      </c>
      <c r="H701">
        <v>1011.2</v>
      </c>
      <c r="I701" s="1" t="s">
        <v>57</v>
      </c>
      <c r="J701" s="1" t="s">
        <v>34</v>
      </c>
      <c r="K701" s="1" t="s">
        <v>23</v>
      </c>
      <c r="L701">
        <v>621.53</v>
      </c>
      <c r="M701">
        <v>38.5</v>
      </c>
      <c r="N701">
        <v>2023</v>
      </c>
      <c r="O701">
        <f t="shared" si="10"/>
        <v>3</v>
      </c>
      <c r="P701" s="13" t="s">
        <v>67</v>
      </c>
      <c r="Q701">
        <v>389.67</v>
      </c>
      <c r="R701" s="3" t="s">
        <v>25</v>
      </c>
      <c r="S701" s="7">
        <f>Ventas[[#This Row],[Costo Material (€)]]/Ventas[[#This Row],[Beneficio (€)]]</f>
        <v>1.5950162958400698</v>
      </c>
      <c r="T701" s="3" t="str">
        <f>IF(Ventas[[#This Row],[Margen (%)]]&gt;20%,"Beneficio","Perdidas")</f>
        <v>Beneficio</v>
      </c>
    </row>
    <row r="702" spans="1:20" x14ac:dyDescent="0.25">
      <c r="A702" s="12">
        <v>44930</v>
      </c>
      <c r="B702" s="1" t="s">
        <v>42</v>
      </c>
      <c r="C702" s="1" t="s">
        <v>43</v>
      </c>
      <c r="D702" s="1" t="s">
        <v>49</v>
      </c>
      <c r="E702" s="1" t="s">
        <v>50</v>
      </c>
      <c r="F702">
        <v>471</v>
      </c>
      <c r="G702">
        <v>2.0499999999999998</v>
      </c>
      <c r="H702">
        <v>965.55</v>
      </c>
      <c r="I702" s="1" t="s">
        <v>55</v>
      </c>
      <c r="J702" s="1" t="s">
        <v>27</v>
      </c>
      <c r="K702" s="1" t="s">
        <v>23</v>
      </c>
      <c r="L702">
        <v>579.69000000000005</v>
      </c>
      <c r="M702">
        <v>40</v>
      </c>
      <c r="N702">
        <v>2023</v>
      </c>
      <c r="O702">
        <f t="shared" si="10"/>
        <v>1</v>
      </c>
      <c r="P702" s="13" t="s">
        <v>24</v>
      </c>
      <c r="Q702">
        <v>385.86</v>
      </c>
      <c r="R702" s="3" t="s">
        <v>25</v>
      </c>
      <c r="S702" s="7">
        <f>Ventas[[#This Row],[Costo Material (€)]]/Ventas[[#This Row],[Beneficio (€)]]</f>
        <v>1.5023324521847303</v>
      </c>
      <c r="T702" s="3" t="str">
        <f>IF(Ventas[[#This Row],[Margen (%)]]&gt;20%,"Beneficio","Perdidas")</f>
        <v>Beneficio</v>
      </c>
    </row>
    <row r="703" spans="1:20" x14ac:dyDescent="0.25">
      <c r="A703" s="12">
        <v>44966</v>
      </c>
      <c r="B703" s="1" t="s">
        <v>58</v>
      </c>
      <c r="C703" s="1" t="s">
        <v>59</v>
      </c>
      <c r="D703" s="1" t="s">
        <v>48</v>
      </c>
      <c r="E703" s="1" t="s">
        <v>38</v>
      </c>
      <c r="F703">
        <v>485</v>
      </c>
      <c r="G703">
        <v>6.42</v>
      </c>
      <c r="H703">
        <v>3113.7</v>
      </c>
      <c r="I703" s="1" t="s">
        <v>21</v>
      </c>
      <c r="J703" s="1" t="s">
        <v>56</v>
      </c>
      <c r="K703" s="1" t="s">
        <v>23</v>
      </c>
      <c r="L703">
        <v>2729.02</v>
      </c>
      <c r="M703">
        <v>12.4</v>
      </c>
      <c r="N703">
        <v>2023</v>
      </c>
      <c r="O703">
        <f t="shared" si="10"/>
        <v>1</v>
      </c>
      <c r="P703" s="13" t="s">
        <v>60</v>
      </c>
      <c r="Q703">
        <v>384.68</v>
      </c>
      <c r="R703" s="3" t="s">
        <v>29</v>
      </c>
      <c r="S703" s="7">
        <f>Ventas[[#This Row],[Costo Material (€)]]/Ventas[[#This Row],[Beneficio (€)]]</f>
        <v>7.0942601642923986</v>
      </c>
      <c r="T703" s="3" t="str">
        <f>IF(Ventas[[#This Row],[Margen (%)]]&gt;20%,"Beneficio","Perdidas")</f>
        <v>Beneficio</v>
      </c>
    </row>
    <row r="704" spans="1:20" x14ac:dyDescent="0.25">
      <c r="A704" s="12">
        <v>45132</v>
      </c>
      <c r="B704" s="1" t="s">
        <v>42</v>
      </c>
      <c r="C704" s="1" t="s">
        <v>43</v>
      </c>
      <c r="D704" s="1" t="s">
        <v>53</v>
      </c>
      <c r="E704" s="1" t="s">
        <v>50</v>
      </c>
      <c r="F704">
        <v>958</v>
      </c>
      <c r="G704">
        <v>3.88</v>
      </c>
      <c r="H704">
        <v>3717.04</v>
      </c>
      <c r="I704" s="1" t="s">
        <v>39</v>
      </c>
      <c r="J704" s="1" t="s">
        <v>47</v>
      </c>
      <c r="K704" s="1" t="s">
        <v>41</v>
      </c>
      <c r="L704">
        <v>3332.5</v>
      </c>
      <c r="M704">
        <v>10.3</v>
      </c>
      <c r="N704">
        <v>2023</v>
      </c>
      <c r="O704">
        <f t="shared" si="10"/>
        <v>3</v>
      </c>
      <c r="P704" s="13" t="s">
        <v>65</v>
      </c>
      <c r="Q704">
        <v>384.54</v>
      </c>
      <c r="R704" s="3" t="s">
        <v>29</v>
      </c>
      <c r="S704" s="7">
        <f>Ventas[[#This Row],[Costo Material (€)]]/Ventas[[#This Row],[Beneficio (€)]]</f>
        <v>8.6661985749206831</v>
      </c>
      <c r="T704" s="3" t="str">
        <f>IF(Ventas[[#This Row],[Margen (%)]]&gt;20%,"Beneficio","Perdidas")</f>
        <v>Beneficio</v>
      </c>
    </row>
    <row r="705" spans="1:20" x14ac:dyDescent="0.25">
      <c r="A705" s="12">
        <v>44988</v>
      </c>
      <c r="B705" s="1" t="s">
        <v>35</v>
      </c>
      <c r="C705" s="1" t="s">
        <v>36</v>
      </c>
      <c r="D705" s="1" t="s">
        <v>45</v>
      </c>
      <c r="E705" s="1" t="s">
        <v>20</v>
      </c>
      <c r="F705">
        <v>712</v>
      </c>
      <c r="G705">
        <v>4.28</v>
      </c>
      <c r="H705">
        <v>3047.36</v>
      </c>
      <c r="I705" s="1" t="s">
        <v>39</v>
      </c>
      <c r="J705" s="1" t="s">
        <v>27</v>
      </c>
      <c r="K705" s="1" t="s">
        <v>28</v>
      </c>
      <c r="L705">
        <v>2662.97</v>
      </c>
      <c r="M705">
        <v>12.6</v>
      </c>
      <c r="N705">
        <v>2023</v>
      </c>
      <c r="O705">
        <f t="shared" si="10"/>
        <v>1</v>
      </c>
      <c r="P705" s="13" t="s">
        <v>61</v>
      </c>
      <c r="Q705">
        <v>384.39</v>
      </c>
      <c r="R705" s="3" t="s">
        <v>29</v>
      </c>
      <c r="S705" s="7">
        <f>Ventas[[#This Row],[Costo Material (€)]]/Ventas[[#This Row],[Beneficio (€)]]</f>
        <v>6.9277816800645171</v>
      </c>
      <c r="T705" s="3" t="str">
        <f>IF(Ventas[[#This Row],[Margen (%)]]&gt;20%,"Beneficio","Perdidas")</f>
        <v>Beneficio</v>
      </c>
    </row>
    <row r="706" spans="1:20" x14ac:dyDescent="0.25">
      <c r="A706" s="12">
        <v>45046</v>
      </c>
      <c r="B706" s="1" t="s">
        <v>51</v>
      </c>
      <c r="C706" s="1" t="s">
        <v>52</v>
      </c>
      <c r="D706" s="1" t="s">
        <v>19</v>
      </c>
      <c r="E706" s="1" t="s">
        <v>20</v>
      </c>
      <c r="F706">
        <v>895</v>
      </c>
      <c r="G706">
        <v>2.11</v>
      </c>
      <c r="H706">
        <v>1888.45</v>
      </c>
      <c r="I706" s="1" t="s">
        <v>57</v>
      </c>
      <c r="J706" s="1" t="s">
        <v>40</v>
      </c>
      <c r="K706" s="1" t="s">
        <v>28</v>
      </c>
      <c r="L706">
        <v>1506.31</v>
      </c>
      <c r="M706">
        <v>20.2</v>
      </c>
      <c r="N706">
        <v>2023</v>
      </c>
      <c r="O706">
        <f t="shared" ref="O706:O769" si="11">ROUNDUP(MONTH(A706)/3,0)</f>
        <v>2</v>
      </c>
      <c r="P706" s="13" t="s">
        <v>62</v>
      </c>
      <c r="Q706">
        <v>382.14</v>
      </c>
      <c r="R706" s="3" t="s">
        <v>29</v>
      </c>
      <c r="S706" s="7">
        <f>Ventas[[#This Row],[Costo Material (€)]]/Ventas[[#This Row],[Beneficio (€)]]</f>
        <v>3.9417752656094627</v>
      </c>
      <c r="T706" s="3" t="str">
        <f>IF(Ventas[[#This Row],[Margen (%)]]&gt;20%,"Beneficio","Perdidas")</f>
        <v>Beneficio</v>
      </c>
    </row>
    <row r="707" spans="1:20" x14ac:dyDescent="0.25">
      <c r="A707" s="12">
        <v>45054</v>
      </c>
      <c r="B707" s="1" t="s">
        <v>35</v>
      </c>
      <c r="C707" s="1" t="s">
        <v>36</v>
      </c>
      <c r="D707" s="1" t="s">
        <v>48</v>
      </c>
      <c r="E707" s="1" t="s">
        <v>38</v>
      </c>
      <c r="F707">
        <v>436</v>
      </c>
      <c r="G707">
        <v>3.89</v>
      </c>
      <c r="H707">
        <v>1696.04</v>
      </c>
      <c r="I707" s="1" t="s">
        <v>54</v>
      </c>
      <c r="J707" s="1" t="s">
        <v>22</v>
      </c>
      <c r="K707" s="1" t="s">
        <v>41</v>
      </c>
      <c r="L707">
        <v>1315.81</v>
      </c>
      <c r="M707">
        <v>22.4</v>
      </c>
      <c r="N707">
        <v>2023</v>
      </c>
      <c r="O707">
        <f t="shared" si="11"/>
        <v>2</v>
      </c>
      <c r="P707" s="13" t="s">
        <v>63</v>
      </c>
      <c r="Q707">
        <v>380.23</v>
      </c>
      <c r="R707" s="3" t="s">
        <v>29</v>
      </c>
      <c r="S707" s="7">
        <f>Ventas[[#This Row],[Costo Material (€)]]/Ventas[[#This Row],[Beneficio (€)]]</f>
        <v>3.4605633432396177</v>
      </c>
      <c r="T707" s="3" t="str">
        <f>IF(Ventas[[#This Row],[Margen (%)]]&gt;20%,"Beneficio","Perdidas")</f>
        <v>Beneficio</v>
      </c>
    </row>
    <row r="708" spans="1:20" x14ac:dyDescent="0.25">
      <c r="A708" s="12">
        <v>44965</v>
      </c>
      <c r="B708" s="1" t="s">
        <v>35</v>
      </c>
      <c r="C708" s="1" t="s">
        <v>36</v>
      </c>
      <c r="D708" s="1" t="s">
        <v>37</v>
      </c>
      <c r="E708" s="1" t="s">
        <v>38</v>
      </c>
      <c r="F708">
        <v>591</v>
      </c>
      <c r="G708">
        <v>5.17</v>
      </c>
      <c r="H708">
        <v>3055.47</v>
      </c>
      <c r="I708" s="1" t="s">
        <v>57</v>
      </c>
      <c r="J708" s="1" t="s">
        <v>47</v>
      </c>
      <c r="K708" s="1" t="s">
        <v>28</v>
      </c>
      <c r="L708">
        <v>2676.92</v>
      </c>
      <c r="M708">
        <v>12.4</v>
      </c>
      <c r="N708">
        <v>2023</v>
      </c>
      <c r="O708">
        <f t="shared" si="11"/>
        <v>1</v>
      </c>
      <c r="P708" s="13" t="s">
        <v>60</v>
      </c>
      <c r="Q708">
        <v>378.55</v>
      </c>
      <c r="R708" s="3" t="s">
        <v>29</v>
      </c>
      <c r="S708" s="7">
        <f>Ventas[[#This Row],[Costo Material (€)]]/Ventas[[#This Row],[Beneficio (€)]]</f>
        <v>7.0715097080966851</v>
      </c>
      <c r="T708" s="3" t="str">
        <f>IF(Ventas[[#This Row],[Margen (%)]]&gt;20%,"Beneficio","Perdidas")</f>
        <v>Beneficio</v>
      </c>
    </row>
    <row r="709" spans="1:20" x14ac:dyDescent="0.25">
      <c r="A709" s="12">
        <v>44982</v>
      </c>
      <c r="B709" s="1" t="s">
        <v>17</v>
      </c>
      <c r="C709" s="1" t="s">
        <v>18</v>
      </c>
      <c r="D709" s="1" t="s">
        <v>49</v>
      </c>
      <c r="E709" s="1" t="s">
        <v>50</v>
      </c>
      <c r="F709">
        <v>218</v>
      </c>
      <c r="G709">
        <v>4.75</v>
      </c>
      <c r="H709">
        <v>1035.5</v>
      </c>
      <c r="I709" s="1" t="s">
        <v>33</v>
      </c>
      <c r="J709" s="1" t="s">
        <v>27</v>
      </c>
      <c r="K709" s="1" t="s">
        <v>41</v>
      </c>
      <c r="L709">
        <v>660.54</v>
      </c>
      <c r="M709">
        <v>36.200000000000003</v>
      </c>
      <c r="N709">
        <v>2023</v>
      </c>
      <c r="O709">
        <f t="shared" si="11"/>
        <v>1</v>
      </c>
      <c r="P709" s="13" t="s">
        <v>60</v>
      </c>
      <c r="Q709">
        <v>374.96</v>
      </c>
      <c r="R709" s="3" t="s">
        <v>25</v>
      </c>
      <c r="S709" s="7">
        <f>Ventas[[#This Row],[Costo Material (€)]]/Ventas[[#This Row],[Beneficio (€)]]</f>
        <v>1.7616279069767442</v>
      </c>
      <c r="T709" s="3" t="str">
        <f>IF(Ventas[[#This Row],[Margen (%)]]&gt;20%,"Beneficio","Perdidas")</f>
        <v>Beneficio</v>
      </c>
    </row>
    <row r="710" spans="1:20" x14ac:dyDescent="0.25">
      <c r="A710" s="12">
        <v>45048</v>
      </c>
      <c r="B710" s="1" t="s">
        <v>17</v>
      </c>
      <c r="C710" s="1" t="s">
        <v>18</v>
      </c>
      <c r="D710" s="1" t="s">
        <v>53</v>
      </c>
      <c r="E710" s="1" t="s">
        <v>50</v>
      </c>
      <c r="F710">
        <v>144</v>
      </c>
      <c r="G710">
        <v>9.58</v>
      </c>
      <c r="H710">
        <v>1379.52</v>
      </c>
      <c r="I710" s="1" t="s">
        <v>55</v>
      </c>
      <c r="J710" s="1" t="s">
        <v>56</v>
      </c>
      <c r="K710" s="1" t="s">
        <v>28</v>
      </c>
      <c r="L710">
        <v>1004.73</v>
      </c>
      <c r="M710">
        <v>27.2</v>
      </c>
      <c r="N710">
        <v>2023</v>
      </c>
      <c r="O710">
        <f t="shared" si="11"/>
        <v>2</v>
      </c>
      <c r="P710" s="13" t="s">
        <v>63</v>
      </c>
      <c r="Q710">
        <v>374.79</v>
      </c>
      <c r="R710" s="3" t="s">
        <v>25</v>
      </c>
      <c r="S710" s="7">
        <f>Ventas[[#This Row],[Costo Material (€)]]/Ventas[[#This Row],[Beneficio (€)]]</f>
        <v>2.680781237492996</v>
      </c>
      <c r="T710" s="3" t="str">
        <f>IF(Ventas[[#This Row],[Margen (%)]]&gt;20%,"Beneficio","Perdidas")</f>
        <v>Beneficio</v>
      </c>
    </row>
    <row r="711" spans="1:20" x14ac:dyDescent="0.25">
      <c r="A711" s="12">
        <v>45524</v>
      </c>
      <c r="B711" s="1" t="s">
        <v>35</v>
      </c>
      <c r="C711" s="1" t="s">
        <v>36</v>
      </c>
      <c r="D711" s="1" t="s">
        <v>32</v>
      </c>
      <c r="E711" s="1" t="s">
        <v>20</v>
      </c>
      <c r="F711">
        <v>373</v>
      </c>
      <c r="G711">
        <v>6.79</v>
      </c>
      <c r="H711">
        <v>2532.67</v>
      </c>
      <c r="I711" s="1" t="s">
        <v>21</v>
      </c>
      <c r="J711" s="1" t="s">
        <v>40</v>
      </c>
      <c r="K711" s="1" t="s">
        <v>28</v>
      </c>
      <c r="L711">
        <v>2158.09</v>
      </c>
      <c r="M711">
        <v>14.8</v>
      </c>
      <c r="N711">
        <v>2024</v>
      </c>
      <c r="O711">
        <f t="shared" si="11"/>
        <v>3</v>
      </c>
      <c r="P711" s="13" t="s">
        <v>66</v>
      </c>
      <c r="Q711">
        <v>374.58</v>
      </c>
      <c r="R711" s="3" t="s">
        <v>29</v>
      </c>
      <c r="S711" s="7">
        <f>Ventas[[#This Row],[Costo Material (€)]]/Ventas[[#This Row],[Beneficio (€)]]</f>
        <v>5.7613593891825516</v>
      </c>
      <c r="T711" s="3" t="str">
        <f>IF(Ventas[[#This Row],[Margen (%)]]&gt;20%,"Beneficio","Perdidas")</f>
        <v>Beneficio</v>
      </c>
    </row>
    <row r="712" spans="1:20" x14ac:dyDescent="0.25">
      <c r="A712" s="12">
        <v>45111</v>
      </c>
      <c r="B712" s="1" t="s">
        <v>17</v>
      </c>
      <c r="C712" s="1" t="s">
        <v>18</v>
      </c>
      <c r="D712" s="1" t="s">
        <v>37</v>
      </c>
      <c r="E712" s="1" t="s">
        <v>38</v>
      </c>
      <c r="F712">
        <v>276</v>
      </c>
      <c r="G712">
        <v>5.45</v>
      </c>
      <c r="H712">
        <v>1504.2</v>
      </c>
      <c r="I712" s="1" t="s">
        <v>33</v>
      </c>
      <c r="J712" s="1" t="s">
        <v>22</v>
      </c>
      <c r="K712" s="1" t="s">
        <v>28</v>
      </c>
      <c r="L712">
        <v>1131.6099999999999</v>
      </c>
      <c r="M712">
        <v>24.8</v>
      </c>
      <c r="N712">
        <v>2023</v>
      </c>
      <c r="O712">
        <f t="shared" si="11"/>
        <v>3</v>
      </c>
      <c r="P712" s="13" t="s">
        <v>65</v>
      </c>
      <c r="Q712">
        <v>372.59</v>
      </c>
      <c r="R712" s="3" t="s">
        <v>29</v>
      </c>
      <c r="S712" s="7">
        <f>Ventas[[#This Row],[Costo Material (€)]]/Ventas[[#This Row],[Beneficio (€)]]</f>
        <v>3.0371453876915644</v>
      </c>
      <c r="T712" s="3" t="str">
        <f>IF(Ventas[[#This Row],[Margen (%)]]&gt;20%,"Beneficio","Perdidas")</f>
        <v>Beneficio</v>
      </c>
    </row>
    <row r="713" spans="1:20" x14ac:dyDescent="0.25">
      <c r="A713" s="12">
        <v>45499</v>
      </c>
      <c r="B713" s="1" t="s">
        <v>42</v>
      </c>
      <c r="C713" s="1" t="s">
        <v>43</v>
      </c>
      <c r="D713" s="1" t="s">
        <v>44</v>
      </c>
      <c r="E713" s="1" t="s">
        <v>38</v>
      </c>
      <c r="F713">
        <v>428</v>
      </c>
      <c r="G713">
        <v>2.82</v>
      </c>
      <c r="H713">
        <v>1206.96</v>
      </c>
      <c r="I713" s="1" t="s">
        <v>26</v>
      </c>
      <c r="J713" s="1" t="s">
        <v>22</v>
      </c>
      <c r="K713" s="1" t="s">
        <v>28</v>
      </c>
      <c r="L713">
        <v>837.74</v>
      </c>
      <c r="M713">
        <v>30.6</v>
      </c>
      <c r="N713">
        <v>2024</v>
      </c>
      <c r="O713">
        <f t="shared" si="11"/>
        <v>3</v>
      </c>
      <c r="P713" s="13" t="s">
        <v>65</v>
      </c>
      <c r="Q713">
        <v>369.22</v>
      </c>
      <c r="R713" s="3" t="s">
        <v>25</v>
      </c>
      <c r="S713" s="7">
        <f>Ventas[[#This Row],[Costo Material (€)]]/Ventas[[#This Row],[Beneficio (€)]]</f>
        <v>2.2689453442392069</v>
      </c>
      <c r="T713" s="3" t="str">
        <f>IF(Ventas[[#This Row],[Margen (%)]]&gt;20%,"Beneficio","Perdidas")</f>
        <v>Beneficio</v>
      </c>
    </row>
    <row r="714" spans="1:20" x14ac:dyDescent="0.25">
      <c r="A714" s="12">
        <v>45592</v>
      </c>
      <c r="B714" s="1" t="s">
        <v>17</v>
      </c>
      <c r="C714" s="1" t="s">
        <v>18</v>
      </c>
      <c r="D714" s="1" t="s">
        <v>44</v>
      </c>
      <c r="E714" s="1" t="s">
        <v>38</v>
      </c>
      <c r="F714">
        <v>536</v>
      </c>
      <c r="G714">
        <v>2.81</v>
      </c>
      <c r="H714">
        <v>1506.16</v>
      </c>
      <c r="I714" s="1" t="s">
        <v>46</v>
      </c>
      <c r="J714" s="1" t="s">
        <v>56</v>
      </c>
      <c r="K714" s="1" t="s">
        <v>41</v>
      </c>
      <c r="L714">
        <v>1137.46</v>
      </c>
      <c r="M714">
        <v>24.5</v>
      </c>
      <c r="N714">
        <v>2024</v>
      </c>
      <c r="O714">
        <f t="shared" si="11"/>
        <v>4</v>
      </c>
      <c r="P714" s="13" t="s">
        <v>68</v>
      </c>
      <c r="Q714">
        <v>368.7</v>
      </c>
      <c r="R714" s="3" t="s">
        <v>29</v>
      </c>
      <c r="S714" s="7">
        <f>Ventas[[#This Row],[Costo Material (€)]]/Ventas[[#This Row],[Beneficio (€)]]</f>
        <v>3.0850556007594254</v>
      </c>
      <c r="T714" s="3" t="str">
        <f>IF(Ventas[[#This Row],[Margen (%)]]&gt;20%,"Beneficio","Perdidas")</f>
        <v>Beneficio</v>
      </c>
    </row>
    <row r="715" spans="1:20" x14ac:dyDescent="0.25">
      <c r="A715" s="12">
        <v>45068</v>
      </c>
      <c r="B715" s="1" t="s">
        <v>42</v>
      </c>
      <c r="C715" s="1" t="s">
        <v>43</v>
      </c>
      <c r="D715" s="1" t="s">
        <v>44</v>
      </c>
      <c r="E715" s="1" t="s">
        <v>38</v>
      </c>
      <c r="F715">
        <v>578</v>
      </c>
      <c r="G715">
        <v>3.13</v>
      </c>
      <c r="H715">
        <v>1809.14</v>
      </c>
      <c r="I715" s="1" t="s">
        <v>39</v>
      </c>
      <c r="J715" s="1" t="s">
        <v>40</v>
      </c>
      <c r="K715" s="1" t="s">
        <v>23</v>
      </c>
      <c r="L715">
        <v>1440.9</v>
      </c>
      <c r="M715">
        <v>20.399999999999999</v>
      </c>
      <c r="N715">
        <v>2023</v>
      </c>
      <c r="O715">
        <f t="shared" si="11"/>
        <v>2</v>
      </c>
      <c r="P715" s="13" t="s">
        <v>63</v>
      </c>
      <c r="Q715">
        <v>368.24</v>
      </c>
      <c r="R715" s="3" t="s">
        <v>29</v>
      </c>
      <c r="S715" s="7">
        <f>Ventas[[#This Row],[Costo Material (€)]]/Ventas[[#This Row],[Beneficio (€)]]</f>
        <v>3.9129372148598742</v>
      </c>
      <c r="T715" s="3" t="str">
        <f>IF(Ventas[[#This Row],[Margen (%)]]&gt;20%,"Beneficio","Perdidas")</f>
        <v>Beneficio</v>
      </c>
    </row>
    <row r="716" spans="1:20" x14ac:dyDescent="0.25">
      <c r="A716" s="12">
        <v>44935</v>
      </c>
      <c r="B716" s="1" t="s">
        <v>42</v>
      </c>
      <c r="C716" s="1" t="s">
        <v>43</v>
      </c>
      <c r="D716" s="1" t="s">
        <v>32</v>
      </c>
      <c r="E716" s="1" t="s">
        <v>20</v>
      </c>
      <c r="F716">
        <v>683</v>
      </c>
      <c r="G716">
        <v>3.64</v>
      </c>
      <c r="H716">
        <v>2486.12</v>
      </c>
      <c r="I716" s="1" t="s">
        <v>39</v>
      </c>
      <c r="J716" s="1" t="s">
        <v>40</v>
      </c>
      <c r="K716" s="1" t="s">
        <v>41</v>
      </c>
      <c r="L716">
        <v>2119.85</v>
      </c>
      <c r="M716">
        <v>14.7</v>
      </c>
      <c r="N716">
        <v>2023</v>
      </c>
      <c r="O716">
        <f t="shared" si="11"/>
        <v>1</v>
      </c>
      <c r="P716" s="13" t="s">
        <v>24</v>
      </c>
      <c r="Q716">
        <v>366.27</v>
      </c>
      <c r="R716" s="3" t="s">
        <v>29</v>
      </c>
      <c r="S716" s="7">
        <f>Ventas[[#This Row],[Costo Material (€)]]/Ventas[[#This Row],[Beneficio (€)]]</f>
        <v>5.7876702978676935</v>
      </c>
      <c r="T716" s="3" t="str">
        <f>IF(Ventas[[#This Row],[Margen (%)]]&gt;20%,"Beneficio","Perdidas")</f>
        <v>Beneficio</v>
      </c>
    </row>
    <row r="717" spans="1:20" x14ac:dyDescent="0.25">
      <c r="A717" s="12">
        <v>45025</v>
      </c>
      <c r="B717" s="1" t="s">
        <v>51</v>
      </c>
      <c r="C717" s="1" t="s">
        <v>52</v>
      </c>
      <c r="D717" s="1" t="s">
        <v>45</v>
      </c>
      <c r="E717" s="1" t="s">
        <v>20</v>
      </c>
      <c r="F717">
        <v>523</v>
      </c>
      <c r="G717">
        <v>2.2200000000000002</v>
      </c>
      <c r="H717">
        <v>1161.06</v>
      </c>
      <c r="I717" s="1" t="s">
        <v>26</v>
      </c>
      <c r="J717" s="1" t="s">
        <v>47</v>
      </c>
      <c r="K717" s="1" t="s">
        <v>23</v>
      </c>
      <c r="L717">
        <v>795.4</v>
      </c>
      <c r="M717">
        <v>31.5</v>
      </c>
      <c r="N717">
        <v>2023</v>
      </c>
      <c r="O717">
        <f t="shared" si="11"/>
        <v>2</v>
      </c>
      <c r="P717" s="13" t="s">
        <v>62</v>
      </c>
      <c r="Q717">
        <v>365.66</v>
      </c>
      <c r="R717" s="3" t="s">
        <v>25</v>
      </c>
      <c r="S717" s="7">
        <f>Ventas[[#This Row],[Costo Material (€)]]/Ventas[[#This Row],[Beneficio (€)]]</f>
        <v>2.1752447628944918</v>
      </c>
      <c r="T717" s="3" t="str">
        <f>IF(Ventas[[#This Row],[Margen (%)]]&gt;20%,"Beneficio","Perdidas")</f>
        <v>Beneficio</v>
      </c>
    </row>
    <row r="718" spans="1:20" x14ac:dyDescent="0.25">
      <c r="A718" s="12">
        <v>45114</v>
      </c>
      <c r="B718" s="1" t="s">
        <v>17</v>
      </c>
      <c r="C718" s="1" t="s">
        <v>18</v>
      </c>
      <c r="D718" s="1" t="s">
        <v>32</v>
      </c>
      <c r="E718" s="1" t="s">
        <v>20</v>
      </c>
      <c r="F718">
        <v>542</v>
      </c>
      <c r="G718">
        <v>2.1</v>
      </c>
      <c r="H718">
        <v>1138.2</v>
      </c>
      <c r="I718" s="1" t="s">
        <v>33</v>
      </c>
      <c r="J718" s="1" t="s">
        <v>40</v>
      </c>
      <c r="K718" s="1" t="s">
        <v>28</v>
      </c>
      <c r="L718">
        <v>777.68</v>
      </c>
      <c r="M718">
        <v>31.7</v>
      </c>
      <c r="N718">
        <v>2023</v>
      </c>
      <c r="O718">
        <f t="shared" si="11"/>
        <v>3</v>
      </c>
      <c r="P718" s="13" t="s">
        <v>65</v>
      </c>
      <c r="Q718">
        <v>360.52</v>
      </c>
      <c r="R718" s="3" t="s">
        <v>25</v>
      </c>
      <c r="S718" s="7">
        <f>Ventas[[#This Row],[Costo Material (€)]]/Ventas[[#This Row],[Beneficio (€)]]</f>
        <v>2.1571064018639743</v>
      </c>
      <c r="T718" s="3" t="str">
        <f>IF(Ventas[[#This Row],[Margen (%)]]&gt;20%,"Beneficio","Perdidas")</f>
        <v>Beneficio</v>
      </c>
    </row>
    <row r="719" spans="1:20" x14ac:dyDescent="0.25">
      <c r="A719" s="12">
        <v>45042</v>
      </c>
      <c r="B719" s="1" t="s">
        <v>51</v>
      </c>
      <c r="C719" s="1" t="s">
        <v>52</v>
      </c>
      <c r="D719" s="1" t="s">
        <v>49</v>
      </c>
      <c r="E719" s="1" t="s">
        <v>50</v>
      </c>
      <c r="F719">
        <v>194</v>
      </c>
      <c r="G719">
        <v>7.48</v>
      </c>
      <c r="H719">
        <v>1451.12</v>
      </c>
      <c r="I719" s="1" t="s">
        <v>57</v>
      </c>
      <c r="J719" s="1" t="s">
        <v>22</v>
      </c>
      <c r="K719" s="1" t="s">
        <v>23</v>
      </c>
      <c r="L719">
        <v>1090.8599999999999</v>
      </c>
      <c r="M719">
        <v>24.8</v>
      </c>
      <c r="N719">
        <v>2023</v>
      </c>
      <c r="O719">
        <f t="shared" si="11"/>
        <v>2</v>
      </c>
      <c r="P719" s="13" t="s">
        <v>62</v>
      </c>
      <c r="Q719">
        <v>360.26</v>
      </c>
      <c r="R719" s="3" t="s">
        <v>29</v>
      </c>
      <c r="S719" s="7">
        <f>Ventas[[#This Row],[Costo Material (€)]]/Ventas[[#This Row],[Beneficio (€)]]</f>
        <v>3.0279797923721756</v>
      </c>
      <c r="T719" s="3" t="str">
        <f>IF(Ventas[[#This Row],[Margen (%)]]&gt;20%,"Beneficio","Perdidas")</f>
        <v>Beneficio</v>
      </c>
    </row>
    <row r="720" spans="1:20" x14ac:dyDescent="0.25">
      <c r="A720" s="12">
        <v>45063</v>
      </c>
      <c r="B720" s="1" t="s">
        <v>51</v>
      </c>
      <c r="C720" s="1" t="s">
        <v>52</v>
      </c>
      <c r="D720" s="1" t="s">
        <v>19</v>
      </c>
      <c r="E720" s="1" t="s">
        <v>20</v>
      </c>
      <c r="F720">
        <v>422</v>
      </c>
      <c r="G720">
        <v>3.8</v>
      </c>
      <c r="H720">
        <v>1603.6</v>
      </c>
      <c r="I720" s="1" t="s">
        <v>26</v>
      </c>
      <c r="J720" s="1" t="s">
        <v>40</v>
      </c>
      <c r="K720" s="1" t="s">
        <v>23</v>
      </c>
      <c r="L720">
        <v>1244.5</v>
      </c>
      <c r="M720">
        <v>22.4</v>
      </c>
      <c r="N720">
        <v>2023</v>
      </c>
      <c r="O720">
        <f t="shared" si="11"/>
        <v>2</v>
      </c>
      <c r="P720" s="13" t="s">
        <v>63</v>
      </c>
      <c r="Q720">
        <v>359.1</v>
      </c>
      <c r="R720" s="3" t="s">
        <v>29</v>
      </c>
      <c r="S720" s="7">
        <f>Ventas[[#This Row],[Costo Material (€)]]/Ventas[[#This Row],[Beneficio (€)]]</f>
        <v>3.4656084656084656</v>
      </c>
      <c r="T720" s="3" t="str">
        <f>IF(Ventas[[#This Row],[Margen (%)]]&gt;20%,"Beneficio","Perdidas")</f>
        <v>Beneficio</v>
      </c>
    </row>
    <row r="721" spans="1:20" x14ac:dyDescent="0.25">
      <c r="A721" s="12">
        <v>45176</v>
      </c>
      <c r="B721" s="1" t="s">
        <v>35</v>
      </c>
      <c r="C721" s="1" t="s">
        <v>36</v>
      </c>
      <c r="D721" s="1" t="s">
        <v>48</v>
      </c>
      <c r="E721" s="1" t="s">
        <v>38</v>
      </c>
      <c r="F721">
        <v>866</v>
      </c>
      <c r="G721">
        <v>3</v>
      </c>
      <c r="H721">
        <v>2598</v>
      </c>
      <c r="I721" s="1" t="s">
        <v>57</v>
      </c>
      <c r="J721" s="1" t="s">
        <v>40</v>
      </c>
      <c r="K721" s="1" t="s">
        <v>41</v>
      </c>
      <c r="L721">
        <v>2239.06</v>
      </c>
      <c r="M721">
        <v>13.8</v>
      </c>
      <c r="N721">
        <v>2023</v>
      </c>
      <c r="O721">
        <f t="shared" si="11"/>
        <v>3</v>
      </c>
      <c r="P721" s="13" t="s">
        <v>67</v>
      </c>
      <c r="Q721">
        <v>358.94</v>
      </c>
      <c r="R721" s="3" t="s">
        <v>29</v>
      </c>
      <c r="S721" s="7">
        <f>Ventas[[#This Row],[Costo Material (€)]]/Ventas[[#This Row],[Beneficio (€)]]</f>
        <v>6.2379784922271133</v>
      </c>
      <c r="T721" s="3" t="str">
        <f>IF(Ventas[[#This Row],[Margen (%)]]&gt;20%,"Beneficio","Perdidas")</f>
        <v>Beneficio</v>
      </c>
    </row>
    <row r="722" spans="1:20" x14ac:dyDescent="0.25">
      <c r="A722" s="12">
        <v>45115</v>
      </c>
      <c r="B722" s="1" t="s">
        <v>51</v>
      </c>
      <c r="C722" s="1" t="s">
        <v>52</v>
      </c>
      <c r="D722" s="1" t="s">
        <v>45</v>
      </c>
      <c r="E722" s="1" t="s">
        <v>20</v>
      </c>
      <c r="F722">
        <v>308</v>
      </c>
      <c r="G722">
        <v>3.55</v>
      </c>
      <c r="H722">
        <v>1093.4000000000001</v>
      </c>
      <c r="I722" s="1" t="s">
        <v>57</v>
      </c>
      <c r="J722" s="1" t="s">
        <v>47</v>
      </c>
      <c r="K722" s="1" t="s">
        <v>28</v>
      </c>
      <c r="L722">
        <v>736.13</v>
      </c>
      <c r="M722">
        <v>32.700000000000003</v>
      </c>
      <c r="N722">
        <v>2023</v>
      </c>
      <c r="O722">
        <f t="shared" si="11"/>
        <v>3</v>
      </c>
      <c r="P722" s="13" t="s">
        <v>65</v>
      </c>
      <c r="Q722">
        <v>357.27</v>
      </c>
      <c r="R722" s="3" t="s">
        <v>25</v>
      </c>
      <c r="S722" s="7">
        <f>Ventas[[#This Row],[Costo Material (€)]]/Ventas[[#This Row],[Beneficio (€)]]</f>
        <v>2.0604304867467182</v>
      </c>
      <c r="T722" s="3" t="str">
        <f>IF(Ventas[[#This Row],[Margen (%)]]&gt;20%,"Beneficio","Perdidas")</f>
        <v>Beneficio</v>
      </c>
    </row>
    <row r="723" spans="1:20" x14ac:dyDescent="0.25">
      <c r="A723" s="12">
        <v>45011</v>
      </c>
      <c r="B723" s="1" t="s">
        <v>51</v>
      </c>
      <c r="C723" s="1" t="s">
        <v>52</v>
      </c>
      <c r="D723" s="1" t="s">
        <v>19</v>
      </c>
      <c r="E723" s="1" t="s">
        <v>20</v>
      </c>
      <c r="F723">
        <v>910</v>
      </c>
      <c r="G723">
        <v>2.52</v>
      </c>
      <c r="H723">
        <v>2293.1999999999998</v>
      </c>
      <c r="I723" s="1" t="s">
        <v>21</v>
      </c>
      <c r="J723" s="1" t="s">
        <v>22</v>
      </c>
      <c r="K723" s="1" t="s">
        <v>28</v>
      </c>
      <c r="L723">
        <v>1938.06</v>
      </c>
      <c r="M723">
        <v>15.5</v>
      </c>
      <c r="N723">
        <v>2023</v>
      </c>
      <c r="O723">
        <f t="shared" si="11"/>
        <v>1</v>
      </c>
      <c r="P723" s="13" t="s">
        <v>61</v>
      </c>
      <c r="Q723">
        <v>355.14</v>
      </c>
      <c r="R723" s="3" t="s">
        <v>29</v>
      </c>
      <c r="S723" s="7">
        <f>Ventas[[#This Row],[Costo Material (€)]]/Ventas[[#This Row],[Beneficio (€)]]</f>
        <v>5.4571718195641159</v>
      </c>
      <c r="T723" s="3" t="str">
        <f>IF(Ventas[[#This Row],[Margen (%)]]&gt;20%,"Beneficio","Perdidas")</f>
        <v>Beneficio</v>
      </c>
    </row>
    <row r="724" spans="1:20" x14ac:dyDescent="0.25">
      <c r="A724" s="12">
        <v>44991</v>
      </c>
      <c r="B724" s="1" t="s">
        <v>35</v>
      </c>
      <c r="C724" s="1" t="s">
        <v>36</v>
      </c>
      <c r="D724" s="1" t="s">
        <v>48</v>
      </c>
      <c r="E724" s="1" t="s">
        <v>38</v>
      </c>
      <c r="F724">
        <v>193</v>
      </c>
      <c r="G724">
        <v>11.23</v>
      </c>
      <c r="H724">
        <v>2167.39</v>
      </c>
      <c r="I724" s="1" t="s">
        <v>54</v>
      </c>
      <c r="J724" s="1" t="s">
        <v>47</v>
      </c>
      <c r="K724" s="1" t="s">
        <v>23</v>
      </c>
      <c r="L724">
        <v>1812.95</v>
      </c>
      <c r="M724">
        <v>16.399999999999999</v>
      </c>
      <c r="N724">
        <v>2023</v>
      </c>
      <c r="O724">
        <f t="shared" si="11"/>
        <v>1</v>
      </c>
      <c r="P724" s="13" t="s">
        <v>61</v>
      </c>
      <c r="Q724">
        <v>354.44</v>
      </c>
      <c r="R724" s="3" t="s">
        <v>29</v>
      </c>
      <c r="S724" s="7">
        <f>Ventas[[#This Row],[Costo Material (€)]]/Ventas[[#This Row],[Beneficio (€)]]</f>
        <v>5.1149700936688864</v>
      </c>
      <c r="T724" s="3" t="str">
        <f>IF(Ventas[[#This Row],[Margen (%)]]&gt;20%,"Beneficio","Perdidas")</f>
        <v>Beneficio</v>
      </c>
    </row>
    <row r="725" spans="1:20" x14ac:dyDescent="0.25">
      <c r="A725" s="12">
        <v>45044</v>
      </c>
      <c r="B725" s="1" t="s">
        <v>35</v>
      </c>
      <c r="C725" s="1" t="s">
        <v>36</v>
      </c>
      <c r="D725" s="1" t="s">
        <v>48</v>
      </c>
      <c r="E725" s="1" t="s">
        <v>38</v>
      </c>
      <c r="F725">
        <v>196</v>
      </c>
      <c r="G725">
        <v>7.91</v>
      </c>
      <c r="H725">
        <v>1550.36</v>
      </c>
      <c r="I725" s="1" t="s">
        <v>57</v>
      </c>
      <c r="J725" s="1" t="s">
        <v>47</v>
      </c>
      <c r="K725" s="1" t="s">
        <v>41</v>
      </c>
      <c r="L725">
        <v>1197.24</v>
      </c>
      <c r="M725">
        <v>22.8</v>
      </c>
      <c r="N725">
        <v>2023</v>
      </c>
      <c r="O725">
        <f t="shared" si="11"/>
        <v>2</v>
      </c>
      <c r="P725" s="13" t="s">
        <v>62</v>
      </c>
      <c r="Q725">
        <v>353.12</v>
      </c>
      <c r="R725" s="3" t="s">
        <v>29</v>
      </c>
      <c r="S725" s="7">
        <f>Ventas[[#This Row],[Costo Material (€)]]/Ventas[[#This Row],[Beneficio (€)]]</f>
        <v>3.3904621658359764</v>
      </c>
      <c r="T725" s="3" t="str">
        <f>IF(Ventas[[#This Row],[Margen (%)]]&gt;20%,"Beneficio","Perdidas")</f>
        <v>Beneficio</v>
      </c>
    </row>
    <row r="726" spans="1:20" x14ac:dyDescent="0.25">
      <c r="A726" s="12">
        <v>45437</v>
      </c>
      <c r="B726" s="1" t="s">
        <v>42</v>
      </c>
      <c r="C726" s="1" t="s">
        <v>43</v>
      </c>
      <c r="D726" s="1" t="s">
        <v>19</v>
      </c>
      <c r="E726" s="1" t="s">
        <v>20</v>
      </c>
      <c r="F726">
        <v>322</v>
      </c>
      <c r="G726">
        <v>8.1300000000000008</v>
      </c>
      <c r="H726">
        <v>2617.86</v>
      </c>
      <c r="I726" s="1" t="s">
        <v>21</v>
      </c>
      <c r="J726" s="1" t="s">
        <v>27</v>
      </c>
      <c r="K726" s="1" t="s">
        <v>28</v>
      </c>
      <c r="L726">
        <v>2265.34</v>
      </c>
      <c r="M726">
        <v>13.5</v>
      </c>
      <c r="N726">
        <v>2024</v>
      </c>
      <c r="O726">
        <f t="shared" si="11"/>
        <v>2</v>
      </c>
      <c r="P726" s="13" t="s">
        <v>63</v>
      </c>
      <c r="Q726">
        <v>352.52</v>
      </c>
      <c r="R726" s="3" t="s">
        <v>29</v>
      </c>
      <c r="S726" s="7">
        <f>Ventas[[#This Row],[Costo Material (€)]]/Ventas[[#This Row],[Beneficio (€)]]</f>
        <v>6.4261318506751399</v>
      </c>
      <c r="T726" s="3" t="str">
        <f>IF(Ventas[[#This Row],[Margen (%)]]&gt;20%,"Beneficio","Perdidas")</f>
        <v>Beneficio</v>
      </c>
    </row>
    <row r="727" spans="1:20" x14ac:dyDescent="0.25">
      <c r="A727" s="12">
        <v>44973</v>
      </c>
      <c r="B727" s="1" t="s">
        <v>35</v>
      </c>
      <c r="C727" s="1" t="s">
        <v>36</v>
      </c>
      <c r="D727" s="1" t="s">
        <v>49</v>
      </c>
      <c r="E727" s="1" t="s">
        <v>50</v>
      </c>
      <c r="F727">
        <v>579</v>
      </c>
      <c r="G727">
        <v>3.78</v>
      </c>
      <c r="H727">
        <v>2188.62</v>
      </c>
      <c r="I727" s="1" t="s">
        <v>55</v>
      </c>
      <c r="J727" s="1" t="s">
        <v>40</v>
      </c>
      <c r="K727" s="1" t="s">
        <v>28</v>
      </c>
      <c r="L727">
        <v>1838.61</v>
      </c>
      <c r="M727">
        <v>16</v>
      </c>
      <c r="N727">
        <v>2023</v>
      </c>
      <c r="O727">
        <f t="shared" si="11"/>
        <v>1</v>
      </c>
      <c r="P727" s="13" t="s">
        <v>60</v>
      </c>
      <c r="Q727">
        <v>350.01</v>
      </c>
      <c r="R727" s="3" t="s">
        <v>29</v>
      </c>
      <c r="S727" s="7">
        <f>Ventas[[#This Row],[Costo Material (€)]]/Ventas[[#This Row],[Beneficio (€)]]</f>
        <v>5.2530213422473642</v>
      </c>
      <c r="T727" s="3" t="str">
        <f>IF(Ventas[[#This Row],[Margen (%)]]&gt;20%,"Beneficio","Perdidas")</f>
        <v>Beneficio</v>
      </c>
    </row>
    <row r="728" spans="1:20" x14ac:dyDescent="0.25">
      <c r="A728" s="12">
        <v>44948</v>
      </c>
      <c r="B728" s="1" t="s">
        <v>42</v>
      </c>
      <c r="C728" s="1" t="s">
        <v>43</v>
      </c>
      <c r="D728" s="1" t="s">
        <v>45</v>
      </c>
      <c r="E728" s="1" t="s">
        <v>20</v>
      </c>
      <c r="F728">
        <v>605</v>
      </c>
      <c r="G728">
        <v>4.3</v>
      </c>
      <c r="H728">
        <v>2601.5</v>
      </c>
      <c r="I728" s="1" t="s">
        <v>57</v>
      </c>
      <c r="J728" s="1" t="s">
        <v>47</v>
      </c>
      <c r="K728" s="1" t="s">
        <v>41</v>
      </c>
      <c r="L728">
        <v>2253.9299999999998</v>
      </c>
      <c r="M728">
        <v>13.4</v>
      </c>
      <c r="N728">
        <v>2023</v>
      </c>
      <c r="O728">
        <f t="shared" si="11"/>
        <v>1</v>
      </c>
      <c r="P728" s="13" t="s">
        <v>24</v>
      </c>
      <c r="Q728">
        <v>347.57</v>
      </c>
      <c r="R728" s="3" t="s">
        <v>29</v>
      </c>
      <c r="S728" s="7">
        <f>Ventas[[#This Row],[Costo Material (€)]]/Ventas[[#This Row],[Beneficio (€)]]</f>
        <v>6.4848232010817961</v>
      </c>
      <c r="T728" s="3" t="str">
        <f>IF(Ventas[[#This Row],[Margen (%)]]&gt;20%,"Beneficio","Perdidas")</f>
        <v>Beneficio</v>
      </c>
    </row>
    <row r="729" spans="1:20" x14ac:dyDescent="0.25">
      <c r="A729" s="12">
        <v>45268</v>
      </c>
      <c r="B729" s="1" t="s">
        <v>51</v>
      </c>
      <c r="C729" s="1" t="s">
        <v>52</v>
      </c>
      <c r="D729" s="1" t="s">
        <v>49</v>
      </c>
      <c r="E729" s="1" t="s">
        <v>50</v>
      </c>
      <c r="F729">
        <v>331</v>
      </c>
      <c r="G729">
        <v>5.51</v>
      </c>
      <c r="H729">
        <v>1823.81</v>
      </c>
      <c r="I729" s="1" t="s">
        <v>57</v>
      </c>
      <c r="J729" s="1" t="s">
        <v>27</v>
      </c>
      <c r="K729" s="1" t="s">
        <v>28</v>
      </c>
      <c r="L729">
        <v>1481.86</v>
      </c>
      <c r="M729">
        <v>18.7</v>
      </c>
      <c r="N729">
        <v>2023</v>
      </c>
      <c r="O729">
        <f t="shared" si="11"/>
        <v>4</v>
      </c>
      <c r="P729" s="13" t="s">
        <v>70</v>
      </c>
      <c r="Q729">
        <v>341.95</v>
      </c>
      <c r="R729" s="3" t="s">
        <v>29</v>
      </c>
      <c r="S729" s="7">
        <f>Ventas[[#This Row],[Costo Material (€)]]/Ventas[[#This Row],[Beneficio (€)]]</f>
        <v>4.3335575376517035</v>
      </c>
      <c r="T729" s="3" t="str">
        <f>IF(Ventas[[#This Row],[Margen (%)]]&gt;20%,"Beneficio","Perdidas")</f>
        <v>Beneficio</v>
      </c>
    </row>
    <row r="730" spans="1:20" x14ac:dyDescent="0.25">
      <c r="A730" s="12">
        <v>45033</v>
      </c>
      <c r="B730" s="1" t="s">
        <v>17</v>
      </c>
      <c r="C730" s="1" t="s">
        <v>18</v>
      </c>
      <c r="D730" s="1" t="s">
        <v>37</v>
      </c>
      <c r="E730" s="1" t="s">
        <v>38</v>
      </c>
      <c r="F730">
        <v>577</v>
      </c>
      <c r="G730">
        <v>2.69</v>
      </c>
      <c r="H730">
        <v>1552.13</v>
      </c>
      <c r="I730" s="1" t="s">
        <v>54</v>
      </c>
      <c r="J730" s="1" t="s">
        <v>34</v>
      </c>
      <c r="K730" s="1" t="s">
        <v>28</v>
      </c>
      <c r="L730">
        <v>1210.58</v>
      </c>
      <c r="M730">
        <v>22</v>
      </c>
      <c r="N730">
        <v>2023</v>
      </c>
      <c r="O730">
        <f t="shared" si="11"/>
        <v>2</v>
      </c>
      <c r="P730" s="13" t="s">
        <v>62</v>
      </c>
      <c r="Q730">
        <v>341.55</v>
      </c>
      <c r="R730" s="3" t="s">
        <v>29</v>
      </c>
      <c r="S730" s="7">
        <f>Ventas[[#This Row],[Costo Material (€)]]/Ventas[[#This Row],[Beneficio (€)]]</f>
        <v>3.5443712487190746</v>
      </c>
      <c r="T730" s="3" t="str">
        <f>IF(Ventas[[#This Row],[Margen (%)]]&gt;20%,"Beneficio","Perdidas")</f>
        <v>Beneficio</v>
      </c>
    </row>
    <row r="731" spans="1:20" x14ac:dyDescent="0.25">
      <c r="A731" s="12">
        <v>45031</v>
      </c>
      <c r="B731" s="1" t="s">
        <v>30</v>
      </c>
      <c r="C731" s="1" t="s">
        <v>31</v>
      </c>
      <c r="D731" s="1" t="s">
        <v>37</v>
      </c>
      <c r="E731" s="1" t="s">
        <v>38</v>
      </c>
      <c r="F731">
        <v>464</v>
      </c>
      <c r="G731">
        <v>4.9800000000000004</v>
      </c>
      <c r="H731">
        <v>2310.7199999999998</v>
      </c>
      <c r="I731" s="1" t="s">
        <v>46</v>
      </c>
      <c r="J731" s="1" t="s">
        <v>27</v>
      </c>
      <c r="K731" s="1" t="s">
        <v>28</v>
      </c>
      <c r="L731">
        <v>1969.18</v>
      </c>
      <c r="M731">
        <v>14.8</v>
      </c>
      <c r="N731">
        <v>2023</v>
      </c>
      <c r="O731">
        <f t="shared" si="11"/>
        <v>2</v>
      </c>
      <c r="P731" s="13" t="s">
        <v>62</v>
      </c>
      <c r="Q731">
        <v>341.54</v>
      </c>
      <c r="R731" s="3" t="s">
        <v>29</v>
      </c>
      <c r="S731" s="7">
        <f>Ventas[[#This Row],[Costo Material (€)]]/Ventas[[#This Row],[Beneficio (€)]]</f>
        <v>5.7655911459858284</v>
      </c>
      <c r="T731" s="3" t="str">
        <f>IF(Ventas[[#This Row],[Margen (%)]]&gt;20%,"Beneficio","Perdidas")</f>
        <v>Beneficio</v>
      </c>
    </row>
    <row r="732" spans="1:20" x14ac:dyDescent="0.25">
      <c r="A732" s="12">
        <v>45390</v>
      </c>
      <c r="B732" s="1" t="s">
        <v>42</v>
      </c>
      <c r="C732" s="1" t="s">
        <v>43</v>
      </c>
      <c r="D732" s="1" t="s">
        <v>45</v>
      </c>
      <c r="E732" s="1" t="s">
        <v>20</v>
      </c>
      <c r="F732">
        <v>278</v>
      </c>
      <c r="G732">
        <v>3.84</v>
      </c>
      <c r="H732">
        <v>1067.52</v>
      </c>
      <c r="I732" s="1" t="s">
        <v>55</v>
      </c>
      <c r="J732" s="1" t="s">
        <v>47</v>
      </c>
      <c r="K732" s="1" t="s">
        <v>28</v>
      </c>
      <c r="L732">
        <v>726.76</v>
      </c>
      <c r="M732">
        <v>31.9</v>
      </c>
      <c r="N732">
        <v>2024</v>
      </c>
      <c r="O732">
        <f t="shared" si="11"/>
        <v>2</v>
      </c>
      <c r="P732" s="13" t="s">
        <v>62</v>
      </c>
      <c r="Q732">
        <v>340.76</v>
      </c>
      <c r="R732" s="3" t="s">
        <v>25</v>
      </c>
      <c r="S732" s="7">
        <f>Ventas[[#This Row],[Costo Material (€)]]/Ventas[[#This Row],[Beneficio (€)]]</f>
        <v>2.1327620612747977</v>
      </c>
      <c r="T732" s="3" t="str">
        <f>IF(Ventas[[#This Row],[Margen (%)]]&gt;20%,"Beneficio","Perdidas")</f>
        <v>Beneficio</v>
      </c>
    </row>
    <row r="733" spans="1:20" x14ac:dyDescent="0.25">
      <c r="A733" s="12">
        <v>45664</v>
      </c>
      <c r="B733" s="1" t="s">
        <v>35</v>
      </c>
      <c r="C733" s="1" t="s">
        <v>36</v>
      </c>
      <c r="D733" s="1" t="s">
        <v>32</v>
      </c>
      <c r="E733" s="1" t="s">
        <v>20</v>
      </c>
      <c r="F733">
        <v>272</v>
      </c>
      <c r="G733">
        <v>6.01</v>
      </c>
      <c r="H733">
        <v>1634.72</v>
      </c>
      <c r="I733" s="1" t="s">
        <v>26</v>
      </c>
      <c r="J733" s="1" t="s">
        <v>27</v>
      </c>
      <c r="K733" s="1" t="s">
        <v>41</v>
      </c>
      <c r="L733">
        <v>1294.55</v>
      </c>
      <c r="M733">
        <v>20.8</v>
      </c>
      <c r="N733">
        <v>2025</v>
      </c>
      <c r="O733">
        <f t="shared" si="11"/>
        <v>1</v>
      </c>
      <c r="P733" s="13" t="s">
        <v>24</v>
      </c>
      <c r="Q733">
        <v>340.17</v>
      </c>
      <c r="R733" s="3" t="s">
        <v>29</v>
      </c>
      <c r="S733" s="7">
        <f>Ventas[[#This Row],[Costo Material (€)]]/Ventas[[#This Row],[Beneficio (€)]]</f>
        <v>3.8055972013993</v>
      </c>
      <c r="T733" s="3" t="str">
        <f>IF(Ventas[[#This Row],[Margen (%)]]&gt;20%,"Beneficio","Perdidas")</f>
        <v>Beneficio</v>
      </c>
    </row>
    <row r="734" spans="1:20" x14ac:dyDescent="0.25">
      <c r="A734" s="12">
        <v>45018</v>
      </c>
      <c r="B734" s="1" t="s">
        <v>35</v>
      </c>
      <c r="C734" s="1" t="s">
        <v>36</v>
      </c>
      <c r="D734" s="1" t="s">
        <v>48</v>
      </c>
      <c r="E734" s="1" t="s">
        <v>38</v>
      </c>
      <c r="F734">
        <v>199</v>
      </c>
      <c r="G734">
        <v>8.2899999999999991</v>
      </c>
      <c r="H734">
        <v>1649.71</v>
      </c>
      <c r="I734" s="1" t="s">
        <v>54</v>
      </c>
      <c r="J734" s="1" t="s">
        <v>27</v>
      </c>
      <c r="K734" s="1" t="s">
        <v>28</v>
      </c>
      <c r="L734">
        <v>1309.68</v>
      </c>
      <c r="M734">
        <v>20.6</v>
      </c>
      <c r="N734">
        <v>2023</v>
      </c>
      <c r="O734">
        <f t="shared" si="11"/>
        <v>2</v>
      </c>
      <c r="P734" s="13" t="s">
        <v>62</v>
      </c>
      <c r="Q734">
        <v>340.03</v>
      </c>
      <c r="R734" s="3" t="s">
        <v>29</v>
      </c>
      <c r="S734" s="7">
        <f>Ventas[[#This Row],[Costo Material (€)]]/Ventas[[#This Row],[Beneficio (€)]]</f>
        <v>3.8516601476340329</v>
      </c>
      <c r="T734" s="3" t="str">
        <f>IF(Ventas[[#This Row],[Margen (%)]]&gt;20%,"Beneficio","Perdidas")</f>
        <v>Beneficio</v>
      </c>
    </row>
    <row r="735" spans="1:20" x14ac:dyDescent="0.25">
      <c r="A735" s="12">
        <v>45219</v>
      </c>
      <c r="B735" s="1" t="s">
        <v>17</v>
      </c>
      <c r="C735" s="1" t="s">
        <v>18</v>
      </c>
      <c r="D735" s="1" t="s">
        <v>48</v>
      </c>
      <c r="E735" s="1" t="s">
        <v>38</v>
      </c>
      <c r="F735">
        <v>278</v>
      </c>
      <c r="G735">
        <v>3.38</v>
      </c>
      <c r="H735">
        <v>939.64</v>
      </c>
      <c r="I735" s="1" t="s">
        <v>39</v>
      </c>
      <c r="J735" s="1" t="s">
        <v>47</v>
      </c>
      <c r="K735" s="1" t="s">
        <v>41</v>
      </c>
      <c r="L735">
        <v>601.25</v>
      </c>
      <c r="M735">
        <v>36</v>
      </c>
      <c r="N735">
        <v>2023</v>
      </c>
      <c r="O735">
        <f t="shared" si="11"/>
        <v>4</v>
      </c>
      <c r="P735" s="13" t="s">
        <v>68</v>
      </c>
      <c r="Q735">
        <v>338.39</v>
      </c>
      <c r="R735" s="3" t="s">
        <v>25</v>
      </c>
      <c r="S735" s="7">
        <f>Ventas[[#This Row],[Costo Material (€)]]/Ventas[[#This Row],[Beneficio (€)]]</f>
        <v>1.7767960046100655</v>
      </c>
      <c r="T735" s="3" t="str">
        <f>IF(Ventas[[#This Row],[Margen (%)]]&gt;20%,"Beneficio","Perdidas")</f>
        <v>Beneficio</v>
      </c>
    </row>
    <row r="736" spans="1:20" x14ac:dyDescent="0.25">
      <c r="A736" s="12">
        <v>45110</v>
      </c>
      <c r="B736" s="1" t="s">
        <v>30</v>
      </c>
      <c r="C736" s="1" t="s">
        <v>31</v>
      </c>
      <c r="D736" s="1" t="s">
        <v>44</v>
      </c>
      <c r="E736" s="1" t="s">
        <v>38</v>
      </c>
      <c r="F736">
        <v>523</v>
      </c>
      <c r="G736">
        <v>4.87</v>
      </c>
      <c r="H736">
        <v>2547.0100000000002</v>
      </c>
      <c r="I736" s="1" t="s">
        <v>55</v>
      </c>
      <c r="J736" s="1" t="s">
        <v>34</v>
      </c>
      <c r="K736" s="1" t="s">
        <v>41</v>
      </c>
      <c r="L736">
        <v>2209.6999999999998</v>
      </c>
      <c r="M736">
        <v>13.2</v>
      </c>
      <c r="N736">
        <v>2023</v>
      </c>
      <c r="O736">
        <f t="shared" si="11"/>
        <v>3</v>
      </c>
      <c r="P736" s="13" t="s">
        <v>65</v>
      </c>
      <c r="Q736">
        <v>337.31</v>
      </c>
      <c r="R736" s="3" t="s">
        <v>29</v>
      </c>
      <c r="S736" s="7">
        <f>Ventas[[#This Row],[Costo Material (€)]]/Ventas[[#This Row],[Beneficio (€)]]</f>
        <v>6.5509471999051314</v>
      </c>
      <c r="T736" s="3" t="str">
        <f>IF(Ventas[[#This Row],[Margen (%)]]&gt;20%,"Beneficio","Perdidas")</f>
        <v>Beneficio</v>
      </c>
    </row>
    <row r="737" spans="1:20" x14ac:dyDescent="0.25">
      <c r="A737" s="12">
        <v>45231</v>
      </c>
      <c r="B737" s="1" t="s">
        <v>42</v>
      </c>
      <c r="C737" s="1" t="s">
        <v>43</v>
      </c>
      <c r="D737" s="1" t="s">
        <v>48</v>
      </c>
      <c r="E737" s="1" t="s">
        <v>38</v>
      </c>
      <c r="F737">
        <v>111</v>
      </c>
      <c r="G737">
        <v>8.17</v>
      </c>
      <c r="H737">
        <v>906.87</v>
      </c>
      <c r="I737" s="1" t="s">
        <v>55</v>
      </c>
      <c r="J737" s="1" t="s">
        <v>34</v>
      </c>
      <c r="K737" s="1" t="s">
        <v>41</v>
      </c>
      <c r="L737">
        <v>570.24</v>
      </c>
      <c r="M737">
        <v>37.1</v>
      </c>
      <c r="N737">
        <v>2023</v>
      </c>
      <c r="O737">
        <f t="shared" si="11"/>
        <v>4</v>
      </c>
      <c r="P737" s="13" t="s">
        <v>69</v>
      </c>
      <c r="Q737">
        <v>336.63</v>
      </c>
      <c r="R737" s="3" t="s">
        <v>25</v>
      </c>
      <c r="S737" s="7">
        <f>Ventas[[#This Row],[Costo Material (€)]]/Ventas[[#This Row],[Beneficio (€)]]</f>
        <v>1.6939666696372873</v>
      </c>
      <c r="T737" s="3" t="str">
        <f>IF(Ventas[[#This Row],[Margen (%)]]&gt;20%,"Beneficio","Perdidas")</f>
        <v>Beneficio</v>
      </c>
    </row>
    <row r="738" spans="1:20" x14ac:dyDescent="0.25">
      <c r="A738" s="12">
        <v>44939</v>
      </c>
      <c r="B738" s="1" t="s">
        <v>42</v>
      </c>
      <c r="C738" s="1" t="s">
        <v>43</v>
      </c>
      <c r="D738" s="1" t="s">
        <v>53</v>
      </c>
      <c r="E738" s="1" t="s">
        <v>50</v>
      </c>
      <c r="F738">
        <v>130</v>
      </c>
      <c r="G738">
        <v>9.1300000000000008</v>
      </c>
      <c r="H738">
        <v>1186.9000000000001</v>
      </c>
      <c r="I738" s="1" t="s">
        <v>33</v>
      </c>
      <c r="J738" s="1" t="s">
        <v>56</v>
      </c>
      <c r="K738" s="1" t="s">
        <v>41</v>
      </c>
      <c r="L738">
        <v>851.54</v>
      </c>
      <c r="M738">
        <v>28.3</v>
      </c>
      <c r="N738">
        <v>2023</v>
      </c>
      <c r="O738">
        <f t="shared" si="11"/>
        <v>1</v>
      </c>
      <c r="P738" s="13" t="s">
        <v>24</v>
      </c>
      <c r="Q738">
        <v>335.36</v>
      </c>
      <c r="R738" s="3" t="s">
        <v>25</v>
      </c>
      <c r="S738" s="7">
        <f>Ventas[[#This Row],[Costo Material (€)]]/Ventas[[#This Row],[Beneficio (€)]]</f>
        <v>2.5391817748091601</v>
      </c>
      <c r="T738" s="3" t="str">
        <f>IF(Ventas[[#This Row],[Margen (%)]]&gt;20%,"Beneficio","Perdidas")</f>
        <v>Beneficio</v>
      </c>
    </row>
    <row r="739" spans="1:20" x14ac:dyDescent="0.25">
      <c r="A739" s="12">
        <v>45002</v>
      </c>
      <c r="B739" s="1" t="s">
        <v>51</v>
      </c>
      <c r="C739" s="1" t="s">
        <v>52</v>
      </c>
      <c r="D739" s="1" t="s">
        <v>48</v>
      </c>
      <c r="E739" s="1" t="s">
        <v>38</v>
      </c>
      <c r="F739">
        <v>249</v>
      </c>
      <c r="G739">
        <v>3.39</v>
      </c>
      <c r="H739">
        <v>844.11</v>
      </c>
      <c r="I739" s="1" t="s">
        <v>55</v>
      </c>
      <c r="J739" s="1" t="s">
        <v>40</v>
      </c>
      <c r="K739" s="1" t="s">
        <v>41</v>
      </c>
      <c r="L739">
        <v>509.96</v>
      </c>
      <c r="M739">
        <v>39.6</v>
      </c>
      <c r="N739">
        <v>2023</v>
      </c>
      <c r="O739">
        <f t="shared" si="11"/>
        <v>1</v>
      </c>
      <c r="P739" s="13" t="s">
        <v>61</v>
      </c>
      <c r="Q739">
        <v>334.15</v>
      </c>
      <c r="R739" s="3" t="s">
        <v>25</v>
      </c>
      <c r="S739" s="7">
        <f>Ventas[[#This Row],[Costo Material (€)]]/Ventas[[#This Row],[Beneficio (€)]]</f>
        <v>1.5261409546610805</v>
      </c>
      <c r="T739" s="3" t="str">
        <f>IF(Ventas[[#This Row],[Margen (%)]]&gt;20%,"Beneficio","Perdidas")</f>
        <v>Beneficio</v>
      </c>
    </row>
    <row r="740" spans="1:20" x14ac:dyDescent="0.25">
      <c r="A740" s="12">
        <v>45014</v>
      </c>
      <c r="B740" s="1" t="s">
        <v>30</v>
      </c>
      <c r="C740" s="1" t="s">
        <v>31</v>
      </c>
      <c r="D740" s="1" t="s">
        <v>44</v>
      </c>
      <c r="E740" s="1" t="s">
        <v>38</v>
      </c>
      <c r="F740">
        <v>562</v>
      </c>
      <c r="G740">
        <v>5.89</v>
      </c>
      <c r="H740">
        <v>3310.18</v>
      </c>
      <c r="I740" s="1" t="s">
        <v>46</v>
      </c>
      <c r="J740" s="1" t="s">
        <v>27</v>
      </c>
      <c r="K740" s="1" t="s">
        <v>41</v>
      </c>
      <c r="L740">
        <v>2976.32</v>
      </c>
      <c r="M740">
        <v>10.1</v>
      </c>
      <c r="N740">
        <v>2023</v>
      </c>
      <c r="O740">
        <f t="shared" si="11"/>
        <v>1</v>
      </c>
      <c r="P740" s="13" t="s">
        <v>61</v>
      </c>
      <c r="Q740">
        <v>333.86</v>
      </c>
      <c r="R740" s="3" t="s">
        <v>29</v>
      </c>
      <c r="S740" s="7">
        <f>Ventas[[#This Row],[Costo Material (€)]]/Ventas[[#This Row],[Beneficio (€)]]</f>
        <v>8.9148744982926971</v>
      </c>
      <c r="T740" s="3" t="str">
        <f>IF(Ventas[[#This Row],[Margen (%)]]&gt;20%,"Beneficio","Perdidas")</f>
        <v>Beneficio</v>
      </c>
    </row>
    <row r="741" spans="1:20" x14ac:dyDescent="0.25">
      <c r="A741" s="12">
        <v>45113</v>
      </c>
      <c r="B741" s="1" t="s">
        <v>58</v>
      </c>
      <c r="C741" s="1" t="s">
        <v>59</v>
      </c>
      <c r="D741" s="1" t="s">
        <v>37</v>
      </c>
      <c r="E741" s="1" t="s">
        <v>38</v>
      </c>
      <c r="F741">
        <v>133</v>
      </c>
      <c r="G741">
        <v>6.64</v>
      </c>
      <c r="H741">
        <v>883.12</v>
      </c>
      <c r="I741" s="1" t="s">
        <v>33</v>
      </c>
      <c r="J741" s="1" t="s">
        <v>34</v>
      </c>
      <c r="K741" s="1" t="s">
        <v>28</v>
      </c>
      <c r="L741">
        <v>549.86</v>
      </c>
      <c r="M741">
        <v>37.700000000000003</v>
      </c>
      <c r="N741">
        <v>2023</v>
      </c>
      <c r="O741">
        <f t="shared" si="11"/>
        <v>3</v>
      </c>
      <c r="P741" s="13" t="s">
        <v>65</v>
      </c>
      <c r="Q741">
        <v>333.26</v>
      </c>
      <c r="R741" s="3" t="s">
        <v>25</v>
      </c>
      <c r="S741" s="7">
        <f>Ventas[[#This Row],[Costo Material (€)]]/Ventas[[#This Row],[Beneficio (€)]]</f>
        <v>1.6499429874572407</v>
      </c>
      <c r="T741" s="3" t="str">
        <f>IF(Ventas[[#This Row],[Margen (%)]]&gt;20%,"Beneficio","Perdidas")</f>
        <v>Beneficio</v>
      </c>
    </row>
    <row r="742" spans="1:20" x14ac:dyDescent="0.25">
      <c r="A742" s="12">
        <v>44934</v>
      </c>
      <c r="B742" s="1" t="s">
        <v>17</v>
      </c>
      <c r="C742" s="1" t="s">
        <v>18</v>
      </c>
      <c r="D742" s="1" t="s">
        <v>48</v>
      </c>
      <c r="E742" s="1" t="s">
        <v>38</v>
      </c>
      <c r="F742">
        <v>287</v>
      </c>
      <c r="G742">
        <v>4.09</v>
      </c>
      <c r="H742">
        <v>1173.83</v>
      </c>
      <c r="I742" s="1" t="s">
        <v>26</v>
      </c>
      <c r="J742" s="1" t="s">
        <v>22</v>
      </c>
      <c r="K742" s="1" t="s">
        <v>28</v>
      </c>
      <c r="L742">
        <v>841.78</v>
      </c>
      <c r="M742">
        <v>28.3</v>
      </c>
      <c r="N742">
        <v>2023</v>
      </c>
      <c r="O742">
        <f t="shared" si="11"/>
        <v>1</v>
      </c>
      <c r="P742" s="13" t="s">
        <v>24</v>
      </c>
      <c r="Q742">
        <v>332.05</v>
      </c>
      <c r="R742" s="3" t="s">
        <v>25</v>
      </c>
      <c r="S742" s="7">
        <f>Ventas[[#This Row],[Costo Material (€)]]/Ventas[[#This Row],[Beneficio (€)]]</f>
        <v>2.5351001355217586</v>
      </c>
      <c r="T742" s="3" t="str">
        <f>IF(Ventas[[#This Row],[Margen (%)]]&gt;20%,"Beneficio","Perdidas")</f>
        <v>Beneficio</v>
      </c>
    </row>
    <row r="743" spans="1:20" x14ac:dyDescent="0.25">
      <c r="A743" s="12">
        <v>44999</v>
      </c>
      <c r="B743" s="1" t="s">
        <v>35</v>
      </c>
      <c r="C743" s="1" t="s">
        <v>36</v>
      </c>
      <c r="D743" s="1" t="s">
        <v>53</v>
      </c>
      <c r="E743" s="1" t="s">
        <v>50</v>
      </c>
      <c r="F743">
        <v>667</v>
      </c>
      <c r="G743">
        <v>2.99</v>
      </c>
      <c r="H743">
        <v>1994.33</v>
      </c>
      <c r="I743" s="1" t="s">
        <v>21</v>
      </c>
      <c r="J743" s="1" t="s">
        <v>22</v>
      </c>
      <c r="K743" s="1" t="s">
        <v>28</v>
      </c>
      <c r="L743">
        <v>1662.86</v>
      </c>
      <c r="M743">
        <v>16.600000000000001</v>
      </c>
      <c r="N743">
        <v>2023</v>
      </c>
      <c r="O743">
        <f t="shared" si="11"/>
        <v>1</v>
      </c>
      <c r="P743" s="13" t="s">
        <v>61</v>
      </c>
      <c r="Q743">
        <v>331.47</v>
      </c>
      <c r="R743" s="3" t="s">
        <v>29</v>
      </c>
      <c r="S743" s="7">
        <f>Ventas[[#This Row],[Costo Material (€)]]/Ventas[[#This Row],[Beneficio (€)]]</f>
        <v>5.016622922134732</v>
      </c>
      <c r="T743" s="3" t="str">
        <f>IF(Ventas[[#This Row],[Margen (%)]]&gt;20%,"Beneficio","Perdidas")</f>
        <v>Beneficio</v>
      </c>
    </row>
    <row r="744" spans="1:20" x14ac:dyDescent="0.25">
      <c r="A744" s="12">
        <v>45090</v>
      </c>
      <c r="B744" s="1" t="s">
        <v>17</v>
      </c>
      <c r="C744" s="1" t="s">
        <v>18</v>
      </c>
      <c r="D744" s="1" t="s">
        <v>32</v>
      </c>
      <c r="E744" s="1" t="s">
        <v>20</v>
      </c>
      <c r="F744">
        <v>301</v>
      </c>
      <c r="G744">
        <v>2.91</v>
      </c>
      <c r="H744">
        <v>875.91</v>
      </c>
      <c r="I744" s="1" t="s">
        <v>21</v>
      </c>
      <c r="J744" s="1" t="s">
        <v>34</v>
      </c>
      <c r="K744" s="1" t="s">
        <v>23</v>
      </c>
      <c r="L744">
        <v>545.53</v>
      </c>
      <c r="M744">
        <v>37.700000000000003</v>
      </c>
      <c r="N744">
        <v>2023</v>
      </c>
      <c r="O744">
        <f t="shared" si="11"/>
        <v>2</v>
      </c>
      <c r="P744" s="13" t="s">
        <v>64</v>
      </c>
      <c r="Q744">
        <v>330.38</v>
      </c>
      <c r="R744" s="3" t="s">
        <v>25</v>
      </c>
      <c r="S744" s="7">
        <f>Ventas[[#This Row],[Costo Material (€)]]/Ventas[[#This Row],[Beneficio (€)]]</f>
        <v>1.6512198074944002</v>
      </c>
      <c r="T744" s="3" t="str">
        <f>IF(Ventas[[#This Row],[Margen (%)]]&gt;20%,"Beneficio","Perdidas")</f>
        <v>Beneficio</v>
      </c>
    </row>
    <row r="745" spans="1:20" x14ac:dyDescent="0.25">
      <c r="A745" s="12">
        <v>45018</v>
      </c>
      <c r="B745" s="1" t="s">
        <v>17</v>
      </c>
      <c r="C745" s="1" t="s">
        <v>18</v>
      </c>
      <c r="D745" s="1" t="s">
        <v>49</v>
      </c>
      <c r="E745" s="1" t="s">
        <v>50</v>
      </c>
      <c r="F745">
        <v>495</v>
      </c>
      <c r="G745">
        <v>3.72</v>
      </c>
      <c r="H745">
        <v>1841.4</v>
      </c>
      <c r="I745" s="1" t="s">
        <v>54</v>
      </c>
      <c r="J745" s="1" t="s">
        <v>22</v>
      </c>
      <c r="K745" s="1" t="s">
        <v>23</v>
      </c>
      <c r="L745">
        <v>1512.09</v>
      </c>
      <c r="M745">
        <v>17.899999999999999</v>
      </c>
      <c r="N745">
        <v>2023</v>
      </c>
      <c r="O745">
        <f t="shared" si="11"/>
        <v>2</v>
      </c>
      <c r="P745" s="13" t="s">
        <v>62</v>
      </c>
      <c r="Q745">
        <v>329.31</v>
      </c>
      <c r="R745" s="3" t="s">
        <v>29</v>
      </c>
      <c r="S745" s="7">
        <f>Ventas[[#This Row],[Costo Material (€)]]/Ventas[[#This Row],[Beneficio (€)]]</f>
        <v>4.5916917190489199</v>
      </c>
      <c r="T745" s="3" t="str">
        <f>IF(Ventas[[#This Row],[Margen (%)]]&gt;20%,"Beneficio","Perdidas")</f>
        <v>Beneficio</v>
      </c>
    </row>
    <row r="746" spans="1:20" x14ac:dyDescent="0.25">
      <c r="A746" s="12">
        <v>45960</v>
      </c>
      <c r="B746" s="1" t="s">
        <v>30</v>
      </c>
      <c r="C746" s="1" t="s">
        <v>31</v>
      </c>
      <c r="D746" s="1" t="s">
        <v>32</v>
      </c>
      <c r="E746" s="1" t="s">
        <v>20</v>
      </c>
      <c r="F746">
        <v>530</v>
      </c>
      <c r="G746">
        <v>3.51</v>
      </c>
      <c r="H746">
        <v>1860.3</v>
      </c>
      <c r="I746" s="1" t="s">
        <v>55</v>
      </c>
      <c r="J746" s="1" t="s">
        <v>47</v>
      </c>
      <c r="K746" s="1" t="s">
        <v>23</v>
      </c>
      <c r="L746">
        <v>1532.81</v>
      </c>
      <c r="M746">
        <v>17.600000000000001</v>
      </c>
      <c r="N746">
        <v>2025</v>
      </c>
      <c r="O746">
        <f t="shared" si="11"/>
        <v>4</v>
      </c>
      <c r="P746" s="13" t="s">
        <v>68</v>
      </c>
      <c r="Q746">
        <v>327.49</v>
      </c>
      <c r="R746" s="3" t="s">
        <v>29</v>
      </c>
      <c r="S746" s="7">
        <f>Ventas[[#This Row],[Costo Material (€)]]/Ventas[[#This Row],[Beneficio (€)]]</f>
        <v>4.6804787932455953</v>
      </c>
      <c r="T746" s="3" t="str">
        <f>IF(Ventas[[#This Row],[Margen (%)]]&gt;20%,"Beneficio","Perdidas")</f>
        <v>Beneficio</v>
      </c>
    </row>
    <row r="747" spans="1:20" x14ac:dyDescent="0.25">
      <c r="A747" s="12">
        <v>45039</v>
      </c>
      <c r="B747" s="1" t="s">
        <v>17</v>
      </c>
      <c r="C747" s="1" t="s">
        <v>18</v>
      </c>
      <c r="D747" s="1" t="s">
        <v>48</v>
      </c>
      <c r="E747" s="1" t="s">
        <v>38</v>
      </c>
      <c r="F747">
        <v>443</v>
      </c>
      <c r="G747">
        <v>5.13</v>
      </c>
      <c r="H747">
        <v>2272.59</v>
      </c>
      <c r="I747" s="1" t="s">
        <v>39</v>
      </c>
      <c r="J747" s="1" t="s">
        <v>27</v>
      </c>
      <c r="K747" s="1" t="s">
        <v>28</v>
      </c>
      <c r="L747">
        <v>1947.48</v>
      </c>
      <c r="M747">
        <v>14.3</v>
      </c>
      <c r="N747">
        <v>2023</v>
      </c>
      <c r="O747">
        <f t="shared" si="11"/>
        <v>2</v>
      </c>
      <c r="P747" s="13" t="s">
        <v>62</v>
      </c>
      <c r="Q747">
        <v>325.11</v>
      </c>
      <c r="R747" s="3" t="s">
        <v>29</v>
      </c>
      <c r="S747" s="7">
        <f>Ventas[[#This Row],[Costo Material (€)]]/Ventas[[#This Row],[Beneficio (€)]]</f>
        <v>5.9902186952108512</v>
      </c>
      <c r="T747" s="3" t="str">
        <f>IF(Ventas[[#This Row],[Margen (%)]]&gt;20%,"Beneficio","Perdidas")</f>
        <v>Beneficio</v>
      </c>
    </row>
    <row r="748" spans="1:20" x14ac:dyDescent="0.25">
      <c r="A748" s="12">
        <v>45386</v>
      </c>
      <c r="B748" s="1" t="s">
        <v>42</v>
      </c>
      <c r="C748" s="1" t="s">
        <v>43</v>
      </c>
      <c r="D748" s="1" t="s">
        <v>37</v>
      </c>
      <c r="E748" s="1" t="s">
        <v>38</v>
      </c>
      <c r="F748">
        <v>448</v>
      </c>
      <c r="G748">
        <v>3.75</v>
      </c>
      <c r="H748">
        <v>1680</v>
      </c>
      <c r="I748" s="1" t="s">
        <v>39</v>
      </c>
      <c r="J748" s="1" t="s">
        <v>34</v>
      </c>
      <c r="K748" s="1" t="s">
        <v>23</v>
      </c>
      <c r="L748">
        <v>1356.23</v>
      </c>
      <c r="M748">
        <v>19.3</v>
      </c>
      <c r="N748">
        <v>2024</v>
      </c>
      <c r="O748">
        <f t="shared" si="11"/>
        <v>2</v>
      </c>
      <c r="P748" s="13" t="s">
        <v>62</v>
      </c>
      <c r="Q748">
        <v>323.77</v>
      </c>
      <c r="R748" s="3" t="s">
        <v>29</v>
      </c>
      <c r="S748" s="7">
        <f>Ventas[[#This Row],[Costo Material (€)]]/Ventas[[#This Row],[Beneficio (€)]]</f>
        <v>4.1888686413194556</v>
      </c>
      <c r="T748" s="3" t="str">
        <f>IF(Ventas[[#This Row],[Margen (%)]]&gt;20%,"Beneficio","Perdidas")</f>
        <v>Beneficio</v>
      </c>
    </row>
    <row r="749" spans="1:20" x14ac:dyDescent="0.25">
      <c r="A749" s="12">
        <v>44937</v>
      </c>
      <c r="B749" s="1" t="s">
        <v>51</v>
      </c>
      <c r="C749" s="1" t="s">
        <v>52</v>
      </c>
      <c r="D749" s="1" t="s">
        <v>49</v>
      </c>
      <c r="E749" s="1" t="s">
        <v>50</v>
      </c>
      <c r="F749">
        <v>915</v>
      </c>
      <c r="G749">
        <v>3.28</v>
      </c>
      <c r="H749">
        <v>3001.2</v>
      </c>
      <c r="I749" s="1" t="s">
        <v>26</v>
      </c>
      <c r="J749" s="1" t="s">
        <v>40</v>
      </c>
      <c r="K749" s="1" t="s">
        <v>23</v>
      </c>
      <c r="L749">
        <v>2678.72</v>
      </c>
      <c r="M749">
        <v>10.7</v>
      </c>
      <c r="N749">
        <v>2023</v>
      </c>
      <c r="O749">
        <f t="shared" si="11"/>
        <v>1</v>
      </c>
      <c r="P749" s="13" t="s">
        <v>24</v>
      </c>
      <c r="Q749">
        <v>322.48</v>
      </c>
      <c r="R749" s="3" t="s">
        <v>29</v>
      </c>
      <c r="S749" s="7">
        <f>Ventas[[#This Row],[Costo Material (€)]]/Ventas[[#This Row],[Beneficio (€)]]</f>
        <v>8.3066236665839739</v>
      </c>
      <c r="T749" s="3" t="str">
        <f>IF(Ventas[[#This Row],[Margen (%)]]&gt;20%,"Beneficio","Perdidas")</f>
        <v>Beneficio</v>
      </c>
    </row>
    <row r="750" spans="1:20" x14ac:dyDescent="0.25">
      <c r="A750" s="12">
        <v>45079</v>
      </c>
      <c r="B750" s="1" t="s">
        <v>58</v>
      </c>
      <c r="C750" s="1" t="s">
        <v>59</v>
      </c>
      <c r="D750" s="1" t="s">
        <v>44</v>
      </c>
      <c r="E750" s="1" t="s">
        <v>38</v>
      </c>
      <c r="F750">
        <v>451</v>
      </c>
      <c r="G750">
        <v>2.12</v>
      </c>
      <c r="H750">
        <v>956.12</v>
      </c>
      <c r="I750" s="1" t="s">
        <v>54</v>
      </c>
      <c r="J750" s="1" t="s">
        <v>40</v>
      </c>
      <c r="K750" s="1" t="s">
        <v>41</v>
      </c>
      <c r="L750">
        <v>636.89</v>
      </c>
      <c r="M750">
        <v>33.4</v>
      </c>
      <c r="N750">
        <v>2023</v>
      </c>
      <c r="O750">
        <f t="shared" si="11"/>
        <v>2</v>
      </c>
      <c r="P750" s="13" t="s">
        <v>64</v>
      </c>
      <c r="Q750">
        <v>319.23</v>
      </c>
      <c r="R750" s="3" t="s">
        <v>25</v>
      </c>
      <c r="S750" s="7">
        <f>Ventas[[#This Row],[Costo Material (€)]]/Ventas[[#This Row],[Beneficio (€)]]</f>
        <v>1.9950819158600381</v>
      </c>
      <c r="T750" s="3" t="str">
        <f>IF(Ventas[[#This Row],[Margen (%)]]&gt;20%,"Beneficio","Perdidas")</f>
        <v>Beneficio</v>
      </c>
    </row>
    <row r="751" spans="1:20" x14ac:dyDescent="0.25">
      <c r="A751" s="12">
        <v>44953</v>
      </c>
      <c r="B751" s="1" t="s">
        <v>35</v>
      </c>
      <c r="C751" s="1" t="s">
        <v>36</v>
      </c>
      <c r="D751" s="1" t="s">
        <v>32</v>
      </c>
      <c r="E751" s="1" t="s">
        <v>20</v>
      </c>
      <c r="F751">
        <v>119</v>
      </c>
      <c r="G751">
        <v>10.77</v>
      </c>
      <c r="H751">
        <v>1281.6300000000001</v>
      </c>
      <c r="I751" s="1" t="s">
        <v>39</v>
      </c>
      <c r="J751" s="1" t="s">
        <v>40</v>
      </c>
      <c r="K751" s="1" t="s">
        <v>41</v>
      </c>
      <c r="L751">
        <v>962.59</v>
      </c>
      <c r="M751">
        <v>24.9</v>
      </c>
      <c r="N751">
        <v>2023</v>
      </c>
      <c r="O751">
        <f t="shared" si="11"/>
        <v>1</v>
      </c>
      <c r="P751" s="13" t="s">
        <v>24</v>
      </c>
      <c r="Q751">
        <v>319.04000000000002</v>
      </c>
      <c r="R751" s="3" t="s">
        <v>29</v>
      </c>
      <c r="S751" s="7">
        <f>Ventas[[#This Row],[Costo Material (€)]]/Ventas[[#This Row],[Beneficio (€)]]</f>
        <v>3.0171451855566698</v>
      </c>
      <c r="T751" s="3" t="str">
        <f>IF(Ventas[[#This Row],[Margen (%)]]&gt;20%,"Beneficio","Perdidas")</f>
        <v>Beneficio</v>
      </c>
    </row>
    <row r="752" spans="1:20" x14ac:dyDescent="0.25">
      <c r="A752" s="12">
        <v>45089</v>
      </c>
      <c r="B752" s="1" t="s">
        <v>58</v>
      </c>
      <c r="C752" s="1" t="s">
        <v>59</v>
      </c>
      <c r="D752" s="1" t="s">
        <v>19</v>
      </c>
      <c r="E752" s="1" t="s">
        <v>20</v>
      </c>
      <c r="F752">
        <v>245</v>
      </c>
      <c r="G752">
        <v>4.4800000000000004</v>
      </c>
      <c r="H752">
        <v>1097.5999999999999</v>
      </c>
      <c r="I752" s="1" t="s">
        <v>46</v>
      </c>
      <c r="J752" s="1" t="s">
        <v>56</v>
      </c>
      <c r="K752" s="1" t="s">
        <v>23</v>
      </c>
      <c r="L752">
        <v>779.24</v>
      </c>
      <c r="M752">
        <v>29</v>
      </c>
      <c r="N752">
        <v>2023</v>
      </c>
      <c r="O752">
        <f t="shared" si="11"/>
        <v>2</v>
      </c>
      <c r="P752" s="13" t="s">
        <v>64</v>
      </c>
      <c r="Q752">
        <v>318.36</v>
      </c>
      <c r="R752" s="3" t="s">
        <v>25</v>
      </c>
      <c r="S752" s="7">
        <f>Ventas[[#This Row],[Costo Material (€)]]/Ventas[[#This Row],[Beneficio (€)]]</f>
        <v>2.4476693051890939</v>
      </c>
      <c r="T752" s="3" t="str">
        <f>IF(Ventas[[#This Row],[Margen (%)]]&gt;20%,"Beneficio","Perdidas")</f>
        <v>Beneficio</v>
      </c>
    </row>
    <row r="753" spans="1:20" x14ac:dyDescent="0.25">
      <c r="A753" s="12">
        <v>44976</v>
      </c>
      <c r="B753" s="1" t="s">
        <v>30</v>
      </c>
      <c r="C753" s="1" t="s">
        <v>31</v>
      </c>
      <c r="D753" s="1" t="s">
        <v>37</v>
      </c>
      <c r="E753" s="1" t="s">
        <v>38</v>
      </c>
      <c r="F753">
        <v>940</v>
      </c>
      <c r="G753">
        <v>3.22</v>
      </c>
      <c r="H753">
        <v>3026.8</v>
      </c>
      <c r="I753" s="1" t="s">
        <v>39</v>
      </c>
      <c r="J753" s="1" t="s">
        <v>56</v>
      </c>
      <c r="K753" s="1" t="s">
        <v>41</v>
      </c>
      <c r="L753">
        <v>2709.3</v>
      </c>
      <c r="M753">
        <v>10.5</v>
      </c>
      <c r="N753">
        <v>2023</v>
      </c>
      <c r="O753">
        <f t="shared" si="11"/>
        <v>1</v>
      </c>
      <c r="P753" s="13" t="s">
        <v>60</v>
      </c>
      <c r="Q753">
        <v>317.5</v>
      </c>
      <c r="R753" s="3" t="s">
        <v>29</v>
      </c>
      <c r="S753" s="7">
        <f>Ventas[[#This Row],[Costo Material (€)]]/Ventas[[#This Row],[Beneficio (€)]]</f>
        <v>8.5332283464566938</v>
      </c>
      <c r="T753" s="3" t="str">
        <f>IF(Ventas[[#This Row],[Margen (%)]]&gt;20%,"Beneficio","Perdidas")</f>
        <v>Beneficio</v>
      </c>
    </row>
    <row r="754" spans="1:20" x14ac:dyDescent="0.25">
      <c r="A754" s="12">
        <v>45547</v>
      </c>
      <c r="B754" s="1" t="s">
        <v>17</v>
      </c>
      <c r="C754" s="1" t="s">
        <v>18</v>
      </c>
      <c r="D754" s="1" t="s">
        <v>32</v>
      </c>
      <c r="E754" s="1" t="s">
        <v>20</v>
      </c>
      <c r="F754">
        <v>252</v>
      </c>
      <c r="G754">
        <v>6.46</v>
      </c>
      <c r="H754">
        <v>1627.92</v>
      </c>
      <c r="I754" s="1" t="s">
        <v>55</v>
      </c>
      <c r="J754" s="1" t="s">
        <v>56</v>
      </c>
      <c r="K754" s="1" t="s">
        <v>23</v>
      </c>
      <c r="L754">
        <v>1310.74</v>
      </c>
      <c r="M754">
        <v>19.5</v>
      </c>
      <c r="N754">
        <v>2024</v>
      </c>
      <c r="O754">
        <f t="shared" si="11"/>
        <v>3</v>
      </c>
      <c r="P754" s="13" t="s">
        <v>67</v>
      </c>
      <c r="Q754">
        <v>317.18</v>
      </c>
      <c r="R754" s="3" t="s">
        <v>29</v>
      </c>
      <c r="S754" s="7">
        <f>Ventas[[#This Row],[Costo Material (€)]]/Ventas[[#This Row],[Beneficio (€)]]</f>
        <v>4.1324799798221825</v>
      </c>
      <c r="T754" s="3" t="str">
        <f>IF(Ventas[[#This Row],[Margen (%)]]&gt;20%,"Beneficio","Perdidas")</f>
        <v>Beneficio</v>
      </c>
    </row>
    <row r="755" spans="1:20" x14ac:dyDescent="0.25">
      <c r="A755" s="12">
        <v>44952</v>
      </c>
      <c r="B755" s="1" t="s">
        <v>30</v>
      </c>
      <c r="C755" s="1" t="s">
        <v>31</v>
      </c>
      <c r="D755" s="1" t="s">
        <v>53</v>
      </c>
      <c r="E755" s="1" t="s">
        <v>50</v>
      </c>
      <c r="F755">
        <v>297</v>
      </c>
      <c r="G755">
        <v>4.0599999999999996</v>
      </c>
      <c r="H755">
        <v>1205.82</v>
      </c>
      <c r="I755" s="1" t="s">
        <v>54</v>
      </c>
      <c r="J755" s="1" t="s">
        <v>47</v>
      </c>
      <c r="K755" s="1" t="s">
        <v>23</v>
      </c>
      <c r="L755">
        <v>889.33</v>
      </c>
      <c r="M755">
        <v>26.2</v>
      </c>
      <c r="N755">
        <v>2023</v>
      </c>
      <c r="O755">
        <f t="shared" si="11"/>
        <v>1</v>
      </c>
      <c r="P755" s="13" t="s">
        <v>24</v>
      </c>
      <c r="Q755">
        <v>316.49</v>
      </c>
      <c r="R755" s="3" t="s">
        <v>25</v>
      </c>
      <c r="S755" s="7">
        <f>Ventas[[#This Row],[Costo Material (€)]]/Ventas[[#This Row],[Beneficio (€)]]</f>
        <v>2.8099781983632974</v>
      </c>
      <c r="T755" s="3" t="str">
        <f>IF(Ventas[[#This Row],[Margen (%)]]&gt;20%,"Beneficio","Perdidas")</f>
        <v>Beneficio</v>
      </c>
    </row>
    <row r="756" spans="1:20" x14ac:dyDescent="0.25">
      <c r="A756" s="12">
        <v>45119</v>
      </c>
      <c r="B756" s="1" t="s">
        <v>51</v>
      </c>
      <c r="C756" s="1" t="s">
        <v>52</v>
      </c>
      <c r="D756" s="1" t="s">
        <v>45</v>
      </c>
      <c r="E756" s="1" t="s">
        <v>20</v>
      </c>
      <c r="F756">
        <v>465</v>
      </c>
      <c r="G756">
        <v>4.7699999999999996</v>
      </c>
      <c r="H756">
        <v>2218.0500000000002</v>
      </c>
      <c r="I756" s="1" t="s">
        <v>39</v>
      </c>
      <c r="J756" s="1" t="s">
        <v>56</v>
      </c>
      <c r="K756" s="1" t="s">
        <v>28</v>
      </c>
      <c r="L756">
        <v>1901.73</v>
      </c>
      <c r="M756">
        <v>14.3</v>
      </c>
      <c r="N756">
        <v>2023</v>
      </c>
      <c r="O756">
        <f t="shared" si="11"/>
        <v>3</v>
      </c>
      <c r="P756" s="13" t="s">
        <v>65</v>
      </c>
      <c r="Q756">
        <v>316.32</v>
      </c>
      <c r="R756" s="3" t="s">
        <v>29</v>
      </c>
      <c r="S756" s="7">
        <f>Ventas[[#This Row],[Costo Material (€)]]/Ventas[[#This Row],[Beneficio (€)]]</f>
        <v>6.012044764795144</v>
      </c>
      <c r="T756" s="3" t="str">
        <f>IF(Ventas[[#This Row],[Margen (%)]]&gt;20%,"Beneficio","Perdidas")</f>
        <v>Beneficio</v>
      </c>
    </row>
    <row r="757" spans="1:20" x14ac:dyDescent="0.25">
      <c r="A757" s="12">
        <v>45289</v>
      </c>
      <c r="B757" s="1" t="s">
        <v>35</v>
      </c>
      <c r="C757" s="1" t="s">
        <v>36</v>
      </c>
      <c r="D757" s="1" t="s">
        <v>53</v>
      </c>
      <c r="E757" s="1" t="s">
        <v>50</v>
      </c>
      <c r="F757">
        <v>180</v>
      </c>
      <c r="G757">
        <v>11.12</v>
      </c>
      <c r="H757">
        <v>2001.6</v>
      </c>
      <c r="I757" s="1" t="s">
        <v>39</v>
      </c>
      <c r="J757" s="1" t="s">
        <v>34</v>
      </c>
      <c r="K757" s="1" t="s">
        <v>28</v>
      </c>
      <c r="L757">
        <v>1685.71</v>
      </c>
      <c r="M757">
        <v>15.8</v>
      </c>
      <c r="N757">
        <v>2023</v>
      </c>
      <c r="O757">
        <f t="shared" si="11"/>
        <v>4</v>
      </c>
      <c r="P757" s="13" t="s">
        <v>70</v>
      </c>
      <c r="Q757">
        <v>315.89</v>
      </c>
      <c r="R757" s="3" t="s">
        <v>29</v>
      </c>
      <c r="S757" s="7">
        <f>Ventas[[#This Row],[Costo Material (€)]]/Ventas[[#This Row],[Beneficio (€)]]</f>
        <v>5.3363829181044036</v>
      </c>
      <c r="T757" s="3" t="str">
        <f>IF(Ventas[[#This Row],[Margen (%)]]&gt;20%,"Beneficio","Perdidas")</f>
        <v>Beneficio</v>
      </c>
    </row>
    <row r="758" spans="1:20" x14ac:dyDescent="0.25">
      <c r="A758" s="12">
        <v>45001</v>
      </c>
      <c r="B758" s="1" t="s">
        <v>17</v>
      </c>
      <c r="C758" s="1" t="s">
        <v>18</v>
      </c>
      <c r="D758" s="1" t="s">
        <v>44</v>
      </c>
      <c r="E758" s="1" t="s">
        <v>38</v>
      </c>
      <c r="F758">
        <v>120</v>
      </c>
      <c r="G758">
        <v>9.08</v>
      </c>
      <c r="H758">
        <v>1089.5999999999999</v>
      </c>
      <c r="I758" s="1" t="s">
        <v>54</v>
      </c>
      <c r="J758" s="1" t="s">
        <v>47</v>
      </c>
      <c r="K758" s="1" t="s">
        <v>28</v>
      </c>
      <c r="L758">
        <v>773.83</v>
      </c>
      <c r="M758">
        <v>29</v>
      </c>
      <c r="N758">
        <v>2023</v>
      </c>
      <c r="O758">
        <f t="shared" si="11"/>
        <v>1</v>
      </c>
      <c r="P758" s="13" t="s">
        <v>61</v>
      </c>
      <c r="Q758">
        <v>315.77</v>
      </c>
      <c r="R758" s="3" t="s">
        <v>25</v>
      </c>
      <c r="S758" s="7">
        <f>Ventas[[#This Row],[Costo Material (€)]]/Ventas[[#This Row],[Beneficio (€)]]</f>
        <v>2.4506127877885806</v>
      </c>
      <c r="T758" s="3" t="str">
        <f>IF(Ventas[[#This Row],[Margen (%)]]&gt;20%,"Beneficio","Perdidas")</f>
        <v>Beneficio</v>
      </c>
    </row>
    <row r="759" spans="1:20" x14ac:dyDescent="0.25">
      <c r="A759" s="12">
        <v>44999</v>
      </c>
      <c r="B759" s="1" t="s">
        <v>42</v>
      </c>
      <c r="C759" s="1" t="s">
        <v>43</v>
      </c>
      <c r="D759" s="1" t="s">
        <v>37</v>
      </c>
      <c r="E759" s="1" t="s">
        <v>38</v>
      </c>
      <c r="F759">
        <v>275</v>
      </c>
      <c r="G759">
        <v>4.46</v>
      </c>
      <c r="H759">
        <v>1226.5</v>
      </c>
      <c r="I759" s="1" t="s">
        <v>57</v>
      </c>
      <c r="J759" s="1" t="s">
        <v>27</v>
      </c>
      <c r="K759" s="1" t="s">
        <v>41</v>
      </c>
      <c r="L759">
        <v>910.93</v>
      </c>
      <c r="M759">
        <v>25.7</v>
      </c>
      <c r="N759">
        <v>2023</v>
      </c>
      <c r="O759">
        <f t="shared" si="11"/>
        <v>1</v>
      </c>
      <c r="P759" s="13" t="s">
        <v>61</v>
      </c>
      <c r="Q759">
        <v>315.57</v>
      </c>
      <c r="R759" s="3" t="s">
        <v>25</v>
      </c>
      <c r="S759" s="7">
        <f>Ventas[[#This Row],[Costo Material (€)]]/Ventas[[#This Row],[Beneficio (€)]]</f>
        <v>2.8866178660835948</v>
      </c>
      <c r="T759" s="3" t="str">
        <f>IF(Ventas[[#This Row],[Margen (%)]]&gt;20%,"Beneficio","Perdidas")</f>
        <v>Beneficio</v>
      </c>
    </row>
    <row r="760" spans="1:20" x14ac:dyDescent="0.25">
      <c r="A760" s="12">
        <v>45049</v>
      </c>
      <c r="B760" s="1" t="s">
        <v>30</v>
      </c>
      <c r="C760" s="1" t="s">
        <v>31</v>
      </c>
      <c r="D760" s="1" t="s">
        <v>32</v>
      </c>
      <c r="E760" s="1" t="s">
        <v>20</v>
      </c>
      <c r="F760">
        <v>120</v>
      </c>
      <c r="G760">
        <v>8.57</v>
      </c>
      <c r="H760">
        <v>1028.4000000000001</v>
      </c>
      <c r="I760" s="1" t="s">
        <v>46</v>
      </c>
      <c r="J760" s="1" t="s">
        <v>27</v>
      </c>
      <c r="K760" s="1" t="s">
        <v>28</v>
      </c>
      <c r="L760">
        <v>713.01</v>
      </c>
      <c r="M760">
        <v>30.7</v>
      </c>
      <c r="N760">
        <v>2023</v>
      </c>
      <c r="O760">
        <f t="shared" si="11"/>
        <v>2</v>
      </c>
      <c r="P760" s="13" t="s">
        <v>63</v>
      </c>
      <c r="Q760">
        <v>315.39</v>
      </c>
      <c r="R760" s="3" t="s">
        <v>25</v>
      </c>
      <c r="S760" s="7">
        <f>Ventas[[#This Row],[Costo Material (€)]]/Ventas[[#This Row],[Beneficio (€)]]</f>
        <v>2.26072481689337</v>
      </c>
      <c r="T760" s="3" t="str">
        <f>IF(Ventas[[#This Row],[Margen (%)]]&gt;20%,"Beneficio","Perdidas")</f>
        <v>Beneficio</v>
      </c>
    </row>
    <row r="761" spans="1:20" x14ac:dyDescent="0.25">
      <c r="A761" s="12">
        <v>45118</v>
      </c>
      <c r="B761" s="1" t="s">
        <v>58</v>
      </c>
      <c r="C761" s="1" t="s">
        <v>59</v>
      </c>
      <c r="D761" s="1" t="s">
        <v>49</v>
      </c>
      <c r="E761" s="1" t="s">
        <v>50</v>
      </c>
      <c r="F761">
        <v>858</v>
      </c>
      <c r="G761">
        <v>2.2000000000000002</v>
      </c>
      <c r="H761">
        <v>1887.6</v>
      </c>
      <c r="I761" s="1" t="s">
        <v>21</v>
      </c>
      <c r="J761" s="1" t="s">
        <v>56</v>
      </c>
      <c r="K761" s="1" t="s">
        <v>23</v>
      </c>
      <c r="L761">
        <v>1572.75</v>
      </c>
      <c r="M761">
        <v>16.7</v>
      </c>
      <c r="N761">
        <v>2023</v>
      </c>
      <c r="O761">
        <f t="shared" si="11"/>
        <v>3</v>
      </c>
      <c r="P761" s="13" t="s">
        <v>65</v>
      </c>
      <c r="Q761">
        <v>314.85000000000002</v>
      </c>
      <c r="R761" s="3" t="s">
        <v>29</v>
      </c>
      <c r="S761" s="7">
        <f>Ventas[[#This Row],[Costo Material (€)]]/Ventas[[#This Row],[Beneficio (€)]]</f>
        <v>4.9952358265840875</v>
      </c>
      <c r="T761" s="3" t="str">
        <f>IF(Ventas[[#This Row],[Margen (%)]]&gt;20%,"Beneficio","Perdidas")</f>
        <v>Beneficio</v>
      </c>
    </row>
    <row r="762" spans="1:20" x14ac:dyDescent="0.25">
      <c r="A762" s="12">
        <v>45161</v>
      </c>
      <c r="B762" s="1" t="s">
        <v>17</v>
      </c>
      <c r="C762" s="1" t="s">
        <v>18</v>
      </c>
      <c r="D762" s="1" t="s">
        <v>49</v>
      </c>
      <c r="E762" s="1" t="s">
        <v>50</v>
      </c>
      <c r="F762">
        <v>883</v>
      </c>
      <c r="G762">
        <v>2.84</v>
      </c>
      <c r="H762">
        <v>2507.7199999999998</v>
      </c>
      <c r="I762" s="1" t="s">
        <v>46</v>
      </c>
      <c r="J762" s="1" t="s">
        <v>56</v>
      </c>
      <c r="K762" s="1" t="s">
        <v>41</v>
      </c>
      <c r="L762">
        <v>2192.87</v>
      </c>
      <c r="M762">
        <v>12.6</v>
      </c>
      <c r="N762">
        <v>2023</v>
      </c>
      <c r="O762">
        <f t="shared" si="11"/>
        <v>3</v>
      </c>
      <c r="P762" s="13" t="s">
        <v>66</v>
      </c>
      <c r="Q762">
        <v>314.85000000000002</v>
      </c>
      <c r="R762" s="3" t="s">
        <v>29</v>
      </c>
      <c r="S762" s="7">
        <f>Ventas[[#This Row],[Costo Material (€)]]/Ventas[[#This Row],[Beneficio (€)]]</f>
        <v>6.9648086390344597</v>
      </c>
      <c r="T762" s="3" t="str">
        <f>IF(Ventas[[#This Row],[Margen (%)]]&gt;20%,"Beneficio","Perdidas")</f>
        <v>Beneficio</v>
      </c>
    </row>
    <row r="763" spans="1:20" x14ac:dyDescent="0.25">
      <c r="A763" s="12">
        <v>45402</v>
      </c>
      <c r="B763" s="1" t="s">
        <v>58</v>
      </c>
      <c r="C763" s="1" t="s">
        <v>59</v>
      </c>
      <c r="D763" s="1" t="s">
        <v>32</v>
      </c>
      <c r="E763" s="1" t="s">
        <v>20</v>
      </c>
      <c r="F763">
        <v>112</v>
      </c>
      <c r="G763">
        <v>9.49</v>
      </c>
      <c r="H763">
        <v>1062.8800000000001</v>
      </c>
      <c r="I763" s="1" t="s">
        <v>46</v>
      </c>
      <c r="J763" s="1" t="s">
        <v>22</v>
      </c>
      <c r="K763" s="1" t="s">
        <v>23</v>
      </c>
      <c r="L763">
        <v>749.53</v>
      </c>
      <c r="M763">
        <v>29.5</v>
      </c>
      <c r="N763">
        <v>2024</v>
      </c>
      <c r="O763">
        <f t="shared" si="11"/>
        <v>2</v>
      </c>
      <c r="P763" s="13" t="s">
        <v>62</v>
      </c>
      <c r="Q763">
        <v>313.35000000000002</v>
      </c>
      <c r="R763" s="3" t="s">
        <v>25</v>
      </c>
      <c r="S763" s="7">
        <f>Ventas[[#This Row],[Costo Material (€)]]/Ventas[[#This Row],[Beneficio (€)]]</f>
        <v>2.3919897877772458</v>
      </c>
      <c r="T763" s="3" t="str">
        <f>IF(Ventas[[#This Row],[Margen (%)]]&gt;20%,"Beneficio","Perdidas")</f>
        <v>Beneficio</v>
      </c>
    </row>
    <row r="764" spans="1:20" x14ac:dyDescent="0.25">
      <c r="A764" s="12">
        <v>45446</v>
      </c>
      <c r="B764" s="1" t="s">
        <v>58</v>
      </c>
      <c r="C764" s="1" t="s">
        <v>59</v>
      </c>
      <c r="D764" s="1" t="s">
        <v>53</v>
      </c>
      <c r="E764" s="1" t="s">
        <v>50</v>
      </c>
      <c r="F764">
        <v>267</v>
      </c>
      <c r="G764">
        <v>6.74</v>
      </c>
      <c r="H764">
        <v>1799.58</v>
      </c>
      <c r="I764" s="1" t="s">
        <v>39</v>
      </c>
      <c r="J764" s="1" t="s">
        <v>56</v>
      </c>
      <c r="K764" s="1" t="s">
        <v>41</v>
      </c>
      <c r="L764">
        <v>1486.73</v>
      </c>
      <c r="M764">
        <v>17.399999999999999</v>
      </c>
      <c r="N764">
        <v>2024</v>
      </c>
      <c r="O764">
        <f t="shared" si="11"/>
        <v>2</v>
      </c>
      <c r="P764" s="13" t="s">
        <v>64</v>
      </c>
      <c r="Q764">
        <v>312.85000000000002</v>
      </c>
      <c r="R764" s="3" t="s">
        <v>29</v>
      </c>
      <c r="S764" s="7">
        <f>Ventas[[#This Row],[Costo Material (€)]]/Ventas[[#This Row],[Beneficio (€)]]</f>
        <v>4.7522135208566398</v>
      </c>
      <c r="T764" s="3" t="str">
        <f>IF(Ventas[[#This Row],[Margen (%)]]&gt;20%,"Beneficio","Perdidas")</f>
        <v>Beneficio</v>
      </c>
    </row>
    <row r="765" spans="1:20" x14ac:dyDescent="0.25">
      <c r="A765" s="12">
        <v>44963</v>
      </c>
      <c r="B765" s="1" t="s">
        <v>35</v>
      </c>
      <c r="C765" s="1" t="s">
        <v>36</v>
      </c>
      <c r="D765" s="1" t="s">
        <v>19</v>
      </c>
      <c r="E765" s="1" t="s">
        <v>20</v>
      </c>
      <c r="F765">
        <v>484</v>
      </c>
      <c r="G765">
        <v>2.4500000000000002</v>
      </c>
      <c r="H765">
        <v>1185.8</v>
      </c>
      <c r="I765" s="1" t="s">
        <v>46</v>
      </c>
      <c r="J765" s="1" t="s">
        <v>47</v>
      </c>
      <c r="K765" s="1" t="s">
        <v>28</v>
      </c>
      <c r="L765">
        <v>874.67</v>
      </c>
      <c r="M765">
        <v>26.2</v>
      </c>
      <c r="N765">
        <v>2023</v>
      </c>
      <c r="O765">
        <f t="shared" si="11"/>
        <v>1</v>
      </c>
      <c r="P765" s="13" t="s">
        <v>60</v>
      </c>
      <c r="Q765">
        <v>311.13</v>
      </c>
      <c r="R765" s="3" t="s">
        <v>25</v>
      </c>
      <c r="S765" s="7">
        <f>Ventas[[#This Row],[Costo Material (€)]]/Ventas[[#This Row],[Beneficio (€)]]</f>
        <v>2.8112686015491914</v>
      </c>
      <c r="T765" s="3" t="str">
        <f>IF(Ventas[[#This Row],[Margen (%)]]&gt;20%,"Beneficio","Perdidas")</f>
        <v>Beneficio</v>
      </c>
    </row>
    <row r="766" spans="1:20" x14ac:dyDescent="0.25">
      <c r="A766" s="12">
        <v>45399</v>
      </c>
      <c r="B766" s="1" t="s">
        <v>51</v>
      </c>
      <c r="C766" s="1" t="s">
        <v>52</v>
      </c>
      <c r="D766" s="1" t="s">
        <v>44</v>
      </c>
      <c r="E766" s="1" t="s">
        <v>38</v>
      </c>
      <c r="F766">
        <v>167</v>
      </c>
      <c r="G766">
        <v>6.45</v>
      </c>
      <c r="H766">
        <v>1077.1500000000001</v>
      </c>
      <c r="I766" s="1" t="s">
        <v>39</v>
      </c>
      <c r="J766" s="1" t="s">
        <v>27</v>
      </c>
      <c r="K766" s="1" t="s">
        <v>41</v>
      </c>
      <c r="L766">
        <v>766.32</v>
      </c>
      <c r="M766">
        <v>28.9</v>
      </c>
      <c r="N766">
        <v>2024</v>
      </c>
      <c r="O766">
        <f t="shared" si="11"/>
        <v>2</v>
      </c>
      <c r="P766" s="13" t="s">
        <v>62</v>
      </c>
      <c r="Q766">
        <v>310.83</v>
      </c>
      <c r="R766" s="3" t="s">
        <v>25</v>
      </c>
      <c r="S766" s="7">
        <f>Ventas[[#This Row],[Costo Material (€)]]/Ventas[[#This Row],[Beneficio (€)]]</f>
        <v>2.4653990927516651</v>
      </c>
      <c r="T766" s="3" t="str">
        <f>IF(Ventas[[#This Row],[Margen (%)]]&gt;20%,"Beneficio","Perdidas")</f>
        <v>Beneficio</v>
      </c>
    </row>
    <row r="767" spans="1:20" x14ac:dyDescent="0.25">
      <c r="A767" s="12">
        <v>45041</v>
      </c>
      <c r="B767" s="1" t="s">
        <v>42</v>
      </c>
      <c r="C767" s="1" t="s">
        <v>43</v>
      </c>
      <c r="D767" s="1" t="s">
        <v>48</v>
      </c>
      <c r="E767" s="1" t="s">
        <v>38</v>
      </c>
      <c r="F767">
        <v>127</v>
      </c>
      <c r="G767">
        <v>7.25</v>
      </c>
      <c r="H767">
        <v>920.75</v>
      </c>
      <c r="I767" s="1" t="s">
        <v>55</v>
      </c>
      <c r="J767" s="1" t="s">
        <v>47</v>
      </c>
      <c r="K767" s="1" t="s">
        <v>28</v>
      </c>
      <c r="L767">
        <v>614.27</v>
      </c>
      <c r="M767">
        <v>33.299999999999997</v>
      </c>
      <c r="N767">
        <v>2023</v>
      </c>
      <c r="O767">
        <f t="shared" si="11"/>
        <v>2</v>
      </c>
      <c r="P767" s="13" t="s">
        <v>62</v>
      </c>
      <c r="Q767">
        <v>306.48</v>
      </c>
      <c r="R767" s="3" t="s">
        <v>25</v>
      </c>
      <c r="S767" s="7">
        <f>Ventas[[#This Row],[Costo Material (€)]]/Ventas[[#This Row],[Beneficio (€)]]</f>
        <v>2.0042743409031583</v>
      </c>
      <c r="T767" s="3" t="str">
        <f>IF(Ventas[[#This Row],[Margen (%)]]&gt;20%,"Beneficio","Perdidas")</f>
        <v>Beneficio</v>
      </c>
    </row>
    <row r="768" spans="1:20" x14ac:dyDescent="0.25">
      <c r="A768" s="12">
        <v>45042</v>
      </c>
      <c r="B768" s="1" t="s">
        <v>35</v>
      </c>
      <c r="C768" s="1" t="s">
        <v>36</v>
      </c>
      <c r="D768" s="1" t="s">
        <v>48</v>
      </c>
      <c r="E768" s="1" t="s">
        <v>38</v>
      </c>
      <c r="F768">
        <v>98</v>
      </c>
      <c r="G768">
        <v>7.9</v>
      </c>
      <c r="H768">
        <v>774.2</v>
      </c>
      <c r="I768" s="1" t="s">
        <v>21</v>
      </c>
      <c r="J768" s="1" t="s">
        <v>40</v>
      </c>
      <c r="K768" s="1" t="s">
        <v>28</v>
      </c>
      <c r="L768">
        <v>467.89</v>
      </c>
      <c r="M768">
        <v>39.6</v>
      </c>
      <c r="N768">
        <v>2023</v>
      </c>
      <c r="O768">
        <f t="shared" si="11"/>
        <v>2</v>
      </c>
      <c r="P768" s="13" t="s">
        <v>62</v>
      </c>
      <c r="Q768">
        <v>306.31</v>
      </c>
      <c r="R768" s="3" t="s">
        <v>25</v>
      </c>
      <c r="S768" s="7">
        <f>Ventas[[#This Row],[Costo Material (€)]]/Ventas[[#This Row],[Beneficio (€)]]</f>
        <v>1.5275048153831086</v>
      </c>
      <c r="T768" s="3" t="str">
        <f>IF(Ventas[[#This Row],[Margen (%)]]&gt;20%,"Beneficio","Perdidas")</f>
        <v>Beneficio</v>
      </c>
    </row>
    <row r="769" spans="1:20" x14ac:dyDescent="0.25">
      <c r="A769" s="12">
        <v>44927</v>
      </c>
      <c r="B769" s="1" t="s">
        <v>17</v>
      </c>
      <c r="C769" s="1" t="s">
        <v>18</v>
      </c>
      <c r="D769" s="1" t="s">
        <v>19</v>
      </c>
      <c r="E769" s="1" t="s">
        <v>20</v>
      </c>
      <c r="F769">
        <v>118</v>
      </c>
      <c r="G769">
        <v>9.51</v>
      </c>
      <c r="H769">
        <v>1122.18</v>
      </c>
      <c r="I769" s="1" t="s">
        <v>21</v>
      </c>
      <c r="J769" s="1" t="s">
        <v>22</v>
      </c>
      <c r="K769" s="1" t="s">
        <v>23</v>
      </c>
      <c r="L769">
        <v>816.31</v>
      </c>
      <c r="M769">
        <v>27.3</v>
      </c>
      <c r="N769">
        <v>2023</v>
      </c>
      <c r="O769" s="8">
        <f t="shared" si="11"/>
        <v>1</v>
      </c>
      <c r="P769" s="13" t="s">
        <v>24</v>
      </c>
      <c r="Q769">
        <v>305.87</v>
      </c>
      <c r="R769" s="3" t="s">
        <v>25</v>
      </c>
      <c r="S769" s="7">
        <f>Ventas[[#This Row],[Costo Material (€)]]/Ventas[[#This Row],[Beneficio (€)]]</f>
        <v>2.6688135482394477</v>
      </c>
      <c r="T769" s="3" t="str">
        <f>IF(Ventas[[#This Row],[Margen (%)]]&gt;20%,"Beneficio","Perdidas")</f>
        <v>Beneficio</v>
      </c>
    </row>
    <row r="770" spans="1:20" x14ac:dyDescent="0.25">
      <c r="A770" s="12">
        <v>45210</v>
      </c>
      <c r="B770" s="1" t="s">
        <v>30</v>
      </c>
      <c r="C770" s="1" t="s">
        <v>31</v>
      </c>
      <c r="D770" s="1" t="s">
        <v>45</v>
      </c>
      <c r="E770" s="1" t="s">
        <v>20</v>
      </c>
      <c r="F770">
        <v>115</v>
      </c>
      <c r="G770">
        <v>11.53</v>
      </c>
      <c r="H770">
        <v>1325.95</v>
      </c>
      <c r="I770" s="1" t="s">
        <v>26</v>
      </c>
      <c r="J770" s="1" t="s">
        <v>27</v>
      </c>
      <c r="K770" s="1" t="s">
        <v>23</v>
      </c>
      <c r="L770">
        <v>1020.45</v>
      </c>
      <c r="M770">
        <v>23</v>
      </c>
      <c r="N770">
        <v>2023</v>
      </c>
      <c r="O770">
        <f t="shared" ref="O770:O833" si="12">ROUNDUP(MONTH(A770)/3,0)</f>
        <v>4</v>
      </c>
      <c r="P770" s="13" t="s">
        <v>68</v>
      </c>
      <c r="Q770">
        <v>305.5</v>
      </c>
      <c r="R770" s="3" t="s">
        <v>29</v>
      </c>
      <c r="S770" s="7">
        <f>Ventas[[#This Row],[Costo Material (€)]]/Ventas[[#This Row],[Beneficio (€)]]</f>
        <v>3.340261865793781</v>
      </c>
      <c r="T770" s="3" t="str">
        <f>IF(Ventas[[#This Row],[Margen (%)]]&gt;20%,"Beneficio","Perdidas")</f>
        <v>Beneficio</v>
      </c>
    </row>
    <row r="771" spans="1:20" x14ac:dyDescent="0.25">
      <c r="A771" s="12">
        <v>45098</v>
      </c>
      <c r="B771" s="1" t="s">
        <v>35</v>
      </c>
      <c r="C771" s="1" t="s">
        <v>36</v>
      </c>
      <c r="D771" s="1" t="s">
        <v>48</v>
      </c>
      <c r="E771" s="1" t="s">
        <v>38</v>
      </c>
      <c r="F771">
        <v>280</v>
      </c>
      <c r="G771">
        <v>3.57</v>
      </c>
      <c r="H771">
        <v>999.6</v>
      </c>
      <c r="I771" s="1" t="s">
        <v>26</v>
      </c>
      <c r="J771" s="1" t="s">
        <v>22</v>
      </c>
      <c r="K771" s="1" t="s">
        <v>41</v>
      </c>
      <c r="L771">
        <v>695.2</v>
      </c>
      <c r="M771">
        <v>30.5</v>
      </c>
      <c r="N771">
        <v>2023</v>
      </c>
      <c r="O771">
        <f t="shared" si="12"/>
        <v>2</v>
      </c>
      <c r="P771" s="13" t="s">
        <v>64</v>
      </c>
      <c r="Q771">
        <v>304.39999999999998</v>
      </c>
      <c r="R771" s="3" t="s">
        <v>25</v>
      </c>
      <c r="S771" s="7">
        <f>Ventas[[#This Row],[Costo Material (€)]]/Ventas[[#This Row],[Beneficio (€)]]</f>
        <v>2.2838370565045993</v>
      </c>
      <c r="T771" s="3" t="str">
        <f>IF(Ventas[[#This Row],[Margen (%)]]&gt;20%,"Beneficio","Perdidas")</f>
        <v>Beneficio</v>
      </c>
    </row>
    <row r="772" spans="1:20" x14ac:dyDescent="0.25">
      <c r="A772" s="12">
        <v>45302</v>
      </c>
      <c r="B772" s="1" t="s">
        <v>17</v>
      </c>
      <c r="C772" s="1" t="s">
        <v>18</v>
      </c>
      <c r="D772" s="1" t="s">
        <v>37</v>
      </c>
      <c r="E772" s="1" t="s">
        <v>38</v>
      </c>
      <c r="F772">
        <v>555</v>
      </c>
      <c r="G772">
        <v>4.5599999999999996</v>
      </c>
      <c r="H772">
        <v>2530.8000000000002</v>
      </c>
      <c r="I772" s="1" t="s">
        <v>54</v>
      </c>
      <c r="J772" s="1" t="s">
        <v>47</v>
      </c>
      <c r="K772" s="1" t="s">
        <v>28</v>
      </c>
      <c r="L772">
        <v>2226.87</v>
      </c>
      <c r="M772">
        <v>12</v>
      </c>
      <c r="N772">
        <v>2024</v>
      </c>
      <c r="O772">
        <f t="shared" si="12"/>
        <v>1</v>
      </c>
      <c r="P772" s="13" t="s">
        <v>24</v>
      </c>
      <c r="Q772">
        <v>303.93</v>
      </c>
      <c r="R772" s="3" t="s">
        <v>29</v>
      </c>
      <c r="S772" s="7">
        <f>Ventas[[#This Row],[Costo Material (€)]]/Ventas[[#This Row],[Beneficio (€)]]</f>
        <v>7.3269173822919749</v>
      </c>
      <c r="T772" s="3" t="str">
        <f>IF(Ventas[[#This Row],[Margen (%)]]&gt;20%,"Beneficio","Perdidas")</f>
        <v>Beneficio</v>
      </c>
    </row>
    <row r="773" spans="1:20" x14ac:dyDescent="0.25">
      <c r="A773" s="12">
        <v>45313</v>
      </c>
      <c r="B773" s="1" t="s">
        <v>42</v>
      </c>
      <c r="C773" s="1" t="s">
        <v>43</v>
      </c>
      <c r="D773" s="1" t="s">
        <v>37</v>
      </c>
      <c r="E773" s="1" t="s">
        <v>38</v>
      </c>
      <c r="F773">
        <v>164</v>
      </c>
      <c r="G773">
        <v>7.45</v>
      </c>
      <c r="H773">
        <v>1221.8</v>
      </c>
      <c r="I773" s="1" t="s">
        <v>57</v>
      </c>
      <c r="J773" s="1" t="s">
        <v>40</v>
      </c>
      <c r="K773" s="1" t="s">
        <v>28</v>
      </c>
      <c r="L773">
        <v>918.54</v>
      </c>
      <c r="M773">
        <v>24.8</v>
      </c>
      <c r="N773">
        <v>2024</v>
      </c>
      <c r="O773">
        <f t="shared" si="12"/>
        <v>1</v>
      </c>
      <c r="P773" s="13" t="s">
        <v>24</v>
      </c>
      <c r="Q773">
        <v>303.26</v>
      </c>
      <c r="R773" s="3" t="s">
        <v>29</v>
      </c>
      <c r="S773" s="7">
        <f>Ventas[[#This Row],[Costo Material (€)]]/Ventas[[#This Row],[Beneficio (€)]]</f>
        <v>3.0288861043329156</v>
      </c>
      <c r="T773" s="3" t="str">
        <f>IF(Ventas[[#This Row],[Margen (%)]]&gt;20%,"Beneficio","Perdidas")</f>
        <v>Beneficio</v>
      </c>
    </row>
    <row r="774" spans="1:20" x14ac:dyDescent="0.25">
      <c r="A774" s="12">
        <v>45118</v>
      </c>
      <c r="B774" s="1" t="s">
        <v>51</v>
      </c>
      <c r="C774" s="1" t="s">
        <v>52</v>
      </c>
      <c r="D774" s="1" t="s">
        <v>37</v>
      </c>
      <c r="E774" s="1" t="s">
        <v>38</v>
      </c>
      <c r="F774">
        <v>115</v>
      </c>
      <c r="G774">
        <v>7.03</v>
      </c>
      <c r="H774">
        <v>808.45</v>
      </c>
      <c r="I774" s="1" t="s">
        <v>33</v>
      </c>
      <c r="J774" s="1" t="s">
        <v>47</v>
      </c>
      <c r="K774" s="1" t="s">
        <v>41</v>
      </c>
      <c r="L774">
        <v>508.32</v>
      </c>
      <c r="M774">
        <v>37.1</v>
      </c>
      <c r="N774">
        <v>2023</v>
      </c>
      <c r="O774">
        <f t="shared" si="12"/>
        <v>3</v>
      </c>
      <c r="P774" s="13" t="s">
        <v>65</v>
      </c>
      <c r="Q774">
        <v>300.13</v>
      </c>
      <c r="R774" s="3" t="s">
        <v>25</v>
      </c>
      <c r="S774" s="7">
        <f>Ventas[[#This Row],[Costo Material (€)]]/Ventas[[#This Row],[Beneficio (€)]]</f>
        <v>1.6936660780328525</v>
      </c>
      <c r="T774" s="3" t="str">
        <f>IF(Ventas[[#This Row],[Margen (%)]]&gt;20%,"Beneficio","Perdidas")</f>
        <v>Beneficio</v>
      </c>
    </row>
    <row r="775" spans="1:20" x14ac:dyDescent="0.25">
      <c r="A775" s="12">
        <v>45054</v>
      </c>
      <c r="B775" s="1" t="s">
        <v>42</v>
      </c>
      <c r="C775" s="1" t="s">
        <v>43</v>
      </c>
      <c r="D775" s="1" t="s">
        <v>44</v>
      </c>
      <c r="E775" s="1" t="s">
        <v>38</v>
      </c>
      <c r="F775">
        <v>286</v>
      </c>
      <c r="G775">
        <v>2.71</v>
      </c>
      <c r="H775">
        <v>775.06</v>
      </c>
      <c r="I775" s="1" t="s">
        <v>26</v>
      </c>
      <c r="J775" s="1" t="s">
        <v>34</v>
      </c>
      <c r="K775" s="1" t="s">
        <v>23</v>
      </c>
      <c r="L775">
        <v>475.57</v>
      </c>
      <c r="M775">
        <v>38.6</v>
      </c>
      <c r="N775">
        <v>2023</v>
      </c>
      <c r="O775">
        <f t="shared" si="12"/>
        <v>2</v>
      </c>
      <c r="P775" s="13" t="s">
        <v>63</v>
      </c>
      <c r="Q775">
        <v>299.49</v>
      </c>
      <c r="R775" s="3" t="s">
        <v>25</v>
      </c>
      <c r="S775" s="7">
        <f>Ventas[[#This Row],[Costo Material (€)]]/Ventas[[#This Row],[Beneficio (€)]]</f>
        <v>1.5879328191258473</v>
      </c>
      <c r="T775" s="3" t="str">
        <f>IF(Ventas[[#This Row],[Margen (%)]]&gt;20%,"Beneficio","Perdidas")</f>
        <v>Beneficio</v>
      </c>
    </row>
    <row r="776" spans="1:20" x14ac:dyDescent="0.25">
      <c r="A776" s="12">
        <v>44967</v>
      </c>
      <c r="B776" s="1" t="s">
        <v>17</v>
      </c>
      <c r="C776" s="1" t="s">
        <v>18</v>
      </c>
      <c r="D776" s="1" t="s">
        <v>49</v>
      </c>
      <c r="E776" s="1" t="s">
        <v>50</v>
      </c>
      <c r="F776">
        <v>235</v>
      </c>
      <c r="G776">
        <v>6.9</v>
      </c>
      <c r="H776">
        <v>1621.5</v>
      </c>
      <c r="I776" s="1" t="s">
        <v>21</v>
      </c>
      <c r="J776" s="1" t="s">
        <v>22</v>
      </c>
      <c r="K776" s="1" t="s">
        <v>41</v>
      </c>
      <c r="L776">
        <v>1322.81</v>
      </c>
      <c r="M776">
        <v>18.399999999999999</v>
      </c>
      <c r="N776">
        <v>2023</v>
      </c>
      <c r="O776">
        <f t="shared" si="12"/>
        <v>1</v>
      </c>
      <c r="P776" s="13" t="s">
        <v>60</v>
      </c>
      <c r="Q776">
        <v>298.69</v>
      </c>
      <c r="R776" s="3" t="s">
        <v>29</v>
      </c>
      <c r="S776" s="7">
        <f>Ventas[[#This Row],[Costo Material (€)]]/Ventas[[#This Row],[Beneficio (€)]]</f>
        <v>4.4287053466805046</v>
      </c>
      <c r="T776" s="3" t="str">
        <f>IF(Ventas[[#This Row],[Margen (%)]]&gt;20%,"Beneficio","Perdidas")</f>
        <v>Beneficio</v>
      </c>
    </row>
    <row r="777" spans="1:20" x14ac:dyDescent="0.25">
      <c r="A777" s="12">
        <v>45159</v>
      </c>
      <c r="B777" s="1" t="s">
        <v>51</v>
      </c>
      <c r="C777" s="1" t="s">
        <v>52</v>
      </c>
      <c r="D777" s="1" t="s">
        <v>32</v>
      </c>
      <c r="E777" s="1" t="s">
        <v>20</v>
      </c>
      <c r="F777">
        <v>360</v>
      </c>
      <c r="G777">
        <v>5.57</v>
      </c>
      <c r="H777">
        <v>2005.2</v>
      </c>
      <c r="I777" s="1" t="s">
        <v>54</v>
      </c>
      <c r="J777" s="1" t="s">
        <v>27</v>
      </c>
      <c r="K777" s="1" t="s">
        <v>28</v>
      </c>
      <c r="L777">
        <v>1709.26</v>
      </c>
      <c r="M777">
        <v>14.8</v>
      </c>
      <c r="N777">
        <v>2023</v>
      </c>
      <c r="O777">
        <f t="shared" si="12"/>
        <v>3</v>
      </c>
      <c r="P777" s="13" t="s">
        <v>66</v>
      </c>
      <c r="Q777">
        <v>295.94</v>
      </c>
      <c r="R777" s="3" t="s">
        <v>29</v>
      </c>
      <c r="S777" s="7">
        <f>Ventas[[#This Row],[Costo Material (€)]]/Ventas[[#This Row],[Beneficio (€)]]</f>
        <v>5.7756977765763331</v>
      </c>
      <c r="T777" s="3" t="str">
        <f>IF(Ventas[[#This Row],[Margen (%)]]&gt;20%,"Beneficio","Perdidas")</f>
        <v>Beneficio</v>
      </c>
    </row>
    <row r="778" spans="1:20" x14ac:dyDescent="0.25">
      <c r="A778" s="12">
        <v>45748</v>
      </c>
      <c r="B778" s="1" t="s">
        <v>58</v>
      </c>
      <c r="C778" s="1" t="s">
        <v>59</v>
      </c>
      <c r="D778" s="1" t="s">
        <v>45</v>
      </c>
      <c r="E778" s="1" t="s">
        <v>20</v>
      </c>
      <c r="F778">
        <v>598</v>
      </c>
      <c r="G778">
        <v>4.3899999999999997</v>
      </c>
      <c r="H778">
        <v>2625.22</v>
      </c>
      <c r="I778" s="1" t="s">
        <v>33</v>
      </c>
      <c r="J778" s="1" t="s">
        <v>40</v>
      </c>
      <c r="K778" s="1" t="s">
        <v>23</v>
      </c>
      <c r="L778">
        <v>2330.1</v>
      </c>
      <c r="M778">
        <v>11.2</v>
      </c>
      <c r="N778">
        <v>2025</v>
      </c>
      <c r="O778">
        <f t="shared" si="12"/>
        <v>2</v>
      </c>
      <c r="P778" s="13" t="s">
        <v>62</v>
      </c>
      <c r="Q778">
        <v>295.12</v>
      </c>
      <c r="R778" s="3" t="s">
        <v>29</v>
      </c>
      <c r="S778" s="7">
        <f>Ventas[[#This Row],[Costo Material (€)]]/Ventas[[#This Row],[Beneficio (€)]]</f>
        <v>7.895432366494985</v>
      </c>
      <c r="T778" s="3" t="str">
        <f>IF(Ventas[[#This Row],[Margen (%)]]&gt;20%,"Beneficio","Perdidas")</f>
        <v>Beneficio</v>
      </c>
    </row>
    <row r="779" spans="1:20" x14ac:dyDescent="0.25">
      <c r="A779" s="12">
        <v>45153</v>
      </c>
      <c r="B779" s="1" t="s">
        <v>35</v>
      </c>
      <c r="C779" s="1" t="s">
        <v>36</v>
      </c>
      <c r="D779" s="1" t="s">
        <v>48</v>
      </c>
      <c r="E779" s="1" t="s">
        <v>38</v>
      </c>
      <c r="F779">
        <v>738</v>
      </c>
      <c r="G779">
        <v>2.58</v>
      </c>
      <c r="H779">
        <v>1904.04</v>
      </c>
      <c r="I779" s="1" t="s">
        <v>46</v>
      </c>
      <c r="J779" s="1" t="s">
        <v>47</v>
      </c>
      <c r="K779" s="1" t="s">
        <v>41</v>
      </c>
      <c r="L779">
        <v>1609.82</v>
      </c>
      <c r="M779">
        <v>15.5</v>
      </c>
      <c r="N779">
        <v>2023</v>
      </c>
      <c r="O779">
        <f t="shared" si="12"/>
        <v>3</v>
      </c>
      <c r="P779" s="13" t="s">
        <v>66</v>
      </c>
      <c r="Q779">
        <v>294.22000000000003</v>
      </c>
      <c r="R779" s="3" t="s">
        <v>29</v>
      </c>
      <c r="S779" s="7">
        <f>Ventas[[#This Row],[Costo Material (€)]]/Ventas[[#This Row],[Beneficio (€)]]</f>
        <v>5.4714839235945885</v>
      </c>
      <c r="T779" s="3" t="str">
        <f>IF(Ventas[[#This Row],[Margen (%)]]&gt;20%,"Beneficio","Perdidas")</f>
        <v>Beneficio</v>
      </c>
    </row>
    <row r="780" spans="1:20" x14ac:dyDescent="0.25">
      <c r="A780" s="12">
        <v>44988</v>
      </c>
      <c r="B780" s="1" t="s">
        <v>30</v>
      </c>
      <c r="C780" s="1" t="s">
        <v>31</v>
      </c>
      <c r="D780" s="1" t="s">
        <v>45</v>
      </c>
      <c r="E780" s="1" t="s">
        <v>20</v>
      </c>
      <c r="F780">
        <v>270</v>
      </c>
      <c r="G780">
        <v>4.74</v>
      </c>
      <c r="H780">
        <v>1279.8</v>
      </c>
      <c r="I780" s="1" t="s">
        <v>55</v>
      </c>
      <c r="J780" s="1" t="s">
        <v>22</v>
      </c>
      <c r="K780" s="1" t="s">
        <v>23</v>
      </c>
      <c r="L780">
        <v>985.98</v>
      </c>
      <c r="M780">
        <v>23</v>
      </c>
      <c r="N780">
        <v>2023</v>
      </c>
      <c r="O780">
        <f t="shared" si="12"/>
        <v>1</v>
      </c>
      <c r="P780" s="13" t="s">
        <v>61</v>
      </c>
      <c r="Q780">
        <v>293.82</v>
      </c>
      <c r="R780" s="3" t="s">
        <v>29</v>
      </c>
      <c r="S780" s="7">
        <f>Ventas[[#This Row],[Costo Material (€)]]/Ventas[[#This Row],[Beneficio (€)]]</f>
        <v>3.3557279967326936</v>
      </c>
      <c r="T780" s="3" t="str">
        <f>IF(Ventas[[#This Row],[Margen (%)]]&gt;20%,"Beneficio","Perdidas")</f>
        <v>Beneficio</v>
      </c>
    </row>
    <row r="781" spans="1:20" x14ac:dyDescent="0.25">
      <c r="A781" s="12">
        <v>45070</v>
      </c>
      <c r="B781" s="1" t="s">
        <v>17</v>
      </c>
      <c r="C781" s="1" t="s">
        <v>18</v>
      </c>
      <c r="D781" s="1" t="s">
        <v>19</v>
      </c>
      <c r="E781" s="1" t="s">
        <v>20</v>
      </c>
      <c r="F781">
        <v>337</v>
      </c>
      <c r="G781">
        <v>7.76</v>
      </c>
      <c r="H781">
        <v>2615.12</v>
      </c>
      <c r="I781" s="1" t="s">
        <v>54</v>
      </c>
      <c r="J781" s="1" t="s">
        <v>47</v>
      </c>
      <c r="K781" s="1" t="s">
        <v>41</v>
      </c>
      <c r="L781">
        <v>2322.91</v>
      </c>
      <c r="M781">
        <v>11.2</v>
      </c>
      <c r="N781">
        <v>2023</v>
      </c>
      <c r="O781">
        <f t="shared" si="12"/>
        <v>2</v>
      </c>
      <c r="P781" s="13" t="s">
        <v>63</v>
      </c>
      <c r="Q781">
        <v>292.20999999999998</v>
      </c>
      <c r="R781" s="3" t="s">
        <v>29</v>
      </c>
      <c r="S781" s="7">
        <f>Ventas[[#This Row],[Costo Material (€)]]/Ventas[[#This Row],[Beneficio (€)]]</f>
        <v>7.9494541596796822</v>
      </c>
      <c r="T781" s="3" t="str">
        <f>IF(Ventas[[#This Row],[Margen (%)]]&gt;20%,"Beneficio","Perdidas")</f>
        <v>Beneficio</v>
      </c>
    </row>
    <row r="782" spans="1:20" x14ac:dyDescent="0.25">
      <c r="A782" s="12">
        <v>44938</v>
      </c>
      <c r="B782" s="1" t="s">
        <v>58</v>
      </c>
      <c r="C782" s="1" t="s">
        <v>59</v>
      </c>
      <c r="D782" s="1" t="s">
        <v>37</v>
      </c>
      <c r="E782" s="1" t="s">
        <v>38</v>
      </c>
      <c r="F782">
        <v>246</v>
      </c>
      <c r="G782">
        <v>3.96</v>
      </c>
      <c r="H782">
        <v>974.16</v>
      </c>
      <c r="I782" s="1" t="s">
        <v>21</v>
      </c>
      <c r="J782" s="1" t="s">
        <v>27</v>
      </c>
      <c r="K782" s="1" t="s">
        <v>28</v>
      </c>
      <c r="L782">
        <v>682.21</v>
      </c>
      <c r="M782">
        <v>30</v>
      </c>
      <c r="N782">
        <v>2023</v>
      </c>
      <c r="O782">
        <f t="shared" si="12"/>
        <v>1</v>
      </c>
      <c r="P782" s="13" t="s">
        <v>24</v>
      </c>
      <c r="Q782">
        <v>291.95</v>
      </c>
      <c r="R782" s="3" t="s">
        <v>25</v>
      </c>
      <c r="S782" s="7">
        <f>Ventas[[#This Row],[Costo Material (€)]]/Ventas[[#This Row],[Beneficio (€)]]</f>
        <v>2.3367357424216477</v>
      </c>
      <c r="T782" s="3" t="str">
        <f>IF(Ventas[[#This Row],[Margen (%)]]&gt;20%,"Beneficio","Perdidas")</f>
        <v>Beneficio</v>
      </c>
    </row>
    <row r="783" spans="1:20" x14ac:dyDescent="0.25">
      <c r="A783" s="12">
        <v>45066</v>
      </c>
      <c r="B783" s="1" t="s">
        <v>35</v>
      </c>
      <c r="C783" s="1" t="s">
        <v>36</v>
      </c>
      <c r="D783" s="1" t="s">
        <v>45</v>
      </c>
      <c r="E783" s="1" t="s">
        <v>20</v>
      </c>
      <c r="F783">
        <v>356</v>
      </c>
      <c r="G783">
        <v>3.59</v>
      </c>
      <c r="H783">
        <v>1278.04</v>
      </c>
      <c r="I783" s="1" t="s">
        <v>26</v>
      </c>
      <c r="J783" s="1" t="s">
        <v>22</v>
      </c>
      <c r="K783" s="1" t="s">
        <v>23</v>
      </c>
      <c r="L783">
        <v>986.74</v>
      </c>
      <c r="M783">
        <v>22.8</v>
      </c>
      <c r="N783">
        <v>2023</v>
      </c>
      <c r="O783">
        <f t="shared" si="12"/>
        <v>2</v>
      </c>
      <c r="P783" s="13" t="s">
        <v>63</v>
      </c>
      <c r="Q783">
        <v>291.3</v>
      </c>
      <c r="R783" s="3" t="s">
        <v>29</v>
      </c>
      <c r="S783" s="7">
        <f>Ventas[[#This Row],[Costo Material (€)]]/Ventas[[#This Row],[Beneficio (€)]]</f>
        <v>3.3873669756265019</v>
      </c>
      <c r="T783" s="3" t="str">
        <f>IF(Ventas[[#This Row],[Margen (%)]]&gt;20%,"Beneficio","Perdidas")</f>
        <v>Beneficio</v>
      </c>
    </row>
    <row r="784" spans="1:20" x14ac:dyDescent="0.25">
      <c r="A784" s="12">
        <v>45050</v>
      </c>
      <c r="B784" s="1" t="s">
        <v>42</v>
      </c>
      <c r="C784" s="1" t="s">
        <v>43</v>
      </c>
      <c r="D784" s="1" t="s">
        <v>37</v>
      </c>
      <c r="E784" s="1" t="s">
        <v>38</v>
      </c>
      <c r="F784">
        <v>141</v>
      </c>
      <c r="G784">
        <v>8.9600000000000009</v>
      </c>
      <c r="H784">
        <v>1263.3599999999999</v>
      </c>
      <c r="I784" s="1" t="s">
        <v>46</v>
      </c>
      <c r="J784" s="1" t="s">
        <v>47</v>
      </c>
      <c r="K784" s="1" t="s">
        <v>28</v>
      </c>
      <c r="L784">
        <v>973.67</v>
      </c>
      <c r="M784">
        <v>22.9</v>
      </c>
      <c r="N784">
        <v>2023</v>
      </c>
      <c r="O784">
        <f t="shared" si="12"/>
        <v>2</v>
      </c>
      <c r="P784" s="13" t="s">
        <v>63</v>
      </c>
      <c r="Q784">
        <v>289.69</v>
      </c>
      <c r="R784" s="3" t="s">
        <v>29</v>
      </c>
      <c r="S784" s="7">
        <f>Ventas[[#This Row],[Costo Material (€)]]/Ventas[[#This Row],[Beneficio (€)]]</f>
        <v>3.3610756325727502</v>
      </c>
      <c r="T784" s="3" t="str">
        <f>IF(Ventas[[#This Row],[Margen (%)]]&gt;20%,"Beneficio","Perdidas")</f>
        <v>Beneficio</v>
      </c>
    </row>
    <row r="785" spans="1:20" x14ac:dyDescent="0.25">
      <c r="A785" s="12">
        <v>45057</v>
      </c>
      <c r="B785" s="1" t="s">
        <v>30</v>
      </c>
      <c r="C785" s="1" t="s">
        <v>31</v>
      </c>
      <c r="D785" s="1" t="s">
        <v>45</v>
      </c>
      <c r="E785" s="1" t="s">
        <v>20</v>
      </c>
      <c r="F785">
        <v>422</v>
      </c>
      <c r="G785">
        <v>2.29</v>
      </c>
      <c r="H785">
        <v>966.38</v>
      </c>
      <c r="I785" s="1" t="s">
        <v>21</v>
      </c>
      <c r="J785" s="1" t="s">
        <v>40</v>
      </c>
      <c r="K785" s="1" t="s">
        <v>23</v>
      </c>
      <c r="L785">
        <v>678.41</v>
      </c>
      <c r="M785">
        <v>29.8</v>
      </c>
      <c r="N785">
        <v>2023</v>
      </c>
      <c r="O785">
        <f t="shared" si="12"/>
        <v>2</v>
      </c>
      <c r="P785" s="13" t="s">
        <v>63</v>
      </c>
      <c r="Q785">
        <v>287.97000000000003</v>
      </c>
      <c r="R785" s="3" t="s">
        <v>25</v>
      </c>
      <c r="S785" s="7">
        <f>Ventas[[#This Row],[Costo Material (€)]]/Ventas[[#This Row],[Beneficio (€)]]</f>
        <v>2.3558356773274989</v>
      </c>
      <c r="T785" s="3" t="str">
        <f>IF(Ventas[[#This Row],[Margen (%)]]&gt;20%,"Beneficio","Perdidas")</f>
        <v>Beneficio</v>
      </c>
    </row>
    <row r="786" spans="1:20" x14ac:dyDescent="0.25">
      <c r="A786" s="12">
        <v>44943</v>
      </c>
      <c r="B786" s="1" t="s">
        <v>17</v>
      </c>
      <c r="C786" s="1" t="s">
        <v>18</v>
      </c>
      <c r="D786" s="1" t="s">
        <v>32</v>
      </c>
      <c r="E786" s="1" t="s">
        <v>20</v>
      </c>
      <c r="F786">
        <v>571</v>
      </c>
      <c r="G786">
        <v>2.13</v>
      </c>
      <c r="H786">
        <v>1216.23</v>
      </c>
      <c r="I786" s="1" t="s">
        <v>57</v>
      </c>
      <c r="J786" s="1" t="s">
        <v>27</v>
      </c>
      <c r="K786" s="1" t="s">
        <v>41</v>
      </c>
      <c r="L786">
        <v>929.39</v>
      </c>
      <c r="M786">
        <v>23.6</v>
      </c>
      <c r="N786">
        <v>2023</v>
      </c>
      <c r="O786">
        <f t="shared" si="12"/>
        <v>1</v>
      </c>
      <c r="P786" s="13" t="s">
        <v>24</v>
      </c>
      <c r="Q786">
        <v>286.83999999999997</v>
      </c>
      <c r="R786" s="3" t="s">
        <v>29</v>
      </c>
      <c r="S786" s="7">
        <f>Ventas[[#This Row],[Costo Material (€)]]/Ventas[[#This Row],[Beneficio (€)]]</f>
        <v>3.2400990099009905</v>
      </c>
      <c r="T786" s="3" t="str">
        <f>IF(Ventas[[#This Row],[Margen (%)]]&gt;20%,"Beneficio","Perdidas")</f>
        <v>Beneficio</v>
      </c>
    </row>
    <row r="787" spans="1:20" x14ac:dyDescent="0.25">
      <c r="A787" s="12">
        <v>45040</v>
      </c>
      <c r="B787" s="1" t="s">
        <v>35</v>
      </c>
      <c r="C787" s="1" t="s">
        <v>36</v>
      </c>
      <c r="D787" s="1" t="s">
        <v>44</v>
      </c>
      <c r="E787" s="1" t="s">
        <v>38</v>
      </c>
      <c r="F787">
        <v>242</v>
      </c>
      <c r="G787">
        <v>7.51</v>
      </c>
      <c r="H787">
        <v>1817.42</v>
      </c>
      <c r="I787" s="1" t="s">
        <v>26</v>
      </c>
      <c r="J787" s="1" t="s">
        <v>22</v>
      </c>
      <c r="K787" s="1" t="s">
        <v>28</v>
      </c>
      <c r="L787">
        <v>1534.8</v>
      </c>
      <c r="M787">
        <v>15.6</v>
      </c>
      <c r="N787">
        <v>2023</v>
      </c>
      <c r="O787">
        <f t="shared" si="12"/>
        <v>2</v>
      </c>
      <c r="P787" s="13" t="s">
        <v>62</v>
      </c>
      <c r="Q787">
        <v>282.62</v>
      </c>
      <c r="R787" s="3" t="s">
        <v>29</v>
      </c>
      <c r="S787" s="7">
        <f>Ventas[[#This Row],[Costo Material (€)]]/Ventas[[#This Row],[Beneficio (€)]]</f>
        <v>5.4306135446889812</v>
      </c>
      <c r="T787" s="3" t="str">
        <f>IF(Ventas[[#This Row],[Margen (%)]]&gt;20%,"Beneficio","Perdidas")</f>
        <v>Beneficio</v>
      </c>
    </row>
    <row r="788" spans="1:20" x14ac:dyDescent="0.25">
      <c r="A788" s="12">
        <v>44951</v>
      </c>
      <c r="B788" s="1" t="s">
        <v>17</v>
      </c>
      <c r="C788" s="1" t="s">
        <v>18</v>
      </c>
      <c r="D788" s="1" t="s">
        <v>53</v>
      </c>
      <c r="E788" s="1" t="s">
        <v>50</v>
      </c>
      <c r="F788">
        <v>315</v>
      </c>
      <c r="G788">
        <v>7.61</v>
      </c>
      <c r="H788">
        <v>2397.15</v>
      </c>
      <c r="I788" s="1" t="s">
        <v>54</v>
      </c>
      <c r="J788" s="1" t="s">
        <v>27</v>
      </c>
      <c r="K788" s="1" t="s">
        <v>28</v>
      </c>
      <c r="L788">
        <v>2116.36</v>
      </c>
      <c r="M788">
        <v>11.7</v>
      </c>
      <c r="N788">
        <v>2023</v>
      </c>
      <c r="O788">
        <f t="shared" si="12"/>
        <v>1</v>
      </c>
      <c r="P788" s="13" t="s">
        <v>24</v>
      </c>
      <c r="Q788">
        <v>280.79000000000002</v>
      </c>
      <c r="R788" s="3" t="s">
        <v>29</v>
      </c>
      <c r="S788" s="7">
        <f>Ventas[[#This Row],[Costo Material (€)]]/Ventas[[#This Row],[Beneficio (€)]]</f>
        <v>7.5371630043804974</v>
      </c>
      <c r="T788" s="3" t="str">
        <f>IF(Ventas[[#This Row],[Margen (%)]]&gt;20%,"Beneficio","Perdidas")</f>
        <v>Beneficio</v>
      </c>
    </row>
    <row r="789" spans="1:20" x14ac:dyDescent="0.25">
      <c r="A789" s="12">
        <v>44946</v>
      </c>
      <c r="B789" s="1" t="s">
        <v>30</v>
      </c>
      <c r="C789" s="1" t="s">
        <v>31</v>
      </c>
      <c r="D789" s="1" t="s">
        <v>32</v>
      </c>
      <c r="E789" s="1" t="s">
        <v>20</v>
      </c>
      <c r="F789">
        <v>285</v>
      </c>
      <c r="G789">
        <v>4.63</v>
      </c>
      <c r="H789">
        <v>1319.55</v>
      </c>
      <c r="I789" s="1" t="s">
        <v>55</v>
      </c>
      <c r="J789" s="1" t="s">
        <v>56</v>
      </c>
      <c r="K789" s="1" t="s">
        <v>28</v>
      </c>
      <c r="L789">
        <v>1039.3</v>
      </c>
      <c r="M789">
        <v>21.2</v>
      </c>
      <c r="N789">
        <v>2023</v>
      </c>
      <c r="O789">
        <f t="shared" si="12"/>
        <v>1</v>
      </c>
      <c r="P789" s="13" t="s">
        <v>24</v>
      </c>
      <c r="Q789">
        <v>280.25</v>
      </c>
      <c r="R789" s="3" t="s">
        <v>29</v>
      </c>
      <c r="S789" s="7">
        <f>Ventas[[#This Row],[Costo Material (€)]]/Ventas[[#This Row],[Beneficio (€)]]</f>
        <v>3.7084745762711862</v>
      </c>
      <c r="T789" s="3" t="str">
        <f>IF(Ventas[[#This Row],[Margen (%)]]&gt;20%,"Beneficio","Perdidas")</f>
        <v>Beneficio</v>
      </c>
    </row>
    <row r="790" spans="1:20" x14ac:dyDescent="0.25">
      <c r="A790" s="12">
        <v>45203</v>
      </c>
      <c r="B790" s="1" t="s">
        <v>58</v>
      </c>
      <c r="C790" s="1" t="s">
        <v>59</v>
      </c>
      <c r="D790" s="1" t="s">
        <v>53</v>
      </c>
      <c r="E790" s="1" t="s">
        <v>50</v>
      </c>
      <c r="F790">
        <v>596</v>
      </c>
      <c r="G790">
        <v>2.74</v>
      </c>
      <c r="H790">
        <v>1633.04</v>
      </c>
      <c r="I790" s="1" t="s">
        <v>33</v>
      </c>
      <c r="J790" s="1" t="s">
        <v>27</v>
      </c>
      <c r="K790" s="1" t="s">
        <v>28</v>
      </c>
      <c r="L790">
        <v>1352.88</v>
      </c>
      <c r="M790">
        <v>17.2</v>
      </c>
      <c r="N790">
        <v>2023</v>
      </c>
      <c r="O790">
        <f t="shared" si="12"/>
        <v>4</v>
      </c>
      <c r="P790" s="13" t="s">
        <v>68</v>
      </c>
      <c r="Q790">
        <v>280.16000000000003</v>
      </c>
      <c r="R790" s="3" t="s">
        <v>29</v>
      </c>
      <c r="S790" s="7">
        <f>Ventas[[#This Row],[Costo Material (€)]]/Ventas[[#This Row],[Beneficio (€)]]</f>
        <v>4.8289548829240436</v>
      </c>
      <c r="T790" s="3" t="str">
        <f>IF(Ventas[[#This Row],[Margen (%)]]&gt;20%,"Beneficio","Perdidas")</f>
        <v>Beneficio</v>
      </c>
    </row>
    <row r="791" spans="1:20" x14ac:dyDescent="0.25">
      <c r="A791" s="12">
        <v>45416</v>
      </c>
      <c r="B791" s="1" t="s">
        <v>58</v>
      </c>
      <c r="C791" s="1" t="s">
        <v>59</v>
      </c>
      <c r="D791" s="1" t="s">
        <v>48</v>
      </c>
      <c r="E791" s="1" t="s">
        <v>38</v>
      </c>
      <c r="F791">
        <v>240</v>
      </c>
      <c r="G791">
        <v>10.86</v>
      </c>
      <c r="H791">
        <v>2606.4</v>
      </c>
      <c r="I791" s="1" t="s">
        <v>54</v>
      </c>
      <c r="J791" s="1" t="s">
        <v>22</v>
      </c>
      <c r="K791" s="1" t="s">
        <v>41</v>
      </c>
      <c r="L791">
        <v>2326.96</v>
      </c>
      <c r="M791">
        <v>10.7</v>
      </c>
      <c r="N791">
        <v>2024</v>
      </c>
      <c r="O791">
        <f t="shared" si="12"/>
        <v>2</v>
      </c>
      <c r="P791" s="13" t="s">
        <v>63</v>
      </c>
      <c r="Q791">
        <v>279.44</v>
      </c>
      <c r="R791" s="3" t="s">
        <v>29</v>
      </c>
      <c r="S791" s="7">
        <f>Ventas[[#This Row],[Costo Material (€)]]/Ventas[[#This Row],[Beneficio (€)]]</f>
        <v>8.3272258803320938</v>
      </c>
      <c r="T791" s="3" t="str">
        <f>IF(Ventas[[#This Row],[Margen (%)]]&gt;20%,"Beneficio","Perdidas")</f>
        <v>Beneficio</v>
      </c>
    </row>
    <row r="792" spans="1:20" x14ac:dyDescent="0.25">
      <c r="A792" s="12">
        <v>44981</v>
      </c>
      <c r="B792" s="1" t="s">
        <v>30</v>
      </c>
      <c r="C792" s="1" t="s">
        <v>31</v>
      </c>
      <c r="D792" s="1" t="s">
        <v>53</v>
      </c>
      <c r="E792" s="1" t="s">
        <v>50</v>
      </c>
      <c r="F792">
        <v>832</v>
      </c>
      <c r="G792">
        <v>2.39</v>
      </c>
      <c r="H792">
        <v>1988.48</v>
      </c>
      <c r="I792" s="1" t="s">
        <v>55</v>
      </c>
      <c r="J792" s="1" t="s">
        <v>56</v>
      </c>
      <c r="K792" s="1" t="s">
        <v>28</v>
      </c>
      <c r="L792">
        <v>1709.9</v>
      </c>
      <c r="M792">
        <v>14</v>
      </c>
      <c r="N792">
        <v>2023</v>
      </c>
      <c r="O792">
        <f t="shared" si="12"/>
        <v>1</v>
      </c>
      <c r="P792" s="13" t="s">
        <v>60</v>
      </c>
      <c r="Q792">
        <v>278.58</v>
      </c>
      <c r="R792" s="3" t="s">
        <v>29</v>
      </c>
      <c r="S792" s="7">
        <f>Ventas[[#This Row],[Costo Material (€)]]/Ventas[[#This Row],[Beneficio (€)]]</f>
        <v>6.1379137052193276</v>
      </c>
      <c r="T792" s="3" t="str">
        <f>IF(Ventas[[#This Row],[Margen (%)]]&gt;20%,"Beneficio","Perdidas")</f>
        <v>Beneficio</v>
      </c>
    </row>
    <row r="793" spans="1:20" x14ac:dyDescent="0.25">
      <c r="A793" s="12">
        <v>45077</v>
      </c>
      <c r="B793" s="1" t="s">
        <v>42</v>
      </c>
      <c r="C793" s="1" t="s">
        <v>43</v>
      </c>
      <c r="D793" s="1" t="s">
        <v>37</v>
      </c>
      <c r="E793" s="1" t="s">
        <v>38</v>
      </c>
      <c r="F793">
        <v>477</v>
      </c>
      <c r="G793">
        <v>2.48</v>
      </c>
      <c r="H793">
        <v>1182.96</v>
      </c>
      <c r="I793" s="1" t="s">
        <v>54</v>
      </c>
      <c r="J793" s="1" t="s">
        <v>47</v>
      </c>
      <c r="K793" s="1" t="s">
        <v>28</v>
      </c>
      <c r="L793">
        <v>905.48</v>
      </c>
      <c r="M793">
        <v>23.5</v>
      </c>
      <c r="N793">
        <v>2023</v>
      </c>
      <c r="O793">
        <f t="shared" si="12"/>
        <v>2</v>
      </c>
      <c r="P793" s="13" t="s">
        <v>63</v>
      </c>
      <c r="Q793">
        <v>277.48</v>
      </c>
      <c r="R793" s="3" t="s">
        <v>29</v>
      </c>
      <c r="S793" s="7">
        <f>Ventas[[#This Row],[Costo Material (€)]]/Ventas[[#This Row],[Beneficio (€)]]</f>
        <v>3.2632261784633125</v>
      </c>
      <c r="T793" s="3" t="str">
        <f>IF(Ventas[[#This Row],[Margen (%)]]&gt;20%,"Beneficio","Perdidas")</f>
        <v>Beneficio</v>
      </c>
    </row>
    <row r="794" spans="1:20" x14ac:dyDescent="0.25">
      <c r="A794" s="12">
        <v>45061</v>
      </c>
      <c r="B794" s="1" t="s">
        <v>42</v>
      </c>
      <c r="C794" s="1" t="s">
        <v>43</v>
      </c>
      <c r="D794" s="1" t="s">
        <v>48</v>
      </c>
      <c r="E794" s="1" t="s">
        <v>38</v>
      </c>
      <c r="F794">
        <v>332</v>
      </c>
      <c r="G794">
        <v>8.19</v>
      </c>
      <c r="H794">
        <v>2719.08</v>
      </c>
      <c r="I794" s="1" t="s">
        <v>21</v>
      </c>
      <c r="J794" s="1" t="s">
        <v>22</v>
      </c>
      <c r="K794" s="1" t="s">
        <v>28</v>
      </c>
      <c r="L794">
        <v>2441.9699999999998</v>
      </c>
      <c r="M794">
        <v>10.199999999999999</v>
      </c>
      <c r="N794">
        <v>2023</v>
      </c>
      <c r="O794">
        <f t="shared" si="12"/>
        <v>2</v>
      </c>
      <c r="P794" s="13" t="s">
        <v>63</v>
      </c>
      <c r="Q794">
        <v>277.11</v>
      </c>
      <c r="R794" s="3" t="s">
        <v>29</v>
      </c>
      <c r="S794" s="7">
        <f>Ventas[[#This Row],[Costo Material (€)]]/Ventas[[#This Row],[Beneficio (€)]]</f>
        <v>8.8122767132185764</v>
      </c>
      <c r="T794" s="3" t="str">
        <f>IF(Ventas[[#This Row],[Margen (%)]]&gt;20%,"Beneficio","Perdidas")</f>
        <v>Beneficio</v>
      </c>
    </row>
    <row r="795" spans="1:20" x14ac:dyDescent="0.25">
      <c r="A795" s="12">
        <v>45348</v>
      </c>
      <c r="B795" s="1" t="s">
        <v>51</v>
      </c>
      <c r="C795" s="1" t="s">
        <v>52</v>
      </c>
      <c r="D795" s="1" t="s">
        <v>48</v>
      </c>
      <c r="E795" s="1" t="s">
        <v>38</v>
      </c>
      <c r="F795">
        <v>70</v>
      </c>
      <c r="G795">
        <v>10.36</v>
      </c>
      <c r="H795">
        <v>725.2</v>
      </c>
      <c r="I795" s="1" t="s">
        <v>21</v>
      </c>
      <c r="J795" s="1" t="s">
        <v>34</v>
      </c>
      <c r="K795" s="1" t="s">
        <v>23</v>
      </c>
      <c r="L795">
        <v>448.35</v>
      </c>
      <c r="M795">
        <v>38.200000000000003</v>
      </c>
      <c r="N795">
        <v>2024</v>
      </c>
      <c r="O795">
        <f t="shared" si="12"/>
        <v>1</v>
      </c>
      <c r="P795" s="13" t="s">
        <v>60</v>
      </c>
      <c r="Q795">
        <v>276.85000000000002</v>
      </c>
      <c r="R795" s="3" t="s">
        <v>25</v>
      </c>
      <c r="S795" s="7">
        <f>Ventas[[#This Row],[Costo Material (€)]]/Ventas[[#This Row],[Beneficio (€)]]</f>
        <v>1.6194690265486724</v>
      </c>
      <c r="T795" s="3" t="str">
        <f>IF(Ventas[[#This Row],[Margen (%)]]&gt;20%,"Beneficio","Perdidas")</f>
        <v>Beneficio</v>
      </c>
    </row>
    <row r="796" spans="1:20" x14ac:dyDescent="0.25">
      <c r="A796" s="12">
        <v>45240</v>
      </c>
      <c r="B796" s="1" t="s">
        <v>42</v>
      </c>
      <c r="C796" s="1" t="s">
        <v>43</v>
      </c>
      <c r="D796" s="1" t="s">
        <v>45</v>
      </c>
      <c r="E796" s="1" t="s">
        <v>20</v>
      </c>
      <c r="F796">
        <v>523</v>
      </c>
      <c r="G796">
        <v>2.06</v>
      </c>
      <c r="H796">
        <v>1077.3800000000001</v>
      </c>
      <c r="I796" s="1" t="s">
        <v>21</v>
      </c>
      <c r="J796" s="1" t="s">
        <v>27</v>
      </c>
      <c r="K796" s="1" t="s">
        <v>41</v>
      </c>
      <c r="L796">
        <v>804.11</v>
      </c>
      <c r="M796">
        <v>25.4</v>
      </c>
      <c r="N796">
        <v>2023</v>
      </c>
      <c r="O796">
        <f t="shared" si="12"/>
        <v>4</v>
      </c>
      <c r="P796" s="13" t="s">
        <v>69</v>
      </c>
      <c r="Q796">
        <v>273.27</v>
      </c>
      <c r="R796" s="3" t="s">
        <v>25</v>
      </c>
      <c r="S796" s="7">
        <f>Ventas[[#This Row],[Costo Material (€)]]/Ventas[[#This Row],[Beneficio (€)]]</f>
        <v>2.9425476634830026</v>
      </c>
      <c r="T796" s="3" t="str">
        <f>IF(Ventas[[#This Row],[Margen (%)]]&gt;20%,"Beneficio","Perdidas")</f>
        <v>Beneficio</v>
      </c>
    </row>
    <row r="797" spans="1:20" x14ac:dyDescent="0.25">
      <c r="A797" s="12">
        <v>44989</v>
      </c>
      <c r="B797" s="1" t="s">
        <v>30</v>
      </c>
      <c r="C797" s="1" t="s">
        <v>31</v>
      </c>
      <c r="D797" s="1" t="s">
        <v>45</v>
      </c>
      <c r="E797" s="1" t="s">
        <v>20</v>
      </c>
      <c r="F797">
        <v>545</v>
      </c>
      <c r="G797">
        <v>3.17</v>
      </c>
      <c r="H797">
        <v>1727.65</v>
      </c>
      <c r="I797" s="1" t="s">
        <v>55</v>
      </c>
      <c r="J797" s="1" t="s">
        <v>34</v>
      </c>
      <c r="K797" s="1" t="s">
        <v>23</v>
      </c>
      <c r="L797">
        <v>1454.62</v>
      </c>
      <c r="M797">
        <v>15.8</v>
      </c>
      <c r="N797">
        <v>2023</v>
      </c>
      <c r="O797">
        <f t="shared" si="12"/>
        <v>1</v>
      </c>
      <c r="P797" s="13" t="s">
        <v>61</v>
      </c>
      <c r="Q797">
        <v>273.02999999999997</v>
      </c>
      <c r="R797" s="3" t="s">
        <v>29</v>
      </c>
      <c r="S797" s="7">
        <f>Ventas[[#This Row],[Costo Material (€)]]/Ventas[[#This Row],[Beneficio (€)]]</f>
        <v>5.3276929275171225</v>
      </c>
      <c r="T797" s="3" t="str">
        <f>IF(Ventas[[#This Row],[Margen (%)]]&gt;20%,"Beneficio","Perdidas")</f>
        <v>Beneficio</v>
      </c>
    </row>
    <row r="798" spans="1:20" x14ac:dyDescent="0.25">
      <c r="A798" s="12">
        <v>45022</v>
      </c>
      <c r="B798" s="1" t="s">
        <v>35</v>
      </c>
      <c r="C798" s="1" t="s">
        <v>36</v>
      </c>
      <c r="D798" s="1" t="s">
        <v>37</v>
      </c>
      <c r="E798" s="1" t="s">
        <v>38</v>
      </c>
      <c r="F798">
        <v>416</v>
      </c>
      <c r="G798">
        <v>5.96</v>
      </c>
      <c r="H798">
        <v>2479.36</v>
      </c>
      <c r="I798" s="1" t="s">
        <v>46</v>
      </c>
      <c r="J798" s="1" t="s">
        <v>22</v>
      </c>
      <c r="K798" s="1" t="s">
        <v>28</v>
      </c>
      <c r="L798">
        <v>2206.35</v>
      </c>
      <c r="M798">
        <v>11</v>
      </c>
      <c r="N798">
        <v>2023</v>
      </c>
      <c r="O798">
        <f t="shared" si="12"/>
        <v>2</v>
      </c>
      <c r="P798" s="13" t="s">
        <v>62</v>
      </c>
      <c r="Q798">
        <v>273.01</v>
      </c>
      <c r="R798" s="3" t="s">
        <v>29</v>
      </c>
      <c r="S798" s="7">
        <f>Ventas[[#This Row],[Costo Material (€)]]/Ventas[[#This Row],[Beneficio (€)]]</f>
        <v>8.08157210358595</v>
      </c>
      <c r="T798" s="3" t="str">
        <f>IF(Ventas[[#This Row],[Margen (%)]]&gt;20%,"Beneficio","Perdidas")</f>
        <v>Beneficio</v>
      </c>
    </row>
    <row r="799" spans="1:20" x14ac:dyDescent="0.25">
      <c r="A799" s="12">
        <v>44948</v>
      </c>
      <c r="B799" s="1" t="s">
        <v>17</v>
      </c>
      <c r="C799" s="1" t="s">
        <v>18</v>
      </c>
      <c r="D799" s="1" t="s">
        <v>32</v>
      </c>
      <c r="E799" s="1" t="s">
        <v>20</v>
      </c>
      <c r="F799">
        <v>343</v>
      </c>
      <c r="G799">
        <v>2.57</v>
      </c>
      <c r="H799">
        <v>881.51</v>
      </c>
      <c r="I799" s="1" t="s">
        <v>54</v>
      </c>
      <c r="J799" s="1" t="s">
        <v>27</v>
      </c>
      <c r="K799" s="1" t="s">
        <v>41</v>
      </c>
      <c r="L799">
        <v>608.79</v>
      </c>
      <c r="M799">
        <v>30.9</v>
      </c>
      <c r="N799">
        <v>2023</v>
      </c>
      <c r="O799">
        <f t="shared" si="12"/>
        <v>1</v>
      </c>
      <c r="P799" s="13" t="s">
        <v>24</v>
      </c>
      <c r="Q799">
        <v>272.72000000000003</v>
      </c>
      <c r="R799" s="3" t="s">
        <v>25</v>
      </c>
      <c r="S799" s="7">
        <f>Ventas[[#This Row],[Costo Material (€)]]/Ventas[[#This Row],[Beneficio (€)]]</f>
        <v>2.2322895277207389</v>
      </c>
      <c r="T799" s="3" t="str">
        <f>IF(Ventas[[#This Row],[Margen (%)]]&gt;20%,"Beneficio","Perdidas")</f>
        <v>Beneficio</v>
      </c>
    </row>
    <row r="800" spans="1:20" x14ac:dyDescent="0.25">
      <c r="A800" s="12">
        <v>44940</v>
      </c>
      <c r="B800" s="1" t="s">
        <v>58</v>
      </c>
      <c r="C800" s="1" t="s">
        <v>59</v>
      </c>
      <c r="D800" s="1" t="s">
        <v>32</v>
      </c>
      <c r="E800" s="1" t="s">
        <v>20</v>
      </c>
      <c r="F800">
        <v>490</v>
      </c>
      <c r="G800">
        <v>4.49</v>
      </c>
      <c r="H800">
        <v>2200.1</v>
      </c>
      <c r="I800" s="1" t="s">
        <v>55</v>
      </c>
      <c r="J800" s="1" t="s">
        <v>56</v>
      </c>
      <c r="K800" s="1" t="s">
        <v>23</v>
      </c>
      <c r="L800">
        <v>1930.26</v>
      </c>
      <c r="M800">
        <v>12.3</v>
      </c>
      <c r="N800">
        <v>2023</v>
      </c>
      <c r="O800">
        <f t="shared" si="12"/>
        <v>1</v>
      </c>
      <c r="P800" s="13" t="s">
        <v>24</v>
      </c>
      <c r="Q800">
        <v>269.83999999999997</v>
      </c>
      <c r="R800" s="3" t="s">
        <v>29</v>
      </c>
      <c r="S800" s="7">
        <f>Ventas[[#This Row],[Costo Material (€)]]/Ventas[[#This Row],[Beneficio (€)]]</f>
        <v>7.1533501334123928</v>
      </c>
      <c r="T800" s="3" t="str">
        <f>IF(Ventas[[#This Row],[Margen (%)]]&gt;20%,"Beneficio","Perdidas")</f>
        <v>Beneficio</v>
      </c>
    </row>
    <row r="801" spans="1:20" x14ac:dyDescent="0.25">
      <c r="A801" s="12">
        <v>44958</v>
      </c>
      <c r="B801" s="1" t="s">
        <v>35</v>
      </c>
      <c r="C801" s="1" t="s">
        <v>36</v>
      </c>
      <c r="D801" s="1" t="s">
        <v>19</v>
      </c>
      <c r="E801" s="1" t="s">
        <v>20</v>
      </c>
      <c r="F801">
        <v>787</v>
      </c>
      <c r="G801">
        <v>3.36</v>
      </c>
      <c r="H801">
        <v>2644.32</v>
      </c>
      <c r="I801" s="1" t="s">
        <v>33</v>
      </c>
      <c r="J801" s="1" t="s">
        <v>40</v>
      </c>
      <c r="K801" s="1" t="s">
        <v>41</v>
      </c>
      <c r="L801">
        <v>2376.14</v>
      </c>
      <c r="M801">
        <v>10.1</v>
      </c>
      <c r="N801">
        <v>2023</v>
      </c>
      <c r="O801">
        <f t="shared" si="12"/>
        <v>1</v>
      </c>
      <c r="P801" s="13" t="s">
        <v>60</v>
      </c>
      <c r="Q801">
        <v>268.18</v>
      </c>
      <c r="R801" s="3" t="s">
        <v>29</v>
      </c>
      <c r="S801" s="7">
        <f>Ventas[[#This Row],[Costo Material (€)]]/Ventas[[#This Row],[Beneficio (€)]]</f>
        <v>8.8602431202923402</v>
      </c>
      <c r="T801" s="3" t="str">
        <f>IF(Ventas[[#This Row],[Margen (%)]]&gt;20%,"Beneficio","Perdidas")</f>
        <v>Beneficio</v>
      </c>
    </row>
    <row r="802" spans="1:20" x14ac:dyDescent="0.25">
      <c r="A802" s="12">
        <v>45056</v>
      </c>
      <c r="B802" s="1" t="s">
        <v>35</v>
      </c>
      <c r="C802" s="1" t="s">
        <v>36</v>
      </c>
      <c r="D802" s="1" t="s">
        <v>32</v>
      </c>
      <c r="E802" s="1" t="s">
        <v>20</v>
      </c>
      <c r="F802">
        <v>247</v>
      </c>
      <c r="G802">
        <v>6.77</v>
      </c>
      <c r="H802">
        <v>1672.19</v>
      </c>
      <c r="I802" s="1" t="s">
        <v>46</v>
      </c>
      <c r="J802" s="1" t="s">
        <v>34</v>
      </c>
      <c r="K802" s="1" t="s">
        <v>41</v>
      </c>
      <c r="L802">
        <v>1404.71</v>
      </c>
      <c r="M802">
        <v>16</v>
      </c>
      <c r="N802">
        <v>2023</v>
      </c>
      <c r="O802">
        <f t="shared" si="12"/>
        <v>2</v>
      </c>
      <c r="P802" s="13" t="s">
        <v>63</v>
      </c>
      <c r="Q802">
        <v>267.48</v>
      </c>
      <c r="R802" s="3" t="s">
        <v>29</v>
      </c>
      <c r="S802" s="7">
        <f>Ventas[[#This Row],[Costo Material (€)]]/Ventas[[#This Row],[Beneficio (€)]]</f>
        <v>5.2516449828024525</v>
      </c>
      <c r="T802" s="3" t="str">
        <f>IF(Ventas[[#This Row],[Margen (%)]]&gt;20%,"Beneficio","Perdidas")</f>
        <v>Beneficio</v>
      </c>
    </row>
    <row r="803" spans="1:20" x14ac:dyDescent="0.25">
      <c r="A803" s="12">
        <v>45111</v>
      </c>
      <c r="B803" s="1" t="s">
        <v>35</v>
      </c>
      <c r="C803" s="1" t="s">
        <v>36</v>
      </c>
      <c r="D803" s="1" t="s">
        <v>19</v>
      </c>
      <c r="E803" s="1" t="s">
        <v>20</v>
      </c>
      <c r="F803">
        <v>493</v>
      </c>
      <c r="G803">
        <v>2.62</v>
      </c>
      <c r="H803">
        <v>1291.6600000000001</v>
      </c>
      <c r="I803" s="1" t="s">
        <v>55</v>
      </c>
      <c r="J803" s="1" t="s">
        <v>27</v>
      </c>
      <c r="K803" s="1" t="s">
        <v>41</v>
      </c>
      <c r="L803">
        <v>1024.4100000000001</v>
      </c>
      <c r="M803">
        <v>20.7</v>
      </c>
      <c r="N803">
        <v>2023</v>
      </c>
      <c r="O803">
        <f t="shared" si="12"/>
        <v>3</v>
      </c>
      <c r="P803" s="13" t="s">
        <v>65</v>
      </c>
      <c r="Q803">
        <v>267.25</v>
      </c>
      <c r="R803" s="3" t="s">
        <v>29</v>
      </c>
      <c r="S803" s="7">
        <f>Ventas[[#This Row],[Costo Material (€)]]/Ventas[[#This Row],[Beneficio (€)]]</f>
        <v>3.8331524789522922</v>
      </c>
      <c r="T803" s="3" t="str">
        <f>IF(Ventas[[#This Row],[Margen (%)]]&gt;20%,"Beneficio","Perdidas")</f>
        <v>Beneficio</v>
      </c>
    </row>
    <row r="804" spans="1:20" x14ac:dyDescent="0.25">
      <c r="A804" s="12">
        <v>45044</v>
      </c>
      <c r="B804" s="1" t="s">
        <v>42</v>
      </c>
      <c r="C804" s="1" t="s">
        <v>43</v>
      </c>
      <c r="D804" s="1" t="s">
        <v>48</v>
      </c>
      <c r="E804" s="1" t="s">
        <v>38</v>
      </c>
      <c r="F804">
        <v>624</v>
      </c>
      <c r="G804">
        <v>4.16</v>
      </c>
      <c r="H804">
        <v>2595.84</v>
      </c>
      <c r="I804" s="1" t="s">
        <v>57</v>
      </c>
      <c r="J804" s="1" t="s">
        <v>34</v>
      </c>
      <c r="K804" s="1" t="s">
        <v>23</v>
      </c>
      <c r="L804">
        <v>2329.2800000000002</v>
      </c>
      <c r="M804">
        <v>10.3</v>
      </c>
      <c r="N804">
        <v>2023</v>
      </c>
      <c r="O804">
        <f t="shared" si="12"/>
        <v>2</v>
      </c>
      <c r="P804" s="13" t="s">
        <v>62</v>
      </c>
      <c r="Q804">
        <v>266.56</v>
      </c>
      <c r="R804" s="3" t="s">
        <v>29</v>
      </c>
      <c r="S804" s="7">
        <f>Ventas[[#This Row],[Costo Material (€)]]/Ventas[[#This Row],[Beneficio (€)]]</f>
        <v>8.7382953181272516</v>
      </c>
      <c r="T804" s="3" t="str">
        <f>IF(Ventas[[#This Row],[Margen (%)]]&gt;20%,"Beneficio","Perdidas")</f>
        <v>Beneficio</v>
      </c>
    </row>
    <row r="805" spans="1:20" x14ac:dyDescent="0.25">
      <c r="A805" s="12">
        <v>45081</v>
      </c>
      <c r="B805" s="1" t="s">
        <v>58</v>
      </c>
      <c r="C805" s="1" t="s">
        <v>59</v>
      </c>
      <c r="D805" s="1" t="s">
        <v>49</v>
      </c>
      <c r="E805" s="1" t="s">
        <v>50</v>
      </c>
      <c r="F805">
        <v>216</v>
      </c>
      <c r="G805">
        <v>4.7</v>
      </c>
      <c r="H805">
        <v>1015.2</v>
      </c>
      <c r="I805" s="1" t="s">
        <v>33</v>
      </c>
      <c r="J805" s="1" t="s">
        <v>56</v>
      </c>
      <c r="K805" s="1" t="s">
        <v>28</v>
      </c>
      <c r="L805">
        <v>749.15</v>
      </c>
      <c r="M805">
        <v>26.2</v>
      </c>
      <c r="N805">
        <v>2023</v>
      </c>
      <c r="O805">
        <f t="shared" si="12"/>
        <v>2</v>
      </c>
      <c r="P805" s="13" t="s">
        <v>64</v>
      </c>
      <c r="Q805">
        <v>266.05</v>
      </c>
      <c r="R805" s="3" t="s">
        <v>25</v>
      </c>
      <c r="S805" s="7">
        <f>Ventas[[#This Row],[Costo Material (€)]]/Ventas[[#This Row],[Beneficio (€)]]</f>
        <v>2.8158240932155607</v>
      </c>
      <c r="T805" s="3" t="str">
        <f>IF(Ventas[[#This Row],[Margen (%)]]&gt;20%,"Beneficio","Perdidas")</f>
        <v>Beneficio</v>
      </c>
    </row>
    <row r="806" spans="1:20" x14ac:dyDescent="0.25">
      <c r="A806" s="12">
        <v>44960</v>
      </c>
      <c r="B806" s="1" t="s">
        <v>58</v>
      </c>
      <c r="C806" s="1" t="s">
        <v>59</v>
      </c>
      <c r="D806" s="1" t="s">
        <v>45</v>
      </c>
      <c r="E806" s="1" t="s">
        <v>20</v>
      </c>
      <c r="F806">
        <v>625</v>
      </c>
      <c r="G806">
        <v>3.94</v>
      </c>
      <c r="H806">
        <v>2462.5</v>
      </c>
      <c r="I806" s="1" t="s">
        <v>57</v>
      </c>
      <c r="J806" s="1" t="s">
        <v>27</v>
      </c>
      <c r="K806" s="1" t="s">
        <v>41</v>
      </c>
      <c r="L806">
        <v>2197.27</v>
      </c>
      <c r="M806">
        <v>10.8</v>
      </c>
      <c r="N806">
        <v>2023</v>
      </c>
      <c r="O806">
        <f t="shared" si="12"/>
        <v>1</v>
      </c>
      <c r="P806" s="13" t="s">
        <v>60</v>
      </c>
      <c r="Q806">
        <v>265.23</v>
      </c>
      <c r="R806" s="3" t="s">
        <v>29</v>
      </c>
      <c r="S806" s="7">
        <f>Ventas[[#This Row],[Costo Material (€)]]/Ventas[[#This Row],[Beneficio (€)]]</f>
        <v>8.2843946763186658</v>
      </c>
      <c r="T806" s="3" t="str">
        <f>IF(Ventas[[#This Row],[Margen (%)]]&gt;20%,"Beneficio","Perdidas")</f>
        <v>Beneficio</v>
      </c>
    </row>
    <row r="807" spans="1:20" x14ac:dyDescent="0.25">
      <c r="A807" s="12">
        <v>44961</v>
      </c>
      <c r="B807" s="1" t="s">
        <v>42</v>
      </c>
      <c r="C807" s="1" t="s">
        <v>43</v>
      </c>
      <c r="D807" s="1" t="s">
        <v>49</v>
      </c>
      <c r="E807" s="1" t="s">
        <v>50</v>
      </c>
      <c r="F807">
        <v>281</v>
      </c>
      <c r="G807">
        <v>5.58</v>
      </c>
      <c r="H807">
        <v>1567.98</v>
      </c>
      <c r="I807" s="1" t="s">
        <v>39</v>
      </c>
      <c r="J807" s="1" t="s">
        <v>40</v>
      </c>
      <c r="K807" s="1" t="s">
        <v>28</v>
      </c>
      <c r="L807">
        <v>1303.57</v>
      </c>
      <c r="M807">
        <v>16.899999999999999</v>
      </c>
      <c r="N807">
        <v>2023</v>
      </c>
      <c r="O807">
        <f t="shared" si="12"/>
        <v>1</v>
      </c>
      <c r="P807" s="13" t="s">
        <v>60</v>
      </c>
      <c r="Q807">
        <v>264.41000000000003</v>
      </c>
      <c r="R807" s="3" t="s">
        <v>29</v>
      </c>
      <c r="S807" s="7">
        <f>Ventas[[#This Row],[Costo Material (€)]]/Ventas[[#This Row],[Beneficio (€)]]</f>
        <v>4.9301085435497898</v>
      </c>
      <c r="T807" s="3" t="str">
        <f>IF(Ventas[[#This Row],[Margen (%)]]&gt;20%,"Beneficio","Perdidas")</f>
        <v>Beneficio</v>
      </c>
    </row>
    <row r="808" spans="1:20" x14ac:dyDescent="0.25">
      <c r="A808" s="12">
        <v>45064</v>
      </c>
      <c r="B808" s="1" t="s">
        <v>58</v>
      </c>
      <c r="C808" s="1" t="s">
        <v>59</v>
      </c>
      <c r="D808" s="1" t="s">
        <v>44</v>
      </c>
      <c r="E808" s="1" t="s">
        <v>38</v>
      </c>
      <c r="F808">
        <v>130</v>
      </c>
      <c r="G808">
        <v>9.5299999999999994</v>
      </c>
      <c r="H808">
        <v>1238.9000000000001</v>
      </c>
      <c r="I808" s="1" t="s">
        <v>46</v>
      </c>
      <c r="J808" s="1" t="s">
        <v>56</v>
      </c>
      <c r="K808" s="1" t="s">
        <v>41</v>
      </c>
      <c r="L808">
        <v>975.68</v>
      </c>
      <c r="M808">
        <v>21.2</v>
      </c>
      <c r="N808">
        <v>2023</v>
      </c>
      <c r="O808">
        <f t="shared" si="12"/>
        <v>2</v>
      </c>
      <c r="P808" s="13" t="s">
        <v>63</v>
      </c>
      <c r="Q808">
        <v>263.22000000000003</v>
      </c>
      <c r="R808" s="3" t="s">
        <v>29</v>
      </c>
      <c r="S808" s="7">
        <f>Ventas[[#This Row],[Costo Material (€)]]/Ventas[[#This Row],[Beneficio (€)]]</f>
        <v>3.7067092166248758</v>
      </c>
      <c r="T808" s="3" t="str">
        <f>IF(Ventas[[#This Row],[Margen (%)]]&gt;20%,"Beneficio","Perdidas")</f>
        <v>Beneficio</v>
      </c>
    </row>
    <row r="809" spans="1:20" x14ac:dyDescent="0.25">
      <c r="A809" s="12">
        <v>45397</v>
      </c>
      <c r="B809" s="1" t="s">
        <v>42</v>
      </c>
      <c r="C809" s="1" t="s">
        <v>43</v>
      </c>
      <c r="D809" s="1" t="s">
        <v>44</v>
      </c>
      <c r="E809" s="1" t="s">
        <v>38</v>
      </c>
      <c r="F809">
        <v>255</v>
      </c>
      <c r="G809">
        <v>4.78</v>
      </c>
      <c r="H809">
        <v>1218.9000000000001</v>
      </c>
      <c r="I809" s="1" t="s">
        <v>33</v>
      </c>
      <c r="J809" s="1" t="s">
        <v>27</v>
      </c>
      <c r="K809" s="1" t="s">
        <v>41</v>
      </c>
      <c r="L809">
        <v>956.93</v>
      </c>
      <c r="M809">
        <v>21.5</v>
      </c>
      <c r="N809">
        <v>2024</v>
      </c>
      <c r="O809">
        <f t="shared" si="12"/>
        <v>2</v>
      </c>
      <c r="P809" s="13" t="s">
        <v>62</v>
      </c>
      <c r="Q809">
        <v>261.97000000000003</v>
      </c>
      <c r="R809" s="3" t="s">
        <v>29</v>
      </c>
      <c r="S809" s="7">
        <f>Ventas[[#This Row],[Costo Material (€)]]/Ventas[[#This Row],[Beneficio (€)]]</f>
        <v>3.6528228423101878</v>
      </c>
      <c r="T809" s="3" t="str">
        <f>IF(Ventas[[#This Row],[Margen (%)]]&gt;20%,"Beneficio","Perdidas")</f>
        <v>Beneficio</v>
      </c>
    </row>
    <row r="810" spans="1:20" x14ac:dyDescent="0.25">
      <c r="A810" s="12">
        <v>45039</v>
      </c>
      <c r="B810" s="1" t="s">
        <v>42</v>
      </c>
      <c r="C810" s="1" t="s">
        <v>43</v>
      </c>
      <c r="D810" s="1" t="s">
        <v>19</v>
      </c>
      <c r="E810" s="1" t="s">
        <v>20</v>
      </c>
      <c r="F810">
        <v>280</v>
      </c>
      <c r="G810">
        <v>5.79</v>
      </c>
      <c r="H810">
        <v>1621.2</v>
      </c>
      <c r="I810" s="1" t="s">
        <v>55</v>
      </c>
      <c r="J810" s="1" t="s">
        <v>47</v>
      </c>
      <c r="K810" s="1" t="s">
        <v>23</v>
      </c>
      <c r="L810">
        <v>1360.65</v>
      </c>
      <c r="M810">
        <v>16.100000000000001</v>
      </c>
      <c r="N810">
        <v>2023</v>
      </c>
      <c r="O810">
        <f t="shared" si="12"/>
        <v>2</v>
      </c>
      <c r="P810" s="13" t="s">
        <v>62</v>
      </c>
      <c r="Q810">
        <v>260.55</v>
      </c>
      <c r="R810" s="3" t="s">
        <v>29</v>
      </c>
      <c r="S810" s="7">
        <f>Ventas[[#This Row],[Costo Material (€)]]/Ventas[[#This Row],[Beneficio (€)]]</f>
        <v>5.2222222222222223</v>
      </c>
      <c r="T810" s="3" t="str">
        <f>IF(Ventas[[#This Row],[Margen (%)]]&gt;20%,"Beneficio","Perdidas")</f>
        <v>Beneficio</v>
      </c>
    </row>
    <row r="811" spans="1:20" x14ac:dyDescent="0.25">
      <c r="A811" s="12">
        <v>44967</v>
      </c>
      <c r="B811" s="1" t="s">
        <v>58</v>
      </c>
      <c r="C811" s="1" t="s">
        <v>59</v>
      </c>
      <c r="D811" s="1" t="s">
        <v>44</v>
      </c>
      <c r="E811" s="1" t="s">
        <v>38</v>
      </c>
      <c r="F811">
        <v>243</v>
      </c>
      <c r="G811">
        <v>9.06</v>
      </c>
      <c r="H811">
        <v>2201.58</v>
      </c>
      <c r="I811" s="1" t="s">
        <v>54</v>
      </c>
      <c r="J811" s="1" t="s">
        <v>47</v>
      </c>
      <c r="K811" s="1" t="s">
        <v>28</v>
      </c>
      <c r="L811">
        <v>1941.94</v>
      </c>
      <c r="M811">
        <v>11.8</v>
      </c>
      <c r="N811">
        <v>2023</v>
      </c>
      <c r="O811">
        <f t="shared" si="12"/>
        <v>1</v>
      </c>
      <c r="P811" s="13" t="s">
        <v>60</v>
      </c>
      <c r="Q811">
        <v>259.64</v>
      </c>
      <c r="R811" s="3" t="s">
        <v>29</v>
      </c>
      <c r="S811" s="7">
        <f>Ventas[[#This Row],[Costo Material (€)]]/Ventas[[#This Row],[Beneficio (€)]]</f>
        <v>7.4793560314281322</v>
      </c>
      <c r="T811" s="3" t="str">
        <f>IF(Ventas[[#This Row],[Margen (%)]]&gt;20%,"Beneficio","Perdidas")</f>
        <v>Beneficio</v>
      </c>
    </row>
    <row r="812" spans="1:20" x14ac:dyDescent="0.25">
      <c r="A812" s="12">
        <v>45426</v>
      </c>
      <c r="B812" s="1" t="s">
        <v>58</v>
      </c>
      <c r="C812" s="1" t="s">
        <v>59</v>
      </c>
      <c r="D812" s="1" t="s">
        <v>19</v>
      </c>
      <c r="E812" s="1" t="s">
        <v>20</v>
      </c>
      <c r="F812">
        <v>306</v>
      </c>
      <c r="G812">
        <v>3.48</v>
      </c>
      <c r="H812">
        <v>1064.8800000000001</v>
      </c>
      <c r="I812" s="1" t="s">
        <v>55</v>
      </c>
      <c r="J812" s="1" t="s">
        <v>47</v>
      </c>
      <c r="K812" s="1" t="s">
        <v>28</v>
      </c>
      <c r="L812">
        <v>805.69</v>
      </c>
      <c r="M812">
        <v>24.3</v>
      </c>
      <c r="N812">
        <v>2024</v>
      </c>
      <c r="O812">
        <f t="shared" si="12"/>
        <v>2</v>
      </c>
      <c r="P812" s="13" t="s">
        <v>63</v>
      </c>
      <c r="Q812">
        <v>259.19</v>
      </c>
      <c r="R812" s="3" t="s">
        <v>29</v>
      </c>
      <c r="S812" s="7">
        <f>Ventas[[#This Row],[Costo Material (€)]]/Ventas[[#This Row],[Beneficio (€)]]</f>
        <v>3.1084918399629617</v>
      </c>
      <c r="T812" s="3" t="str">
        <f>IF(Ventas[[#This Row],[Margen (%)]]&gt;20%,"Beneficio","Perdidas")</f>
        <v>Beneficio</v>
      </c>
    </row>
    <row r="813" spans="1:20" x14ac:dyDescent="0.25">
      <c r="A813" s="12">
        <v>45070</v>
      </c>
      <c r="B813" s="1" t="s">
        <v>30</v>
      </c>
      <c r="C813" s="1" t="s">
        <v>31</v>
      </c>
      <c r="D813" s="1" t="s">
        <v>19</v>
      </c>
      <c r="E813" s="1" t="s">
        <v>20</v>
      </c>
      <c r="F813">
        <v>301</v>
      </c>
      <c r="G813">
        <v>6.23</v>
      </c>
      <c r="H813">
        <v>1875.23</v>
      </c>
      <c r="I813" s="1" t="s">
        <v>55</v>
      </c>
      <c r="J813" s="1" t="s">
        <v>34</v>
      </c>
      <c r="K813" s="1" t="s">
        <v>23</v>
      </c>
      <c r="L813">
        <v>1616.2</v>
      </c>
      <c r="M813">
        <v>13.8</v>
      </c>
      <c r="N813">
        <v>2023</v>
      </c>
      <c r="O813">
        <f t="shared" si="12"/>
        <v>2</v>
      </c>
      <c r="P813" s="13" t="s">
        <v>63</v>
      </c>
      <c r="Q813">
        <v>259.02999999999997</v>
      </c>
      <c r="R813" s="3" t="s">
        <v>29</v>
      </c>
      <c r="S813" s="7">
        <f>Ventas[[#This Row],[Costo Material (€)]]/Ventas[[#This Row],[Beneficio (€)]]</f>
        <v>6.2394317260548977</v>
      </c>
      <c r="T813" s="3" t="str">
        <f>IF(Ventas[[#This Row],[Margen (%)]]&gt;20%,"Beneficio","Perdidas")</f>
        <v>Beneficio</v>
      </c>
    </row>
    <row r="814" spans="1:20" x14ac:dyDescent="0.25">
      <c r="A814" s="12">
        <v>45070</v>
      </c>
      <c r="B814" s="1" t="s">
        <v>42</v>
      </c>
      <c r="C814" s="1" t="s">
        <v>43</v>
      </c>
      <c r="D814" s="1" t="s">
        <v>48</v>
      </c>
      <c r="E814" s="1" t="s">
        <v>38</v>
      </c>
      <c r="F814">
        <v>384</v>
      </c>
      <c r="G814">
        <v>4.2699999999999996</v>
      </c>
      <c r="H814">
        <v>1639.68</v>
      </c>
      <c r="I814" s="1" t="s">
        <v>39</v>
      </c>
      <c r="J814" s="1" t="s">
        <v>22</v>
      </c>
      <c r="K814" s="1" t="s">
        <v>41</v>
      </c>
      <c r="L814">
        <v>1381.25</v>
      </c>
      <c r="M814">
        <v>15.8</v>
      </c>
      <c r="N814">
        <v>2023</v>
      </c>
      <c r="O814">
        <f t="shared" si="12"/>
        <v>2</v>
      </c>
      <c r="P814" s="13" t="s">
        <v>63</v>
      </c>
      <c r="Q814">
        <v>258.43</v>
      </c>
      <c r="R814" s="3" t="s">
        <v>29</v>
      </c>
      <c r="S814" s="7">
        <f>Ventas[[#This Row],[Costo Material (€)]]/Ventas[[#This Row],[Beneficio (€)]]</f>
        <v>5.3447742135201022</v>
      </c>
      <c r="T814" s="3" t="str">
        <f>IF(Ventas[[#This Row],[Margen (%)]]&gt;20%,"Beneficio","Perdidas")</f>
        <v>Beneficio</v>
      </c>
    </row>
    <row r="815" spans="1:20" x14ac:dyDescent="0.25">
      <c r="A815" s="12">
        <v>44980</v>
      </c>
      <c r="B815" s="1" t="s">
        <v>51</v>
      </c>
      <c r="C815" s="1" t="s">
        <v>52</v>
      </c>
      <c r="D815" s="1" t="s">
        <v>32</v>
      </c>
      <c r="E815" s="1" t="s">
        <v>20</v>
      </c>
      <c r="F815">
        <v>303</v>
      </c>
      <c r="G815">
        <v>7.3</v>
      </c>
      <c r="H815">
        <v>2211.9</v>
      </c>
      <c r="I815" s="1" t="s">
        <v>46</v>
      </c>
      <c r="J815" s="1" t="s">
        <v>47</v>
      </c>
      <c r="K815" s="1" t="s">
        <v>23</v>
      </c>
      <c r="L815">
        <v>1954.18</v>
      </c>
      <c r="M815">
        <v>11.7</v>
      </c>
      <c r="N815">
        <v>2023</v>
      </c>
      <c r="O815">
        <f t="shared" si="12"/>
        <v>1</v>
      </c>
      <c r="P815" s="13" t="s">
        <v>60</v>
      </c>
      <c r="Q815">
        <v>257.72000000000003</v>
      </c>
      <c r="R815" s="3" t="s">
        <v>29</v>
      </c>
      <c r="S815" s="7">
        <f>Ventas[[#This Row],[Costo Material (€)]]/Ventas[[#This Row],[Beneficio (€)]]</f>
        <v>7.58257023125873</v>
      </c>
      <c r="T815" s="3" t="str">
        <f>IF(Ventas[[#This Row],[Margen (%)]]&gt;20%,"Beneficio","Perdidas")</f>
        <v>Beneficio</v>
      </c>
    </row>
    <row r="816" spans="1:20" x14ac:dyDescent="0.25">
      <c r="A816" s="12">
        <v>45035</v>
      </c>
      <c r="B816" s="1" t="s">
        <v>17</v>
      </c>
      <c r="C816" s="1" t="s">
        <v>18</v>
      </c>
      <c r="D816" s="1" t="s">
        <v>45</v>
      </c>
      <c r="E816" s="1" t="s">
        <v>20</v>
      </c>
      <c r="F816">
        <v>94</v>
      </c>
      <c r="G816">
        <v>10.73</v>
      </c>
      <c r="H816">
        <v>1008.62</v>
      </c>
      <c r="I816" s="1" t="s">
        <v>21</v>
      </c>
      <c r="J816" s="1" t="s">
        <v>56</v>
      </c>
      <c r="K816" s="1" t="s">
        <v>41</v>
      </c>
      <c r="L816">
        <v>751.29</v>
      </c>
      <c r="M816">
        <v>25.5</v>
      </c>
      <c r="N816">
        <v>2023</v>
      </c>
      <c r="O816">
        <f t="shared" si="12"/>
        <v>2</v>
      </c>
      <c r="P816" s="13" t="s">
        <v>62</v>
      </c>
      <c r="Q816">
        <v>257.33</v>
      </c>
      <c r="R816" s="3" t="s">
        <v>25</v>
      </c>
      <c r="S816" s="7">
        <f>Ventas[[#This Row],[Costo Material (€)]]/Ventas[[#This Row],[Beneficio (€)]]</f>
        <v>2.9195585435044498</v>
      </c>
      <c r="T816" s="3" t="str">
        <f>IF(Ventas[[#This Row],[Margen (%)]]&gt;20%,"Beneficio","Perdidas")</f>
        <v>Beneficio</v>
      </c>
    </row>
    <row r="817" spans="1:20" x14ac:dyDescent="0.25">
      <c r="A817" s="12">
        <v>45198</v>
      </c>
      <c r="B817" s="1" t="s">
        <v>51</v>
      </c>
      <c r="C817" s="1" t="s">
        <v>52</v>
      </c>
      <c r="D817" s="1" t="s">
        <v>48</v>
      </c>
      <c r="E817" s="1" t="s">
        <v>38</v>
      </c>
      <c r="F817">
        <v>152</v>
      </c>
      <c r="G817">
        <v>8.9700000000000006</v>
      </c>
      <c r="H817">
        <v>1363.44</v>
      </c>
      <c r="I817" s="1" t="s">
        <v>33</v>
      </c>
      <c r="J817" s="1" t="s">
        <v>34</v>
      </c>
      <c r="K817" s="1" t="s">
        <v>41</v>
      </c>
      <c r="L817">
        <v>1107.68</v>
      </c>
      <c r="M817">
        <v>18.8</v>
      </c>
      <c r="N817">
        <v>2023</v>
      </c>
      <c r="O817">
        <f t="shared" si="12"/>
        <v>3</v>
      </c>
      <c r="P817" s="13" t="s">
        <v>67</v>
      </c>
      <c r="Q817">
        <v>255.76</v>
      </c>
      <c r="R817" s="3" t="s">
        <v>29</v>
      </c>
      <c r="S817" s="7">
        <f>Ventas[[#This Row],[Costo Material (€)]]/Ventas[[#This Row],[Beneficio (€)]]</f>
        <v>4.3309352517985618</v>
      </c>
      <c r="T817" s="3" t="str">
        <f>IF(Ventas[[#This Row],[Margen (%)]]&gt;20%,"Beneficio","Perdidas")</f>
        <v>Beneficio</v>
      </c>
    </row>
    <row r="818" spans="1:20" x14ac:dyDescent="0.25">
      <c r="A818" s="12">
        <v>45002</v>
      </c>
      <c r="B818" s="1" t="s">
        <v>35</v>
      </c>
      <c r="C818" s="1" t="s">
        <v>36</v>
      </c>
      <c r="D818" s="1" t="s">
        <v>53</v>
      </c>
      <c r="E818" s="1" t="s">
        <v>50</v>
      </c>
      <c r="F818">
        <v>154</v>
      </c>
      <c r="G818">
        <v>10.7</v>
      </c>
      <c r="H818">
        <v>1647.8</v>
      </c>
      <c r="I818" s="1" t="s">
        <v>21</v>
      </c>
      <c r="J818" s="1" t="s">
        <v>56</v>
      </c>
      <c r="K818" s="1" t="s">
        <v>23</v>
      </c>
      <c r="L818">
        <v>1393.06</v>
      </c>
      <c r="M818">
        <v>15.5</v>
      </c>
      <c r="N818">
        <v>2023</v>
      </c>
      <c r="O818">
        <f t="shared" si="12"/>
        <v>1</v>
      </c>
      <c r="P818" s="13" t="s">
        <v>61</v>
      </c>
      <c r="Q818">
        <v>254.74</v>
      </c>
      <c r="R818" s="3" t="s">
        <v>29</v>
      </c>
      <c r="S818" s="7">
        <f>Ventas[[#This Row],[Costo Material (€)]]/Ventas[[#This Row],[Beneficio (€)]]</f>
        <v>5.4685561749234513</v>
      </c>
      <c r="T818" s="3" t="str">
        <f>IF(Ventas[[#This Row],[Margen (%)]]&gt;20%,"Beneficio","Perdidas")</f>
        <v>Beneficio</v>
      </c>
    </row>
    <row r="819" spans="1:20" x14ac:dyDescent="0.25">
      <c r="A819" s="12">
        <v>45411</v>
      </c>
      <c r="B819" s="1" t="s">
        <v>30</v>
      </c>
      <c r="C819" s="1" t="s">
        <v>31</v>
      </c>
      <c r="D819" s="1" t="s">
        <v>37</v>
      </c>
      <c r="E819" s="1" t="s">
        <v>38</v>
      </c>
      <c r="F819">
        <v>452</v>
      </c>
      <c r="G819">
        <v>4.93</v>
      </c>
      <c r="H819">
        <v>2228.36</v>
      </c>
      <c r="I819" s="1" t="s">
        <v>21</v>
      </c>
      <c r="J819" s="1" t="s">
        <v>22</v>
      </c>
      <c r="K819" s="1" t="s">
        <v>41</v>
      </c>
      <c r="L819">
        <v>1974.16</v>
      </c>
      <c r="M819">
        <v>11.4</v>
      </c>
      <c r="N819">
        <v>2024</v>
      </c>
      <c r="O819">
        <f t="shared" si="12"/>
        <v>2</v>
      </c>
      <c r="P819" s="13" t="s">
        <v>62</v>
      </c>
      <c r="Q819">
        <v>254.2</v>
      </c>
      <c r="R819" s="3" t="s">
        <v>29</v>
      </c>
      <c r="S819" s="7">
        <f>Ventas[[#This Row],[Costo Material (€)]]/Ventas[[#This Row],[Beneficio (€)]]</f>
        <v>7.7661683713611334</v>
      </c>
      <c r="T819" s="3" t="str">
        <f>IF(Ventas[[#This Row],[Margen (%)]]&gt;20%,"Beneficio","Perdidas")</f>
        <v>Beneficio</v>
      </c>
    </row>
    <row r="820" spans="1:20" x14ac:dyDescent="0.25">
      <c r="A820" s="12">
        <v>45072</v>
      </c>
      <c r="B820" s="1" t="s">
        <v>51</v>
      </c>
      <c r="C820" s="1" t="s">
        <v>52</v>
      </c>
      <c r="D820" s="1" t="s">
        <v>19</v>
      </c>
      <c r="E820" s="1" t="s">
        <v>20</v>
      </c>
      <c r="F820">
        <v>260</v>
      </c>
      <c r="G820">
        <v>7.95</v>
      </c>
      <c r="H820">
        <v>2067</v>
      </c>
      <c r="I820" s="1" t="s">
        <v>54</v>
      </c>
      <c r="J820" s="1" t="s">
        <v>40</v>
      </c>
      <c r="K820" s="1" t="s">
        <v>23</v>
      </c>
      <c r="L820">
        <v>1813.06</v>
      </c>
      <c r="M820">
        <v>12.3</v>
      </c>
      <c r="N820">
        <v>2023</v>
      </c>
      <c r="O820">
        <f t="shared" si="12"/>
        <v>2</v>
      </c>
      <c r="P820" s="13" t="s">
        <v>63</v>
      </c>
      <c r="Q820">
        <v>253.94</v>
      </c>
      <c r="R820" s="3" t="s">
        <v>29</v>
      </c>
      <c r="S820" s="7">
        <f>Ventas[[#This Row],[Costo Material (€)]]/Ventas[[#This Row],[Beneficio (€)]]</f>
        <v>7.139718043632354</v>
      </c>
      <c r="T820" s="3" t="str">
        <f>IF(Ventas[[#This Row],[Margen (%)]]&gt;20%,"Beneficio","Perdidas")</f>
        <v>Beneficio</v>
      </c>
    </row>
    <row r="821" spans="1:20" x14ac:dyDescent="0.25">
      <c r="A821" s="12">
        <v>45057</v>
      </c>
      <c r="B821" s="1" t="s">
        <v>30</v>
      </c>
      <c r="C821" s="1" t="s">
        <v>31</v>
      </c>
      <c r="D821" s="1" t="s">
        <v>37</v>
      </c>
      <c r="E821" s="1" t="s">
        <v>38</v>
      </c>
      <c r="F821">
        <v>250</v>
      </c>
      <c r="G821">
        <v>4.99</v>
      </c>
      <c r="H821">
        <v>1247.5</v>
      </c>
      <c r="I821" s="1" t="s">
        <v>26</v>
      </c>
      <c r="J821" s="1" t="s">
        <v>56</v>
      </c>
      <c r="K821" s="1" t="s">
        <v>41</v>
      </c>
      <c r="L821">
        <v>993.73</v>
      </c>
      <c r="M821">
        <v>20.3</v>
      </c>
      <c r="N821">
        <v>2023</v>
      </c>
      <c r="O821">
        <f t="shared" si="12"/>
        <v>2</v>
      </c>
      <c r="P821" s="13" t="s">
        <v>63</v>
      </c>
      <c r="Q821">
        <v>253.77</v>
      </c>
      <c r="R821" s="3" t="s">
        <v>29</v>
      </c>
      <c r="S821" s="7">
        <f>Ventas[[#This Row],[Costo Material (€)]]/Ventas[[#This Row],[Beneficio (€)]]</f>
        <v>3.9158687000039403</v>
      </c>
      <c r="T821" s="3" t="str">
        <f>IF(Ventas[[#This Row],[Margen (%)]]&gt;20%,"Beneficio","Perdidas")</f>
        <v>Beneficio</v>
      </c>
    </row>
    <row r="822" spans="1:20" x14ac:dyDescent="0.25">
      <c r="A822" s="12">
        <v>45332</v>
      </c>
      <c r="B822" s="1" t="s">
        <v>30</v>
      </c>
      <c r="C822" s="1" t="s">
        <v>31</v>
      </c>
      <c r="D822" s="1" t="s">
        <v>32</v>
      </c>
      <c r="E822" s="1" t="s">
        <v>20</v>
      </c>
      <c r="F822">
        <v>577</v>
      </c>
      <c r="G822">
        <v>3.9</v>
      </c>
      <c r="H822">
        <v>2250.3000000000002</v>
      </c>
      <c r="I822" s="1" t="s">
        <v>21</v>
      </c>
      <c r="J822" s="1" t="s">
        <v>40</v>
      </c>
      <c r="K822" s="1" t="s">
        <v>23</v>
      </c>
      <c r="L822">
        <v>1997.62</v>
      </c>
      <c r="M822">
        <v>11.2</v>
      </c>
      <c r="N822">
        <v>2024</v>
      </c>
      <c r="O822">
        <f t="shared" si="12"/>
        <v>1</v>
      </c>
      <c r="P822" s="13" t="s">
        <v>60</v>
      </c>
      <c r="Q822">
        <v>252.68</v>
      </c>
      <c r="R822" s="3" t="s">
        <v>29</v>
      </c>
      <c r="S822" s="7">
        <f>Ventas[[#This Row],[Costo Material (€)]]/Ventas[[#This Row],[Beneficio (€)]]</f>
        <v>7.9057305683077406</v>
      </c>
      <c r="T822" s="3" t="str">
        <f>IF(Ventas[[#This Row],[Margen (%)]]&gt;20%,"Beneficio","Perdidas")</f>
        <v>Beneficio</v>
      </c>
    </row>
    <row r="823" spans="1:20" x14ac:dyDescent="0.25">
      <c r="A823" s="12">
        <v>45093</v>
      </c>
      <c r="B823" s="1" t="s">
        <v>35</v>
      </c>
      <c r="C823" s="1" t="s">
        <v>36</v>
      </c>
      <c r="D823" s="1" t="s">
        <v>49</v>
      </c>
      <c r="E823" s="1" t="s">
        <v>50</v>
      </c>
      <c r="F823">
        <v>127</v>
      </c>
      <c r="G823">
        <v>6.24</v>
      </c>
      <c r="H823">
        <v>792.48</v>
      </c>
      <c r="I823" s="1" t="s">
        <v>26</v>
      </c>
      <c r="J823" s="1" t="s">
        <v>27</v>
      </c>
      <c r="K823" s="1" t="s">
        <v>23</v>
      </c>
      <c r="L823">
        <v>539.89</v>
      </c>
      <c r="M823">
        <v>31.9</v>
      </c>
      <c r="N823">
        <v>2023</v>
      </c>
      <c r="O823">
        <f t="shared" si="12"/>
        <v>2</v>
      </c>
      <c r="P823" s="13" t="s">
        <v>64</v>
      </c>
      <c r="Q823">
        <v>252.59</v>
      </c>
      <c r="R823" s="3" t="s">
        <v>25</v>
      </c>
      <c r="S823" s="7">
        <f>Ventas[[#This Row],[Costo Material (€)]]/Ventas[[#This Row],[Beneficio (€)]]</f>
        <v>2.1374163664436439</v>
      </c>
      <c r="T823" s="3" t="str">
        <f>IF(Ventas[[#This Row],[Margen (%)]]&gt;20%,"Beneficio","Perdidas")</f>
        <v>Beneficio</v>
      </c>
    </row>
    <row r="824" spans="1:20" x14ac:dyDescent="0.25">
      <c r="A824" s="12">
        <v>45189</v>
      </c>
      <c r="B824" s="1" t="s">
        <v>58</v>
      </c>
      <c r="C824" s="1" t="s">
        <v>59</v>
      </c>
      <c r="D824" s="1" t="s">
        <v>44</v>
      </c>
      <c r="E824" s="1" t="s">
        <v>38</v>
      </c>
      <c r="F824">
        <v>166</v>
      </c>
      <c r="G824">
        <v>5.9</v>
      </c>
      <c r="H824">
        <v>979.4</v>
      </c>
      <c r="I824" s="1" t="s">
        <v>39</v>
      </c>
      <c r="J824" s="1" t="s">
        <v>56</v>
      </c>
      <c r="K824" s="1" t="s">
        <v>23</v>
      </c>
      <c r="L824">
        <v>728.43</v>
      </c>
      <c r="M824">
        <v>25.6</v>
      </c>
      <c r="N824">
        <v>2023</v>
      </c>
      <c r="O824">
        <f t="shared" si="12"/>
        <v>3</v>
      </c>
      <c r="P824" s="13" t="s">
        <v>67</v>
      </c>
      <c r="Q824">
        <v>250.97</v>
      </c>
      <c r="R824" s="3" t="s">
        <v>25</v>
      </c>
      <c r="S824" s="7">
        <f>Ventas[[#This Row],[Costo Material (€)]]/Ventas[[#This Row],[Beneficio (€)]]</f>
        <v>2.9024584611706579</v>
      </c>
      <c r="T824" s="3" t="str">
        <f>IF(Ventas[[#This Row],[Margen (%)]]&gt;20%,"Beneficio","Perdidas")</f>
        <v>Beneficio</v>
      </c>
    </row>
    <row r="825" spans="1:20" x14ac:dyDescent="0.25">
      <c r="A825" s="12">
        <v>45220</v>
      </c>
      <c r="B825" s="1" t="s">
        <v>58</v>
      </c>
      <c r="C825" s="1" t="s">
        <v>59</v>
      </c>
      <c r="D825" s="1" t="s">
        <v>19</v>
      </c>
      <c r="E825" s="1" t="s">
        <v>20</v>
      </c>
      <c r="F825">
        <v>437</v>
      </c>
      <c r="G825">
        <v>4.26</v>
      </c>
      <c r="H825">
        <v>1861.62</v>
      </c>
      <c r="I825" s="1" t="s">
        <v>54</v>
      </c>
      <c r="J825" s="1" t="s">
        <v>47</v>
      </c>
      <c r="K825" s="1" t="s">
        <v>23</v>
      </c>
      <c r="L825">
        <v>1610.74</v>
      </c>
      <c r="M825">
        <v>13.5</v>
      </c>
      <c r="N825">
        <v>2023</v>
      </c>
      <c r="O825">
        <f t="shared" si="12"/>
        <v>4</v>
      </c>
      <c r="P825" s="13" t="s">
        <v>68</v>
      </c>
      <c r="Q825">
        <v>250.88</v>
      </c>
      <c r="R825" s="3" t="s">
        <v>29</v>
      </c>
      <c r="S825" s="7">
        <f>Ventas[[#This Row],[Costo Material (€)]]/Ventas[[#This Row],[Beneficio (€)]]</f>
        <v>6.4203603316326534</v>
      </c>
      <c r="T825" s="3" t="str">
        <f>IF(Ventas[[#This Row],[Margen (%)]]&gt;20%,"Beneficio","Perdidas")</f>
        <v>Beneficio</v>
      </c>
    </row>
    <row r="826" spans="1:20" x14ac:dyDescent="0.25">
      <c r="A826" s="12">
        <v>45066</v>
      </c>
      <c r="B826" s="1" t="s">
        <v>30</v>
      </c>
      <c r="C826" s="1" t="s">
        <v>31</v>
      </c>
      <c r="D826" s="1" t="s">
        <v>44</v>
      </c>
      <c r="E826" s="1" t="s">
        <v>38</v>
      </c>
      <c r="F826">
        <v>334</v>
      </c>
      <c r="G826">
        <v>7.31</v>
      </c>
      <c r="H826">
        <v>2441.54</v>
      </c>
      <c r="I826" s="1" t="s">
        <v>39</v>
      </c>
      <c r="J826" s="1" t="s">
        <v>22</v>
      </c>
      <c r="K826" s="1" t="s">
        <v>23</v>
      </c>
      <c r="L826">
        <v>2191.02</v>
      </c>
      <c r="M826">
        <v>10.3</v>
      </c>
      <c r="N826">
        <v>2023</v>
      </c>
      <c r="O826">
        <f t="shared" si="12"/>
        <v>2</v>
      </c>
      <c r="P826" s="13" t="s">
        <v>63</v>
      </c>
      <c r="Q826">
        <v>250.52</v>
      </c>
      <c r="R826" s="3" t="s">
        <v>29</v>
      </c>
      <c r="S826" s="7">
        <f>Ventas[[#This Row],[Costo Material (€)]]/Ventas[[#This Row],[Beneficio (€)]]</f>
        <v>8.7458885518122305</v>
      </c>
      <c r="T826" s="3" t="str">
        <f>IF(Ventas[[#This Row],[Margen (%)]]&gt;20%,"Beneficio","Perdidas")</f>
        <v>Beneficio</v>
      </c>
    </row>
    <row r="827" spans="1:20" x14ac:dyDescent="0.25">
      <c r="A827" s="12">
        <v>45092</v>
      </c>
      <c r="B827" s="1" t="s">
        <v>51</v>
      </c>
      <c r="C827" s="1" t="s">
        <v>52</v>
      </c>
      <c r="D827" s="1" t="s">
        <v>53</v>
      </c>
      <c r="E827" s="1" t="s">
        <v>50</v>
      </c>
      <c r="F827">
        <v>363</v>
      </c>
      <c r="G827">
        <v>3.86</v>
      </c>
      <c r="H827">
        <v>1401.18</v>
      </c>
      <c r="I827" s="1" t="s">
        <v>33</v>
      </c>
      <c r="J827" s="1" t="s">
        <v>27</v>
      </c>
      <c r="K827" s="1" t="s">
        <v>41</v>
      </c>
      <c r="L827">
        <v>1150.67</v>
      </c>
      <c r="M827">
        <v>17.899999999999999</v>
      </c>
      <c r="N827">
        <v>2023</v>
      </c>
      <c r="O827">
        <f t="shared" si="12"/>
        <v>2</v>
      </c>
      <c r="P827" s="13" t="s">
        <v>64</v>
      </c>
      <c r="Q827">
        <v>250.51</v>
      </c>
      <c r="R827" s="3" t="s">
        <v>29</v>
      </c>
      <c r="S827" s="7">
        <f>Ventas[[#This Row],[Costo Material (€)]]/Ventas[[#This Row],[Beneficio (€)]]</f>
        <v>4.5933096483174332</v>
      </c>
      <c r="T827" s="3" t="str">
        <f>IF(Ventas[[#This Row],[Margen (%)]]&gt;20%,"Beneficio","Perdidas")</f>
        <v>Beneficio</v>
      </c>
    </row>
    <row r="828" spans="1:20" x14ac:dyDescent="0.25">
      <c r="A828" s="12">
        <v>45010</v>
      </c>
      <c r="B828" s="1" t="s">
        <v>30</v>
      </c>
      <c r="C828" s="1" t="s">
        <v>31</v>
      </c>
      <c r="D828" s="1" t="s">
        <v>32</v>
      </c>
      <c r="E828" s="1" t="s">
        <v>20</v>
      </c>
      <c r="F828">
        <v>275</v>
      </c>
      <c r="G828">
        <v>8.61</v>
      </c>
      <c r="H828">
        <v>2367.75</v>
      </c>
      <c r="I828" s="1" t="s">
        <v>46</v>
      </c>
      <c r="J828" s="1" t="s">
        <v>47</v>
      </c>
      <c r="K828" s="1" t="s">
        <v>28</v>
      </c>
      <c r="L828">
        <v>2118.35</v>
      </c>
      <c r="M828">
        <v>10.5</v>
      </c>
      <c r="N828">
        <v>2023</v>
      </c>
      <c r="O828">
        <f t="shared" si="12"/>
        <v>1</v>
      </c>
      <c r="P828" s="13" t="s">
        <v>61</v>
      </c>
      <c r="Q828">
        <v>249.4</v>
      </c>
      <c r="R828" s="3" t="s">
        <v>29</v>
      </c>
      <c r="S828" s="7">
        <f>Ventas[[#This Row],[Costo Material (€)]]/Ventas[[#This Row],[Beneficio (€)]]</f>
        <v>8.4937850842020843</v>
      </c>
      <c r="T828" s="3" t="str">
        <f>IF(Ventas[[#This Row],[Margen (%)]]&gt;20%,"Beneficio","Perdidas")</f>
        <v>Beneficio</v>
      </c>
    </row>
    <row r="829" spans="1:20" x14ac:dyDescent="0.25">
      <c r="A829" s="12">
        <v>45144</v>
      </c>
      <c r="B829" s="1" t="s">
        <v>35</v>
      </c>
      <c r="C829" s="1" t="s">
        <v>36</v>
      </c>
      <c r="D829" s="1" t="s">
        <v>32</v>
      </c>
      <c r="E829" s="1" t="s">
        <v>20</v>
      </c>
      <c r="F829">
        <v>160</v>
      </c>
      <c r="G829">
        <v>4.51</v>
      </c>
      <c r="H829">
        <v>721.6</v>
      </c>
      <c r="I829" s="1" t="s">
        <v>33</v>
      </c>
      <c r="J829" s="1" t="s">
        <v>22</v>
      </c>
      <c r="K829" s="1" t="s">
        <v>23</v>
      </c>
      <c r="L829">
        <v>473.45</v>
      </c>
      <c r="M829">
        <v>34.4</v>
      </c>
      <c r="N829">
        <v>2023</v>
      </c>
      <c r="O829">
        <f t="shared" si="12"/>
        <v>3</v>
      </c>
      <c r="P829" s="13" t="s">
        <v>66</v>
      </c>
      <c r="Q829">
        <v>248.15</v>
      </c>
      <c r="R829" s="3" t="s">
        <v>25</v>
      </c>
      <c r="S829" s="7">
        <f>Ventas[[#This Row],[Costo Material (€)]]/Ventas[[#This Row],[Beneficio (€)]]</f>
        <v>1.9079185976224058</v>
      </c>
      <c r="T829" s="3" t="str">
        <f>IF(Ventas[[#This Row],[Margen (%)]]&gt;20%,"Beneficio","Perdidas")</f>
        <v>Beneficio</v>
      </c>
    </row>
    <row r="830" spans="1:20" x14ac:dyDescent="0.25">
      <c r="A830" s="12">
        <v>45040</v>
      </c>
      <c r="B830" s="1" t="s">
        <v>42</v>
      </c>
      <c r="C830" s="1" t="s">
        <v>43</v>
      </c>
      <c r="D830" s="1" t="s">
        <v>49</v>
      </c>
      <c r="E830" s="1" t="s">
        <v>50</v>
      </c>
      <c r="F830">
        <v>177</v>
      </c>
      <c r="G830">
        <v>3.93</v>
      </c>
      <c r="H830">
        <v>695.61</v>
      </c>
      <c r="I830" s="1" t="s">
        <v>33</v>
      </c>
      <c r="J830" s="1" t="s">
        <v>34</v>
      </c>
      <c r="K830" s="1" t="s">
        <v>28</v>
      </c>
      <c r="L830">
        <v>447.96</v>
      </c>
      <c r="M830">
        <v>35.6</v>
      </c>
      <c r="N830">
        <v>2023</v>
      </c>
      <c r="O830">
        <f t="shared" si="12"/>
        <v>2</v>
      </c>
      <c r="P830" s="13" t="s">
        <v>62</v>
      </c>
      <c r="Q830">
        <v>247.65</v>
      </c>
      <c r="R830" s="3" t="s">
        <v>25</v>
      </c>
      <c r="S830" s="7">
        <f>Ventas[[#This Row],[Costo Material (€)]]/Ventas[[#This Row],[Beneficio (€)]]</f>
        <v>1.8088431253785584</v>
      </c>
      <c r="T830" s="3" t="str">
        <f>IF(Ventas[[#This Row],[Margen (%)]]&gt;20%,"Beneficio","Perdidas")</f>
        <v>Beneficio</v>
      </c>
    </row>
    <row r="831" spans="1:20" x14ac:dyDescent="0.25">
      <c r="A831" s="12">
        <v>45085</v>
      </c>
      <c r="B831" s="1" t="s">
        <v>35</v>
      </c>
      <c r="C831" s="1" t="s">
        <v>36</v>
      </c>
      <c r="D831" s="1" t="s">
        <v>45</v>
      </c>
      <c r="E831" s="1" t="s">
        <v>20</v>
      </c>
      <c r="F831">
        <v>117</v>
      </c>
      <c r="G831">
        <v>8.43</v>
      </c>
      <c r="H831">
        <v>986.31</v>
      </c>
      <c r="I831" s="1" t="s">
        <v>33</v>
      </c>
      <c r="J831" s="1" t="s">
        <v>34</v>
      </c>
      <c r="K831" s="1" t="s">
        <v>41</v>
      </c>
      <c r="L831">
        <v>739.35</v>
      </c>
      <c r="M831">
        <v>25</v>
      </c>
      <c r="N831">
        <v>2023</v>
      </c>
      <c r="O831">
        <f t="shared" si="12"/>
        <v>2</v>
      </c>
      <c r="P831" s="13" t="s">
        <v>64</v>
      </c>
      <c r="Q831">
        <v>246.96</v>
      </c>
      <c r="R831" s="3" t="s">
        <v>29</v>
      </c>
      <c r="S831" s="7">
        <f>Ventas[[#This Row],[Costo Material (€)]]/Ventas[[#This Row],[Beneficio (€)]]</f>
        <v>2.9938046647230321</v>
      </c>
      <c r="T831" s="3" t="str">
        <f>IF(Ventas[[#This Row],[Margen (%)]]&gt;20%,"Beneficio","Perdidas")</f>
        <v>Beneficio</v>
      </c>
    </row>
    <row r="832" spans="1:20" x14ac:dyDescent="0.25">
      <c r="A832" s="12">
        <v>44951</v>
      </c>
      <c r="B832" s="1" t="s">
        <v>17</v>
      </c>
      <c r="C832" s="1" t="s">
        <v>18</v>
      </c>
      <c r="D832" s="1" t="s">
        <v>53</v>
      </c>
      <c r="E832" s="1" t="s">
        <v>50</v>
      </c>
      <c r="F832">
        <v>291</v>
      </c>
      <c r="G832">
        <v>6.52</v>
      </c>
      <c r="H832">
        <v>1897.32</v>
      </c>
      <c r="I832" s="1" t="s">
        <v>57</v>
      </c>
      <c r="J832" s="1" t="s">
        <v>34</v>
      </c>
      <c r="K832" s="1" t="s">
        <v>23</v>
      </c>
      <c r="L832">
        <v>1650.64</v>
      </c>
      <c r="M832">
        <v>13</v>
      </c>
      <c r="N832">
        <v>2023</v>
      </c>
      <c r="O832">
        <f t="shared" si="12"/>
        <v>1</v>
      </c>
      <c r="P832" s="13" t="s">
        <v>24</v>
      </c>
      <c r="Q832">
        <v>246.68</v>
      </c>
      <c r="R832" s="3" t="s">
        <v>29</v>
      </c>
      <c r="S832" s="7">
        <f>Ventas[[#This Row],[Costo Material (€)]]/Ventas[[#This Row],[Beneficio (€)]]</f>
        <v>6.6914220852926869</v>
      </c>
      <c r="T832" s="3" t="str">
        <f>IF(Ventas[[#This Row],[Margen (%)]]&gt;20%,"Beneficio","Perdidas")</f>
        <v>Beneficio</v>
      </c>
    </row>
    <row r="833" spans="1:20" x14ac:dyDescent="0.25">
      <c r="A833" s="12">
        <v>44950</v>
      </c>
      <c r="B833" s="1" t="s">
        <v>35</v>
      </c>
      <c r="C833" s="1" t="s">
        <v>36</v>
      </c>
      <c r="D833" s="1" t="s">
        <v>19</v>
      </c>
      <c r="E833" s="1" t="s">
        <v>20</v>
      </c>
      <c r="F833">
        <v>100</v>
      </c>
      <c r="G833">
        <v>9.2799999999999994</v>
      </c>
      <c r="H833">
        <v>928</v>
      </c>
      <c r="I833" s="1" t="s">
        <v>57</v>
      </c>
      <c r="J833" s="1" t="s">
        <v>40</v>
      </c>
      <c r="K833" s="1" t="s">
        <v>41</v>
      </c>
      <c r="L833">
        <v>683.34</v>
      </c>
      <c r="M833">
        <v>26.4</v>
      </c>
      <c r="N833">
        <v>2023</v>
      </c>
      <c r="O833">
        <f t="shared" si="12"/>
        <v>1</v>
      </c>
      <c r="P833" s="13" t="s">
        <v>24</v>
      </c>
      <c r="Q833">
        <v>244.66</v>
      </c>
      <c r="R833" s="3" t="s">
        <v>25</v>
      </c>
      <c r="S833" s="7">
        <f>Ventas[[#This Row],[Costo Material (€)]]/Ventas[[#This Row],[Beneficio (€)]]</f>
        <v>2.7930188833483203</v>
      </c>
      <c r="T833" s="3" t="str">
        <f>IF(Ventas[[#This Row],[Margen (%)]]&gt;20%,"Beneficio","Perdidas")</f>
        <v>Beneficio</v>
      </c>
    </row>
    <row r="834" spans="1:20" x14ac:dyDescent="0.25">
      <c r="A834" s="12">
        <v>45115</v>
      </c>
      <c r="B834" s="1" t="s">
        <v>35</v>
      </c>
      <c r="C834" s="1" t="s">
        <v>36</v>
      </c>
      <c r="D834" s="1" t="s">
        <v>48</v>
      </c>
      <c r="E834" s="1" t="s">
        <v>38</v>
      </c>
      <c r="F834">
        <v>222</v>
      </c>
      <c r="G834">
        <v>9.14</v>
      </c>
      <c r="H834">
        <v>2029.08</v>
      </c>
      <c r="I834" s="1" t="s">
        <v>54</v>
      </c>
      <c r="J834" s="1" t="s">
        <v>22</v>
      </c>
      <c r="K834" s="1" t="s">
        <v>28</v>
      </c>
      <c r="L834">
        <v>1784.73</v>
      </c>
      <c r="M834">
        <v>12</v>
      </c>
      <c r="N834">
        <v>2023</v>
      </c>
      <c r="O834">
        <f t="shared" ref="O834:O897" si="13">ROUNDUP(MONTH(A834)/3,0)</f>
        <v>3</v>
      </c>
      <c r="P834" s="13" t="s">
        <v>65</v>
      </c>
      <c r="Q834">
        <v>244.35</v>
      </c>
      <c r="R834" s="3" t="s">
        <v>29</v>
      </c>
      <c r="S834" s="7">
        <f>Ventas[[#This Row],[Costo Material (€)]]/Ventas[[#This Row],[Beneficio (€)]]</f>
        <v>7.3039901780233274</v>
      </c>
      <c r="T834" s="3" t="str">
        <f>IF(Ventas[[#This Row],[Margen (%)]]&gt;20%,"Beneficio","Perdidas")</f>
        <v>Beneficio</v>
      </c>
    </row>
    <row r="835" spans="1:20" x14ac:dyDescent="0.25">
      <c r="A835" s="12">
        <v>45042</v>
      </c>
      <c r="B835" s="1" t="s">
        <v>51</v>
      </c>
      <c r="C835" s="1" t="s">
        <v>52</v>
      </c>
      <c r="D835" s="1" t="s">
        <v>37</v>
      </c>
      <c r="E835" s="1" t="s">
        <v>38</v>
      </c>
      <c r="F835">
        <v>107</v>
      </c>
      <c r="G835">
        <v>9.93</v>
      </c>
      <c r="H835">
        <v>1062.51</v>
      </c>
      <c r="I835" s="1" t="s">
        <v>55</v>
      </c>
      <c r="J835" s="1" t="s">
        <v>27</v>
      </c>
      <c r="K835" s="1" t="s">
        <v>23</v>
      </c>
      <c r="L835">
        <v>821.16</v>
      </c>
      <c r="M835">
        <v>22.7</v>
      </c>
      <c r="N835">
        <v>2023</v>
      </c>
      <c r="O835">
        <f t="shared" si="13"/>
        <v>2</v>
      </c>
      <c r="P835" s="13" t="s">
        <v>62</v>
      </c>
      <c r="Q835">
        <v>241.35</v>
      </c>
      <c r="R835" s="3" t="s">
        <v>29</v>
      </c>
      <c r="S835" s="7">
        <f>Ventas[[#This Row],[Costo Material (€)]]/Ventas[[#This Row],[Beneficio (€)]]</f>
        <v>3.4023617153511498</v>
      </c>
      <c r="T835" s="3" t="str">
        <f>IF(Ventas[[#This Row],[Margen (%)]]&gt;20%,"Beneficio","Perdidas")</f>
        <v>Beneficio</v>
      </c>
    </row>
    <row r="836" spans="1:20" x14ac:dyDescent="0.25">
      <c r="A836" s="12">
        <v>44943</v>
      </c>
      <c r="B836" s="1" t="s">
        <v>58</v>
      </c>
      <c r="C836" s="1" t="s">
        <v>59</v>
      </c>
      <c r="D836" s="1" t="s">
        <v>48</v>
      </c>
      <c r="E836" s="1" t="s">
        <v>38</v>
      </c>
      <c r="F836">
        <v>161</v>
      </c>
      <c r="G836">
        <v>5.42</v>
      </c>
      <c r="H836">
        <v>872.62</v>
      </c>
      <c r="I836" s="1" t="s">
        <v>39</v>
      </c>
      <c r="J836" s="1" t="s">
        <v>34</v>
      </c>
      <c r="K836" s="1" t="s">
        <v>28</v>
      </c>
      <c r="L836">
        <v>634.03</v>
      </c>
      <c r="M836">
        <v>27.3</v>
      </c>
      <c r="N836">
        <v>2023</v>
      </c>
      <c r="O836">
        <f t="shared" si="13"/>
        <v>1</v>
      </c>
      <c r="P836" s="13" t="s">
        <v>24</v>
      </c>
      <c r="Q836">
        <v>238.59</v>
      </c>
      <c r="R836" s="3" t="s">
        <v>25</v>
      </c>
      <c r="S836" s="7">
        <f>Ventas[[#This Row],[Costo Material (€)]]/Ventas[[#This Row],[Beneficio (€)]]</f>
        <v>2.6574039146653252</v>
      </c>
      <c r="T836" s="3" t="str">
        <f>IF(Ventas[[#This Row],[Margen (%)]]&gt;20%,"Beneficio","Perdidas")</f>
        <v>Beneficio</v>
      </c>
    </row>
    <row r="837" spans="1:20" x14ac:dyDescent="0.25">
      <c r="A837" s="12">
        <v>45114</v>
      </c>
      <c r="B837" s="1" t="s">
        <v>30</v>
      </c>
      <c r="C837" s="1" t="s">
        <v>31</v>
      </c>
      <c r="D837" s="1" t="s">
        <v>49</v>
      </c>
      <c r="E837" s="1" t="s">
        <v>50</v>
      </c>
      <c r="F837">
        <v>169</v>
      </c>
      <c r="G837">
        <v>9.4</v>
      </c>
      <c r="H837">
        <v>1588.6</v>
      </c>
      <c r="I837" s="1" t="s">
        <v>33</v>
      </c>
      <c r="J837" s="1" t="s">
        <v>47</v>
      </c>
      <c r="K837" s="1" t="s">
        <v>23</v>
      </c>
      <c r="L837">
        <v>1350.6</v>
      </c>
      <c r="M837">
        <v>15</v>
      </c>
      <c r="N837">
        <v>2023</v>
      </c>
      <c r="O837">
        <f t="shared" si="13"/>
        <v>3</v>
      </c>
      <c r="P837" s="13" t="s">
        <v>65</v>
      </c>
      <c r="Q837">
        <v>238</v>
      </c>
      <c r="R837" s="3" t="s">
        <v>29</v>
      </c>
      <c r="S837" s="7">
        <f>Ventas[[#This Row],[Costo Material (€)]]/Ventas[[#This Row],[Beneficio (€)]]</f>
        <v>5.6747899159663859</v>
      </c>
      <c r="T837" s="3" t="str">
        <f>IF(Ventas[[#This Row],[Margen (%)]]&gt;20%,"Beneficio","Perdidas")</f>
        <v>Beneficio</v>
      </c>
    </row>
    <row r="838" spans="1:20" x14ac:dyDescent="0.25">
      <c r="A838" s="12">
        <v>45338</v>
      </c>
      <c r="B838" s="1" t="s">
        <v>58</v>
      </c>
      <c r="C838" s="1" t="s">
        <v>59</v>
      </c>
      <c r="D838" s="1" t="s">
        <v>48</v>
      </c>
      <c r="E838" s="1" t="s">
        <v>38</v>
      </c>
      <c r="F838">
        <v>207</v>
      </c>
      <c r="G838">
        <v>6.38</v>
      </c>
      <c r="H838">
        <v>1320.66</v>
      </c>
      <c r="I838" s="1" t="s">
        <v>57</v>
      </c>
      <c r="J838" s="1" t="s">
        <v>22</v>
      </c>
      <c r="K838" s="1" t="s">
        <v>41</v>
      </c>
      <c r="L838">
        <v>1083.26</v>
      </c>
      <c r="M838">
        <v>18</v>
      </c>
      <c r="N838">
        <v>2024</v>
      </c>
      <c r="O838">
        <f t="shared" si="13"/>
        <v>1</v>
      </c>
      <c r="P838" s="13" t="s">
        <v>60</v>
      </c>
      <c r="Q838">
        <v>237.4</v>
      </c>
      <c r="R838" s="3" t="s">
        <v>29</v>
      </c>
      <c r="S838" s="7">
        <f>Ventas[[#This Row],[Costo Material (€)]]/Ventas[[#This Row],[Beneficio (€)]]</f>
        <v>4.5630160067396801</v>
      </c>
      <c r="T838" s="3" t="str">
        <f>IF(Ventas[[#This Row],[Margen (%)]]&gt;20%,"Beneficio","Perdidas")</f>
        <v>Beneficio</v>
      </c>
    </row>
    <row r="839" spans="1:20" x14ac:dyDescent="0.25">
      <c r="A839" s="12">
        <v>45037</v>
      </c>
      <c r="B839" s="1" t="s">
        <v>42</v>
      </c>
      <c r="C839" s="1" t="s">
        <v>43</v>
      </c>
      <c r="D839" s="1" t="s">
        <v>32</v>
      </c>
      <c r="E839" s="1" t="s">
        <v>20</v>
      </c>
      <c r="F839">
        <v>595</v>
      </c>
      <c r="G839">
        <v>2.59</v>
      </c>
      <c r="H839">
        <v>1541.05</v>
      </c>
      <c r="I839" s="1" t="s">
        <v>21</v>
      </c>
      <c r="J839" s="1" t="s">
        <v>56</v>
      </c>
      <c r="K839" s="1" t="s">
        <v>28</v>
      </c>
      <c r="L839">
        <v>1307.8</v>
      </c>
      <c r="M839">
        <v>15.1</v>
      </c>
      <c r="N839">
        <v>2023</v>
      </c>
      <c r="O839">
        <f t="shared" si="13"/>
        <v>2</v>
      </c>
      <c r="P839" s="13" t="s">
        <v>62</v>
      </c>
      <c r="Q839">
        <v>233.25</v>
      </c>
      <c r="R839" s="3" t="s">
        <v>29</v>
      </c>
      <c r="S839" s="7">
        <f>Ventas[[#This Row],[Costo Material (€)]]/Ventas[[#This Row],[Beneficio (€)]]</f>
        <v>5.6068595927116824</v>
      </c>
      <c r="T839" s="3" t="str">
        <f>IF(Ventas[[#This Row],[Margen (%)]]&gt;20%,"Beneficio","Perdidas")</f>
        <v>Beneficio</v>
      </c>
    </row>
    <row r="840" spans="1:20" x14ac:dyDescent="0.25">
      <c r="A840" s="12">
        <v>45279</v>
      </c>
      <c r="B840" s="1" t="s">
        <v>51</v>
      </c>
      <c r="C840" s="1" t="s">
        <v>52</v>
      </c>
      <c r="D840" s="1" t="s">
        <v>45</v>
      </c>
      <c r="E840" s="1" t="s">
        <v>20</v>
      </c>
      <c r="F840">
        <v>587</v>
      </c>
      <c r="G840">
        <v>2.78</v>
      </c>
      <c r="H840">
        <v>1631.86</v>
      </c>
      <c r="I840" s="1" t="s">
        <v>33</v>
      </c>
      <c r="J840" s="1" t="s">
        <v>40</v>
      </c>
      <c r="K840" s="1" t="s">
        <v>28</v>
      </c>
      <c r="L840">
        <v>1399.36</v>
      </c>
      <c r="M840">
        <v>14.2</v>
      </c>
      <c r="N840">
        <v>2023</v>
      </c>
      <c r="O840">
        <f t="shared" si="13"/>
        <v>4</v>
      </c>
      <c r="P840" s="13" t="s">
        <v>70</v>
      </c>
      <c r="Q840">
        <v>232.5</v>
      </c>
      <c r="R840" s="3" t="s">
        <v>29</v>
      </c>
      <c r="S840" s="7">
        <f>Ventas[[#This Row],[Costo Material (€)]]/Ventas[[#This Row],[Beneficio (€)]]</f>
        <v>6.018752688172043</v>
      </c>
      <c r="T840" s="3" t="str">
        <f>IF(Ventas[[#This Row],[Margen (%)]]&gt;20%,"Beneficio","Perdidas")</f>
        <v>Beneficio</v>
      </c>
    </row>
    <row r="841" spans="1:20" x14ac:dyDescent="0.25">
      <c r="A841" s="12">
        <v>44946</v>
      </c>
      <c r="B841" s="1" t="s">
        <v>17</v>
      </c>
      <c r="C841" s="1" t="s">
        <v>18</v>
      </c>
      <c r="D841" s="1" t="s">
        <v>49</v>
      </c>
      <c r="E841" s="1" t="s">
        <v>50</v>
      </c>
      <c r="F841">
        <v>355</v>
      </c>
      <c r="G841">
        <v>2.38</v>
      </c>
      <c r="H841">
        <v>844.9</v>
      </c>
      <c r="I841" s="1" t="s">
        <v>39</v>
      </c>
      <c r="J841" s="1" t="s">
        <v>34</v>
      </c>
      <c r="K841" s="1" t="s">
        <v>41</v>
      </c>
      <c r="L841">
        <v>613.91</v>
      </c>
      <c r="M841">
        <v>27.3</v>
      </c>
      <c r="N841">
        <v>2023</v>
      </c>
      <c r="O841">
        <f t="shared" si="13"/>
        <v>1</v>
      </c>
      <c r="P841" s="13" t="s">
        <v>24</v>
      </c>
      <c r="Q841">
        <v>230.99</v>
      </c>
      <c r="R841" s="3" t="s">
        <v>25</v>
      </c>
      <c r="S841" s="7">
        <f>Ventas[[#This Row],[Costo Material (€)]]/Ventas[[#This Row],[Beneficio (€)]]</f>
        <v>2.6577341010433351</v>
      </c>
      <c r="T841" s="3" t="str">
        <f>IF(Ventas[[#This Row],[Margen (%)]]&gt;20%,"Beneficio","Perdidas")</f>
        <v>Beneficio</v>
      </c>
    </row>
    <row r="842" spans="1:20" x14ac:dyDescent="0.25">
      <c r="A842" s="12">
        <v>45091</v>
      </c>
      <c r="B842" s="1" t="s">
        <v>42</v>
      </c>
      <c r="C842" s="1" t="s">
        <v>43</v>
      </c>
      <c r="D842" s="1" t="s">
        <v>32</v>
      </c>
      <c r="E842" s="1" t="s">
        <v>20</v>
      </c>
      <c r="F842">
        <v>547</v>
      </c>
      <c r="G842">
        <v>3.35</v>
      </c>
      <c r="H842">
        <v>1832.45</v>
      </c>
      <c r="I842" s="1" t="s">
        <v>39</v>
      </c>
      <c r="J842" s="1" t="s">
        <v>56</v>
      </c>
      <c r="K842" s="1" t="s">
        <v>23</v>
      </c>
      <c r="L842">
        <v>1602.33</v>
      </c>
      <c r="M842">
        <v>12.6</v>
      </c>
      <c r="N842">
        <v>2023</v>
      </c>
      <c r="O842">
        <f t="shared" si="13"/>
        <v>2</v>
      </c>
      <c r="P842" s="13" t="s">
        <v>64</v>
      </c>
      <c r="Q842">
        <v>230.12</v>
      </c>
      <c r="R842" s="3" t="s">
        <v>29</v>
      </c>
      <c r="S842" s="7">
        <f>Ventas[[#This Row],[Costo Material (€)]]/Ventas[[#This Row],[Beneficio (€)]]</f>
        <v>6.9630192942812439</v>
      </c>
      <c r="T842" s="3" t="str">
        <f>IF(Ventas[[#This Row],[Margen (%)]]&gt;20%,"Beneficio","Perdidas")</f>
        <v>Beneficio</v>
      </c>
    </row>
    <row r="843" spans="1:20" x14ac:dyDescent="0.25">
      <c r="A843" s="12">
        <v>44966</v>
      </c>
      <c r="B843" s="1" t="s">
        <v>42</v>
      </c>
      <c r="C843" s="1" t="s">
        <v>43</v>
      </c>
      <c r="D843" s="1" t="s">
        <v>32</v>
      </c>
      <c r="E843" s="1" t="s">
        <v>20</v>
      </c>
      <c r="F843">
        <v>358</v>
      </c>
      <c r="G843">
        <v>3.5</v>
      </c>
      <c r="H843">
        <v>1253</v>
      </c>
      <c r="I843" s="1" t="s">
        <v>46</v>
      </c>
      <c r="J843" s="1" t="s">
        <v>34</v>
      </c>
      <c r="K843" s="1" t="s">
        <v>28</v>
      </c>
      <c r="L843">
        <v>1023.27</v>
      </c>
      <c r="M843">
        <v>18.3</v>
      </c>
      <c r="N843">
        <v>2023</v>
      </c>
      <c r="O843">
        <f t="shared" si="13"/>
        <v>1</v>
      </c>
      <c r="P843" s="13" t="s">
        <v>60</v>
      </c>
      <c r="Q843">
        <v>229.73</v>
      </c>
      <c r="R843" s="3" t="s">
        <v>29</v>
      </c>
      <c r="S843" s="7">
        <f>Ventas[[#This Row],[Costo Material (€)]]/Ventas[[#This Row],[Beneficio (€)]]</f>
        <v>4.4542288773777914</v>
      </c>
      <c r="T843" s="3" t="str">
        <f>IF(Ventas[[#This Row],[Margen (%)]]&gt;20%,"Beneficio","Perdidas")</f>
        <v>Beneficio</v>
      </c>
    </row>
    <row r="844" spans="1:20" x14ac:dyDescent="0.25">
      <c r="A844" s="12">
        <v>45215</v>
      </c>
      <c r="B844" s="1" t="s">
        <v>42</v>
      </c>
      <c r="C844" s="1" t="s">
        <v>43</v>
      </c>
      <c r="D844" s="1" t="s">
        <v>45</v>
      </c>
      <c r="E844" s="1" t="s">
        <v>20</v>
      </c>
      <c r="F844">
        <v>225</v>
      </c>
      <c r="G844">
        <v>9.52</v>
      </c>
      <c r="H844">
        <v>2142</v>
      </c>
      <c r="I844" s="1" t="s">
        <v>54</v>
      </c>
      <c r="J844" s="1" t="s">
        <v>34</v>
      </c>
      <c r="K844" s="1" t="s">
        <v>41</v>
      </c>
      <c r="L844">
        <v>1914.1</v>
      </c>
      <c r="M844">
        <v>10.6</v>
      </c>
      <c r="N844">
        <v>2023</v>
      </c>
      <c r="O844">
        <f t="shared" si="13"/>
        <v>4</v>
      </c>
      <c r="P844" s="13" t="s">
        <v>68</v>
      </c>
      <c r="Q844">
        <v>227.9</v>
      </c>
      <c r="R844" s="3" t="s">
        <v>29</v>
      </c>
      <c r="S844" s="7">
        <f>Ventas[[#This Row],[Costo Material (€)]]/Ventas[[#This Row],[Beneficio (€)]]</f>
        <v>8.3988591487494517</v>
      </c>
      <c r="T844" s="3" t="str">
        <f>IF(Ventas[[#This Row],[Margen (%)]]&gt;20%,"Beneficio","Perdidas")</f>
        <v>Beneficio</v>
      </c>
    </row>
    <row r="845" spans="1:20" x14ac:dyDescent="0.25">
      <c r="A845" s="12">
        <v>45140</v>
      </c>
      <c r="B845" s="1" t="s">
        <v>42</v>
      </c>
      <c r="C845" s="1" t="s">
        <v>43</v>
      </c>
      <c r="D845" s="1" t="s">
        <v>19</v>
      </c>
      <c r="E845" s="1" t="s">
        <v>20</v>
      </c>
      <c r="F845">
        <v>231</v>
      </c>
      <c r="G845">
        <v>5.56</v>
      </c>
      <c r="H845">
        <v>1284.3599999999999</v>
      </c>
      <c r="I845" s="1" t="s">
        <v>26</v>
      </c>
      <c r="J845" s="1" t="s">
        <v>40</v>
      </c>
      <c r="K845" s="1" t="s">
        <v>28</v>
      </c>
      <c r="L845">
        <v>1064.94</v>
      </c>
      <c r="M845">
        <v>17.100000000000001</v>
      </c>
      <c r="N845">
        <v>2023</v>
      </c>
      <c r="O845">
        <f t="shared" si="13"/>
        <v>3</v>
      </c>
      <c r="P845" s="13" t="s">
        <v>66</v>
      </c>
      <c r="Q845">
        <v>219.42</v>
      </c>
      <c r="R845" s="3" t="s">
        <v>29</v>
      </c>
      <c r="S845" s="7">
        <f>Ventas[[#This Row],[Costo Material (€)]]/Ventas[[#This Row],[Beneficio (€)]]</f>
        <v>4.8534317746786986</v>
      </c>
      <c r="T845" s="3" t="str">
        <f>IF(Ventas[[#This Row],[Margen (%)]]&gt;20%,"Beneficio","Perdidas")</f>
        <v>Beneficio</v>
      </c>
    </row>
    <row r="846" spans="1:20" x14ac:dyDescent="0.25">
      <c r="A846" s="12">
        <v>45762</v>
      </c>
      <c r="B846" s="1" t="s">
        <v>42</v>
      </c>
      <c r="C846" s="1" t="s">
        <v>43</v>
      </c>
      <c r="D846" s="1" t="s">
        <v>19</v>
      </c>
      <c r="E846" s="1" t="s">
        <v>20</v>
      </c>
      <c r="F846">
        <v>145</v>
      </c>
      <c r="G846">
        <v>4.18</v>
      </c>
      <c r="H846">
        <v>606.1</v>
      </c>
      <c r="I846" s="1" t="s">
        <v>21</v>
      </c>
      <c r="J846" s="1" t="s">
        <v>56</v>
      </c>
      <c r="K846" s="1" t="s">
        <v>23</v>
      </c>
      <c r="L846">
        <v>388.89</v>
      </c>
      <c r="M846">
        <v>35.799999999999997</v>
      </c>
      <c r="N846">
        <v>2025</v>
      </c>
      <c r="O846">
        <f t="shared" si="13"/>
        <v>2</v>
      </c>
      <c r="P846" s="13" t="s">
        <v>62</v>
      </c>
      <c r="Q846">
        <v>217.21</v>
      </c>
      <c r="R846" s="3" t="s">
        <v>25</v>
      </c>
      <c r="S846" s="7">
        <f>Ventas[[#This Row],[Costo Material (€)]]/Ventas[[#This Row],[Beneficio (€)]]</f>
        <v>1.7903871829105473</v>
      </c>
      <c r="T846" s="3" t="str">
        <f>IF(Ventas[[#This Row],[Margen (%)]]&gt;20%,"Beneficio","Perdidas")</f>
        <v>Beneficio</v>
      </c>
    </row>
    <row r="847" spans="1:20" x14ac:dyDescent="0.25">
      <c r="A847" s="12">
        <v>45141</v>
      </c>
      <c r="B847" s="1" t="s">
        <v>30</v>
      </c>
      <c r="C847" s="1" t="s">
        <v>31</v>
      </c>
      <c r="D847" s="1" t="s">
        <v>45</v>
      </c>
      <c r="E847" s="1" t="s">
        <v>20</v>
      </c>
      <c r="F847">
        <v>88</v>
      </c>
      <c r="G847">
        <v>9.43</v>
      </c>
      <c r="H847">
        <v>829.84</v>
      </c>
      <c r="I847" s="1" t="s">
        <v>54</v>
      </c>
      <c r="J847" s="1" t="s">
        <v>56</v>
      </c>
      <c r="K847" s="1" t="s">
        <v>28</v>
      </c>
      <c r="L847">
        <v>613.86</v>
      </c>
      <c r="M847">
        <v>26</v>
      </c>
      <c r="N847">
        <v>2023</v>
      </c>
      <c r="O847">
        <f t="shared" si="13"/>
        <v>3</v>
      </c>
      <c r="P847" s="13" t="s">
        <v>66</v>
      </c>
      <c r="Q847">
        <v>215.98</v>
      </c>
      <c r="R847" s="3" t="s">
        <v>25</v>
      </c>
      <c r="S847" s="7">
        <f>Ventas[[#This Row],[Costo Material (€)]]/Ventas[[#This Row],[Beneficio (€)]]</f>
        <v>2.8422076118159092</v>
      </c>
      <c r="T847" s="3" t="str">
        <f>IF(Ventas[[#This Row],[Margen (%)]]&gt;20%,"Beneficio","Perdidas")</f>
        <v>Beneficio</v>
      </c>
    </row>
    <row r="848" spans="1:20" x14ac:dyDescent="0.25">
      <c r="A848" s="12">
        <v>45037</v>
      </c>
      <c r="B848" s="1" t="s">
        <v>17</v>
      </c>
      <c r="C848" s="1" t="s">
        <v>18</v>
      </c>
      <c r="D848" s="1" t="s">
        <v>37</v>
      </c>
      <c r="E848" s="1" t="s">
        <v>38</v>
      </c>
      <c r="F848">
        <v>414</v>
      </c>
      <c r="G848">
        <v>2.66</v>
      </c>
      <c r="H848">
        <v>1101.24</v>
      </c>
      <c r="I848" s="1" t="s">
        <v>54</v>
      </c>
      <c r="J848" s="1" t="s">
        <v>22</v>
      </c>
      <c r="K848" s="1" t="s">
        <v>23</v>
      </c>
      <c r="L848">
        <v>885.69</v>
      </c>
      <c r="M848">
        <v>19.600000000000001</v>
      </c>
      <c r="N848">
        <v>2023</v>
      </c>
      <c r="O848">
        <f t="shared" si="13"/>
        <v>2</v>
      </c>
      <c r="P848" s="13" t="s">
        <v>62</v>
      </c>
      <c r="Q848">
        <v>215.55</v>
      </c>
      <c r="R848" s="3" t="s">
        <v>29</v>
      </c>
      <c r="S848" s="7">
        <f>Ventas[[#This Row],[Costo Material (€)]]/Ventas[[#This Row],[Beneficio (€)]]</f>
        <v>4.1089770354906054</v>
      </c>
      <c r="T848" s="3" t="str">
        <f>IF(Ventas[[#This Row],[Margen (%)]]&gt;20%,"Beneficio","Perdidas")</f>
        <v>Beneficio</v>
      </c>
    </row>
    <row r="849" spans="1:20" x14ac:dyDescent="0.25">
      <c r="A849" s="12">
        <v>45001</v>
      </c>
      <c r="B849" s="1" t="s">
        <v>51</v>
      </c>
      <c r="C849" s="1" t="s">
        <v>52</v>
      </c>
      <c r="D849" s="1" t="s">
        <v>53</v>
      </c>
      <c r="E849" s="1" t="s">
        <v>50</v>
      </c>
      <c r="F849">
        <v>471</v>
      </c>
      <c r="G849">
        <v>2.41</v>
      </c>
      <c r="H849">
        <v>1135.1099999999999</v>
      </c>
      <c r="I849" s="1" t="s">
        <v>39</v>
      </c>
      <c r="J849" s="1" t="s">
        <v>22</v>
      </c>
      <c r="K849" s="1" t="s">
        <v>41</v>
      </c>
      <c r="L849">
        <v>921.39</v>
      </c>
      <c r="M849">
        <v>18.8</v>
      </c>
      <c r="N849">
        <v>2023</v>
      </c>
      <c r="O849">
        <f t="shared" si="13"/>
        <v>1</v>
      </c>
      <c r="P849" s="13" t="s">
        <v>61</v>
      </c>
      <c r="Q849">
        <v>213.72</v>
      </c>
      <c r="R849" s="3" t="s">
        <v>29</v>
      </c>
      <c r="S849" s="7">
        <f>Ventas[[#This Row],[Costo Material (€)]]/Ventas[[#This Row],[Beneficio (€)]]</f>
        <v>4.3112015721504768</v>
      </c>
      <c r="T849" s="3" t="str">
        <f>IF(Ventas[[#This Row],[Margen (%)]]&gt;20%,"Beneficio","Perdidas")</f>
        <v>Beneficio</v>
      </c>
    </row>
    <row r="850" spans="1:20" x14ac:dyDescent="0.25">
      <c r="A850" s="12">
        <v>45943</v>
      </c>
      <c r="B850" s="1" t="s">
        <v>42</v>
      </c>
      <c r="C850" s="1" t="s">
        <v>43</v>
      </c>
      <c r="D850" s="1" t="s">
        <v>53</v>
      </c>
      <c r="E850" s="1" t="s">
        <v>50</v>
      </c>
      <c r="F850">
        <v>90</v>
      </c>
      <c r="G850">
        <v>9.35</v>
      </c>
      <c r="H850">
        <v>841.5</v>
      </c>
      <c r="I850" s="1" t="s">
        <v>46</v>
      </c>
      <c r="J850" s="1" t="s">
        <v>40</v>
      </c>
      <c r="K850" s="1" t="s">
        <v>23</v>
      </c>
      <c r="L850">
        <v>628.72</v>
      </c>
      <c r="M850">
        <v>25.3</v>
      </c>
      <c r="N850">
        <v>2025</v>
      </c>
      <c r="O850">
        <f t="shared" si="13"/>
        <v>4</v>
      </c>
      <c r="P850" s="13" t="s">
        <v>68</v>
      </c>
      <c r="Q850">
        <v>212.78</v>
      </c>
      <c r="R850" s="3" t="s">
        <v>25</v>
      </c>
      <c r="S850" s="7">
        <f>Ventas[[#This Row],[Costo Material (€)]]/Ventas[[#This Row],[Beneficio (€)]]</f>
        <v>2.9547889839270609</v>
      </c>
      <c r="T850" s="3" t="str">
        <f>IF(Ventas[[#This Row],[Margen (%)]]&gt;20%,"Beneficio","Perdidas")</f>
        <v>Beneficio</v>
      </c>
    </row>
    <row r="851" spans="1:20" x14ac:dyDescent="0.25">
      <c r="A851" s="12">
        <v>45139</v>
      </c>
      <c r="B851" s="1" t="s">
        <v>35</v>
      </c>
      <c r="C851" s="1" t="s">
        <v>36</v>
      </c>
      <c r="D851" s="1" t="s">
        <v>48</v>
      </c>
      <c r="E851" s="1" t="s">
        <v>38</v>
      </c>
      <c r="F851">
        <v>196</v>
      </c>
      <c r="G851">
        <v>10.66</v>
      </c>
      <c r="H851">
        <v>2089.36</v>
      </c>
      <c r="I851" s="1" t="s">
        <v>33</v>
      </c>
      <c r="J851" s="1" t="s">
        <v>40</v>
      </c>
      <c r="K851" s="1" t="s">
        <v>28</v>
      </c>
      <c r="L851">
        <v>1876.81</v>
      </c>
      <c r="M851">
        <v>10.199999999999999</v>
      </c>
      <c r="N851">
        <v>2023</v>
      </c>
      <c r="O851">
        <f t="shared" si="13"/>
        <v>3</v>
      </c>
      <c r="P851" s="13" t="s">
        <v>66</v>
      </c>
      <c r="Q851">
        <v>212.55</v>
      </c>
      <c r="R851" s="3" t="s">
        <v>29</v>
      </c>
      <c r="S851" s="7">
        <f>Ventas[[#This Row],[Costo Material (€)]]/Ventas[[#This Row],[Beneficio (€)]]</f>
        <v>8.8299694189602445</v>
      </c>
      <c r="T851" s="3" t="str">
        <f>IF(Ventas[[#This Row],[Margen (%)]]&gt;20%,"Beneficio","Perdidas")</f>
        <v>Beneficio</v>
      </c>
    </row>
    <row r="852" spans="1:20" x14ac:dyDescent="0.25">
      <c r="A852" s="12">
        <v>45005</v>
      </c>
      <c r="B852" s="1" t="s">
        <v>58</v>
      </c>
      <c r="C852" s="1" t="s">
        <v>59</v>
      </c>
      <c r="D852" s="1" t="s">
        <v>32</v>
      </c>
      <c r="E852" s="1" t="s">
        <v>20</v>
      </c>
      <c r="F852">
        <v>356</v>
      </c>
      <c r="G852">
        <v>3.7</v>
      </c>
      <c r="H852">
        <v>1317.2</v>
      </c>
      <c r="I852" s="1" t="s">
        <v>39</v>
      </c>
      <c r="J852" s="1" t="s">
        <v>22</v>
      </c>
      <c r="K852" s="1" t="s">
        <v>28</v>
      </c>
      <c r="L852">
        <v>1104.8399999999999</v>
      </c>
      <c r="M852">
        <v>16.100000000000001</v>
      </c>
      <c r="N852">
        <v>2023</v>
      </c>
      <c r="O852">
        <f t="shared" si="13"/>
        <v>1</v>
      </c>
      <c r="P852" s="13" t="s">
        <v>61</v>
      </c>
      <c r="Q852">
        <v>212.36</v>
      </c>
      <c r="R852" s="3" t="s">
        <v>29</v>
      </c>
      <c r="S852" s="7">
        <f>Ventas[[#This Row],[Costo Material (€)]]/Ventas[[#This Row],[Beneficio (€)]]</f>
        <v>5.2026747033339609</v>
      </c>
      <c r="T852" s="3" t="str">
        <f>IF(Ventas[[#This Row],[Margen (%)]]&gt;20%,"Beneficio","Perdidas")</f>
        <v>Beneficio</v>
      </c>
    </row>
    <row r="853" spans="1:20" x14ac:dyDescent="0.25">
      <c r="A853" s="12">
        <v>44976</v>
      </c>
      <c r="B853" s="1" t="s">
        <v>35</v>
      </c>
      <c r="C853" s="1" t="s">
        <v>36</v>
      </c>
      <c r="D853" s="1" t="s">
        <v>32</v>
      </c>
      <c r="E853" s="1" t="s">
        <v>20</v>
      </c>
      <c r="F853">
        <v>304</v>
      </c>
      <c r="G853">
        <v>5.59</v>
      </c>
      <c r="H853">
        <v>1699.36</v>
      </c>
      <c r="I853" s="1" t="s">
        <v>26</v>
      </c>
      <c r="J853" s="1" t="s">
        <v>22</v>
      </c>
      <c r="K853" s="1" t="s">
        <v>23</v>
      </c>
      <c r="L853">
        <v>1487.74</v>
      </c>
      <c r="M853">
        <v>12.5</v>
      </c>
      <c r="N853">
        <v>2023</v>
      </c>
      <c r="O853">
        <f t="shared" si="13"/>
        <v>1</v>
      </c>
      <c r="P853" s="13" t="s">
        <v>60</v>
      </c>
      <c r="Q853">
        <v>211.62</v>
      </c>
      <c r="R853" s="3" t="s">
        <v>29</v>
      </c>
      <c r="S853" s="7">
        <f>Ventas[[#This Row],[Costo Material (€)]]/Ventas[[#This Row],[Beneficio (€)]]</f>
        <v>7.030242888195823</v>
      </c>
      <c r="T853" s="3" t="str">
        <f>IF(Ventas[[#This Row],[Margen (%)]]&gt;20%,"Beneficio","Perdidas")</f>
        <v>Beneficio</v>
      </c>
    </row>
    <row r="854" spans="1:20" x14ac:dyDescent="0.25">
      <c r="A854" s="12">
        <v>45383</v>
      </c>
      <c r="B854" s="1" t="s">
        <v>58</v>
      </c>
      <c r="C854" s="1" t="s">
        <v>59</v>
      </c>
      <c r="D854" s="1" t="s">
        <v>45</v>
      </c>
      <c r="E854" s="1" t="s">
        <v>20</v>
      </c>
      <c r="F854">
        <v>292</v>
      </c>
      <c r="G854">
        <v>2.56</v>
      </c>
      <c r="H854">
        <v>747.52</v>
      </c>
      <c r="I854" s="1" t="s">
        <v>33</v>
      </c>
      <c r="J854" s="1" t="s">
        <v>22</v>
      </c>
      <c r="K854" s="1" t="s">
        <v>28</v>
      </c>
      <c r="L854">
        <v>537.37</v>
      </c>
      <c r="M854">
        <v>28.1</v>
      </c>
      <c r="N854">
        <v>2024</v>
      </c>
      <c r="O854">
        <f t="shared" si="13"/>
        <v>2</v>
      </c>
      <c r="P854" s="13" t="s">
        <v>62</v>
      </c>
      <c r="Q854">
        <v>210.15</v>
      </c>
      <c r="R854" s="3" t="s">
        <v>25</v>
      </c>
      <c r="S854" s="7">
        <f>Ventas[[#This Row],[Costo Material (€)]]/Ventas[[#This Row],[Beneficio (€)]]</f>
        <v>2.55707827742089</v>
      </c>
      <c r="T854" s="3" t="str">
        <f>IF(Ventas[[#This Row],[Margen (%)]]&gt;20%,"Beneficio","Perdidas")</f>
        <v>Beneficio</v>
      </c>
    </row>
    <row r="855" spans="1:20" x14ac:dyDescent="0.25">
      <c r="A855" s="12">
        <v>45261</v>
      </c>
      <c r="B855" s="1" t="s">
        <v>42</v>
      </c>
      <c r="C855" s="1" t="s">
        <v>43</v>
      </c>
      <c r="D855" s="1" t="s">
        <v>53</v>
      </c>
      <c r="E855" s="1" t="s">
        <v>50</v>
      </c>
      <c r="F855">
        <v>164</v>
      </c>
      <c r="G855">
        <v>3.46</v>
      </c>
      <c r="H855">
        <v>567.44000000000005</v>
      </c>
      <c r="I855" s="1" t="s">
        <v>39</v>
      </c>
      <c r="J855" s="1" t="s">
        <v>22</v>
      </c>
      <c r="K855" s="1" t="s">
        <v>28</v>
      </c>
      <c r="L855">
        <v>357.98</v>
      </c>
      <c r="M855">
        <v>36.9</v>
      </c>
      <c r="N855">
        <v>2023</v>
      </c>
      <c r="O855">
        <f t="shared" si="13"/>
        <v>4</v>
      </c>
      <c r="P855" s="13" t="s">
        <v>70</v>
      </c>
      <c r="Q855">
        <v>209.46</v>
      </c>
      <c r="R855" s="3" t="s">
        <v>25</v>
      </c>
      <c r="S855" s="7">
        <f>Ventas[[#This Row],[Costo Material (€)]]/Ventas[[#This Row],[Beneficio (€)]]</f>
        <v>1.7090613959705911</v>
      </c>
      <c r="T855" s="3" t="str">
        <f>IF(Ventas[[#This Row],[Margen (%)]]&gt;20%,"Beneficio","Perdidas")</f>
        <v>Beneficio</v>
      </c>
    </row>
    <row r="856" spans="1:20" x14ac:dyDescent="0.25">
      <c r="A856" s="12">
        <v>44938</v>
      </c>
      <c r="B856" s="1" t="s">
        <v>17</v>
      </c>
      <c r="C856" s="1" t="s">
        <v>18</v>
      </c>
      <c r="D856" s="1" t="s">
        <v>19</v>
      </c>
      <c r="E856" s="1" t="s">
        <v>20</v>
      </c>
      <c r="F856">
        <v>134</v>
      </c>
      <c r="G856">
        <v>4.47</v>
      </c>
      <c r="H856">
        <v>598.98</v>
      </c>
      <c r="I856" s="1" t="s">
        <v>39</v>
      </c>
      <c r="J856" s="1" t="s">
        <v>56</v>
      </c>
      <c r="K856" s="1" t="s">
        <v>23</v>
      </c>
      <c r="L856">
        <v>389.77</v>
      </c>
      <c r="M856">
        <v>34.9</v>
      </c>
      <c r="N856">
        <v>2023</v>
      </c>
      <c r="O856">
        <f t="shared" si="13"/>
        <v>1</v>
      </c>
      <c r="P856" s="13" t="s">
        <v>24</v>
      </c>
      <c r="Q856">
        <v>209.21</v>
      </c>
      <c r="R856" s="3" t="s">
        <v>25</v>
      </c>
      <c r="S856" s="7">
        <f>Ventas[[#This Row],[Costo Material (€)]]/Ventas[[#This Row],[Beneficio (€)]]</f>
        <v>1.8630562592610294</v>
      </c>
      <c r="T856" s="3" t="str">
        <f>IF(Ventas[[#This Row],[Margen (%)]]&gt;20%,"Beneficio","Perdidas")</f>
        <v>Beneficio</v>
      </c>
    </row>
    <row r="857" spans="1:20" x14ac:dyDescent="0.25">
      <c r="A857" s="12">
        <v>45061</v>
      </c>
      <c r="B857" s="1" t="s">
        <v>17</v>
      </c>
      <c r="C857" s="1" t="s">
        <v>18</v>
      </c>
      <c r="D857" s="1" t="s">
        <v>44</v>
      </c>
      <c r="E857" s="1" t="s">
        <v>38</v>
      </c>
      <c r="F857">
        <v>66</v>
      </c>
      <c r="G857">
        <v>9.44</v>
      </c>
      <c r="H857">
        <v>623.04</v>
      </c>
      <c r="I857" s="1" t="s">
        <v>46</v>
      </c>
      <c r="J857" s="1" t="s">
        <v>22</v>
      </c>
      <c r="K857" s="1" t="s">
        <v>41</v>
      </c>
      <c r="L857">
        <v>414.06</v>
      </c>
      <c r="M857">
        <v>33.5</v>
      </c>
      <c r="N857">
        <v>2023</v>
      </c>
      <c r="O857">
        <f t="shared" si="13"/>
        <v>2</v>
      </c>
      <c r="P857" s="13" t="s">
        <v>63</v>
      </c>
      <c r="Q857">
        <v>208.98</v>
      </c>
      <c r="R857" s="3" t="s">
        <v>25</v>
      </c>
      <c r="S857" s="7">
        <f>Ventas[[#This Row],[Costo Material (€)]]/Ventas[[#This Row],[Beneficio (€)]]</f>
        <v>1.9813379270743612</v>
      </c>
      <c r="T857" s="3" t="str">
        <f>IF(Ventas[[#This Row],[Margen (%)]]&gt;20%,"Beneficio","Perdidas")</f>
        <v>Beneficio</v>
      </c>
    </row>
    <row r="858" spans="1:20" x14ac:dyDescent="0.25">
      <c r="A858" s="12">
        <v>45210</v>
      </c>
      <c r="B858" s="1" t="s">
        <v>35</v>
      </c>
      <c r="C858" s="1" t="s">
        <v>36</v>
      </c>
      <c r="D858" s="1" t="s">
        <v>53</v>
      </c>
      <c r="E858" s="1" t="s">
        <v>50</v>
      </c>
      <c r="F858">
        <v>730</v>
      </c>
      <c r="G858">
        <v>2.2999999999999998</v>
      </c>
      <c r="H858">
        <v>1679</v>
      </c>
      <c r="I858" s="1" t="s">
        <v>26</v>
      </c>
      <c r="J858" s="1" t="s">
        <v>56</v>
      </c>
      <c r="K858" s="1" t="s">
        <v>23</v>
      </c>
      <c r="L858">
        <v>1471.8</v>
      </c>
      <c r="M858">
        <v>12.3</v>
      </c>
      <c r="N858">
        <v>2023</v>
      </c>
      <c r="O858">
        <f t="shared" si="13"/>
        <v>4</v>
      </c>
      <c r="P858" s="13" t="s">
        <v>68</v>
      </c>
      <c r="Q858">
        <v>207.2</v>
      </c>
      <c r="R858" s="3" t="s">
        <v>29</v>
      </c>
      <c r="S858" s="7">
        <f>Ventas[[#This Row],[Costo Material (€)]]/Ventas[[#This Row],[Beneficio (€)]]</f>
        <v>7.1032818532818531</v>
      </c>
      <c r="T858" s="3" t="str">
        <f>IF(Ventas[[#This Row],[Margen (%)]]&gt;20%,"Beneficio","Perdidas")</f>
        <v>Beneficio</v>
      </c>
    </row>
    <row r="859" spans="1:20" x14ac:dyDescent="0.25">
      <c r="A859" s="12">
        <v>45089</v>
      </c>
      <c r="B859" s="1" t="s">
        <v>17</v>
      </c>
      <c r="C859" s="1" t="s">
        <v>18</v>
      </c>
      <c r="D859" s="1" t="s">
        <v>32</v>
      </c>
      <c r="E859" s="1" t="s">
        <v>20</v>
      </c>
      <c r="F859">
        <v>171</v>
      </c>
      <c r="G859">
        <v>11.56</v>
      </c>
      <c r="H859">
        <v>1976.76</v>
      </c>
      <c r="I859" s="1" t="s">
        <v>54</v>
      </c>
      <c r="J859" s="1" t="s">
        <v>27</v>
      </c>
      <c r="K859" s="1" t="s">
        <v>41</v>
      </c>
      <c r="L859">
        <v>1770.89</v>
      </c>
      <c r="M859">
        <v>10.4</v>
      </c>
      <c r="N859">
        <v>2023</v>
      </c>
      <c r="O859">
        <f t="shared" si="13"/>
        <v>2</v>
      </c>
      <c r="P859" s="13" t="s">
        <v>64</v>
      </c>
      <c r="Q859">
        <v>205.87</v>
      </c>
      <c r="R859" s="3" t="s">
        <v>29</v>
      </c>
      <c r="S859" s="7">
        <f>Ventas[[#This Row],[Costo Material (€)]]/Ventas[[#This Row],[Beneficio (€)]]</f>
        <v>8.6019818331957065</v>
      </c>
      <c r="T859" s="3" t="str">
        <f>IF(Ventas[[#This Row],[Margen (%)]]&gt;20%,"Beneficio","Perdidas")</f>
        <v>Beneficio</v>
      </c>
    </row>
    <row r="860" spans="1:20" x14ac:dyDescent="0.25">
      <c r="A860" s="12">
        <v>45009</v>
      </c>
      <c r="B860" s="1" t="s">
        <v>42</v>
      </c>
      <c r="C860" s="1" t="s">
        <v>43</v>
      </c>
      <c r="D860" s="1" t="s">
        <v>37</v>
      </c>
      <c r="E860" s="1" t="s">
        <v>38</v>
      </c>
      <c r="F860">
        <v>150</v>
      </c>
      <c r="G860">
        <v>4.5</v>
      </c>
      <c r="H860">
        <v>675</v>
      </c>
      <c r="I860" s="1" t="s">
        <v>33</v>
      </c>
      <c r="J860" s="1" t="s">
        <v>27</v>
      </c>
      <c r="K860" s="1" t="s">
        <v>23</v>
      </c>
      <c r="L860">
        <v>469.45</v>
      </c>
      <c r="M860">
        <v>30.5</v>
      </c>
      <c r="N860">
        <v>2023</v>
      </c>
      <c r="O860">
        <f t="shared" si="13"/>
        <v>1</v>
      </c>
      <c r="P860" s="13" t="s">
        <v>61</v>
      </c>
      <c r="Q860">
        <v>205.55</v>
      </c>
      <c r="R860" s="3" t="s">
        <v>25</v>
      </c>
      <c r="S860" s="7">
        <f>Ventas[[#This Row],[Costo Material (€)]]/Ventas[[#This Row],[Beneficio (€)]]</f>
        <v>2.283872537095597</v>
      </c>
      <c r="T860" s="3" t="str">
        <f>IF(Ventas[[#This Row],[Margen (%)]]&gt;20%,"Beneficio","Perdidas")</f>
        <v>Beneficio</v>
      </c>
    </row>
    <row r="861" spans="1:20" x14ac:dyDescent="0.25">
      <c r="A861" s="12">
        <v>45280</v>
      </c>
      <c r="B861" s="1" t="s">
        <v>42</v>
      </c>
      <c r="C861" s="1" t="s">
        <v>43</v>
      </c>
      <c r="D861" s="1" t="s">
        <v>48</v>
      </c>
      <c r="E861" s="1" t="s">
        <v>38</v>
      </c>
      <c r="F861">
        <v>148</v>
      </c>
      <c r="G861">
        <v>3.63</v>
      </c>
      <c r="H861">
        <v>537.24</v>
      </c>
      <c r="I861" s="1" t="s">
        <v>54</v>
      </c>
      <c r="J861" s="1" t="s">
        <v>27</v>
      </c>
      <c r="K861" s="1" t="s">
        <v>28</v>
      </c>
      <c r="L861">
        <v>333.76</v>
      </c>
      <c r="M861">
        <v>37.9</v>
      </c>
      <c r="N861">
        <v>2023</v>
      </c>
      <c r="O861">
        <f t="shared" si="13"/>
        <v>4</v>
      </c>
      <c r="P861" s="13" t="s">
        <v>70</v>
      </c>
      <c r="Q861">
        <v>203.48</v>
      </c>
      <c r="R861" s="3" t="s">
        <v>25</v>
      </c>
      <c r="S861" s="7">
        <f>Ventas[[#This Row],[Costo Material (€)]]/Ventas[[#This Row],[Beneficio (€)]]</f>
        <v>1.640259484961667</v>
      </c>
      <c r="T861" s="3" t="str">
        <f>IF(Ventas[[#This Row],[Margen (%)]]&gt;20%,"Beneficio","Perdidas")</f>
        <v>Beneficio</v>
      </c>
    </row>
    <row r="862" spans="1:20" x14ac:dyDescent="0.25">
      <c r="A862" s="12">
        <v>45013</v>
      </c>
      <c r="B862" s="1" t="s">
        <v>51</v>
      </c>
      <c r="C862" s="1" t="s">
        <v>52</v>
      </c>
      <c r="D862" s="1" t="s">
        <v>44</v>
      </c>
      <c r="E862" s="1" t="s">
        <v>38</v>
      </c>
      <c r="F862">
        <v>385</v>
      </c>
      <c r="G862">
        <v>2.83</v>
      </c>
      <c r="H862">
        <v>1089.55</v>
      </c>
      <c r="I862" s="1" t="s">
        <v>54</v>
      </c>
      <c r="J862" s="1" t="s">
        <v>27</v>
      </c>
      <c r="K862" s="1" t="s">
        <v>41</v>
      </c>
      <c r="L862">
        <v>887.71</v>
      </c>
      <c r="M862">
        <v>18.5</v>
      </c>
      <c r="N862">
        <v>2023</v>
      </c>
      <c r="O862">
        <f t="shared" si="13"/>
        <v>1</v>
      </c>
      <c r="P862" s="13" t="s">
        <v>61</v>
      </c>
      <c r="Q862">
        <v>201.84</v>
      </c>
      <c r="R862" s="3" t="s">
        <v>29</v>
      </c>
      <c r="S862" s="7">
        <f>Ventas[[#This Row],[Costo Material (€)]]/Ventas[[#This Row],[Beneficio (€)]]</f>
        <v>4.3980875941339672</v>
      </c>
      <c r="T862" s="3" t="str">
        <f>IF(Ventas[[#This Row],[Margen (%)]]&gt;20%,"Beneficio","Perdidas")</f>
        <v>Beneficio</v>
      </c>
    </row>
    <row r="863" spans="1:20" x14ac:dyDescent="0.25">
      <c r="A863" s="12">
        <v>44943</v>
      </c>
      <c r="B863" s="1" t="s">
        <v>42</v>
      </c>
      <c r="C863" s="1" t="s">
        <v>43</v>
      </c>
      <c r="D863" s="1" t="s">
        <v>37</v>
      </c>
      <c r="E863" s="1" t="s">
        <v>38</v>
      </c>
      <c r="F863">
        <v>261</v>
      </c>
      <c r="G863">
        <v>6.89</v>
      </c>
      <c r="H863">
        <v>1798.29</v>
      </c>
      <c r="I863" s="1" t="s">
        <v>26</v>
      </c>
      <c r="J863" s="1" t="s">
        <v>27</v>
      </c>
      <c r="K863" s="1" t="s">
        <v>28</v>
      </c>
      <c r="L863">
        <v>1597.91</v>
      </c>
      <c r="M863">
        <v>11.1</v>
      </c>
      <c r="N863">
        <v>2023</v>
      </c>
      <c r="O863">
        <f t="shared" si="13"/>
        <v>1</v>
      </c>
      <c r="P863" s="13" t="s">
        <v>24</v>
      </c>
      <c r="Q863">
        <v>200.38</v>
      </c>
      <c r="R863" s="3" t="s">
        <v>29</v>
      </c>
      <c r="S863" s="7">
        <f>Ventas[[#This Row],[Costo Material (€)]]/Ventas[[#This Row],[Beneficio (€)]]</f>
        <v>7.9743986425791</v>
      </c>
      <c r="T863" s="3" t="str">
        <f>IF(Ventas[[#This Row],[Margen (%)]]&gt;20%,"Beneficio","Perdidas")</f>
        <v>Beneficio</v>
      </c>
    </row>
    <row r="864" spans="1:20" x14ac:dyDescent="0.25">
      <c r="A864" s="12">
        <v>44947</v>
      </c>
      <c r="B864" s="1" t="s">
        <v>30</v>
      </c>
      <c r="C864" s="1" t="s">
        <v>31</v>
      </c>
      <c r="D864" s="1" t="s">
        <v>53</v>
      </c>
      <c r="E864" s="1" t="s">
        <v>50</v>
      </c>
      <c r="F864">
        <v>178</v>
      </c>
      <c r="G864">
        <v>4.57</v>
      </c>
      <c r="H864">
        <v>813.46</v>
      </c>
      <c r="I864" s="1" t="s">
        <v>54</v>
      </c>
      <c r="J864" s="1" t="s">
        <v>56</v>
      </c>
      <c r="K864" s="1" t="s">
        <v>28</v>
      </c>
      <c r="L864">
        <v>613.41</v>
      </c>
      <c r="M864">
        <v>24.6</v>
      </c>
      <c r="N864">
        <v>2023</v>
      </c>
      <c r="O864">
        <f t="shared" si="13"/>
        <v>1</v>
      </c>
      <c r="P864" s="13" t="s">
        <v>24</v>
      </c>
      <c r="Q864">
        <v>200.05</v>
      </c>
      <c r="R864" s="3" t="s">
        <v>29</v>
      </c>
      <c r="S864" s="7">
        <f>Ventas[[#This Row],[Costo Material (€)]]/Ventas[[#This Row],[Beneficio (€)]]</f>
        <v>3.0662834291427141</v>
      </c>
      <c r="T864" s="3" t="str">
        <f>IF(Ventas[[#This Row],[Margen (%)]]&gt;20%,"Beneficio","Perdidas")</f>
        <v>Beneficio</v>
      </c>
    </row>
    <row r="865" spans="1:20" x14ac:dyDescent="0.25">
      <c r="A865" s="12">
        <v>45137</v>
      </c>
      <c r="B865" s="1" t="s">
        <v>51</v>
      </c>
      <c r="C865" s="1" t="s">
        <v>52</v>
      </c>
      <c r="D865" s="1" t="s">
        <v>32</v>
      </c>
      <c r="E865" s="1" t="s">
        <v>20</v>
      </c>
      <c r="F865">
        <v>236</v>
      </c>
      <c r="G865">
        <v>6.27</v>
      </c>
      <c r="H865">
        <v>1479.72</v>
      </c>
      <c r="I865" s="1" t="s">
        <v>46</v>
      </c>
      <c r="J865" s="1" t="s">
        <v>47</v>
      </c>
      <c r="K865" s="1" t="s">
        <v>28</v>
      </c>
      <c r="L865">
        <v>1279.8900000000001</v>
      </c>
      <c r="M865">
        <v>13.5</v>
      </c>
      <c r="N865">
        <v>2023</v>
      </c>
      <c r="O865">
        <f t="shared" si="13"/>
        <v>3</v>
      </c>
      <c r="P865" s="13" t="s">
        <v>65</v>
      </c>
      <c r="Q865">
        <v>199.83</v>
      </c>
      <c r="R865" s="3" t="s">
        <v>29</v>
      </c>
      <c r="S865" s="7">
        <f>Ventas[[#This Row],[Costo Material (€)]]/Ventas[[#This Row],[Beneficio (€)]]</f>
        <v>6.4048941600360303</v>
      </c>
      <c r="T865" s="3" t="str">
        <f>IF(Ventas[[#This Row],[Margen (%)]]&gt;20%,"Beneficio","Perdidas")</f>
        <v>Beneficio</v>
      </c>
    </row>
    <row r="866" spans="1:20" x14ac:dyDescent="0.25">
      <c r="A866" s="12">
        <v>45055</v>
      </c>
      <c r="B866" s="1" t="s">
        <v>42</v>
      </c>
      <c r="C866" s="1" t="s">
        <v>43</v>
      </c>
      <c r="D866" s="1" t="s">
        <v>32</v>
      </c>
      <c r="E866" s="1" t="s">
        <v>20</v>
      </c>
      <c r="F866">
        <v>601</v>
      </c>
      <c r="G866">
        <v>2.2799999999999998</v>
      </c>
      <c r="H866">
        <v>1370.28</v>
      </c>
      <c r="I866" s="1" t="s">
        <v>39</v>
      </c>
      <c r="J866" s="1" t="s">
        <v>27</v>
      </c>
      <c r="K866" s="1" t="s">
        <v>23</v>
      </c>
      <c r="L866">
        <v>1171.1400000000001</v>
      </c>
      <c r="M866">
        <v>14.5</v>
      </c>
      <c r="N866">
        <v>2023</v>
      </c>
      <c r="O866">
        <f t="shared" si="13"/>
        <v>2</v>
      </c>
      <c r="P866" s="13" t="s">
        <v>63</v>
      </c>
      <c r="Q866">
        <v>199.14</v>
      </c>
      <c r="R866" s="3" t="s">
        <v>29</v>
      </c>
      <c r="S866" s="7">
        <f>Ventas[[#This Row],[Costo Material (€)]]/Ventas[[#This Row],[Beneficio (€)]]</f>
        <v>5.8809882494727335</v>
      </c>
      <c r="T866" s="3" t="str">
        <f>IF(Ventas[[#This Row],[Margen (%)]]&gt;20%,"Beneficio","Perdidas")</f>
        <v>Beneficio</v>
      </c>
    </row>
    <row r="867" spans="1:20" x14ac:dyDescent="0.25">
      <c r="A867" s="12">
        <v>45149</v>
      </c>
      <c r="B867" s="1" t="s">
        <v>58</v>
      </c>
      <c r="C867" s="1" t="s">
        <v>59</v>
      </c>
      <c r="D867" s="1" t="s">
        <v>45</v>
      </c>
      <c r="E867" s="1" t="s">
        <v>20</v>
      </c>
      <c r="F867">
        <v>100</v>
      </c>
      <c r="G867">
        <v>5.99</v>
      </c>
      <c r="H867">
        <v>599</v>
      </c>
      <c r="I867" s="1" t="s">
        <v>26</v>
      </c>
      <c r="J867" s="1" t="s">
        <v>22</v>
      </c>
      <c r="K867" s="1" t="s">
        <v>23</v>
      </c>
      <c r="L867">
        <v>403.62</v>
      </c>
      <c r="M867">
        <v>32.6</v>
      </c>
      <c r="N867">
        <v>2023</v>
      </c>
      <c r="O867">
        <f t="shared" si="13"/>
        <v>3</v>
      </c>
      <c r="P867" s="13" t="s">
        <v>66</v>
      </c>
      <c r="Q867">
        <v>195.38</v>
      </c>
      <c r="R867" s="3" t="s">
        <v>25</v>
      </c>
      <c r="S867" s="7">
        <f>Ventas[[#This Row],[Costo Material (€)]]/Ventas[[#This Row],[Beneficio (€)]]</f>
        <v>2.0658204524516326</v>
      </c>
      <c r="T867" s="3" t="str">
        <f>IF(Ventas[[#This Row],[Margen (%)]]&gt;20%,"Beneficio","Perdidas")</f>
        <v>Beneficio</v>
      </c>
    </row>
    <row r="868" spans="1:20" x14ac:dyDescent="0.25">
      <c r="A868" s="12">
        <v>44971</v>
      </c>
      <c r="B868" s="1" t="s">
        <v>35</v>
      </c>
      <c r="C868" s="1" t="s">
        <v>36</v>
      </c>
      <c r="D868" s="1" t="s">
        <v>44</v>
      </c>
      <c r="E868" s="1" t="s">
        <v>38</v>
      </c>
      <c r="F868">
        <v>189</v>
      </c>
      <c r="G868">
        <v>3.21</v>
      </c>
      <c r="H868">
        <v>606.69000000000005</v>
      </c>
      <c r="I868" s="1" t="s">
        <v>46</v>
      </c>
      <c r="J868" s="1" t="s">
        <v>34</v>
      </c>
      <c r="K868" s="1" t="s">
        <v>23</v>
      </c>
      <c r="L868">
        <v>411.59</v>
      </c>
      <c r="M868">
        <v>32.200000000000003</v>
      </c>
      <c r="N868">
        <v>2023</v>
      </c>
      <c r="O868">
        <f t="shared" si="13"/>
        <v>1</v>
      </c>
      <c r="P868" s="13" t="s">
        <v>60</v>
      </c>
      <c r="Q868">
        <v>195.1</v>
      </c>
      <c r="R868" s="3" t="s">
        <v>25</v>
      </c>
      <c r="S868" s="7">
        <f>Ventas[[#This Row],[Costo Material (€)]]/Ventas[[#This Row],[Beneficio (€)]]</f>
        <v>2.1096360840594568</v>
      </c>
      <c r="T868" s="3" t="str">
        <f>IF(Ventas[[#This Row],[Margen (%)]]&gt;20%,"Beneficio","Perdidas")</f>
        <v>Beneficio</v>
      </c>
    </row>
    <row r="869" spans="1:20" x14ac:dyDescent="0.25">
      <c r="A869" s="12">
        <v>45489</v>
      </c>
      <c r="B869" s="1" t="s">
        <v>58</v>
      </c>
      <c r="C869" s="1" t="s">
        <v>59</v>
      </c>
      <c r="D869" s="1" t="s">
        <v>45</v>
      </c>
      <c r="E869" s="1" t="s">
        <v>20</v>
      </c>
      <c r="F869">
        <v>211</v>
      </c>
      <c r="G869">
        <v>5.66</v>
      </c>
      <c r="H869">
        <v>1194.26</v>
      </c>
      <c r="I869" s="1" t="s">
        <v>33</v>
      </c>
      <c r="J869" s="1" t="s">
        <v>40</v>
      </c>
      <c r="K869" s="1" t="s">
        <v>41</v>
      </c>
      <c r="L869">
        <v>1000.23</v>
      </c>
      <c r="M869">
        <v>16.2</v>
      </c>
      <c r="N869">
        <v>2024</v>
      </c>
      <c r="O869">
        <f t="shared" si="13"/>
        <v>3</v>
      </c>
      <c r="P869" s="13" t="s">
        <v>65</v>
      </c>
      <c r="Q869">
        <v>194.03</v>
      </c>
      <c r="R869" s="3" t="s">
        <v>29</v>
      </c>
      <c r="S869" s="7">
        <f>Ventas[[#This Row],[Costo Material (€)]]/Ventas[[#This Row],[Beneficio (€)]]</f>
        <v>5.1550275730557127</v>
      </c>
      <c r="T869" s="3" t="str">
        <f>IF(Ventas[[#This Row],[Margen (%)]]&gt;20%,"Beneficio","Perdidas")</f>
        <v>Beneficio</v>
      </c>
    </row>
    <row r="870" spans="1:20" x14ac:dyDescent="0.25">
      <c r="A870" s="12">
        <v>44929</v>
      </c>
      <c r="B870" s="1" t="s">
        <v>51</v>
      </c>
      <c r="C870" s="1" t="s">
        <v>52</v>
      </c>
      <c r="D870" s="1" t="s">
        <v>53</v>
      </c>
      <c r="E870" s="1" t="s">
        <v>50</v>
      </c>
      <c r="F870">
        <v>203</v>
      </c>
      <c r="G870">
        <v>4.2300000000000004</v>
      </c>
      <c r="H870">
        <v>858.69</v>
      </c>
      <c r="I870" s="1" t="s">
        <v>54</v>
      </c>
      <c r="J870" s="1" t="s">
        <v>40</v>
      </c>
      <c r="K870" s="1" t="s">
        <v>23</v>
      </c>
      <c r="L870">
        <v>668.3</v>
      </c>
      <c r="M870">
        <v>22.2</v>
      </c>
      <c r="N870">
        <v>2023</v>
      </c>
      <c r="O870">
        <f t="shared" si="13"/>
        <v>1</v>
      </c>
      <c r="P870" s="13" t="s">
        <v>24</v>
      </c>
      <c r="Q870">
        <v>190.39</v>
      </c>
      <c r="R870" s="3" t="s">
        <v>29</v>
      </c>
      <c r="S870" s="7">
        <f>Ventas[[#This Row],[Costo Material (€)]]/Ventas[[#This Row],[Beneficio (€)]]</f>
        <v>3.5101633489153841</v>
      </c>
      <c r="T870" s="3" t="str">
        <f>IF(Ventas[[#This Row],[Margen (%)]]&gt;20%,"Beneficio","Perdidas")</f>
        <v>Beneficio</v>
      </c>
    </row>
    <row r="871" spans="1:20" x14ac:dyDescent="0.25">
      <c r="A871" s="12">
        <v>44927</v>
      </c>
      <c r="B871" s="1" t="s">
        <v>30</v>
      </c>
      <c r="C871" s="1" t="s">
        <v>31</v>
      </c>
      <c r="D871" s="1" t="s">
        <v>32</v>
      </c>
      <c r="E871" s="1" t="s">
        <v>20</v>
      </c>
      <c r="F871">
        <v>192</v>
      </c>
      <c r="G871">
        <v>5.55</v>
      </c>
      <c r="H871">
        <v>1065.5999999999999</v>
      </c>
      <c r="I871" s="1" t="s">
        <v>33</v>
      </c>
      <c r="J871" s="1" t="s">
        <v>34</v>
      </c>
      <c r="K871" s="1" t="s">
        <v>28</v>
      </c>
      <c r="L871">
        <v>876.05</v>
      </c>
      <c r="M871">
        <v>17.8</v>
      </c>
      <c r="N871">
        <v>2023</v>
      </c>
      <c r="O871">
        <f t="shared" si="13"/>
        <v>1</v>
      </c>
      <c r="P871" s="13" t="s">
        <v>24</v>
      </c>
      <c r="Q871">
        <v>189.55</v>
      </c>
      <c r="R871" s="3" t="s">
        <v>29</v>
      </c>
      <c r="S871" s="7">
        <f>Ventas[[#This Row],[Costo Material (€)]]/Ventas[[#This Row],[Beneficio (€)]]</f>
        <v>4.6217356897916115</v>
      </c>
      <c r="T871" s="3" t="str">
        <f>IF(Ventas[[#This Row],[Margen (%)]]&gt;20%,"Beneficio","Perdidas")</f>
        <v>Beneficio</v>
      </c>
    </row>
    <row r="872" spans="1:20" x14ac:dyDescent="0.25">
      <c r="A872" s="12">
        <v>45239</v>
      </c>
      <c r="B872" s="1" t="s">
        <v>51</v>
      </c>
      <c r="C872" s="1" t="s">
        <v>52</v>
      </c>
      <c r="D872" s="1" t="s">
        <v>19</v>
      </c>
      <c r="E872" s="1" t="s">
        <v>20</v>
      </c>
      <c r="F872">
        <v>628</v>
      </c>
      <c r="G872">
        <v>2.76</v>
      </c>
      <c r="H872">
        <v>1733.28</v>
      </c>
      <c r="I872" s="1" t="s">
        <v>26</v>
      </c>
      <c r="J872" s="1" t="s">
        <v>47</v>
      </c>
      <c r="K872" s="1" t="s">
        <v>28</v>
      </c>
      <c r="L872">
        <v>1544.53</v>
      </c>
      <c r="M872">
        <v>10.9</v>
      </c>
      <c r="N872">
        <v>2023</v>
      </c>
      <c r="O872">
        <f t="shared" si="13"/>
        <v>4</v>
      </c>
      <c r="P872" s="13" t="s">
        <v>69</v>
      </c>
      <c r="Q872">
        <v>188.75</v>
      </c>
      <c r="R872" s="3" t="s">
        <v>29</v>
      </c>
      <c r="S872" s="7">
        <f>Ventas[[#This Row],[Costo Material (€)]]/Ventas[[#This Row],[Beneficio (€)]]</f>
        <v>8.1829403973509933</v>
      </c>
      <c r="T872" s="3" t="str">
        <f>IF(Ventas[[#This Row],[Margen (%)]]&gt;20%,"Beneficio","Perdidas")</f>
        <v>Beneficio</v>
      </c>
    </row>
    <row r="873" spans="1:20" x14ac:dyDescent="0.25">
      <c r="A873" s="12">
        <v>45086</v>
      </c>
      <c r="B873" s="1" t="s">
        <v>35</v>
      </c>
      <c r="C873" s="1" t="s">
        <v>36</v>
      </c>
      <c r="D873" s="1" t="s">
        <v>45</v>
      </c>
      <c r="E873" s="1" t="s">
        <v>20</v>
      </c>
      <c r="F873">
        <v>266</v>
      </c>
      <c r="G873">
        <v>5.3</v>
      </c>
      <c r="H873">
        <v>1409.8</v>
      </c>
      <c r="I873" s="1" t="s">
        <v>54</v>
      </c>
      <c r="J873" s="1" t="s">
        <v>34</v>
      </c>
      <c r="K873" s="1" t="s">
        <v>23</v>
      </c>
      <c r="L873">
        <v>1221.83</v>
      </c>
      <c r="M873">
        <v>13.3</v>
      </c>
      <c r="N873">
        <v>2023</v>
      </c>
      <c r="O873">
        <f t="shared" si="13"/>
        <v>2</v>
      </c>
      <c r="P873" s="13" t="s">
        <v>64</v>
      </c>
      <c r="Q873">
        <v>187.97</v>
      </c>
      <c r="R873" s="3" t="s">
        <v>29</v>
      </c>
      <c r="S873" s="7">
        <f>Ventas[[#This Row],[Costo Material (€)]]/Ventas[[#This Row],[Beneficio (€)]]</f>
        <v>6.5001329999467998</v>
      </c>
      <c r="T873" s="3" t="str">
        <f>IF(Ventas[[#This Row],[Margen (%)]]&gt;20%,"Beneficio","Perdidas")</f>
        <v>Beneficio</v>
      </c>
    </row>
    <row r="874" spans="1:20" x14ac:dyDescent="0.25">
      <c r="A874" s="12">
        <v>45164</v>
      </c>
      <c r="B874" s="1" t="s">
        <v>42</v>
      </c>
      <c r="C874" s="1" t="s">
        <v>43</v>
      </c>
      <c r="D874" s="1" t="s">
        <v>37</v>
      </c>
      <c r="E874" s="1" t="s">
        <v>38</v>
      </c>
      <c r="F874">
        <v>248</v>
      </c>
      <c r="G874">
        <v>2.42</v>
      </c>
      <c r="H874">
        <v>600.16</v>
      </c>
      <c r="I874" s="1" t="s">
        <v>54</v>
      </c>
      <c r="J874" s="1" t="s">
        <v>22</v>
      </c>
      <c r="K874" s="1" t="s">
        <v>28</v>
      </c>
      <c r="L874">
        <v>412.23</v>
      </c>
      <c r="M874">
        <v>31.3</v>
      </c>
      <c r="N874">
        <v>2023</v>
      </c>
      <c r="O874">
        <f t="shared" si="13"/>
        <v>3</v>
      </c>
      <c r="P874" s="13" t="s">
        <v>66</v>
      </c>
      <c r="Q874">
        <v>187.93</v>
      </c>
      <c r="R874" s="3" t="s">
        <v>25</v>
      </c>
      <c r="S874" s="7">
        <f>Ventas[[#This Row],[Costo Material (€)]]/Ventas[[#This Row],[Beneficio (€)]]</f>
        <v>2.1935295056670037</v>
      </c>
      <c r="T874" s="3" t="str">
        <f>IF(Ventas[[#This Row],[Margen (%)]]&gt;20%,"Beneficio","Perdidas")</f>
        <v>Beneficio</v>
      </c>
    </row>
    <row r="875" spans="1:20" x14ac:dyDescent="0.25">
      <c r="A875" s="12">
        <v>45067</v>
      </c>
      <c r="B875" s="1" t="s">
        <v>30</v>
      </c>
      <c r="C875" s="1" t="s">
        <v>31</v>
      </c>
      <c r="D875" s="1" t="s">
        <v>49</v>
      </c>
      <c r="E875" s="1" t="s">
        <v>50</v>
      </c>
      <c r="F875">
        <v>106</v>
      </c>
      <c r="G875">
        <v>9.64</v>
      </c>
      <c r="H875">
        <v>1021.84</v>
      </c>
      <c r="I875" s="1" t="s">
        <v>39</v>
      </c>
      <c r="J875" s="1" t="s">
        <v>22</v>
      </c>
      <c r="K875" s="1" t="s">
        <v>28</v>
      </c>
      <c r="L875">
        <v>834.04</v>
      </c>
      <c r="M875">
        <v>18.399999999999999</v>
      </c>
      <c r="N875">
        <v>2023</v>
      </c>
      <c r="O875">
        <f t="shared" si="13"/>
        <v>2</v>
      </c>
      <c r="P875" s="13" t="s">
        <v>63</v>
      </c>
      <c r="Q875">
        <v>187.8</v>
      </c>
      <c r="R875" s="3" t="s">
        <v>29</v>
      </c>
      <c r="S875" s="7">
        <f>Ventas[[#This Row],[Costo Material (€)]]/Ventas[[#This Row],[Beneficio (€)]]</f>
        <v>4.4411075612353565</v>
      </c>
      <c r="T875" s="3" t="str">
        <f>IF(Ventas[[#This Row],[Margen (%)]]&gt;20%,"Beneficio","Perdidas")</f>
        <v>Beneficio</v>
      </c>
    </row>
    <row r="876" spans="1:20" x14ac:dyDescent="0.25">
      <c r="A876" s="12">
        <v>44958</v>
      </c>
      <c r="B876" s="1" t="s">
        <v>51</v>
      </c>
      <c r="C876" s="1" t="s">
        <v>52</v>
      </c>
      <c r="D876" s="1" t="s">
        <v>44</v>
      </c>
      <c r="E876" s="1" t="s">
        <v>38</v>
      </c>
      <c r="F876">
        <v>229</v>
      </c>
      <c r="G876">
        <v>2.5499999999999998</v>
      </c>
      <c r="H876">
        <v>583.95000000000005</v>
      </c>
      <c r="I876" s="1" t="s">
        <v>46</v>
      </c>
      <c r="J876" s="1" t="s">
        <v>22</v>
      </c>
      <c r="K876" s="1" t="s">
        <v>23</v>
      </c>
      <c r="L876">
        <v>397.97</v>
      </c>
      <c r="M876">
        <v>31.8</v>
      </c>
      <c r="N876">
        <v>2023</v>
      </c>
      <c r="O876">
        <f t="shared" si="13"/>
        <v>1</v>
      </c>
      <c r="P876" s="13" t="s">
        <v>60</v>
      </c>
      <c r="Q876">
        <v>185.98</v>
      </c>
      <c r="R876" s="3" t="s">
        <v>25</v>
      </c>
      <c r="S876" s="7">
        <f>Ventas[[#This Row],[Costo Material (€)]]/Ventas[[#This Row],[Beneficio (€)]]</f>
        <v>2.1398537477148083</v>
      </c>
      <c r="T876" s="3" t="str">
        <f>IF(Ventas[[#This Row],[Margen (%)]]&gt;20%,"Beneficio","Perdidas")</f>
        <v>Beneficio</v>
      </c>
    </row>
    <row r="877" spans="1:20" x14ac:dyDescent="0.25">
      <c r="A877" s="12">
        <v>44938</v>
      </c>
      <c r="B877" s="1" t="s">
        <v>35</v>
      </c>
      <c r="C877" s="1" t="s">
        <v>36</v>
      </c>
      <c r="D877" s="1" t="s">
        <v>45</v>
      </c>
      <c r="E877" s="1" t="s">
        <v>20</v>
      </c>
      <c r="F877">
        <v>68</v>
      </c>
      <c r="G877">
        <v>8.14</v>
      </c>
      <c r="H877">
        <v>553.52</v>
      </c>
      <c r="I877" s="1" t="s">
        <v>33</v>
      </c>
      <c r="J877" s="1" t="s">
        <v>56</v>
      </c>
      <c r="K877" s="1" t="s">
        <v>28</v>
      </c>
      <c r="L877">
        <v>369.73</v>
      </c>
      <c r="M877">
        <v>33.200000000000003</v>
      </c>
      <c r="N877">
        <v>2023</v>
      </c>
      <c r="O877">
        <f t="shared" si="13"/>
        <v>1</v>
      </c>
      <c r="P877" s="13" t="s">
        <v>24</v>
      </c>
      <c r="Q877">
        <v>183.79</v>
      </c>
      <c r="R877" s="3" t="s">
        <v>25</v>
      </c>
      <c r="S877" s="7">
        <f>Ventas[[#This Row],[Costo Material (€)]]/Ventas[[#This Row],[Beneficio (€)]]</f>
        <v>2.0116981337395945</v>
      </c>
      <c r="T877" s="3" t="str">
        <f>IF(Ventas[[#This Row],[Margen (%)]]&gt;20%,"Beneficio","Perdidas")</f>
        <v>Beneficio</v>
      </c>
    </row>
    <row r="878" spans="1:20" x14ac:dyDescent="0.25">
      <c r="A878" s="12">
        <v>45175</v>
      </c>
      <c r="B878" s="1" t="s">
        <v>30</v>
      </c>
      <c r="C878" s="1" t="s">
        <v>31</v>
      </c>
      <c r="D878" s="1" t="s">
        <v>53</v>
      </c>
      <c r="E878" s="1" t="s">
        <v>50</v>
      </c>
      <c r="F878">
        <v>298</v>
      </c>
      <c r="G878">
        <v>2.34</v>
      </c>
      <c r="H878">
        <v>697.32</v>
      </c>
      <c r="I878" s="1" t="s">
        <v>21</v>
      </c>
      <c r="J878" s="1" t="s">
        <v>47</v>
      </c>
      <c r="K878" s="1" t="s">
        <v>23</v>
      </c>
      <c r="L878">
        <v>514.07000000000005</v>
      </c>
      <c r="M878">
        <v>26.3</v>
      </c>
      <c r="N878">
        <v>2023</v>
      </c>
      <c r="O878">
        <f t="shared" si="13"/>
        <v>3</v>
      </c>
      <c r="P878" s="13" t="s">
        <v>67</v>
      </c>
      <c r="Q878">
        <v>183.25</v>
      </c>
      <c r="R878" s="3" t="s">
        <v>25</v>
      </c>
      <c r="S878" s="7">
        <f>Ventas[[#This Row],[Costo Material (€)]]/Ventas[[#This Row],[Beneficio (€)]]</f>
        <v>2.8052933151432473</v>
      </c>
      <c r="T878" s="3" t="str">
        <f>IF(Ventas[[#This Row],[Margen (%)]]&gt;20%,"Beneficio","Perdidas")</f>
        <v>Beneficio</v>
      </c>
    </row>
    <row r="879" spans="1:20" x14ac:dyDescent="0.25">
      <c r="A879" s="12">
        <v>44979</v>
      </c>
      <c r="B879" s="1" t="s">
        <v>17</v>
      </c>
      <c r="C879" s="1" t="s">
        <v>18</v>
      </c>
      <c r="D879" s="1" t="s">
        <v>53</v>
      </c>
      <c r="E879" s="1" t="s">
        <v>50</v>
      </c>
      <c r="F879">
        <v>253</v>
      </c>
      <c r="G879">
        <v>2.63</v>
      </c>
      <c r="H879">
        <v>665.39</v>
      </c>
      <c r="I879" s="1" t="s">
        <v>26</v>
      </c>
      <c r="J879" s="1" t="s">
        <v>56</v>
      </c>
      <c r="K879" s="1" t="s">
        <v>41</v>
      </c>
      <c r="L879">
        <v>486.33</v>
      </c>
      <c r="M879">
        <v>26.9</v>
      </c>
      <c r="N879">
        <v>2023</v>
      </c>
      <c r="O879">
        <f t="shared" si="13"/>
        <v>1</v>
      </c>
      <c r="P879" s="13" t="s">
        <v>60</v>
      </c>
      <c r="Q879">
        <v>179.06</v>
      </c>
      <c r="R879" s="3" t="s">
        <v>25</v>
      </c>
      <c r="S879" s="7">
        <f>Ventas[[#This Row],[Costo Material (€)]]/Ventas[[#This Row],[Beneficio (€)]]</f>
        <v>2.7160169775494247</v>
      </c>
      <c r="T879" s="3" t="str">
        <f>IF(Ventas[[#This Row],[Margen (%)]]&gt;20%,"Beneficio","Perdidas")</f>
        <v>Beneficio</v>
      </c>
    </row>
    <row r="880" spans="1:20" x14ac:dyDescent="0.25">
      <c r="A880" s="12">
        <v>44947</v>
      </c>
      <c r="B880" s="1" t="s">
        <v>51</v>
      </c>
      <c r="C880" s="1" t="s">
        <v>52</v>
      </c>
      <c r="D880" s="1" t="s">
        <v>37</v>
      </c>
      <c r="E880" s="1" t="s">
        <v>38</v>
      </c>
      <c r="F880">
        <v>459</v>
      </c>
      <c r="G880">
        <v>2.21</v>
      </c>
      <c r="H880">
        <v>1014.39</v>
      </c>
      <c r="I880" s="1" t="s">
        <v>39</v>
      </c>
      <c r="J880" s="1" t="s">
        <v>34</v>
      </c>
      <c r="K880" s="1" t="s">
        <v>23</v>
      </c>
      <c r="L880">
        <v>836.3</v>
      </c>
      <c r="M880">
        <v>17.600000000000001</v>
      </c>
      <c r="N880">
        <v>2023</v>
      </c>
      <c r="O880">
        <f t="shared" si="13"/>
        <v>1</v>
      </c>
      <c r="P880" s="13" t="s">
        <v>24</v>
      </c>
      <c r="Q880">
        <v>178.09</v>
      </c>
      <c r="R880" s="3" t="s">
        <v>29</v>
      </c>
      <c r="S880" s="7">
        <f>Ventas[[#This Row],[Costo Material (€)]]/Ventas[[#This Row],[Beneficio (€)]]</f>
        <v>4.695940254927284</v>
      </c>
      <c r="T880" s="3" t="str">
        <f>IF(Ventas[[#This Row],[Margen (%)]]&gt;20%,"Beneficio","Perdidas")</f>
        <v>Beneficio</v>
      </c>
    </row>
    <row r="881" spans="1:20" x14ac:dyDescent="0.25">
      <c r="A881" s="12">
        <v>45271</v>
      </c>
      <c r="B881" s="1" t="s">
        <v>30</v>
      </c>
      <c r="C881" s="1" t="s">
        <v>31</v>
      </c>
      <c r="D881" s="1" t="s">
        <v>53</v>
      </c>
      <c r="E881" s="1" t="s">
        <v>50</v>
      </c>
      <c r="F881">
        <v>193</v>
      </c>
      <c r="G881">
        <v>3.82</v>
      </c>
      <c r="H881">
        <v>737.26</v>
      </c>
      <c r="I881" s="1" t="s">
        <v>54</v>
      </c>
      <c r="J881" s="1" t="s">
        <v>56</v>
      </c>
      <c r="K881" s="1" t="s">
        <v>23</v>
      </c>
      <c r="L881">
        <v>559.53</v>
      </c>
      <c r="M881">
        <v>24.1</v>
      </c>
      <c r="N881">
        <v>2023</v>
      </c>
      <c r="O881">
        <f t="shared" si="13"/>
        <v>4</v>
      </c>
      <c r="P881" s="13" t="s">
        <v>70</v>
      </c>
      <c r="Q881">
        <v>177.73</v>
      </c>
      <c r="R881" s="3" t="s">
        <v>29</v>
      </c>
      <c r="S881" s="7">
        <f>Ventas[[#This Row],[Costo Material (€)]]/Ventas[[#This Row],[Beneficio (€)]]</f>
        <v>3.1482023293760197</v>
      </c>
      <c r="T881" s="3" t="str">
        <f>IF(Ventas[[#This Row],[Margen (%)]]&gt;20%,"Beneficio","Perdidas")</f>
        <v>Beneficio</v>
      </c>
    </row>
    <row r="882" spans="1:20" x14ac:dyDescent="0.25">
      <c r="A882" s="12">
        <v>45416</v>
      </c>
      <c r="B882" s="1" t="s">
        <v>58</v>
      </c>
      <c r="C882" s="1" t="s">
        <v>59</v>
      </c>
      <c r="D882" s="1" t="s">
        <v>19</v>
      </c>
      <c r="E882" s="1" t="s">
        <v>20</v>
      </c>
      <c r="F882">
        <v>123</v>
      </c>
      <c r="G882">
        <v>9.59</v>
      </c>
      <c r="H882">
        <v>1179.57</v>
      </c>
      <c r="I882" s="1" t="s">
        <v>39</v>
      </c>
      <c r="J882" s="1" t="s">
        <v>47</v>
      </c>
      <c r="K882" s="1" t="s">
        <v>23</v>
      </c>
      <c r="L882">
        <v>1003.96</v>
      </c>
      <c r="M882">
        <v>14.9</v>
      </c>
      <c r="N882">
        <v>2024</v>
      </c>
      <c r="O882">
        <f t="shared" si="13"/>
        <v>2</v>
      </c>
      <c r="P882" s="13" t="s">
        <v>63</v>
      </c>
      <c r="Q882">
        <v>175.61</v>
      </c>
      <c r="R882" s="3" t="s">
        <v>29</v>
      </c>
      <c r="S882" s="7">
        <f>Ventas[[#This Row],[Costo Material (€)]]/Ventas[[#This Row],[Beneficio (€)]]</f>
        <v>5.7169865041854102</v>
      </c>
      <c r="T882" s="3" t="str">
        <f>IF(Ventas[[#This Row],[Margen (%)]]&gt;20%,"Beneficio","Perdidas")</f>
        <v>Beneficio</v>
      </c>
    </row>
    <row r="883" spans="1:20" x14ac:dyDescent="0.25">
      <c r="A883" s="12">
        <v>45869</v>
      </c>
      <c r="B883" s="1" t="s">
        <v>51</v>
      </c>
      <c r="C883" s="1" t="s">
        <v>52</v>
      </c>
      <c r="D883" s="1" t="s">
        <v>37</v>
      </c>
      <c r="E883" s="1" t="s">
        <v>38</v>
      </c>
      <c r="F883">
        <v>110</v>
      </c>
      <c r="G883">
        <v>9.7899999999999991</v>
      </c>
      <c r="H883">
        <v>1076.9000000000001</v>
      </c>
      <c r="I883" s="1" t="s">
        <v>57</v>
      </c>
      <c r="J883" s="1" t="s">
        <v>40</v>
      </c>
      <c r="K883" s="1" t="s">
        <v>23</v>
      </c>
      <c r="L883">
        <v>902.08</v>
      </c>
      <c r="M883">
        <v>16.2</v>
      </c>
      <c r="N883">
        <v>2025</v>
      </c>
      <c r="O883">
        <f t="shared" si="13"/>
        <v>3</v>
      </c>
      <c r="P883" s="13" t="s">
        <v>65</v>
      </c>
      <c r="Q883">
        <v>174.82</v>
      </c>
      <c r="R883" s="3" t="s">
        <v>29</v>
      </c>
      <c r="S883" s="7">
        <f>Ventas[[#This Row],[Costo Material (€)]]/Ventas[[#This Row],[Beneficio (€)]]</f>
        <v>5.1600503374899898</v>
      </c>
      <c r="T883" s="3" t="str">
        <f>IF(Ventas[[#This Row],[Margen (%)]]&gt;20%,"Beneficio","Perdidas")</f>
        <v>Beneficio</v>
      </c>
    </row>
    <row r="884" spans="1:20" x14ac:dyDescent="0.25">
      <c r="A884" s="12">
        <v>45072</v>
      </c>
      <c r="B884" s="1" t="s">
        <v>51</v>
      </c>
      <c r="C884" s="1" t="s">
        <v>52</v>
      </c>
      <c r="D884" s="1" t="s">
        <v>48</v>
      </c>
      <c r="E884" s="1" t="s">
        <v>38</v>
      </c>
      <c r="F884">
        <v>414</v>
      </c>
      <c r="G884">
        <v>2.9</v>
      </c>
      <c r="H884">
        <v>1200.5999999999999</v>
      </c>
      <c r="I884" s="1" t="s">
        <v>55</v>
      </c>
      <c r="J884" s="1" t="s">
        <v>22</v>
      </c>
      <c r="K884" s="1" t="s">
        <v>41</v>
      </c>
      <c r="L884">
        <v>1026.05</v>
      </c>
      <c r="M884">
        <v>14.5</v>
      </c>
      <c r="N884">
        <v>2023</v>
      </c>
      <c r="O884">
        <f t="shared" si="13"/>
        <v>2</v>
      </c>
      <c r="P884" s="13" t="s">
        <v>63</v>
      </c>
      <c r="Q884">
        <v>174.55</v>
      </c>
      <c r="R884" s="3" t="s">
        <v>29</v>
      </c>
      <c r="S884" s="7">
        <f>Ventas[[#This Row],[Costo Material (€)]]/Ventas[[#This Row],[Beneficio (€)]]</f>
        <v>5.878258378688054</v>
      </c>
      <c r="T884" s="3" t="str">
        <f>IF(Ventas[[#This Row],[Margen (%)]]&gt;20%,"Beneficio","Perdidas")</f>
        <v>Beneficio</v>
      </c>
    </row>
    <row r="885" spans="1:20" x14ac:dyDescent="0.25">
      <c r="A885" s="12">
        <v>45509</v>
      </c>
      <c r="B885" s="1" t="s">
        <v>17</v>
      </c>
      <c r="C885" s="1" t="s">
        <v>18</v>
      </c>
      <c r="D885" s="1" t="s">
        <v>45</v>
      </c>
      <c r="E885" s="1" t="s">
        <v>20</v>
      </c>
      <c r="F885">
        <v>283</v>
      </c>
      <c r="G885">
        <v>5.61</v>
      </c>
      <c r="H885">
        <v>1587.63</v>
      </c>
      <c r="I885" s="1" t="s">
        <v>26</v>
      </c>
      <c r="J885" s="1" t="s">
        <v>56</v>
      </c>
      <c r="K885" s="1" t="s">
        <v>28</v>
      </c>
      <c r="L885">
        <v>1415.02</v>
      </c>
      <c r="M885">
        <v>10.9</v>
      </c>
      <c r="N885">
        <v>2024</v>
      </c>
      <c r="O885">
        <f t="shared" si="13"/>
        <v>3</v>
      </c>
      <c r="P885" s="13" t="s">
        <v>66</v>
      </c>
      <c r="Q885">
        <v>172.61</v>
      </c>
      <c r="R885" s="3" t="s">
        <v>29</v>
      </c>
      <c r="S885" s="7">
        <f>Ventas[[#This Row],[Costo Material (€)]]/Ventas[[#This Row],[Beneficio (€)]]</f>
        <v>8.1977869184867611</v>
      </c>
      <c r="T885" s="3" t="str">
        <f>IF(Ventas[[#This Row],[Margen (%)]]&gt;20%,"Beneficio","Perdidas")</f>
        <v>Beneficio</v>
      </c>
    </row>
    <row r="886" spans="1:20" x14ac:dyDescent="0.25">
      <c r="A886" s="12">
        <v>45393</v>
      </c>
      <c r="B886" s="1" t="s">
        <v>58</v>
      </c>
      <c r="C886" s="1" t="s">
        <v>59</v>
      </c>
      <c r="D886" s="1" t="s">
        <v>49</v>
      </c>
      <c r="E886" s="1" t="s">
        <v>50</v>
      </c>
      <c r="F886">
        <v>73</v>
      </c>
      <c r="G886">
        <v>10.31</v>
      </c>
      <c r="H886">
        <v>752.63</v>
      </c>
      <c r="I886" s="1" t="s">
        <v>26</v>
      </c>
      <c r="J886" s="1" t="s">
        <v>34</v>
      </c>
      <c r="K886" s="1" t="s">
        <v>41</v>
      </c>
      <c r="L886">
        <v>582.88</v>
      </c>
      <c r="M886">
        <v>22.6</v>
      </c>
      <c r="N886">
        <v>2024</v>
      </c>
      <c r="O886">
        <f t="shared" si="13"/>
        <v>2</v>
      </c>
      <c r="P886" s="13" t="s">
        <v>62</v>
      </c>
      <c r="Q886">
        <v>169.75</v>
      </c>
      <c r="R886" s="3" t="s">
        <v>29</v>
      </c>
      <c r="S886" s="7">
        <f>Ventas[[#This Row],[Costo Material (€)]]/Ventas[[#This Row],[Beneficio (€)]]</f>
        <v>3.4337555228276879</v>
      </c>
      <c r="T886" s="3" t="str">
        <f>IF(Ventas[[#This Row],[Margen (%)]]&gt;20%,"Beneficio","Perdidas")</f>
        <v>Beneficio</v>
      </c>
    </row>
    <row r="887" spans="1:20" x14ac:dyDescent="0.25">
      <c r="A887" s="12">
        <v>45056</v>
      </c>
      <c r="B887" s="1" t="s">
        <v>58</v>
      </c>
      <c r="C887" s="1" t="s">
        <v>59</v>
      </c>
      <c r="D887" s="1" t="s">
        <v>49</v>
      </c>
      <c r="E887" s="1" t="s">
        <v>50</v>
      </c>
      <c r="F887">
        <v>104</v>
      </c>
      <c r="G887">
        <v>4.1500000000000004</v>
      </c>
      <c r="H887">
        <v>431.6</v>
      </c>
      <c r="I887" s="1" t="s">
        <v>54</v>
      </c>
      <c r="J887" s="1" t="s">
        <v>34</v>
      </c>
      <c r="K887" s="1" t="s">
        <v>28</v>
      </c>
      <c r="L887">
        <v>266.92</v>
      </c>
      <c r="M887">
        <v>38.200000000000003</v>
      </c>
      <c r="N887">
        <v>2023</v>
      </c>
      <c r="O887">
        <f t="shared" si="13"/>
        <v>2</v>
      </c>
      <c r="P887" s="13" t="s">
        <v>63</v>
      </c>
      <c r="Q887">
        <v>164.68</v>
      </c>
      <c r="R887" s="3" t="s">
        <v>25</v>
      </c>
      <c r="S887" s="7">
        <f>Ventas[[#This Row],[Costo Material (€)]]/Ventas[[#This Row],[Beneficio (€)]]</f>
        <v>1.6208404177799369</v>
      </c>
      <c r="T887" s="3" t="str">
        <f>IF(Ventas[[#This Row],[Margen (%)]]&gt;20%,"Beneficio","Perdidas")</f>
        <v>Beneficio</v>
      </c>
    </row>
    <row r="888" spans="1:20" x14ac:dyDescent="0.25">
      <c r="A888" s="12">
        <v>45032</v>
      </c>
      <c r="B888" s="1" t="s">
        <v>51</v>
      </c>
      <c r="C888" s="1" t="s">
        <v>52</v>
      </c>
      <c r="D888" s="1" t="s">
        <v>45</v>
      </c>
      <c r="E888" s="1" t="s">
        <v>20</v>
      </c>
      <c r="F888">
        <v>295</v>
      </c>
      <c r="G888">
        <v>4.3600000000000003</v>
      </c>
      <c r="H888">
        <v>1286.2</v>
      </c>
      <c r="I888" s="1" t="s">
        <v>33</v>
      </c>
      <c r="J888" s="1" t="s">
        <v>47</v>
      </c>
      <c r="K888" s="1" t="s">
        <v>28</v>
      </c>
      <c r="L888">
        <v>1122.3599999999999</v>
      </c>
      <c r="M888">
        <v>12.7</v>
      </c>
      <c r="N888">
        <v>2023</v>
      </c>
      <c r="O888">
        <f t="shared" si="13"/>
        <v>2</v>
      </c>
      <c r="P888" s="13" t="s">
        <v>62</v>
      </c>
      <c r="Q888">
        <v>163.84</v>
      </c>
      <c r="R888" s="3" t="s">
        <v>29</v>
      </c>
      <c r="S888" s="7">
        <f>Ventas[[#This Row],[Costo Material (€)]]/Ventas[[#This Row],[Beneficio (€)]]</f>
        <v>6.8503417968749991</v>
      </c>
      <c r="T888" s="3" t="str">
        <f>IF(Ventas[[#This Row],[Margen (%)]]&gt;20%,"Beneficio","Perdidas")</f>
        <v>Beneficio</v>
      </c>
    </row>
    <row r="889" spans="1:20" x14ac:dyDescent="0.25">
      <c r="A889" s="12">
        <v>44948</v>
      </c>
      <c r="B889" s="1" t="s">
        <v>51</v>
      </c>
      <c r="C889" s="1" t="s">
        <v>52</v>
      </c>
      <c r="D889" s="1" t="s">
        <v>37</v>
      </c>
      <c r="E889" s="1" t="s">
        <v>38</v>
      </c>
      <c r="F889">
        <v>135</v>
      </c>
      <c r="G889">
        <v>7.16</v>
      </c>
      <c r="H889">
        <v>966.6</v>
      </c>
      <c r="I889" s="1" t="s">
        <v>33</v>
      </c>
      <c r="J889" s="1" t="s">
        <v>22</v>
      </c>
      <c r="K889" s="1" t="s">
        <v>23</v>
      </c>
      <c r="L889">
        <v>803.02</v>
      </c>
      <c r="M889">
        <v>16.899999999999999</v>
      </c>
      <c r="N889">
        <v>2023</v>
      </c>
      <c r="O889">
        <f t="shared" si="13"/>
        <v>1</v>
      </c>
      <c r="P889" s="13" t="s">
        <v>24</v>
      </c>
      <c r="Q889">
        <v>163.58000000000001</v>
      </c>
      <c r="R889" s="3" t="s">
        <v>29</v>
      </c>
      <c r="S889" s="7">
        <f>Ventas[[#This Row],[Costo Material (€)]]/Ventas[[#This Row],[Beneficio (€)]]</f>
        <v>4.9090353343929571</v>
      </c>
      <c r="T889" s="3" t="str">
        <f>IF(Ventas[[#This Row],[Margen (%)]]&gt;20%,"Beneficio","Perdidas")</f>
        <v>Beneficio</v>
      </c>
    </row>
    <row r="890" spans="1:20" x14ac:dyDescent="0.25">
      <c r="A890" s="12">
        <v>45005</v>
      </c>
      <c r="B890" s="1" t="s">
        <v>58</v>
      </c>
      <c r="C890" s="1" t="s">
        <v>59</v>
      </c>
      <c r="D890" s="1" t="s">
        <v>19</v>
      </c>
      <c r="E890" s="1" t="s">
        <v>20</v>
      </c>
      <c r="F890">
        <v>445</v>
      </c>
      <c r="G890">
        <v>2.15</v>
      </c>
      <c r="H890">
        <v>956.75</v>
      </c>
      <c r="I890" s="1" t="s">
        <v>54</v>
      </c>
      <c r="J890" s="1" t="s">
        <v>22</v>
      </c>
      <c r="K890" s="1" t="s">
        <v>41</v>
      </c>
      <c r="L890">
        <v>794.25</v>
      </c>
      <c r="M890">
        <v>17</v>
      </c>
      <c r="N890">
        <v>2023</v>
      </c>
      <c r="O890">
        <f t="shared" si="13"/>
        <v>1</v>
      </c>
      <c r="P890" s="13" t="s">
        <v>61</v>
      </c>
      <c r="Q890">
        <v>162.5</v>
      </c>
      <c r="R890" s="3" t="s">
        <v>29</v>
      </c>
      <c r="S890" s="7">
        <f>Ventas[[#This Row],[Costo Material (€)]]/Ventas[[#This Row],[Beneficio (€)]]</f>
        <v>4.8876923076923076</v>
      </c>
      <c r="T890" s="3" t="str">
        <f>IF(Ventas[[#This Row],[Margen (%)]]&gt;20%,"Beneficio","Perdidas")</f>
        <v>Beneficio</v>
      </c>
    </row>
    <row r="891" spans="1:20" x14ac:dyDescent="0.25">
      <c r="A891" s="12">
        <v>45018</v>
      </c>
      <c r="B891" s="1" t="s">
        <v>35</v>
      </c>
      <c r="C891" s="1" t="s">
        <v>36</v>
      </c>
      <c r="D891" s="1" t="s">
        <v>49</v>
      </c>
      <c r="E891" s="1" t="s">
        <v>50</v>
      </c>
      <c r="F891">
        <v>139</v>
      </c>
      <c r="G891">
        <v>9.31</v>
      </c>
      <c r="H891">
        <v>1294.0899999999999</v>
      </c>
      <c r="I891" s="1" t="s">
        <v>33</v>
      </c>
      <c r="J891" s="1" t="s">
        <v>40</v>
      </c>
      <c r="K891" s="1" t="s">
        <v>41</v>
      </c>
      <c r="L891">
        <v>1131.6500000000001</v>
      </c>
      <c r="M891">
        <v>12.6</v>
      </c>
      <c r="N891">
        <v>2023</v>
      </c>
      <c r="O891">
        <f t="shared" si="13"/>
        <v>2</v>
      </c>
      <c r="P891" s="13" t="s">
        <v>62</v>
      </c>
      <c r="Q891">
        <v>162.44</v>
      </c>
      <c r="R891" s="3" t="s">
        <v>29</v>
      </c>
      <c r="S891" s="7">
        <f>Ventas[[#This Row],[Costo Material (€)]]/Ventas[[#This Row],[Beneficio (€)]]</f>
        <v>6.966572272839203</v>
      </c>
      <c r="T891" s="3" t="str">
        <f>IF(Ventas[[#This Row],[Margen (%)]]&gt;20%,"Beneficio","Perdidas")</f>
        <v>Beneficio</v>
      </c>
    </row>
    <row r="892" spans="1:20" x14ac:dyDescent="0.25">
      <c r="A892" s="12">
        <v>45058</v>
      </c>
      <c r="B892" s="1" t="s">
        <v>42</v>
      </c>
      <c r="C892" s="1" t="s">
        <v>43</v>
      </c>
      <c r="D892" s="1" t="s">
        <v>48</v>
      </c>
      <c r="E892" s="1" t="s">
        <v>38</v>
      </c>
      <c r="F892">
        <v>260</v>
      </c>
      <c r="G892">
        <v>3.31</v>
      </c>
      <c r="H892">
        <v>860.6</v>
      </c>
      <c r="I892" s="1" t="s">
        <v>33</v>
      </c>
      <c r="J892" s="1" t="s">
        <v>47</v>
      </c>
      <c r="K892" s="1" t="s">
        <v>28</v>
      </c>
      <c r="L892">
        <v>698.67</v>
      </c>
      <c r="M892">
        <v>18.8</v>
      </c>
      <c r="N892">
        <v>2023</v>
      </c>
      <c r="O892">
        <f t="shared" si="13"/>
        <v>2</v>
      </c>
      <c r="P892" s="13" t="s">
        <v>63</v>
      </c>
      <c r="Q892">
        <v>161.93</v>
      </c>
      <c r="R892" s="3" t="s">
        <v>29</v>
      </c>
      <c r="S892" s="7">
        <f>Ventas[[#This Row],[Costo Material (€)]]/Ventas[[#This Row],[Beneficio (€)]]</f>
        <v>4.3146421293151356</v>
      </c>
      <c r="T892" s="3" t="str">
        <f>IF(Ventas[[#This Row],[Margen (%)]]&gt;20%,"Beneficio","Perdidas")</f>
        <v>Beneficio</v>
      </c>
    </row>
    <row r="893" spans="1:20" x14ac:dyDescent="0.25">
      <c r="A893" s="12">
        <v>45317</v>
      </c>
      <c r="B893" s="1" t="s">
        <v>42</v>
      </c>
      <c r="C893" s="1" t="s">
        <v>43</v>
      </c>
      <c r="D893" s="1" t="s">
        <v>49</v>
      </c>
      <c r="E893" s="1" t="s">
        <v>50</v>
      </c>
      <c r="F893">
        <v>75</v>
      </c>
      <c r="G893">
        <v>7.93</v>
      </c>
      <c r="H893">
        <v>594.75</v>
      </c>
      <c r="I893" s="1" t="s">
        <v>39</v>
      </c>
      <c r="J893" s="1" t="s">
        <v>47</v>
      </c>
      <c r="K893" s="1" t="s">
        <v>23</v>
      </c>
      <c r="L893">
        <v>433.29</v>
      </c>
      <c r="M893">
        <v>27.1</v>
      </c>
      <c r="N893">
        <v>2024</v>
      </c>
      <c r="O893">
        <f t="shared" si="13"/>
        <v>1</v>
      </c>
      <c r="P893" s="13" t="s">
        <v>24</v>
      </c>
      <c r="Q893">
        <v>161.46</v>
      </c>
      <c r="R893" s="3" t="s">
        <v>25</v>
      </c>
      <c r="S893" s="7">
        <f>Ventas[[#This Row],[Costo Material (€)]]/Ventas[[#This Row],[Beneficio (€)]]</f>
        <v>2.6835748792270531</v>
      </c>
      <c r="T893" s="3" t="str">
        <f>IF(Ventas[[#This Row],[Margen (%)]]&gt;20%,"Beneficio","Perdidas")</f>
        <v>Beneficio</v>
      </c>
    </row>
    <row r="894" spans="1:20" x14ac:dyDescent="0.25">
      <c r="A894" s="12">
        <v>45152</v>
      </c>
      <c r="B894" s="1" t="s">
        <v>17</v>
      </c>
      <c r="C894" s="1" t="s">
        <v>18</v>
      </c>
      <c r="D894" s="1" t="s">
        <v>49</v>
      </c>
      <c r="E894" s="1" t="s">
        <v>50</v>
      </c>
      <c r="F894">
        <v>125</v>
      </c>
      <c r="G894">
        <v>7.66</v>
      </c>
      <c r="H894">
        <v>957.5</v>
      </c>
      <c r="I894" s="1" t="s">
        <v>46</v>
      </c>
      <c r="J894" s="1" t="s">
        <v>40</v>
      </c>
      <c r="K894" s="1" t="s">
        <v>28</v>
      </c>
      <c r="L894">
        <v>796.13</v>
      </c>
      <c r="M894">
        <v>16.899999999999999</v>
      </c>
      <c r="N894">
        <v>2023</v>
      </c>
      <c r="O894">
        <f t="shared" si="13"/>
        <v>3</v>
      </c>
      <c r="P894" s="13" t="s">
        <v>66</v>
      </c>
      <c r="Q894">
        <v>161.37</v>
      </c>
      <c r="R894" s="3" t="s">
        <v>29</v>
      </c>
      <c r="S894" s="7">
        <f>Ventas[[#This Row],[Costo Material (€)]]/Ventas[[#This Row],[Beneficio (€)]]</f>
        <v>4.9335688170043994</v>
      </c>
      <c r="T894" s="3" t="str">
        <f>IF(Ventas[[#This Row],[Margen (%)]]&gt;20%,"Beneficio","Perdidas")</f>
        <v>Beneficio</v>
      </c>
    </row>
    <row r="895" spans="1:20" x14ac:dyDescent="0.25">
      <c r="A895" s="12">
        <v>44953</v>
      </c>
      <c r="B895" s="1" t="s">
        <v>58</v>
      </c>
      <c r="C895" s="1" t="s">
        <v>59</v>
      </c>
      <c r="D895" s="1" t="s">
        <v>37</v>
      </c>
      <c r="E895" s="1" t="s">
        <v>38</v>
      </c>
      <c r="F895">
        <v>88</v>
      </c>
      <c r="G895">
        <v>8.92</v>
      </c>
      <c r="H895">
        <v>784.96</v>
      </c>
      <c r="I895" s="1" t="s">
        <v>26</v>
      </c>
      <c r="J895" s="1" t="s">
        <v>47</v>
      </c>
      <c r="K895" s="1" t="s">
        <v>23</v>
      </c>
      <c r="L895">
        <v>625.24</v>
      </c>
      <c r="M895">
        <v>20.3</v>
      </c>
      <c r="N895">
        <v>2023</v>
      </c>
      <c r="O895">
        <f t="shared" si="13"/>
        <v>1</v>
      </c>
      <c r="P895" s="13" t="s">
        <v>24</v>
      </c>
      <c r="Q895">
        <v>159.72</v>
      </c>
      <c r="R895" s="3" t="s">
        <v>29</v>
      </c>
      <c r="S895" s="7">
        <f>Ventas[[#This Row],[Costo Material (€)]]/Ventas[[#This Row],[Beneficio (€)]]</f>
        <v>3.9146005509641872</v>
      </c>
      <c r="T895" s="3" t="str">
        <f>IF(Ventas[[#This Row],[Margen (%)]]&gt;20%,"Beneficio","Perdidas")</f>
        <v>Beneficio</v>
      </c>
    </row>
    <row r="896" spans="1:20" x14ac:dyDescent="0.25">
      <c r="A896" s="12">
        <v>44958</v>
      </c>
      <c r="B896" s="1" t="s">
        <v>42</v>
      </c>
      <c r="C896" s="1" t="s">
        <v>43</v>
      </c>
      <c r="D896" s="1" t="s">
        <v>49</v>
      </c>
      <c r="E896" s="1" t="s">
        <v>50</v>
      </c>
      <c r="F896">
        <v>281</v>
      </c>
      <c r="G896">
        <v>3.98</v>
      </c>
      <c r="H896">
        <v>1118.3800000000001</v>
      </c>
      <c r="I896" s="1" t="s">
        <v>55</v>
      </c>
      <c r="J896" s="1" t="s">
        <v>40</v>
      </c>
      <c r="K896" s="1" t="s">
        <v>23</v>
      </c>
      <c r="L896">
        <v>962.47</v>
      </c>
      <c r="M896">
        <v>13.9</v>
      </c>
      <c r="N896">
        <v>2023</v>
      </c>
      <c r="O896">
        <f t="shared" si="13"/>
        <v>1</v>
      </c>
      <c r="P896" s="13" t="s">
        <v>60</v>
      </c>
      <c r="Q896">
        <v>155.91</v>
      </c>
      <c r="R896" s="3" t="s">
        <v>29</v>
      </c>
      <c r="S896" s="7">
        <f>Ventas[[#This Row],[Costo Material (€)]]/Ventas[[#This Row],[Beneficio (€)]]</f>
        <v>6.1732409723558463</v>
      </c>
      <c r="T896" s="3" t="str">
        <f>IF(Ventas[[#This Row],[Margen (%)]]&gt;20%,"Beneficio","Perdidas")</f>
        <v>Beneficio</v>
      </c>
    </row>
    <row r="897" spans="1:20" x14ac:dyDescent="0.25">
      <c r="A897" s="12">
        <v>45516</v>
      </c>
      <c r="B897" s="1" t="s">
        <v>58</v>
      </c>
      <c r="C897" s="1" t="s">
        <v>59</v>
      </c>
      <c r="D897" s="1" t="s">
        <v>48</v>
      </c>
      <c r="E897" s="1" t="s">
        <v>38</v>
      </c>
      <c r="F897">
        <v>592</v>
      </c>
      <c r="G897">
        <v>2.37</v>
      </c>
      <c r="H897">
        <v>1403.04</v>
      </c>
      <c r="I897" s="1" t="s">
        <v>57</v>
      </c>
      <c r="J897" s="1" t="s">
        <v>22</v>
      </c>
      <c r="K897" s="1" t="s">
        <v>41</v>
      </c>
      <c r="L897">
        <v>1247.57</v>
      </c>
      <c r="M897">
        <v>11.1</v>
      </c>
      <c r="N897">
        <v>2024</v>
      </c>
      <c r="O897">
        <f t="shared" si="13"/>
        <v>3</v>
      </c>
      <c r="P897" s="13" t="s">
        <v>66</v>
      </c>
      <c r="Q897">
        <v>155.47</v>
      </c>
      <c r="R897" s="3" t="s">
        <v>29</v>
      </c>
      <c r="S897" s="7">
        <f>Ventas[[#This Row],[Costo Material (€)]]/Ventas[[#This Row],[Beneficio (€)]]</f>
        <v>8.0245063356274517</v>
      </c>
      <c r="T897" s="3" t="str">
        <f>IF(Ventas[[#This Row],[Margen (%)]]&gt;20%,"Beneficio","Perdidas")</f>
        <v>Beneficio</v>
      </c>
    </row>
    <row r="898" spans="1:20" x14ac:dyDescent="0.25">
      <c r="A898" s="12">
        <v>45037</v>
      </c>
      <c r="B898" s="1" t="s">
        <v>42</v>
      </c>
      <c r="C898" s="1" t="s">
        <v>43</v>
      </c>
      <c r="D898" s="1" t="s">
        <v>45</v>
      </c>
      <c r="E898" s="1" t="s">
        <v>20</v>
      </c>
      <c r="F898">
        <v>166</v>
      </c>
      <c r="G898">
        <v>8.64</v>
      </c>
      <c r="H898">
        <v>1434.24</v>
      </c>
      <c r="I898" s="1" t="s">
        <v>54</v>
      </c>
      <c r="J898" s="1" t="s">
        <v>56</v>
      </c>
      <c r="K898" s="1" t="s">
        <v>23</v>
      </c>
      <c r="L898">
        <v>1279.92</v>
      </c>
      <c r="M898">
        <v>10.8</v>
      </c>
      <c r="N898">
        <v>2023</v>
      </c>
      <c r="O898">
        <f t="shared" ref="O898:O961" si="14">ROUNDUP(MONTH(A898)/3,0)</f>
        <v>2</v>
      </c>
      <c r="P898" s="13" t="s">
        <v>62</v>
      </c>
      <c r="Q898">
        <v>154.32</v>
      </c>
      <c r="R898" s="3" t="s">
        <v>29</v>
      </c>
      <c r="S898" s="7">
        <f>Ventas[[#This Row],[Costo Material (€)]]/Ventas[[#This Row],[Beneficio (€)]]</f>
        <v>8.2939346811819608</v>
      </c>
      <c r="T898" s="3" t="str">
        <f>IF(Ventas[[#This Row],[Margen (%)]]&gt;20%,"Beneficio","Perdidas")</f>
        <v>Beneficio</v>
      </c>
    </row>
    <row r="899" spans="1:20" x14ac:dyDescent="0.25">
      <c r="A899" s="12">
        <v>45129</v>
      </c>
      <c r="B899" s="1" t="s">
        <v>42</v>
      </c>
      <c r="C899" s="1" t="s">
        <v>43</v>
      </c>
      <c r="D899" s="1" t="s">
        <v>44</v>
      </c>
      <c r="E899" s="1" t="s">
        <v>38</v>
      </c>
      <c r="F899">
        <v>65</v>
      </c>
      <c r="G899">
        <v>10.08</v>
      </c>
      <c r="H899">
        <v>655.20000000000005</v>
      </c>
      <c r="I899" s="1" t="s">
        <v>39</v>
      </c>
      <c r="J899" s="1" t="s">
        <v>56</v>
      </c>
      <c r="K899" s="1" t="s">
        <v>23</v>
      </c>
      <c r="L899">
        <v>502.94</v>
      </c>
      <c r="M899">
        <v>23.2</v>
      </c>
      <c r="N899">
        <v>2023</v>
      </c>
      <c r="O899">
        <f t="shared" si="14"/>
        <v>3</v>
      </c>
      <c r="P899" s="13" t="s">
        <v>65</v>
      </c>
      <c r="Q899">
        <v>152.26</v>
      </c>
      <c r="R899" s="3" t="s">
        <v>29</v>
      </c>
      <c r="S899" s="7">
        <f>Ventas[[#This Row],[Costo Material (€)]]/Ventas[[#This Row],[Beneficio (€)]]</f>
        <v>3.3031656377249443</v>
      </c>
      <c r="T899" s="3" t="str">
        <f>IF(Ventas[[#This Row],[Margen (%)]]&gt;20%,"Beneficio","Perdidas")</f>
        <v>Beneficio</v>
      </c>
    </row>
    <row r="900" spans="1:20" x14ac:dyDescent="0.25">
      <c r="A900" s="12">
        <v>45125</v>
      </c>
      <c r="B900" s="1" t="s">
        <v>30</v>
      </c>
      <c r="C900" s="1" t="s">
        <v>31</v>
      </c>
      <c r="D900" s="1" t="s">
        <v>37</v>
      </c>
      <c r="E900" s="1" t="s">
        <v>38</v>
      </c>
      <c r="F900">
        <v>182</v>
      </c>
      <c r="G900">
        <v>2.36</v>
      </c>
      <c r="H900">
        <v>429.52</v>
      </c>
      <c r="I900" s="1" t="s">
        <v>39</v>
      </c>
      <c r="J900" s="1" t="s">
        <v>27</v>
      </c>
      <c r="K900" s="1" t="s">
        <v>23</v>
      </c>
      <c r="L900">
        <v>278.63</v>
      </c>
      <c r="M900">
        <v>35.1</v>
      </c>
      <c r="N900">
        <v>2023</v>
      </c>
      <c r="O900">
        <f t="shared" si="14"/>
        <v>3</v>
      </c>
      <c r="P900" s="13" t="s">
        <v>65</v>
      </c>
      <c r="Q900">
        <v>150.88999999999999</v>
      </c>
      <c r="R900" s="3" t="s">
        <v>25</v>
      </c>
      <c r="S900" s="7">
        <f>Ventas[[#This Row],[Costo Material (€)]]/Ventas[[#This Row],[Beneficio (€)]]</f>
        <v>1.8465769766054743</v>
      </c>
      <c r="T900" s="3" t="str">
        <f>IF(Ventas[[#This Row],[Margen (%)]]&gt;20%,"Beneficio","Perdidas")</f>
        <v>Beneficio</v>
      </c>
    </row>
    <row r="901" spans="1:20" x14ac:dyDescent="0.25">
      <c r="A901" s="12">
        <v>44928</v>
      </c>
      <c r="B901" s="1" t="s">
        <v>30</v>
      </c>
      <c r="C901" s="1" t="s">
        <v>31</v>
      </c>
      <c r="D901" s="1" t="s">
        <v>45</v>
      </c>
      <c r="E901" s="1" t="s">
        <v>20</v>
      </c>
      <c r="F901">
        <v>142</v>
      </c>
      <c r="G901">
        <v>2.72</v>
      </c>
      <c r="H901">
        <v>386.24</v>
      </c>
      <c r="I901" s="1" t="s">
        <v>21</v>
      </c>
      <c r="J901" s="1" t="s">
        <v>47</v>
      </c>
      <c r="K901" s="1" t="s">
        <v>41</v>
      </c>
      <c r="L901">
        <v>235.66</v>
      </c>
      <c r="M901">
        <v>39</v>
      </c>
      <c r="N901">
        <v>2023</v>
      </c>
      <c r="O901">
        <f t="shared" si="14"/>
        <v>1</v>
      </c>
      <c r="P901" s="13" t="s">
        <v>24</v>
      </c>
      <c r="Q901">
        <v>150.58000000000001</v>
      </c>
      <c r="R901" s="3" t="s">
        <v>25</v>
      </c>
      <c r="S901" s="7">
        <f>Ventas[[#This Row],[Costo Material (€)]]/Ventas[[#This Row],[Beneficio (€)]]</f>
        <v>1.5650152742728116</v>
      </c>
      <c r="T901" s="3" t="str">
        <f>IF(Ventas[[#This Row],[Margen (%)]]&gt;20%,"Beneficio","Perdidas")</f>
        <v>Beneficio</v>
      </c>
    </row>
    <row r="902" spans="1:20" x14ac:dyDescent="0.25">
      <c r="A902" s="12">
        <v>44934</v>
      </c>
      <c r="B902" s="1" t="s">
        <v>17</v>
      </c>
      <c r="C902" s="1" t="s">
        <v>18</v>
      </c>
      <c r="D902" s="1" t="s">
        <v>37</v>
      </c>
      <c r="E902" s="1" t="s">
        <v>38</v>
      </c>
      <c r="F902">
        <v>218</v>
      </c>
      <c r="G902">
        <v>2.79</v>
      </c>
      <c r="H902">
        <v>608.22</v>
      </c>
      <c r="I902" s="1" t="s">
        <v>39</v>
      </c>
      <c r="J902" s="1" t="s">
        <v>56</v>
      </c>
      <c r="K902" s="1" t="s">
        <v>23</v>
      </c>
      <c r="L902">
        <v>458.11</v>
      </c>
      <c r="M902">
        <v>24.7</v>
      </c>
      <c r="N902">
        <v>2023</v>
      </c>
      <c r="O902">
        <f t="shared" si="14"/>
        <v>1</v>
      </c>
      <c r="P902" s="13" t="s">
        <v>24</v>
      </c>
      <c r="Q902">
        <v>150.11000000000001</v>
      </c>
      <c r="R902" s="3" t="s">
        <v>29</v>
      </c>
      <c r="S902" s="7">
        <f>Ventas[[#This Row],[Costo Material (€)]]/Ventas[[#This Row],[Beneficio (€)]]</f>
        <v>3.0518286589834118</v>
      </c>
      <c r="T902" s="3" t="str">
        <f>IF(Ventas[[#This Row],[Margen (%)]]&gt;20%,"Beneficio","Perdidas")</f>
        <v>Beneficio</v>
      </c>
    </row>
    <row r="903" spans="1:20" x14ac:dyDescent="0.25">
      <c r="A903" s="12">
        <v>45056</v>
      </c>
      <c r="B903" s="1" t="s">
        <v>17</v>
      </c>
      <c r="C903" s="1" t="s">
        <v>18</v>
      </c>
      <c r="D903" s="1" t="s">
        <v>32</v>
      </c>
      <c r="E903" s="1" t="s">
        <v>20</v>
      </c>
      <c r="F903">
        <v>233</v>
      </c>
      <c r="G903">
        <v>6.18</v>
      </c>
      <c r="H903">
        <v>1439.94</v>
      </c>
      <c r="I903" s="1" t="s">
        <v>46</v>
      </c>
      <c r="J903" s="1" t="s">
        <v>40</v>
      </c>
      <c r="K903" s="1" t="s">
        <v>28</v>
      </c>
      <c r="L903">
        <v>1292.8800000000001</v>
      </c>
      <c r="M903">
        <v>10.199999999999999</v>
      </c>
      <c r="N903">
        <v>2023</v>
      </c>
      <c r="O903">
        <f t="shared" si="14"/>
        <v>2</v>
      </c>
      <c r="P903" s="13" t="s">
        <v>63</v>
      </c>
      <c r="Q903">
        <v>147.06</v>
      </c>
      <c r="R903" s="3" t="s">
        <v>29</v>
      </c>
      <c r="S903" s="7">
        <f>Ventas[[#This Row],[Costo Material (€)]]/Ventas[[#This Row],[Beneficio (€)]]</f>
        <v>8.7915136678906567</v>
      </c>
      <c r="T903" s="3" t="str">
        <f>IF(Ventas[[#This Row],[Margen (%)]]&gt;20%,"Beneficio","Perdidas")</f>
        <v>Beneficio</v>
      </c>
    </row>
    <row r="904" spans="1:20" x14ac:dyDescent="0.25">
      <c r="A904" s="12">
        <v>45001</v>
      </c>
      <c r="B904" s="1" t="s">
        <v>35</v>
      </c>
      <c r="C904" s="1" t="s">
        <v>36</v>
      </c>
      <c r="D904" s="1" t="s">
        <v>44</v>
      </c>
      <c r="E904" s="1" t="s">
        <v>38</v>
      </c>
      <c r="F904">
        <v>91</v>
      </c>
      <c r="G904">
        <v>4.68</v>
      </c>
      <c r="H904">
        <v>425.88</v>
      </c>
      <c r="I904" s="1" t="s">
        <v>39</v>
      </c>
      <c r="J904" s="1" t="s">
        <v>22</v>
      </c>
      <c r="K904" s="1" t="s">
        <v>28</v>
      </c>
      <c r="L904">
        <v>280.68</v>
      </c>
      <c r="M904">
        <v>34.1</v>
      </c>
      <c r="N904">
        <v>2023</v>
      </c>
      <c r="O904">
        <f t="shared" si="14"/>
        <v>1</v>
      </c>
      <c r="P904" s="13" t="s">
        <v>61</v>
      </c>
      <c r="Q904">
        <v>145.19999999999999</v>
      </c>
      <c r="R904" s="3" t="s">
        <v>25</v>
      </c>
      <c r="S904" s="7">
        <f>Ventas[[#This Row],[Costo Material (€)]]/Ventas[[#This Row],[Beneficio (€)]]</f>
        <v>1.9330578512396697</v>
      </c>
      <c r="T904" s="3" t="str">
        <f>IF(Ventas[[#This Row],[Margen (%)]]&gt;20%,"Beneficio","Perdidas")</f>
        <v>Beneficio</v>
      </c>
    </row>
    <row r="905" spans="1:20" x14ac:dyDescent="0.25">
      <c r="A905" s="12">
        <v>44961</v>
      </c>
      <c r="B905" s="1" t="s">
        <v>42</v>
      </c>
      <c r="C905" s="1" t="s">
        <v>43</v>
      </c>
      <c r="D905" s="1" t="s">
        <v>53</v>
      </c>
      <c r="E905" s="1" t="s">
        <v>50</v>
      </c>
      <c r="F905">
        <v>307</v>
      </c>
      <c r="G905">
        <v>2.3199999999999998</v>
      </c>
      <c r="H905">
        <v>712.24</v>
      </c>
      <c r="I905" s="1" t="s">
        <v>21</v>
      </c>
      <c r="J905" s="1" t="s">
        <v>56</v>
      </c>
      <c r="K905" s="1" t="s">
        <v>28</v>
      </c>
      <c r="L905">
        <v>568.07000000000005</v>
      </c>
      <c r="M905">
        <v>20.2</v>
      </c>
      <c r="N905">
        <v>2023</v>
      </c>
      <c r="O905">
        <f t="shared" si="14"/>
        <v>1</v>
      </c>
      <c r="P905" s="13" t="s">
        <v>60</v>
      </c>
      <c r="Q905">
        <v>144.16999999999999</v>
      </c>
      <c r="R905" s="3" t="s">
        <v>29</v>
      </c>
      <c r="S905" s="7">
        <f>Ventas[[#This Row],[Costo Material (€)]]/Ventas[[#This Row],[Beneficio (€)]]</f>
        <v>3.9402788374835271</v>
      </c>
      <c r="T905" s="3" t="str">
        <f>IF(Ventas[[#This Row],[Margen (%)]]&gt;20%,"Beneficio","Perdidas")</f>
        <v>Beneficio</v>
      </c>
    </row>
    <row r="906" spans="1:20" x14ac:dyDescent="0.25">
      <c r="A906" s="12">
        <v>45074</v>
      </c>
      <c r="B906" s="1" t="s">
        <v>17</v>
      </c>
      <c r="C906" s="1" t="s">
        <v>18</v>
      </c>
      <c r="D906" s="1" t="s">
        <v>44</v>
      </c>
      <c r="E906" s="1" t="s">
        <v>38</v>
      </c>
      <c r="F906">
        <v>152</v>
      </c>
      <c r="G906">
        <v>7.83</v>
      </c>
      <c r="H906">
        <v>1190.1600000000001</v>
      </c>
      <c r="I906" s="1" t="s">
        <v>33</v>
      </c>
      <c r="J906" s="1" t="s">
        <v>56</v>
      </c>
      <c r="K906" s="1" t="s">
        <v>41</v>
      </c>
      <c r="L906">
        <v>1048.1300000000001</v>
      </c>
      <c r="M906">
        <v>11.9</v>
      </c>
      <c r="N906">
        <v>2023</v>
      </c>
      <c r="O906">
        <f t="shared" si="14"/>
        <v>2</v>
      </c>
      <c r="P906" s="13" t="s">
        <v>63</v>
      </c>
      <c r="Q906">
        <v>142.03</v>
      </c>
      <c r="R906" s="3" t="s">
        <v>29</v>
      </c>
      <c r="S906" s="7">
        <f>Ventas[[#This Row],[Costo Material (€)]]/Ventas[[#This Row],[Beneficio (€)]]</f>
        <v>7.3796381046257844</v>
      </c>
      <c r="T906" s="3" t="str">
        <f>IF(Ventas[[#This Row],[Margen (%)]]&gt;20%,"Beneficio","Perdidas")</f>
        <v>Beneficio</v>
      </c>
    </row>
    <row r="907" spans="1:20" x14ac:dyDescent="0.25">
      <c r="A907" s="12">
        <v>45124</v>
      </c>
      <c r="B907" s="1" t="s">
        <v>58</v>
      </c>
      <c r="C907" s="1" t="s">
        <v>59</v>
      </c>
      <c r="D907" s="1" t="s">
        <v>53</v>
      </c>
      <c r="E907" s="1" t="s">
        <v>50</v>
      </c>
      <c r="F907">
        <v>101</v>
      </c>
      <c r="G907">
        <v>4.04</v>
      </c>
      <c r="H907">
        <v>408.04</v>
      </c>
      <c r="I907" s="1" t="s">
        <v>54</v>
      </c>
      <c r="J907" s="1" t="s">
        <v>47</v>
      </c>
      <c r="K907" s="1" t="s">
        <v>41</v>
      </c>
      <c r="L907">
        <v>266.69</v>
      </c>
      <c r="M907">
        <v>34.6</v>
      </c>
      <c r="N907">
        <v>2023</v>
      </c>
      <c r="O907">
        <f t="shared" si="14"/>
        <v>3</v>
      </c>
      <c r="P907" s="13" t="s">
        <v>65</v>
      </c>
      <c r="Q907">
        <v>141.35</v>
      </c>
      <c r="R907" s="3" t="s">
        <v>25</v>
      </c>
      <c r="S907" s="7">
        <f>Ventas[[#This Row],[Costo Material (€)]]/Ventas[[#This Row],[Beneficio (€)]]</f>
        <v>1.8867350548284401</v>
      </c>
      <c r="T907" s="3" t="str">
        <f>IF(Ventas[[#This Row],[Margen (%)]]&gt;20%,"Beneficio","Perdidas")</f>
        <v>Beneficio</v>
      </c>
    </row>
    <row r="908" spans="1:20" x14ac:dyDescent="0.25">
      <c r="A908" s="12">
        <v>45380</v>
      </c>
      <c r="B908" s="1" t="s">
        <v>58</v>
      </c>
      <c r="C908" s="1" t="s">
        <v>59</v>
      </c>
      <c r="D908" s="1" t="s">
        <v>53</v>
      </c>
      <c r="E908" s="1" t="s">
        <v>50</v>
      </c>
      <c r="F908">
        <v>198</v>
      </c>
      <c r="G908">
        <v>3.19</v>
      </c>
      <c r="H908">
        <v>631.62</v>
      </c>
      <c r="I908" s="1" t="s">
        <v>46</v>
      </c>
      <c r="J908" s="1" t="s">
        <v>47</v>
      </c>
      <c r="K908" s="1" t="s">
        <v>23</v>
      </c>
      <c r="L908">
        <v>490.4</v>
      </c>
      <c r="M908">
        <v>22.4</v>
      </c>
      <c r="N908">
        <v>2024</v>
      </c>
      <c r="O908">
        <f t="shared" si="14"/>
        <v>1</v>
      </c>
      <c r="P908" s="13" t="s">
        <v>61</v>
      </c>
      <c r="Q908">
        <v>141.22</v>
      </c>
      <c r="R908" s="3" t="s">
        <v>29</v>
      </c>
      <c r="S908" s="7">
        <f>Ventas[[#This Row],[Costo Material (€)]]/Ventas[[#This Row],[Beneficio (€)]]</f>
        <v>3.4725959495822121</v>
      </c>
      <c r="T908" s="3" t="str">
        <f>IF(Ventas[[#This Row],[Margen (%)]]&gt;20%,"Beneficio","Perdidas")</f>
        <v>Beneficio</v>
      </c>
    </row>
    <row r="909" spans="1:20" x14ac:dyDescent="0.25">
      <c r="A909" s="12">
        <v>44980</v>
      </c>
      <c r="B909" s="1" t="s">
        <v>51</v>
      </c>
      <c r="C909" s="1" t="s">
        <v>52</v>
      </c>
      <c r="D909" s="1" t="s">
        <v>44</v>
      </c>
      <c r="E909" s="1" t="s">
        <v>38</v>
      </c>
      <c r="F909">
        <v>65</v>
      </c>
      <c r="G909">
        <v>8.0299999999999994</v>
      </c>
      <c r="H909">
        <v>521.95000000000005</v>
      </c>
      <c r="I909" s="1" t="s">
        <v>46</v>
      </c>
      <c r="J909" s="1" t="s">
        <v>40</v>
      </c>
      <c r="K909" s="1" t="s">
        <v>41</v>
      </c>
      <c r="L909">
        <v>382.39</v>
      </c>
      <c r="M909">
        <v>26.7</v>
      </c>
      <c r="N909">
        <v>2023</v>
      </c>
      <c r="O909">
        <f t="shared" si="14"/>
        <v>1</v>
      </c>
      <c r="P909" s="13" t="s">
        <v>60</v>
      </c>
      <c r="Q909">
        <v>139.56</v>
      </c>
      <c r="R909" s="3" t="s">
        <v>25</v>
      </c>
      <c r="S909" s="7">
        <f>Ventas[[#This Row],[Costo Material (€)]]/Ventas[[#This Row],[Beneficio (€)]]</f>
        <v>2.7399684723416451</v>
      </c>
      <c r="T909" s="3" t="str">
        <f>IF(Ventas[[#This Row],[Margen (%)]]&gt;20%,"Beneficio","Perdidas")</f>
        <v>Beneficio</v>
      </c>
    </row>
    <row r="910" spans="1:20" x14ac:dyDescent="0.25">
      <c r="A910" s="12">
        <v>44975</v>
      </c>
      <c r="B910" s="1" t="s">
        <v>58</v>
      </c>
      <c r="C910" s="1" t="s">
        <v>59</v>
      </c>
      <c r="D910" s="1" t="s">
        <v>53</v>
      </c>
      <c r="E910" s="1" t="s">
        <v>50</v>
      </c>
      <c r="F910">
        <v>139</v>
      </c>
      <c r="G910">
        <v>5.37</v>
      </c>
      <c r="H910">
        <v>746.43</v>
      </c>
      <c r="I910" s="1" t="s">
        <v>55</v>
      </c>
      <c r="J910" s="1" t="s">
        <v>22</v>
      </c>
      <c r="K910" s="1" t="s">
        <v>23</v>
      </c>
      <c r="L910">
        <v>607.48</v>
      </c>
      <c r="M910">
        <v>18.600000000000001</v>
      </c>
      <c r="N910">
        <v>2023</v>
      </c>
      <c r="O910">
        <f t="shared" si="14"/>
        <v>1</v>
      </c>
      <c r="P910" s="13" t="s">
        <v>60</v>
      </c>
      <c r="Q910">
        <v>138.94999999999999</v>
      </c>
      <c r="R910" s="3" t="s">
        <v>29</v>
      </c>
      <c r="S910" s="7">
        <f>Ventas[[#This Row],[Costo Material (€)]]/Ventas[[#This Row],[Beneficio (€)]]</f>
        <v>4.3719323497661033</v>
      </c>
      <c r="T910" s="3" t="str">
        <f>IF(Ventas[[#This Row],[Margen (%)]]&gt;20%,"Beneficio","Perdidas")</f>
        <v>Beneficio</v>
      </c>
    </row>
    <row r="911" spans="1:20" x14ac:dyDescent="0.25">
      <c r="A911" s="12">
        <v>45042</v>
      </c>
      <c r="B911" s="1" t="s">
        <v>58</v>
      </c>
      <c r="C911" s="1" t="s">
        <v>59</v>
      </c>
      <c r="D911" s="1" t="s">
        <v>19</v>
      </c>
      <c r="E911" s="1" t="s">
        <v>20</v>
      </c>
      <c r="F911">
        <v>118</v>
      </c>
      <c r="G911">
        <v>9.0299999999999994</v>
      </c>
      <c r="H911">
        <v>1065.54</v>
      </c>
      <c r="I911" s="1" t="s">
        <v>55</v>
      </c>
      <c r="J911" s="1" t="s">
        <v>56</v>
      </c>
      <c r="K911" s="1" t="s">
        <v>41</v>
      </c>
      <c r="L911">
        <v>927.88</v>
      </c>
      <c r="M911">
        <v>12.9</v>
      </c>
      <c r="N911">
        <v>2023</v>
      </c>
      <c r="O911">
        <f t="shared" si="14"/>
        <v>2</v>
      </c>
      <c r="P911" s="13" t="s">
        <v>62</v>
      </c>
      <c r="Q911">
        <v>137.66</v>
      </c>
      <c r="R911" s="3" t="s">
        <v>29</v>
      </c>
      <c r="S911" s="7">
        <f>Ventas[[#This Row],[Costo Material (€)]]/Ventas[[#This Row],[Beneficio (€)]]</f>
        <v>6.7403748365538281</v>
      </c>
      <c r="T911" s="3" t="str">
        <f>IF(Ventas[[#This Row],[Margen (%)]]&gt;20%,"Beneficio","Perdidas")</f>
        <v>Beneficio</v>
      </c>
    </row>
    <row r="912" spans="1:20" x14ac:dyDescent="0.25">
      <c r="A912" s="12">
        <v>45406</v>
      </c>
      <c r="B912" s="1" t="s">
        <v>42</v>
      </c>
      <c r="C912" s="1" t="s">
        <v>43</v>
      </c>
      <c r="D912" s="1" t="s">
        <v>37</v>
      </c>
      <c r="E912" s="1" t="s">
        <v>38</v>
      </c>
      <c r="F912">
        <v>102</v>
      </c>
      <c r="G912">
        <v>5.49</v>
      </c>
      <c r="H912">
        <v>559.98</v>
      </c>
      <c r="I912" s="1" t="s">
        <v>46</v>
      </c>
      <c r="J912" s="1" t="s">
        <v>22</v>
      </c>
      <c r="K912" s="1" t="s">
        <v>23</v>
      </c>
      <c r="L912">
        <v>425.39</v>
      </c>
      <c r="M912">
        <v>24</v>
      </c>
      <c r="N912">
        <v>2024</v>
      </c>
      <c r="O912">
        <f t="shared" si="14"/>
        <v>2</v>
      </c>
      <c r="P912" s="13" t="s">
        <v>62</v>
      </c>
      <c r="Q912">
        <v>134.59</v>
      </c>
      <c r="R912" s="3" t="s">
        <v>29</v>
      </c>
      <c r="S912" s="7">
        <f>Ventas[[#This Row],[Costo Material (€)]]/Ventas[[#This Row],[Beneficio (€)]]</f>
        <v>3.1606360056467788</v>
      </c>
      <c r="T912" s="3" t="str">
        <f>IF(Ventas[[#This Row],[Margen (%)]]&gt;20%,"Beneficio","Perdidas")</f>
        <v>Beneficio</v>
      </c>
    </row>
    <row r="913" spans="1:20" x14ac:dyDescent="0.25">
      <c r="A913" s="12">
        <v>45023</v>
      </c>
      <c r="B913" s="1" t="s">
        <v>30</v>
      </c>
      <c r="C913" s="1" t="s">
        <v>31</v>
      </c>
      <c r="D913" s="1" t="s">
        <v>37</v>
      </c>
      <c r="E913" s="1" t="s">
        <v>38</v>
      </c>
      <c r="F913">
        <v>100</v>
      </c>
      <c r="G913">
        <v>4.88</v>
      </c>
      <c r="H913">
        <v>488</v>
      </c>
      <c r="I913" s="1" t="s">
        <v>55</v>
      </c>
      <c r="J913" s="1" t="s">
        <v>40</v>
      </c>
      <c r="K913" s="1" t="s">
        <v>28</v>
      </c>
      <c r="L913">
        <v>353.65</v>
      </c>
      <c r="M913">
        <v>27.5</v>
      </c>
      <c r="N913">
        <v>2023</v>
      </c>
      <c r="O913">
        <f t="shared" si="14"/>
        <v>2</v>
      </c>
      <c r="P913" s="13" t="s">
        <v>62</v>
      </c>
      <c r="Q913">
        <v>134.35</v>
      </c>
      <c r="R913" s="3" t="s">
        <v>25</v>
      </c>
      <c r="S913" s="7">
        <f>Ventas[[#This Row],[Costo Material (€)]]/Ventas[[#This Row],[Beneficio (€)]]</f>
        <v>2.6323036844064012</v>
      </c>
      <c r="T913" s="3" t="str">
        <f>IF(Ventas[[#This Row],[Margen (%)]]&gt;20%,"Beneficio","Perdidas")</f>
        <v>Beneficio</v>
      </c>
    </row>
    <row r="914" spans="1:20" x14ac:dyDescent="0.25">
      <c r="A914" s="12">
        <v>45079</v>
      </c>
      <c r="B914" s="1" t="s">
        <v>51</v>
      </c>
      <c r="C914" s="1" t="s">
        <v>52</v>
      </c>
      <c r="D914" s="1" t="s">
        <v>44</v>
      </c>
      <c r="E914" s="1" t="s">
        <v>38</v>
      </c>
      <c r="F914">
        <v>87</v>
      </c>
      <c r="G914">
        <v>5.09</v>
      </c>
      <c r="H914">
        <v>442.83</v>
      </c>
      <c r="I914" s="1" t="s">
        <v>33</v>
      </c>
      <c r="J914" s="1" t="s">
        <v>34</v>
      </c>
      <c r="K914" s="1" t="s">
        <v>23</v>
      </c>
      <c r="L914">
        <v>309.17</v>
      </c>
      <c r="M914">
        <v>30.2</v>
      </c>
      <c r="N914">
        <v>2023</v>
      </c>
      <c r="O914">
        <f t="shared" si="14"/>
        <v>2</v>
      </c>
      <c r="P914" s="13" t="s">
        <v>64</v>
      </c>
      <c r="Q914">
        <v>133.66</v>
      </c>
      <c r="R914" s="3" t="s">
        <v>25</v>
      </c>
      <c r="S914" s="7">
        <f>Ventas[[#This Row],[Costo Material (€)]]/Ventas[[#This Row],[Beneficio (€)]]</f>
        <v>2.313107885680084</v>
      </c>
      <c r="T914" s="3" t="str">
        <f>IF(Ventas[[#This Row],[Margen (%)]]&gt;20%,"Beneficio","Perdidas")</f>
        <v>Beneficio</v>
      </c>
    </row>
    <row r="915" spans="1:20" x14ac:dyDescent="0.25">
      <c r="A915" s="12">
        <v>45264</v>
      </c>
      <c r="B915" s="1" t="s">
        <v>35</v>
      </c>
      <c r="C915" s="1" t="s">
        <v>36</v>
      </c>
      <c r="D915" s="1" t="s">
        <v>32</v>
      </c>
      <c r="E915" s="1" t="s">
        <v>20</v>
      </c>
      <c r="F915">
        <v>75</v>
      </c>
      <c r="G915">
        <v>9.2200000000000006</v>
      </c>
      <c r="H915">
        <v>691.5</v>
      </c>
      <c r="I915" s="1" t="s">
        <v>26</v>
      </c>
      <c r="J915" s="1" t="s">
        <v>56</v>
      </c>
      <c r="K915" s="1" t="s">
        <v>41</v>
      </c>
      <c r="L915">
        <v>558.44000000000005</v>
      </c>
      <c r="M915">
        <v>19.2</v>
      </c>
      <c r="N915">
        <v>2023</v>
      </c>
      <c r="O915">
        <f t="shared" si="14"/>
        <v>4</v>
      </c>
      <c r="P915" s="13" t="s">
        <v>70</v>
      </c>
      <c r="Q915">
        <v>133.06</v>
      </c>
      <c r="R915" s="3" t="s">
        <v>29</v>
      </c>
      <c r="S915" s="7">
        <f>Ventas[[#This Row],[Costo Material (€)]]/Ventas[[#This Row],[Beneficio (€)]]</f>
        <v>4.1969036524875998</v>
      </c>
      <c r="T915" s="3" t="str">
        <f>IF(Ventas[[#This Row],[Margen (%)]]&gt;20%,"Beneficio","Perdidas")</f>
        <v>Beneficio</v>
      </c>
    </row>
    <row r="916" spans="1:20" x14ac:dyDescent="0.25">
      <c r="A916" s="12">
        <v>45038</v>
      </c>
      <c r="B916" s="1" t="s">
        <v>35</v>
      </c>
      <c r="C916" s="1" t="s">
        <v>36</v>
      </c>
      <c r="D916" s="1" t="s">
        <v>53</v>
      </c>
      <c r="E916" s="1" t="s">
        <v>50</v>
      </c>
      <c r="F916">
        <v>104</v>
      </c>
      <c r="G916">
        <v>3.74</v>
      </c>
      <c r="H916">
        <v>388.96</v>
      </c>
      <c r="I916" s="1" t="s">
        <v>55</v>
      </c>
      <c r="J916" s="1" t="s">
        <v>34</v>
      </c>
      <c r="K916" s="1" t="s">
        <v>41</v>
      </c>
      <c r="L916">
        <v>256.39</v>
      </c>
      <c r="M916">
        <v>34.1</v>
      </c>
      <c r="N916">
        <v>2023</v>
      </c>
      <c r="O916">
        <f t="shared" si="14"/>
        <v>2</v>
      </c>
      <c r="P916" s="13" t="s">
        <v>62</v>
      </c>
      <c r="Q916">
        <v>132.57</v>
      </c>
      <c r="R916" s="3" t="s">
        <v>25</v>
      </c>
      <c r="S916" s="7">
        <f>Ventas[[#This Row],[Costo Material (€)]]/Ventas[[#This Row],[Beneficio (€)]]</f>
        <v>1.9339971335898016</v>
      </c>
      <c r="T916" s="3" t="str">
        <f>IF(Ventas[[#This Row],[Margen (%)]]&gt;20%,"Beneficio","Perdidas")</f>
        <v>Beneficio</v>
      </c>
    </row>
    <row r="917" spans="1:20" x14ac:dyDescent="0.25">
      <c r="A917" s="12">
        <v>44951</v>
      </c>
      <c r="B917" s="1" t="s">
        <v>30</v>
      </c>
      <c r="C917" s="1" t="s">
        <v>31</v>
      </c>
      <c r="D917" s="1" t="s">
        <v>48</v>
      </c>
      <c r="E917" s="1" t="s">
        <v>38</v>
      </c>
      <c r="F917">
        <v>169</v>
      </c>
      <c r="G917">
        <v>2.95</v>
      </c>
      <c r="H917">
        <v>498.55</v>
      </c>
      <c r="I917" s="1" t="s">
        <v>33</v>
      </c>
      <c r="J917" s="1" t="s">
        <v>56</v>
      </c>
      <c r="K917" s="1" t="s">
        <v>28</v>
      </c>
      <c r="L917">
        <v>366.82</v>
      </c>
      <c r="M917">
        <v>26.4</v>
      </c>
      <c r="N917">
        <v>2023</v>
      </c>
      <c r="O917">
        <f t="shared" si="14"/>
        <v>1</v>
      </c>
      <c r="P917" s="13" t="s">
        <v>24</v>
      </c>
      <c r="Q917">
        <v>131.72999999999999</v>
      </c>
      <c r="R917" s="3" t="s">
        <v>25</v>
      </c>
      <c r="S917" s="7">
        <f>Ventas[[#This Row],[Costo Material (€)]]/Ventas[[#This Row],[Beneficio (€)]]</f>
        <v>2.7846352387459197</v>
      </c>
      <c r="T917" s="3" t="str">
        <f>IF(Ventas[[#This Row],[Margen (%)]]&gt;20%,"Beneficio","Perdidas")</f>
        <v>Beneficio</v>
      </c>
    </row>
    <row r="918" spans="1:20" x14ac:dyDescent="0.25">
      <c r="A918" s="12">
        <v>45048</v>
      </c>
      <c r="B918" s="1" t="s">
        <v>35</v>
      </c>
      <c r="C918" s="1" t="s">
        <v>36</v>
      </c>
      <c r="D918" s="1" t="s">
        <v>44</v>
      </c>
      <c r="E918" s="1" t="s">
        <v>38</v>
      </c>
      <c r="F918">
        <v>315</v>
      </c>
      <c r="G918">
        <v>3.83</v>
      </c>
      <c r="H918">
        <v>1206.45</v>
      </c>
      <c r="I918" s="1" t="s">
        <v>54</v>
      </c>
      <c r="J918" s="1" t="s">
        <v>22</v>
      </c>
      <c r="K918" s="1" t="s">
        <v>23</v>
      </c>
      <c r="L918">
        <v>1074.81</v>
      </c>
      <c r="M918">
        <v>10.9</v>
      </c>
      <c r="N918">
        <v>2023</v>
      </c>
      <c r="O918">
        <f t="shared" si="14"/>
        <v>2</v>
      </c>
      <c r="P918" s="13" t="s">
        <v>63</v>
      </c>
      <c r="Q918">
        <v>131.63999999999999</v>
      </c>
      <c r="R918" s="3" t="s">
        <v>29</v>
      </c>
      <c r="S918" s="7">
        <f>Ventas[[#This Row],[Costo Material (€)]]/Ventas[[#This Row],[Beneficio (€)]]</f>
        <v>8.1647675478577941</v>
      </c>
      <c r="T918" s="3" t="str">
        <f>IF(Ventas[[#This Row],[Margen (%)]]&gt;20%,"Beneficio","Perdidas")</f>
        <v>Beneficio</v>
      </c>
    </row>
    <row r="919" spans="1:20" x14ac:dyDescent="0.25">
      <c r="A919" s="12">
        <v>45034</v>
      </c>
      <c r="B919" s="1" t="s">
        <v>30</v>
      </c>
      <c r="C919" s="1" t="s">
        <v>31</v>
      </c>
      <c r="D919" s="1" t="s">
        <v>53</v>
      </c>
      <c r="E919" s="1" t="s">
        <v>50</v>
      </c>
      <c r="F919">
        <v>86</v>
      </c>
      <c r="G919">
        <v>4.41</v>
      </c>
      <c r="H919">
        <v>379.26</v>
      </c>
      <c r="I919" s="1" t="s">
        <v>54</v>
      </c>
      <c r="J919" s="1" t="s">
        <v>22</v>
      </c>
      <c r="K919" s="1" t="s">
        <v>28</v>
      </c>
      <c r="L919">
        <v>248.61</v>
      </c>
      <c r="M919">
        <v>34.4</v>
      </c>
      <c r="N919">
        <v>2023</v>
      </c>
      <c r="O919">
        <f t="shared" si="14"/>
        <v>2</v>
      </c>
      <c r="P919" s="13" t="s">
        <v>62</v>
      </c>
      <c r="Q919">
        <v>130.65</v>
      </c>
      <c r="R919" s="3" t="s">
        <v>25</v>
      </c>
      <c r="S919" s="7">
        <f>Ventas[[#This Row],[Costo Material (€)]]/Ventas[[#This Row],[Beneficio (€)]]</f>
        <v>1.9028702640642938</v>
      </c>
      <c r="T919" s="3" t="str">
        <f>IF(Ventas[[#This Row],[Margen (%)]]&gt;20%,"Beneficio","Perdidas")</f>
        <v>Beneficio</v>
      </c>
    </row>
    <row r="920" spans="1:20" x14ac:dyDescent="0.25">
      <c r="A920" s="12">
        <v>45633</v>
      </c>
      <c r="B920" s="1" t="s">
        <v>58</v>
      </c>
      <c r="C920" s="1" t="s">
        <v>59</v>
      </c>
      <c r="D920" s="1" t="s">
        <v>44</v>
      </c>
      <c r="E920" s="1" t="s">
        <v>38</v>
      </c>
      <c r="F920">
        <v>179</v>
      </c>
      <c r="G920">
        <v>2.46</v>
      </c>
      <c r="H920">
        <v>440.34</v>
      </c>
      <c r="I920" s="1" t="s">
        <v>39</v>
      </c>
      <c r="J920" s="1" t="s">
        <v>34</v>
      </c>
      <c r="K920" s="1" t="s">
        <v>23</v>
      </c>
      <c r="L920">
        <v>311.89999999999998</v>
      </c>
      <c r="M920">
        <v>29.2</v>
      </c>
      <c r="N920">
        <v>2024</v>
      </c>
      <c r="O920">
        <f t="shared" si="14"/>
        <v>4</v>
      </c>
      <c r="P920" s="13" t="s">
        <v>70</v>
      </c>
      <c r="Q920">
        <v>128.44</v>
      </c>
      <c r="R920" s="3" t="s">
        <v>25</v>
      </c>
      <c r="S920" s="7">
        <f>Ventas[[#This Row],[Costo Material (€)]]/Ventas[[#This Row],[Beneficio (€)]]</f>
        <v>2.4283712239177824</v>
      </c>
      <c r="T920" s="3" t="str">
        <f>IF(Ventas[[#This Row],[Margen (%)]]&gt;20%,"Beneficio","Perdidas")</f>
        <v>Beneficio</v>
      </c>
    </row>
    <row r="921" spans="1:20" x14ac:dyDescent="0.25">
      <c r="A921" s="12">
        <v>45360</v>
      </c>
      <c r="B921" s="1" t="s">
        <v>30</v>
      </c>
      <c r="C921" s="1" t="s">
        <v>31</v>
      </c>
      <c r="D921" s="1" t="s">
        <v>53</v>
      </c>
      <c r="E921" s="1" t="s">
        <v>50</v>
      </c>
      <c r="F921">
        <v>73</v>
      </c>
      <c r="G921">
        <v>5.12</v>
      </c>
      <c r="H921">
        <v>373.76</v>
      </c>
      <c r="I921" s="1" t="s">
        <v>33</v>
      </c>
      <c r="J921" s="1" t="s">
        <v>27</v>
      </c>
      <c r="K921" s="1" t="s">
        <v>23</v>
      </c>
      <c r="L921">
        <v>245.79</v>
      </c>
      <c r="M921">
        <v>34.200000000000003</v>
      </c>
      <c r="N921">
        <v>2024</v>
      </c>
      <c r="O921">
        <f t="shared" si="14"/>
        <v>1</v>
      </c>
      <c r="P921" s="13" t="s">
        <v>61</v>
      </c>
      <c r="Q921">
        <v>127.97</v>
      </c>
      <c r="R921" s="3" t="s">
        <v>25</v>
      </c>
      <c r="S921" s="7">
        <f>Ventas[[#This Row],[Costo Material (€)]]/Ventas[[#This Row],[Beneficio (€)]]</f>
        <v>1.9206845354379933</v>
      </c>
      <c r="T921" s="3" t="str">
        <f>IF(Ventas[[#This Row],[Margen (%)]]&gt;20%,"Beneficio","Perdidas")</f>
        <v>Beneficio</v>
      </c>
    </row>
    <row r="922" spans="1:20" x14ac:dyDescent="0.25">
      <c r="A922" s="12">
        <v>45114</v>
      </c>
      <c r="B922" s="1" t="s">
        <v>35</v>
      </c>
      <c r="C922" s="1" t="s">
        <v>36</v>
      </c>
      <c r="D922" s="1" t="s">
        <v>53</v>
      </c>
      <c r="E922" s="1" t="s">
        <v>50</v>
      </c>
      <c r="F922">
        <v>89</v>
      </c>
      <c r="G922">
        <v>5.48</v>
      </c>
      <c r="H922">
        <v>487.72</v>
      </c>
      <c r="I922" s="1" t="s">
        <v>39</v>
      </c>
      <c r="J922" s="1" t="s">
        <v>56</v>
      </c>
      <c r="K922" s="1" t="s">
        <v>23</v>
      </c>
      <c r="L922">
        <v>365.64</v>
      </c>
      <c r="M922">
        <v>25</v>
      </c>
      <c r="N922">
        <v>2023</v>
      </c>
      <c r="O922">
        <f t="shared" si="14"/>
        <v>3</v>
      </c>
      <c r="P922" s="13" t="s">
        <v>65</v>
      </c>
      <c r="Q922">
        <v>122.08</v>
      </c>
      <c r="R922" s="3" t="s">
        <v>29</v>
      </c>
      <c r="S922" s="7">
        <f>Ventas[[#This Row],[Costo Material (€)]]/Ventas[[#This Row],[Beneficio (€)]]</f>
        <v>2.9950851900393185</v>
      </c>
      <c r="T922" s="3" t="str">
        <f>IF(Ventas[[#This Row],[Margen (%)]]&gt;20%,"Beneficio","Perdidas")</f>
        <v>Beneficio</v>
      </c>
    </row>
    <row r="923" spans="1:20" x14ac:dyDescent="0.25">
      <c r="A923" s="12">
        <v>45291</v>
      </c>
      <c r="B923" s="1" t="s">
        <v>58</v>
      </c>
      <c r="C923" s="1" t="s">
        <v>59</v>
      </c>
      <c r="D923" s="1" t="s">
        <v>53</v>
      </c>
      <c r="E923" s="1" t="s">
        <v>50</v>
      </c>
      <c r="F923">
        <v>182</v>
      </c>
      <c r="G923">
        <v>4.9400000000000004</v>
      </c>
      <c r="H923">
        <v>899.08</v>
      </c>
      <c r="I923" s="1" t="s">
        <v>39</v>
      </c>
      <c r="J923" s="1" t="s">
        <v>34</v>
      </c>
      <c r="K923" s="1" t="s">
        <v>23</v>
      </c>
      <c r="L923">
        <v>778.2</v>
      </c>
      <c r="M923">
        <v>13.4</v>
      </c>
      <c r="N923">
        <v>2023</v>
      </c>
      <c r="O923">
        <f t="shared" si="14"/>
        <v>4</v>
      </c>
      <c r="P923" s="13" t="s">
        <v>70</v>
      </c>
      <c r="Q923">
        <v>120.88</v>
      </c>
      <c r="R923" s="3" t="s">
        <v>29</v>
      </c>
      <c r="S923" s="7">
        <f>Ventas[[#This Row],[Costo Material (€)]]/Ventas[[#This Row],[Beneficio (€)]]</f>
        <v>6.4377895433487762</v>
      </c>
      <c r="T923" s="3" t="str">
        <f>IF(Ventas[[#This Row],[Margen (%)]]&gt;20%,"Beneficio","Perdidas")</f>
        <v>Beneficio</v>
      </c>
    </row>
    <row r="924" spans="1:20" x14ac:dyDescent="0.25">
      <c r="A924" s="12">
        <v>45075</v>
      </c>
      <c r="B924" s="1" t="s">
        <v>35</v>
      </c>
      <c r="C924" s="1" t="s">
        <v>36</v>
      </c>
      <c r="D924" s="1" t="s">
        <v>45</v>
      </c>
      <c r="E924" s="1" t="s">
        <v>20</v>
      </c>
      <c r="F924">
        <v>76</v>
      </c>
      <c r="G924">
        <v>5.8</v>
      </c>
      <c r="H924">
        <v>440.8</v>
      </c>
      <c r="I924" s="1" t="s">
        <v>54</v>
      </c>
      <c r="J924" s="1" t="s">
        <v>22</v>
      </c>
      <c r="K924" s="1" t="s">
        <v>23</v>
      </c>
      <c r="L924">
        <v>320.5</v>
      </c>
      <c r="M924">
        <v>27.3</v>
      </c>
      <c r="N924">
        <v>2023</v>
      </c>
      <c r="O924">
        <f t="shared" si="14"/>
        <v>2</v>
      </c>
      <c r="P924" s="13" t="s">
        <v>63</v>
      </c>
      <c r="Q924">
        <v>120.3</v>
      </c>
      <c r="R924" s="3" t="s">
        <v>25</v>
      </c>
      <c r="S924" s="7">
        <f>Ventas[[#This Row],[Costo Material (€)]]/Ventas[[#This Row],[Beneficio (€)]]</f>
        <v>2.6641729010806317</v>
      </c>
      <c r="T924" s="3" t="str">
        <f>IF(Ventas[[#This Row],[Margen (%)]]&gt;20%,"Beneficio","Perdidas")</f>
        <v>Beneficio</v>
      </c>
    </row>
    <row r="925" spans="1:20" x14ac:dyDescent="0.25">
      <c r="A925" s="12">
        <v>45025</v>
      </c>
      <c r="B925" s="1" t="s">
        <v>17</v>
      </c>
      <c r="C925" s="1" t="s">
        <v>18</v>
      </c>
      <c r="D925" s="1" t="s">
        <v>48</v>
      </c>
      <c r="E925" s="1" t="s">
        <v>38</v>
      </c>
      <c r="F925">
        <v>129</v>
      </c>
      <c r="G925">
        <v>5.04</v>
      </c>
      <c r="H925">
        <v>650.16</v>
      </c>
      <c r="I925" s="1" t="s">
        <v>46</v>
      </c>
      <c r="J925" s="1" t="s">
        <v>56</v>
      </c>
      <c r="K925" s="1" t="s">
        <v>28</v>
      </c>
      <c r="L925">
        <v>529.94000000000005</v>
      </c>
      <c r="M925">
        <v>18.5</v>
      </c>
      <c r="N925">
        <v>2023</v>
      </c>
      <c r="O925">
        <f t="shared" si="14"/>
        <v>2</v>
      </c>
      <c r="P925" s="13" t="s">
        <v>62</v>
      </c>
      <c r="Q925">
        <v>120.22</v>
      </c>
      <c r="R925" s="3" t="s">
        <v>29</v>
      </c>
      <c r="S925" s="7">
        <f>Ventas[[#This Row],[Costo Material (€)]]/Ventas[[#This Row],[Beneficio (€)]]</f>
        <v>4.4080851771751792</v>
      </c>
      <c r="T925" s="3" t="str">
        <f>IF(Ventas[[#This Row],[Margen (%)]]&gt;20%,"Beneficio","Perdidas")</f>
        <v>Beneficio</v>
      </c>
    </row>
    <row r="926" spans="1:20" x14ac:dyDescent="0.25">
      <c r="A926" s="12">
        <v>45032</v>
      </c>
      <c r="B926" s="1" t="s">
        <v>30</v>
      </c>
      <c r="C926" s="1" t="s">
        <v>31</v>
      </c>
      <c r="D926" s="1" t="s">
        <v>32</v>
      </c>
      <c r="E926" s="1" t="s">
        <v>20</v>
      </c>
      <c r="F926">
        <v>200</v>
      </c>
      <c r="G926">
        <v>2.0699999999999998</v>
      </c>
      <c r="H926">
        <v>414</v>
      </c>
      <c r="I926" s="1" t="s">
        <v>39</v>
      </c>
      <c r="J926" s="1" t="s">
        <v>27</v>
      </c>
      <c r="K926" s="1" t="s">
        <v>41</v>
      </c>
      <c r="L926">
        <v>295.68</v>
      </c>
      <c r="M926">
        <v>28.6</v>
      </c>
      <c r="N926">
        <v>2023</v>
      </c>
      <c r="O926">
        <f t="shared" si="14"/>
        <v>2</v>
      </c>
      <c r="P926" s="13" t="s">
        <v>62</v>
      </c>
      <c r="Q926">
        <v>118.32</v>
      </c>
      <c r="R926" s="3" t="s">
        <v>25</v>
      </c>
      <c r="S926" s="7">
        <f>Ventas[[#This Row],[Costo Material (€)]]/Ventas[[#This Row],[Beneficio (€)]]</f>
        <v>2.4989858012170387</v>
      </c>
      <c r="T926" s="3" t="str">
        <f>IF(Ventas[[#This Row],[Margen (%)]]&gt;20%,"Beneficio","Perdidas")</f>
        <v>Beneficio</v>
      </c>
    </row>
    <row r="927" spans="1:20" x14ac:dyDescent="0.25">
      <c r="A927" s="12">
        <v>45310</v>
      </c>
      <c r="B927" s="1" t="s">
        <v>51</v>
      </c>
      <c r="C927" s="1" t="s">
        <v>52</v>
      </c>
      <c r="D927" s="1" t="s">
        <v>49</v>
      </c>
      <c r="E927" s="1" t="s">
        <v>50</v>
      </c>
      <c r="F927">
        <v>297</v>
      </c>
      <c r="G927">
        <v>2.4300000000000002</v>
      </c>
      <c r="H927">
        <v>721.71</v>
      </c>
      <c r="I927" s="1" t="s">
        <v>21</v>
      </c>
      <c r="J927" s="1" t="s">
        <v>34</v>
      </c>
      <c r="K927" s="1" t="s">
        <v>23</v>
      </c>
      <c r="L927">
        <v>606.23</v>
      </c>
      <c r="M927">
        <v>16</v>
      </c>
      <c r="N927">
        <v>2024</v>
      </c>
      <c r="O927">
        <f t="shared" si="14"/>
        <v>1</v>
      </c>
      <c r="P927" s="13" t="s">
        <v>24</v>
      </c>
      <c r="Q927">
        <v>115.48</v>
      </c>
      <c r="R927" s="3" t="s">
        <v>29</v>
      </c>
      <c r="S927" s="7">
        <f>Ventas[[#This Row],[Costo Material (€)]]/Ventas[[#This Row],[Beneficio (€)]]</f>
        <v>5.2496536196744028</v>
      </c>
      <c r="T927" s="3" t="str">
        <f>IF(Ventas[[#This Row],[Margen (%)]]&gt;20%,"Beneficio","Perdidas")</f>
        <v>Beneficio</v>
      </c>
    </row>
    <row r="928" spans="1:20" x14ac:dyDescent="0.25">
      <c r="A928" s="12">
        <v>45152</v>
      </c>
      <c r="B928" s="1" t="s">
        <v>17</v>
      </c>
      <c r="C928" s="1" t="s">
        <v>18</v>
      </c>
      <c r="D928" s="1" t="s">
        <v>19</v>
      </c>
      <c r="E928" s="1" t="s">
        <v>20</v>
      </c>
      <c r="F928">
        <v>238</v>
      </c>
      <c r="G928">
        <v>3.43</v>
      </c>
      <c r="H928">
        <v>816.34</v>
      </c>
      <c r="I928" s="1" t="s">
        <v>57</v>
      </c>
      <c r="J928" s="1" t="s">
        <v>40</v>
      </c>
      <c r="K928" s="1" t="s">
        <v>23</v>
      </c>
      <c r="L928">
        <v>701.58</v>
      </c>
      <c r="M928">
        <v>14.1</v>
      </c>
      <c r="N928">
        <v>2023</v>
      </c>
      <c r="O928">
        <f t="shared" si="14"/>
        <v>3</v>
      </c>
      <c r="P928" s="13" t="s">
        <v>66</v>
      </c>
      <c r="Q928">
        <v>114.76</v>
      </c>
      <c r="R928" s="3" t="s">
        <v>29</v>
      </c>
      <c r="S928" s="7">
        <f>Ventas[[#This Row],[Costo Material (€)]]/Ventas[[#This Row],[Beneficio (€)]]</f>
        <v>6.1134541652143604</v>
      </c>
      <c r="T928" s="3" t="str">
        <f>IF(Ventas[[#This Row],[Margen (%)]]&gt;20%,"Beneficio","Perdidas")</f>
        <v>Beneficio</v>
      </c>
    </row>
    <row r="929" spans="1:20" x14ac:dyDescent="0.25">
      <c r="A929" s="12">
        <v>45113</v>
      </c>
      <c r="B929" s="1" t="s">
        <v>35</v>
      </c>
      <c r="C929" s="1" t="s">
        <v>36</v>
      </c>
      <c r="D929" s="1" t="s">
        <v>37</v>
      </c>
      <c r="E929" s="1" t="s">
        <v>38</v>
      </c>
      <c r="F929">
        <v>62</v>
      </c>
      <c r="G929">
        <v>9.6300000000000008</v>
      </c>
      <c r="H929">
        <v>597.05999999999995</v>
      </c>
      <c r="I929" s="1" t="s">
        <v>55</v>
      </c>
      <c r="J929" s="1" t="s">
        <v>34</v>
      </c>
      <c r="K929" s="1" t="s">
        <v>28</v>
      </c>
      <c r="L929">
        <v>483.71</v>
      </c>
      <c r="M929">
        <v>19</v>
      </c>
      <c r="N929">
        <v>2023</v>
      </c>
      <c r="O929">
        <f t="shared" si="14"/>
        <v>3</v>
      </c>
      <c r="P929" s="13" t="s">
        <v>65</v>
      </c>
      <c r="Q929">
        <v>113.35</v>
      </c>
      <c r="R929" s="3" t="s">
        <v>29</v>
      </c>
      <c r="S929" s="7">
        <f>Ventas[[#This Row],[Costo Material (€)]]/Ventas[[#This Row],[Beneficio (€)]]</f>
        <v>4.2674018526687254</v>
      </c>
      <c r="T929" s="3" t="str">
        <f>IF(Ventas[[#This Row],[Margen (%)]]&gt;20%,"Beneficio","Perdidas")</f>
        <v>Beneficio</v>
      </c>
    </row>
    <row r="930" spans="1:20" x14ac:dyDescent="0.25">
      <c r="A930" s="12">
        <v>44987</v>
      </c>
      <c r="B930" s="1" t="s">
        <v>17</v>
      </c>
      <c r="C930" s="1" t="s">
        <v>18</v>
      </c>
      <c r="D930" s="1" t="s">
        <v>44</v>
      </c>
      <c r="E930" s="1" t="s">
        <v>38</v>
      </c>
      <c r="F930">
        <v>60</v>
      </c>
      <c r="G930">
        <v>6.53</v>
      </c>
      <c r="H930">
        <v>391.8</v>
      </c>
      <c r="I930" s="1" t="s">
        <v>33</v>
      </c>
      <c r="J930" s="1" t="s">
        <v>47</v>
      </c>
      <c r="K930" s="1" t="s">
        <v>28</v>
      </c>
      <c r="L930">
        <v>278.58</v>
      </c>
      <c r="M930">
        <v>28.9</v>
      </c>
      <c r="N930">
        <v>2023</v>
      </c>
      <c r="O930">
        <f t="shared" si="14"/>
        <v>1</v>
      </c>
      <c r="P930" s="13" t="s">
        <v>61</v>
      </c>
      <c r="Q930">
        <v>113.22</v>
      </c>
      <c r="R930" s="3" t="s">
        <v>25</v>
      </c>
      <c r="S930" s="7">
        <f>Ventas[[#This Row],[Costo Material (€)]]/Ventas[[#This Row],[Beneficio (€)]]</f>
        <v>2.460519342872284</v>
      </c>
      <c r="T930" s="3" t="str">
        <f>IF(Ventas[[#This Row],[Margen (%)]]&gt;20%,"Beneficio","Perdidas")</f>
        <v>Beneficio</v>
      </c>
    </row>
    <row r="931" spans="1:20" x14ac:dyDescent="0.25">
      <c r="A931" s="12">
        <v>45257</v>
      </c>
      <c r="B931" s="1" t="s">
        <v>51</v>
      </c>
      <c r="C931" s="1" t="s">
        <v>52</v>
      </c>
      <c r="D931" s="1" t="s">
        <v>48</v>
      </c>
      <c r="E931" s="1" t="s">
        <v>38</v>
      </c>
      <c r="F931">
        <v>149</v>
      </c>
      <c r="G931">
        <v>5.08</v>
      </c>
      <c r="H931">
        <v>756.92</v>
      </c>
      <c r="I931" s="1" t="s">
        <v>57</v>
      </c>
      <c r="J931" s="1" t="s">
        <v>27</v>
      </c>
      <c r="K931" s="1" t="s">
        <v>23</v>
      </c>
      <c r="L931">
        <v>644.88</v>
      </c>
      <c r="M931">
        <v>14.8</v>
      </c>
      <c r="N931">
        <v>2023</v>
      </c>
      <c r="O931">
        <f t="shared" si="14"/>
        <v>4</v>
      </c>
      <c r="P931" s="13" t="s">
        <v>69</v>
      </c>
      <c r="Q931">
        <v>112.04</v>
      </c>
      <c r="R931" s="3" t="s">
        <v>29</v>
      </c>
      <c r="S931" s="7">
        <f>Ventas[[#This Row],[Costo Material (€)]]/Ventas[[#This Row],[Beneficio (€)]]</f>
        <v>5.7558014994644768</v>
      </c>
      <c r="T931" s="3" t="str">
        <f>IF(Ventas[[#This Row],[Margen (%)]]&gt;20%,"Beneficio","Perdidas")</f>
        <v>Beneficio</v>
      </c>
    </row>
    <row r="932" spans="1:20" x14ac:dyDescent="0.25">
      <c r="A932" s="12">
        <v>45091</v>
      </c>
      <c r="B932" s="1" t="s">
        <v>30</v>
      </c>
      <c r="C932" s="1" t="s">
        <v>31</v>
      </c>
      <c r="D932" s="1" t="s">
        <v>49</v>
      </c>
      <c r="E932" s="1" t="s">
        <v>50</v>
      </c>
      <c r="F932">
        <v>168</v>
      </c>
      <c r="G932">
        <v>4.32</v>
      </c>
      <c r="H932">
        <v>725.76</v>
      </c>
      <c r="I932" s="1" t="s">
        <v>57</v>
      </c>
      <c r="J932" s="1" t="s">
        <v>22</v>
      </c>
      <c r="K932" s="1" t="s">
        <v>28</v>
      </c>
      <c r="L932">
        <v>613.84</v>
      </c>
      <c r="M932">
        <v>15.4</v>
      </c>
      <c r="N932">
        <v>2023</v>
      </c>
      <c r="O932">
        <f t="shared" si="14"/>
        <v>2</v>
      </c>
      <c r="P932" s="13" t="s">
        <v>64</v>
      </c>
      <c r="Q932">
        <v>111.92</v>
      </c>
      <c r="R932" s="3" t="s">
        <v>29</v>
      </c>
      <c r="S932" s="7">
        <f>Ventas[[#This Row],[Costo Material (€)]]/Ventas[[#This Row],[Beneficio (€)]]</f>
        <v>5.4846318799142244</v>
      </c>
      <c r="T932" s="3" t="str">
        <f>IF(Ventas[[#This Row],[Margen (%)]]&gt;20%,"Beneficio","Perdidas")</f>
        <v>Beneficio</v>
      </c>
    </row>
    <row r="933" spans="1:20" x14ac:dyDescent="0.25">
      <c r="A933" s="12">
        <v>44961</v>
      </c>
      <c r="B933" s="1" t="s">
        <v>42</v>
      </c>
      <c r="C933" s="1" t="s">
        <v>43</v>
      </c>
      <c r="D933" s="1" t="s">
        <v>19</v>
      </c>
      <c r="E933" s="1" t="s">
        <v>20</v>
      </c>
      <c r="F933">
        <v>338</v>
      </c>
      <c r="G933">
        <v>2.08</v>
      </c>
      <c r="H933">
        <v>703.04</v>
      </c>
      <c r="I933" s="1" t="s">
        <v>55</v>
      </c>
      <c r="J933" s="1" t="s">
        <v>47</v>
      </c>
      <c r="K933" s="1" t="s">
        <v>28</v>
      </c>
      <c r="L933">
        <v>591.15</v>
      </c>
      <c r="M933">
        <v>15.9</v>
      </c>
      <c r="N933">
        <v>2023</v>
      </c>
      <c r="O933">
        <f t="shared" si="14"/>
        <v>1</v>
      </c>
      <c r="P933" s="13" t="s">
        <v>60</v>
      </c>
      <c r="Q933">
        <v>111.89</v>
      </c>
      <c r="R933" s="3" t="s">
        <v>29</v>
      </c>
      <c r="S933" s="7">
        <f>Ventas[[#This Row],[Costo Material (€)]]/Ventas[[#This Row],[Beneficio (€)]]</f>
        <v>5.2833139690767714</v>
      </c>
      <c r="T933" s="3" t="str">
        <f>IF(Ventas[[#This Row],[Margen (%)]]&gt;20%,"Beneficio","Perdidas")</f>
        <v>Beneficio</v>
      </c>
    </row>
    <row r="934" spans="1:20" x14ac:dyDescent="0.25">
      <c r="A934" s="12">
        <v>45324</v>
      </c>
      <c r="B934" s="1" t="s">
        <v>17</v>
      </c>
      <c r="C934" s="1" t="s">
        <v>18</v>
      </c>
      <c r="D934" s="1" t="s">
        <v>44</v>
      </c>
      <c r="E934" s="1" t="s">
        <v>38</v>
      </c>
      <c r="F934">
        <v>153</v>
      </c>
      <c r="G934">
        <v>3.02</v>
      </c>
      <c r="H934">
        <v>462.06</v>
      </c>
      <c r="I934" s="1" t="s">
        <v>55</v>
      </c>
      <c r="J934" s="1" t="s">
        <v>40</v>
      </c>
      <c r="K934" s="1" t="s">
        <v>28</v>
      </c>
      <c r="L934">
        <v>350.82</v>
      </c>
      <c r="M934">
        <v>24.1</v>
      </c>
      <c r="N934">
        <v>2024</v>
      </c>
      <c r="O934">
        <f t="shared" si="14"/>
        <v>1</v>
      </c>
      <c r="P934" s="13" t="s">
        <v>60</v>
      </c>
      <c r="Q934">
        <v>111.24</v>
      </c>
      <c r="R934" s="3" t="s">
        <v>29</v>
      </c>
      <c r="S934" s="7">
        <f>Ventas[[#This Row],[Costo Material (€)]]/Ventas[[#This Row],[Beneficio (€)]]</f>
        <v>3.1537216828478964</v>
      </c>
      <c r="T934" s="3" t="str">
        <f>IF(Ventas[[#This Row],[Margen (%)]]&gt;20%,"Beneficio","Perdidas")</f>
        <v>Beneficio</v>
      </c>
    </row>
    <row r="935" spans="1:20" x14ac:dyDescent="0.25">
      <c r="A935" s="12">
        <v>45056</v>
      </c>
      <c r="B935" s="1" t="s">
        <v>17</v>
      </c>
      <c r="C935" s="1" t="s">
        <v>18</v>
      </c>
      <c r="D935" s="1" t="s">
        <v>44</v>
      </c>
      <c r="E935" s="1" t="s">
        <v>38</v>
      </c>
      <c r="F935">
        <v>158</v>
      </c>
      <c r="G935">
        <v>3.79</v>
      </c>
      <c r="H935">
        <v>598.82000000000005</v>
      </c>
      <c r="I935" s="1" t="s">
        <v>33</v>
      </c>
      <c r="J935" s="1" t="s">
        <v>27</v>
      </c>
      <c r="K935" s="1" t="s">
        <v>23</v>
      </c>
      <c r="L935">
        <v>487.71</v>
      </c>
      <c r="M935">
        <v>18.600000000000001</v>
      </c>
      <c r="N935">
        <v>2023</v>
      </c>
      <c r="O935">
        <f t="shared" si="14"/>
        <v>2</v>
      </c>
      <c r="P935" s="13" t="s">
        <v>63</v>
      </c>
      <c r="Q935">
        <v>111.11</v>
      </c>
      <c r="R935" s="3" t="s">
        <v>29</v>
      </c>
      <c r="S935" s="7">
        <f>Ventas[[#This Row],[Costo Material (€)]]/Ventas[[#This Row],[Beneficio (€)]]</f>
        <v>4.3894338943389428</v>
      </c>
      <c r="T935" s="3" t="str">
        <f>IF(Ventas[[#This Row],[Margen (%)]]&gt;20%,"Beneficio","Perdidas")</f>
        <v>Beneficio</v>
      </c>
    </row>
    <row r="936" spans="1:20" x14ac:dyDescent="0.25">
      <c r="A936" s="12">
        <v>44969</v>
      </c>
      <c r="B936" s="1" t="s">
        <v>58</v>
      </c>
      <c r="C936" s="1" t="s">
        <v>59</v>
      </c>
      <c r="D936" s="1" t="s">
        <v>32</v>
      </c>
      <c r="E936" s="1" t="s">
        <v>20</v>
      </c>
      <c r="F936">
        <v>91</v>
      </c>
      <c r="G936">
        <v>3.3</v>
      </c>
      <c r="H936">
        <v>300.3</v>
      </c>
      <c r="I936" s="1" t="s">
        <v>26</v>
      </c>
      <c r="J936" s="1" t="s">
        <v>56</v>
      </c>
      <c r="K936" s="1" t="s">
        <v>41</v>
      </c>
      <c r="L936">
        <v>189.58</v>
      </c>
      <c r="M936">
        <v>36.9</v>
      </c>
      <c r="N936">
        <v>2023</v>
      </c>
      <c r="O936">
        <f t="shared" si="14"/>
        <v>1</v>
      </c>
      <c r="P936" s="13" t="s">
        <v>60</v>
      </c>
      <c r="Q936">
        <v>110.72</v>
      </c>
      <c r="R936" s="3" t="s">
        <v>25</v>
      </c>
      <c r="S936" s="7">
        <f>Ventas[[#This Row],[Costo Material (€)]]/Ventas[[#This Row],[Beneficio (€)]]</f>
        <v>1.7122471098265897</v>
      </c>
      <c r="T936" s="3" t="str">
        <f>IF(Ventas[[#This Row],[Margen (%)]]&gt;20%,"Beneficio","Perdidas")</f>
        <v>Beneficio</v>
      </c>
    </row>
    <row r="937" spans="1:20" x14ac:dyDescent="0.25">
      <c r="A937" s="12">
        <v>44944</v>
      </c>
      <c r="B937" s="1" t="s">
        <v>30</v>
      </c>
      <c r="C937" s="1" t="s">
        <v>31</v>
      </c>
      <c r="D937" s="1" t="s">
        <v>37</v>
      </c>
      <c r="E937" s="1" t="s">
        <v>38</v>
      </c>
      <c r="F937">
        <v>57</v>
      </c>
      <c r="G937">
        <v>11.24</v>
      </c>
      <c r="H937">
        <v>640.67999999999995</v>
      </c>
      <c r="I937" s="1" t="s">
        <v>39</v>
      </c>
      <c r="J937" s="1" t="s">
        <v>22</v>
      </c>
      <c r="K937" s="1" t="s">
        <v>41</v>
      </c>
      <c r="L937">
        <v>531.42999999999995</v>
      </c>
      <c r="M937">
        <v>17.100000000000001</v>
      </c>
      <c r="N937">
        <v>2023</v>
      </c>
      <c r="O937">
        <f t="shared" si="14"/>
        <v>1</v>
      </c>
      <c r="P937" s="13" t="s">
        <v>24</v>
      </c>
      <c r="Q937">
        <v>109.25</v>
      </c>
      <c r="R937" s="3" t="s">
        <v>29</v>
      </c>
      <c r="S937" s="7">
        <f>Ventas[[#This Row],[Costo Material (€)]]/Ventas[[#This Row],[Beneficio (€)]]</f>
        <v>4.8643478260869557</v>
      </c>
      <c r="T937" s="3" t="str">
        <f>IF(Ventas[[#This Row],[Margen (%)]]&gt;20%,"Beneficio","Perdidas")</f>
        <v>Beneficio</v>
      </c>
    </row>
    <row r="938" spans="1:20" x14ac:dyDescent="0.25">
      <c r="A938" s="12">
        <v>45554</v>
      </c>
      <c r="B938" s="1" t="s">
        <v>30</v>
      </c>
      <c r="C938" s="1" t="s">
        <v>31</v>
      </c>
      <c r="D938" s="1" t="s">
        <v>45</v>
      </c>
      <c r="E938" s="1" t="s">
        <v>20</v>
      </c>
      <c r="F938">
        <v>100</v>
      </c>
      <c r="G938">
        <v>9.99</v>
      </c>
      <c r="H938">
        <v>999</v>
      </c>
      <c r="I938" s="1" t="s">
        <v>21</v>
      </c>
      <c r="J938" s="1" t="s">
        <v>56</v>
      </c>
      <c r="K938" s="1" t="s">
        <v>41</v>
      </c>
      <c r="L938">
        <v>889.83</v>
      </c>
      <c r="M938">
        <v>10.9</v>
      </c>
      <c r="N938">
        <v>2024</v>
      </c>
      <c r="O938">
        <f t="shared" si="14"/>
        <v>3</v>
      </c>
      <c r="P938" s="13" t="s">
        <v>67</v>
      </c>
      <c r="Q938">
        <v>109.17</v>
      </c>
      <c r="R938" s="3" t="s">
        <v>29</v>
      </c>
      <c r="S938" s="7">
        <f>Ventas[[#This Row],[Costo Material (€)]]/Ventas[[#This Row],[Beneficio (€)]]</f>
        <v>8.1508656224237424</v>
      </c>
      <c r="T938" s="3" t="str">
        <f>IF(Ventas[[#This Row],[Margen (%)]]&gt;20%,"Beneficio","Perdidas")</f>
        <v>Beneficio</v>
      </c>
    </row>
    <row r="939" spans="1:20" x14ac:dyDescent="0.25">
      <c r="A939" s="12">
        <v>45198</v>
      </c>
      <c r="B939" s="1" t="s">
        <v>17</v>
      </c>
      <c r="C939" s="1" t="s">
        <v>18</v>
      </c>
      <c r="D939" s="1" t="s">
        <v>45</v>
      </c>
      <c r="E939" s="1" t="s">
        <v>20</v>
      </c>
      <c r="F939">
        <v>124</v>
      </c>
      <c r="G939">
        <v>7.53</v>
      </c>
      <c r="H939">
        <v>933.72</v>
      </c>
      <c r="I939" s="1" t="s">
        <v>39</v>
      </c>
      <c r="J939" s="1" t="s">
        <v>47</v>
      </c>
      <c r="K939" s="1" t="s">
        <v>23</v>
      </c>
      <c r="L939">
        <v>824.79</v>
      </c>
      <c r="M939">
        <v>11.7</v>
      </c>
      <c r="N939">
        <v>2023</v>
      </c>
      <c r="O939">
        <f t="shared" si="14"/>
        <v>3</v>
      </c>
      <c r="P939" s="13" t="s">
        <v>67</v>
      </c>
      <c r="Q939">
        <v>108.93</v>
      </c>
      <c r="R939" s="3" t="s">
        <v>29</v>
      </c>
      <c r="S939" s="7">
        <f>Ventas[[#This Row],[Costo Material (€)]]/Ventas[[#This Row],[Beneficio (€)]]</f>
        <v>7.5717433213990626</v>
      </c>
      <c r="T939" s="3" t="str">
        <f>IF(Ventas[[#This Row],[Margen (%)]]&gt;20%,"Beneficio","Perdidas")</f>
        <v>Beneficio</v>
      </c>
    </row>
    <row r="940" spans="1:20" x14ac:dyDescent="0.25">
      <c r="A940" s="12">
        <v>45934</v>
      </c>
      <c r="B940" s="1" t="s">
        <v>58</v>
      </c>
      <c r="C940" s="1" t="s">
        <v>59</v>
      </c>
      <c r="D940" s="1" t="s">
        <v>49</v>
      </c>
      <c r="E940" s="1" t="s">
        <v>50</v>
      </c>
      <c r="F940">
        <v>66</v>
      </c>
      <c r="G940">
        <v>7.82</v>
      </c>
      <c r="H940">
        <v>516.12</v>
      </c>
      <c r="I940" s="1" t="s">
        <v>55</v>
      </c>
      <c r="J940" s="1" t="s">
        <v>47</v>
      </c>
      <c r="K940" s="1" t="s">
        <v>23</v>
      </c>
      <c r="L940">
        <v>407.7</v>
      </c>
      <c r="M940">
        <v>21</v>
      </c>
      <c r="N940">
        <v>2025</v>
      </c>
      <c r="O940">
        <f t="shared" si="14"/>
        <v>4</v>
      </c>
      <c r="P940" s="13" t="s">
        <v>68</v>
      </c>
      <c r="Q940">
        <v>108.42</v>
      </c>
      <c r="R940" s="3" t="s">
        <v>29</v>
      </c>
      <c r="S940" s="7">
        <f>Ventas[[#This Row],[Costo Material (€)]]/Ventas[[#This Row],[Beneficio (€)]]</f>
        <v>3.7603763143331488</v>
      </c>
      <c r="T940" s="3" t="str">
        <f>IF(Ventas[[#This Row],[Margen (%)]]&gt;20%,"Beneficio","Perdidas")</f>
        <v>Beneficio</v>
      </c>
    </row>
    <row r="941" spans="1:20" x14ac:dyDescent="0.25">
      <c r="A941" s="12">
        <v>44955</v>
      </c>
      <c r="B941" s="1" t="s">
        <v>30</v>
      </c>
      <c r="C941" s="1" t="s">
        <v>31</v>
      </c>
      <c r="D941" s="1" t="s">
        <v>45</v>
      </c>
      <c r="E941" s="1" t="s">
        <v>20</v>
      </c>
      <c r="F941">
        <v>159</v>
      </c>
      <c r="G941">
        <v>2.14</v>
      </c>
      <c r="H941">
        <v>340.26</v>
      </c>
      <c r="I941" s="1" t="s">
        <v>26</v>
      </c>
      <c r="J941" s="1" t="s">
        <v>56</v>
      </c>
      <c r="K941" s="1" t="s">
        <v>28</v>
      </c>
      <c r="L941">
        <v>232.66</v>
      </c>
      <c r="M941">
        <v>31.6</v>
      </c>
      <c r="N941">
        <v>2023</v>
      </c>
      <c r="O941">
        <f t="shared" si="14"/>
        <v>1</v>
      </c>
      <c r="P941" s="13" t="s">
        <v>24</v>
      </c>
      <c r="Q941">
        <v>107.6</v>
      </c>
      <c r="R941" s="3" t="s">
        <v>25</v>
      </c>
      <c r="S941" s="7">
        <f>Ventas[[#This Row],[Costo Material (€)]]/Ventas[[#This Row],[Beneficio (€)]]</f>
        <v>2.1622676579925653</v>
      </c>
      <c r="T941" s="3" t="str">
        <f>IF(Ventas[[#This Row],[Margen (%)]]&gt;20%,"Beneficio","Perdidas")</f>
        <v>Beneficio</v>
      </c>
    </row>
    <row r="942" spans="1:20" x14ac:dyDescent="0.25">
      <c r="A942" s="12">
        <v>44947</v>
      </c>
      <c r="B942" s="1" t="s">
        <v>35</v>
      </c>
      <c r="C942" s="1" t="s">
        <v>36</v>
      </c>
      <c r="D942" s="1" t="s">
        <v>53</v>
      </c>
      <c r="E942" s="1" t="s">
        <v>50</v>
      </c>
      <c r="F942">
        <v>265</v>
      </c>
      <c r="G942">
        <v>3.15</v>
      </c>
      <c r="H942">
        <v>834.75</v>
      </c>
      <c r="I942" s="1" t="s">
        <v>21</v>
      </c>
      <c r="J942" s="1" t="s">
        <v>56</v>
      </c>
      <c r="K942" s="1" t="s">
        <v>23</v>
      </c>
      <c r="L942">
        <v>733.01</v>
      </c>
      <c r="M942">
        <v>12.2</v>
      </c>
      <c r="N942">
        <v>2023</v>
      </c>
      <c r="O942">
        <f t="shared" si="14"/>
        <v>1</v>
      </c>
      <c r="P942" s="13" t="s">
        <v>24</v>
      </c>
      <c r="Q942">
        <v>101.74</v>
      </c>
      <c r="R942" s="3" t="s">
        <v>29</v>
      </c>
      <c r="S942" s="7">
        <f>Ventas[[#This Row],[Costo Material (€)]]/Ventas[[#This Row],[Beneficio (€)]]</f>
        <v>7.204737566345587</v>
      </c>
      <c r="T942" s="3" t="str">
        <f>IF(Ventas[[#This Row],[Margen (%)]]&gt;20%,"Beneficio","Perdidas")</f>
        <v>Beneficio</v>
      </c>
    </row>
    <row r="943" spans="1:20" x14ac:dyDescent="0.25">
      <c r="A943" s="12">
        <v>44927</v>
      </c>
      <c r="B943" s="1" t="s">
        <v>35</v>
      </c>
      <c r="C943" s="1" t="s">
        <v>36</v>
      </c>
      <c r="D943" s="1" t="s">
        <v>37</v>
      </c>
      <c r="E943" s="1" t="s">
        <v>38</v>
      </c>
      <c r="F943">
        <v>241</v>
      </c>
      <c r="G943">
        <v>2.4900000000000002</v>
      </c>
      <c r="H943">
        <v>600.09</v>
      </c>
      <c r="I943" s="1" t="s">
        <v>39</v>
      </c>
      <c r="J943" s="1" t="s">
        <v>40</v>
      </c>
      <c r="K943" s="1" t="s">
        <v>41</v>
      </c>
      <c r="L943">
        <v>499.8</v>
      </c>
      <c r="M943">
        <v>16.7</v>
      </c>
      <c r="N943">
        <v>2023</v>
      </c>
      <c r="O943">
        <f t="shared" si="14"/>
        <v>1</v>
      </c>
      <c r="P943" s="13" t="s">
        <v>24</v>
      </c>
      <c r="Q943">
        <v>100.29</v>
      </c>
      <c r="R943" s="3" t="s">
        <v>29</v>
      </c>
      <c r="S943" s="7">
        <f>Ventas[[#This Row],[Costo Material (€)]]/Ventas[[#This Row],[Beneficio (€)]]</f>
        <v>4.9835477116362545</v>
      </c>
      <c r="T943" s="3" t="str">
        <f>IF(Ventas[[#This Row],[Margen (%)]]&gt;20%,"Beneficio","Perdidas")</f>
        <v>Beneficio</v>
      </c>
    </row>
    <row r="944" spans="1:20" x14ac:dyDescent="0.25">
      <c r="A944" s="12">
        <v>44938</v>
      </c>
      <c r="B944" s="1" t="s">
        <v>51</v>
      </c>
      <c r="C944" s="1" t="s">
        <v>52</v>
      </c>
      <c r="D944" s="1" t="s">
        <v>48</v>
      </c>
      <c r="E944" s="1" t="s">
        <v>38</v>
      </c>
      <c r="F944">
        <v>170</v>
      </c>
      <c r="G944">
        <v>4.62</v>
      </c>
      <c r="H944">
        <v>785.4</v>
      </c>
      <c r="I944" s="1" t="s">
        <v>26</v>
      </c>
      <c r="J944" s="1" t="s">
        <v>40</v>
      </c>
      <c r="K944" s="1" t="s">
        <v>41</v>
      </c>
      <c r="L944">
        <v>686.44</v>
      </c>
      <c r="M944">
        <v>12.6</v>
      </c>
      <c r="N944">
        <v>2023</v>
      </c>
      <c r="O944">
        <f t="shared" si="14"/>
        <v>1</v>
      </c>
      <c r="P944" s="13" t="s">
        <v>24</v>
      </c>
      <c r="Q944">
        <v>98.96</v>
      </c>
      <c r="R944" s="3" t="s">
        <v>29</v>
      </c>
      <c r="S944" s="7">
        <f>Ventas[[#This Row],[Costo Material (€)]]/Ventas[[#This Row],[Beneficio (€)]]</f>
        <v>6.9365400161681494</v>
      </c>
      <c r="T944" s="3" t="str">
        <f>IF(Ventas[[#This Row],[Margen (%)]]&gt;20%,"Beneficio","Perdidas")</f>
        <v>Beneficio</v>
      </c>
    </row>
    <row r="945" spans="1:20" x14ac:dyDescent="0.25">
      <c r="A945" s="12">
        <v>44973</v>
      </c>
      <c r="B945" s="1" t="s">
        <v>58</v>
      </c>
      <c r="C945" s="1" t="s">
        <v>59</v>
      </c>
      <c r="D945" s="1" t="s">
        <v>49</v>
      </c>
      <c r="E945" s="1" t="s">
        <v>50</v>
      </c>
      <c r="F945">
        <v>106</v>
      </c>
      <c r="G945">
        <v>2.8</v>
      </c>
      <c r="H945">
        <v>296.8</v>
      </c>
      <c r="I945" s="1" t="s">
        <v>55</v>
      </c>
      <c r="J945" s="1" t="s">
        <v>27</v>
      </c>
      <c r="K945" s="1" t="s">
        <v>28</v>
      </c>
      <c r="L945">
        <v>199.01</v>
      </c>
      <c r="M945">
        <v>32.9</v>
      </c>
      <c r="N945">
        <v>2023</v>
      </c>
      <c r="O945">
        <f t="shared" si="14"/>
        <v>1</v>
      </c>
      <c r="P945" s="13" t="s">
        <v>60</v>
      </c>
      <c r="Q945">
        <v>97.79</v>
      </c>
      <c r="R945" s="3" t="s">
        <v>25</v>
      </c>
      <c r="S945" s="7">
        <f>Ventas[[#This Row],[Costo Material (€)]]/Ventas[[#This Row],[Beneficio (€)]]</f>
        <v>2.0350751610594129</v>
      </c>
      <c r="T945" s="3" t="str">
        <f>IF(Ventas[[#This Row],[Margen (%)]]&gt;20%,"Beneficio","Perdidas")</f>
        <v>Beneficio</v>
      </c>
    </row>
    <row r="946" spans="1:20" x14ac:dyDescent="0.25">
      <c r="A946" s="12">
        <v>45042</v>
      </c>
      <c r="B946" s="1" t="s">
        <v>17</v>
      </c>
      <c r="C946" s="1" t="s">
        <v>18</v>
      </c>
      <c r="D946" s="1" t="s">
        <v>49</v>
      </c>
      <c r="E946" s="1" t="s">
        <v>50</v>
      </c>
      <c r="F946">
        <v>134</v>
      </c>
      <c r="G946">
        <v>4.03</v>
      </c>
      <c r="H946">
        <v>540.02</v>
      </c>
      <c r="I946" s="1" t="s">
        <v>55</v>
      </c>
      <c r="J946" s="1" t="s">
        <v>22</v>
      </c>
      <c r="K946" s="1" t="s">
        <v>28</v>
      </c>
      <c r="L946">
        <v>443.28</v>
      </c>
      <c r="M946">
        <v>17.899999999999999</v>
      </c>
      <c r="N946">
        <v>2023</v>
      </c>
      <c r="O946">
        <f t="shared" si="14"/>
        <v>2</v>
      </c>
      <c r="P946" s="13" t="s">
        <v>62</v>
      </c>
      <c r="Q946">
        <v>96.74</v>
      </c>
      <c r="R946" s="3" t="s">
        <v>29</v>
      </c>
      <c r="S946" s="7">
        <f>Ventas[[#This Row],[Costo Material (€)]]/Ventas[[#This Row],[Beneficio (€)]]</f>
        <v>4.5821790365929296</v>
      </c>
      <c r="T946" s="3" t="str">
        <f>IF(Ventas[[#This Row],[Margen (%)]]&gt;20%,"Beneficio","Perdidas")</f>
        <v>Beneficio</v>
      </c>
    </row>
    <row r="947" spans="1:20" x14ac:dyDescent="0.25">
      <c r="A947" s="12">
        <v>45141</v>
      </c>
      <c r="B947" s="1" t="s">
        <v>35</v>
      </c>
      <c r="C947" s="1" t="s">
        <v>36</v>
      </c>
      <c r="D947" s="1" t="s">
        <v>45</v>
      </c>
      <c r="E947" s="1" t="s">
        <v>20</v>
      </c>
      <c r="F947">
        <v>52</v>
      </c>
      <c r="G947">
        <v>5.86</v>
      </c>
      <c r="H947">
        <v>304.72000000000003</v>
      </c>
      <c r="I947" s="1" t="s">
        <v>46</v>
      </c>
      <c r="J947" s="1" t="s">
        <v>40</v>
      </c>
      <c r="K947" s="1" t="s">
        <v>23</v>
      </c>
      <c r="L947">
        <v>210.53</v>
      </c>
      <c r="M947">
        <v>30.9</v>
      </c>
      <c r="N947">
        <v>2023</v>
      </c>
      <c r="O947">
        <f t="shared" si="14"/>
        <v>3</v>
      </c>
      <c r="P947" s="13" t="s">
        <v>66</v>
      </c>
      <c r="Q947">
        <v>94.19</v>
      </c>
      <c r="R947" s="3" t="s">
        <v>25</v>
      </c>
      <c r="S947" s="7">
        <f>Ventas[[#This Row],[Costo Material (€)]]/Ventas[[#This Row],[Beneficio (€)]]</f>
        <v>2.2351629684679901</v>
      </c>
      <c r="T947" s="3" t="str">
        <f>IF(Ventas[[#This Row],[Margen (%)]]&gt;20%,"Beneficio","Perdidas")</f>
        <v>Beneficio</v>
      </c>
    </row>
    <row r="948" spans="1:20" x14ac:dyDescent="0.25">
      <c r="A948" s="12">
        <v>45142</v>
      </c>
      <c r="B948" s="1" t="s">
        <v>58</v>
      </c>
      <c r="C948" s="1" t="s">
        <v>59</v>
      </c>
      <c r="D948" s="1" t="s">
        <v>49</v>
      </c>
      <c r="E948" s="1" t="s">
        <v>50</v>
      </c>
      <c r="F948">
        <v>78</v>
      </c>
      <c r="G948">
        <v>5.91</v>
      </c>
      <c r="H948">
        <v>460.98</v>
      </c>
      <c r="I948" s="1" t="s">
        <v>55</v>
      </c>
      <c r="J948" s="1" t="s">
        <v>56</v>
      </c>
      <c r="K948" s="1" t="s">
        <v>28</v>
      </c>
      <c r="L948">
        <v>369.27</v>
      </c>
      <c r="M948">
        <v>19.899999999999999</v>
      </c>
      <c r="N948">
        <v>2023</v>
      </c>
      <c r="O948">
        <f t="shared" si="14"/>
        <v>3</v>
      </c>
      <c r="P948" s="13" t="s">
        <v>66</v>
      </c>
      <c r="Q948">
        <v>91.71</v>
      </c>
      <c r="R948" s="3" t="s">
        <v>29</v>
      </c>
      <c r="S948" s="7">
        <f>Ventas[[#This Row],[Costo Material (€)]]/Ventas[[#This Row],[Beneficio (€)]]</f>
        <v>4.0264965652600591</v>
      </c>
      <c r="T948" s="3" t="str">
        <f>IF(Ventas[[#This Row],[Margen (%)]]&gt;20%,"Beneficio","Perdidas")</f>
        <v>Beneficio</v>
      </c>
    </row>
    <row r="949" spans="1:20" x14ac:dyDescent="0.25">
      <c r="A949" s="12">
        <v>44928</v>
      </c>
      <c r="B949" s="1" t="s">
        <v>17</v>
      </c>
      <c r="C949" s="1" t="s">
        <v>18</v>
      </c>
      <c r="D949" s="1" t="s">
        <v>48</v>
      </c>
      <c r="E949" s="1" t="s">
        <v>38</v>
      </c>
      <c r="F949">
        <v>342</v>
      </c>
      <c r="G949">
        <v>2.33</v>
      </c>
      <c r="H949">
        <v>796.86</v>
      </c>
      <c r="I949" s="1" t="s">
        <v>21</v>
      </c>
      <c r="J949" s="1" t="s">
        <v>40</v>
      </c>
      <c r="K949" s="1" t="s">
        <v>41</v>
      </c>
      <c r="L949">
        <v>706.57</v>
      </c>
      <c r="M949">
        <v>11.3</v>
      </c>
      <c r="N949">
        <v>2023</v>
      </c>
      <c r="O949">
        <f t="shared" si="14"/>
        <v>1</v>
      </c>
      <c r="P949" s="13" t="s">
        <v>24</v>
      </c>
      <c r="Q949">
        <v>90.29</v>
      </c>
      <c r="R949" s="3" t="s">
        <v>29</v>
      </c>
      <c r="S949" s="7">
        <f>Ventas[[#This Row],[Costo Material (€)]]/Ventas[[#This Row],[Beneficio (€)]]</f>
        <v>7.8255620777494741</v>
      </c>
      <c r="T949" s="3" t="str">
        <f>IF(Ventas[[#This Row],[Margen (%)]]&gt;20%,"Beneficio","Perdidas")</f>
        <v>Beneficio</v>
      </c>
    </row>
    <row r="950" spans="1:20" x14ac:dyDescent="0.25">
      <c r="A950" s="12">
        <v>44928</v>
      </c>
      <c r="B950" s="1" t="s">
        <v>42</v>
      </c>
      <c r="C950" s="1" t="s">
        <v>43</v>
      </c>
      <c r="D950" s="1" t="s">
        <v>49</v>
      </c>
      <c r="E950" s="1" t="s">
        <v>50</v>
      </c>
      <c r="F950">
        <v>58</v>
      </c>
      <c r="G950">
        <v>5.67</v>
      </c>
      <c r="H950">
        <v>328.86</v>
      </c>
      <c r="I950" s="1" t="s">
        <v>26</v>
      </c>
      <c r="J950" s="1" t="s">
        <v>34</v>
      </c>
      <c r="K950" s="1" t="s">
        <v>23</v>
      </c>
      <c r="L950">
        <v>239.36</v>
      </c>
      <c r="M950">
        <v>27.2</v>
      </c>
      <c r="N950">
        <v>2023</v>
      </c>
      <c r="O950">
        <f t="shared" si="14"/>
        <v>1</v>
      </c>
      <c r="P950" s="13" t="s">
        <v>24</v>
      </c>
      <c r="Q950">
        <v>89.5</v>
      </c>
      <c r="R950" s="3" t="s">
        <v>25</v>
      </c>
      <c r="S950" s="7">
        <f>Ventas[[#This Row],[Costo Material (€)]]/Ventas[[#This Row],[Beneficio (€)]]</f>
        <v>2.6744134078212292</v>
      </c>
      <c r="T950" s="3" t="str">
        <f>IF(Ventas[[#This Row],[Margen (%)]]&gt;20%,"Beneficio","Perdidas")</f>
        <v>Beneficio</v>
      </c>
    </row>
    <row r="951" spans="1:20" x14ac:dyDescent="0.25">
      <c r="A951" s="12">
        <v>45696</v>
      </c>
      <c r="B951" s="1" t="s">
        <v>30</v>
      </c>
      <c r="C951" s="1" t="s">
        <v>31</v>
      </c>
      <c r="D951" s="1" t="s">
        <v>45</v>
      </c>
      <c r="E951" s="1" t="s">
        <v>20</v>
      </c>
      <c r="F951">
        <v>69</v>
      </c>
      <c r="G951">
        <v>4.4400000000000004</v>
      </c>
      <c r="H951">
        <v>306.36</v>
      </c>
      <c r="I951" s="1" t="s">
        <v>46</v>
      </c>
      <c r="J951" s="1" t="s">
        <v>27</v>
      </c>
      <c r="K951" s="1" t="s">
        <v>28</v>
      </c>
      <c r="L951">
        <v>217.28</v>
      </c>
      <c r="M951">
        <v>29.1</v>
      </c>
      <c r="N951">
        <v>2025</v>
      </c>
      <c r="O951">
        <f t="shared" si="14"/>
        <v>1</v>
      </c>
      <c r="P951" s="13" t="s">
        <v>60</v>
      </c>
      <c r="Q951">
        <v>89.08</v>
      </c>
      <c r="R951" s="3" t="s">
        <v>25</v>
      </c>
      <c r="S951" s="7">
        <f>Ventas[[#This Row],[Costo Material (€)]]/Ventas[[#This Row],[Beneficio (€)]]</f>
        <v>2.439155814997755</v>
      </c>
      <c r="T951" s="3" t="str">
        <f>IF(Ventas[[#This Row],[Margen (%)]]&gt;20%,"Beneficio","Perdidas")</f>
        <v>Beneficio</v>
      </c>
    </row>
    <row r="952" spans="1:20" x14ac:dyDescent="0.25">
      <c r="A952" s="12">
        <v>45291</v>
      </c>
      <c r="B952" s="1" t="s">
        <v>35</v>
      </c>
      <c r="C952" s="1" t="s">
        <v>36</v>
      </c>
      <c r="D952" s="1" t="s">
        <v>53</v>
      </c>
      <c r="E952" s="1" t="s">
        <v>50</v>
      </c>
      <c r="F952">
        <v>170</v>
      </c>
      <c r="G952">
        <v>3.67</v>
      </c>
      <c r="H952">
        <v>623.9</v>
      </c>
      <c r="I952" s="1" t="s">
        <v>39</v>
      </c>
      <c r="J952" s="1" t="s">
        <v>56</v>
      </c>
      <c r="K952" s="1" t="s">
        <v>41</v>
      </c>
      <c r="L952">
        <v>535.39</v>
      </c>
      <c r="M952">
        <v>14.2</v>
      </c>
      <c r="N952">
        <v>2023</v>
      </c>
      <c r="O952">
        <f t="shared" si="14"/>
        <v>4</v>
      </c>
      <c r="P952" s="13" t="s">
        <v>70</v>
      </c>
      <c r="Q952">
        <v>88.51</v>
      </c>
      <c r="R952" s="3" t="s">
        <v>29</v>
      </c>
      <c r="S952" s="7">
        <f>Ventas[[#This Row],[Costo Material (€)]]/Ventas[[#This Row],[Beneficio (€)]]</f>
        <v>6.0489210258727821</v>
      </c>
      <c r="T952" s="3" t="str">
        <f>IF(Ventas[[#This Row],[Margen (%)]]&gt;20%,"Beneficio","Perdidas")</f>
        <v>Beneficio</v>
      </c>
    </row>
    <row r="953" spans="1:20" x14ac:dyDescent="0.25">
      <c r="A953" s="12">
        <v>45227</v>
      </c>
      <c r="B953" s="1" t="s">
        <v>58</v>
      </c>
      <c r="C953" s="1" t="s">
        <v>59</v>
      </c>
      <c r="D953" s="1" t="s">
        <v>32</v>
      </c>
      <c r="E953" s="1" t="s">
        <v>20</v>
      </c>
      <c r="F953">
        <v>78</v>
      </c>
      <c r="G953">
        <v>6.76</v>
      </c>
      <c r="H953">
        <v>527.28</v>
      </c>
      <c r="I953" s="1" t="s">
        <v>54</v>
      </c>
      <c r="J953" s="1" t="s">
        <v>27</v>
      </c>
      <c r="K953" s="1" t="s">
        <v>41</v>
      </c>
      <c r="L953">
        <v>441.36</v>
      </c>
      <c r="M953">
        <v>16.3</v>
      </c>
      <c r="N953">
        <v>2023</v>
      </c>
      <c r="O953">
        <f t="shared" si="14"/>
        <v>4</v>
      </c>
      <c r="P953" s="13" t="s">
        <v>68</v>
      </c>
      <c r="Q953">
        <v>85.92</v>
      </c>
      <c r="R953" s="3" t="s">
        <v>29</v>
      </c>
      <c r="S953" s="7">
        <f>Ventas[[#This Row],[Costo Material (€)]]/Ventas[[#This Row],[Beneficio (€)]]</f>
        <v>5.1368715083798886</v>
      </c>
      <c r="T953" s="3" t="str">
        <f>IF(Ventas[[#This Row],[Margen (%)]]&gt;20%,"Beneficio","Perdidas")</f>
        <v>Beneficio</v>
      </c>
    </row>
    <row r="954" spans="1:20" x14ac:dyDescent="0.25">
      <c r="A954" s="12">
        <v>45050</v>
      </c>
      <c r="B954" s="1" t="s">
        <v>58</v>
      </c>
      <c r="C954" s="1" t="s">
        <v>59</v>
      </c>
      <c r="D954" s="1" t="s">
        <v>49</v>
      </c>
      <c r="E954" s="1" t="s">
        <v>50</v>
      </c>
      <c r="F954">
        <v>129</v>
      </c>
      <c r="G954">
        <v>3.08</v>
      </c>
      <c r="H954">
        <v>397.32</v>
      </c>
      <c r="I954" s="1" t="s">
        <v>54</v>
      </c>
      <c r="J954" s="1" t="s">
        <v>27</v>
      </c>
      <c r="K954" s="1" t="s">
        <v>28</v>
      </c>
      <c r="L954">
        <v>311.79000000000002</v>
      </c>
      <c r="M954">
        <v>21.5</v>
      </c>
      <c r="N954">
        <v>2023</v>
      </c>
      <c r="O954">
        <f t="shared" si="14"/>
        <v>2</v>
      </c>
      <c r="P954" s="13" t="s">
        <v>63</v>
      </c>
      <c r="Q954">
        <v>85.53</v>
      </c>
      <c r="R954" s="3" t="s">
        <v>29</v>
      </c>
      <c r="S954" s="7">
        <f>Ventas[[#This Row],[Costo Material (€)]]/Ventas[[#This Row],[Beneficio (€)]]</f>
        <v>3.6453875833041041</v>
      </c>
      <c r="T954" s="3" t="str">
        <f>IF(Ventas[[#This Row],[Margen (%)]]&gt;20%,"Beneficio","Perdidas")</f>
        <v>Beneficio</v>
      </c>
    </row>
    <row r="955" spans="1:20" x14ac:dyDescent="0.25">
      <c r="A955" s="12">
        <v>45015</v>
      </c>
      <c r="B955" s="1" t="s">
        <v>42</v>
      </c>
      <c r="C955" s="1" t="s">
        <v>43</v>
      </c>
      <c r="D955" s="1" t="s">
        <v>37</v>
      </c>
      <c r="E955" s="1" t="s">
        <v>38</v>
      </c>
      <c r="F955">
        <v>216</v>
      </c>
      <c r="G955">
        <v>2.4700000000000002</v>
      </c>
      <c r="H955">
        <v>533.52</v>
      </c>
      <c r="I955" s="1" t="s">
        <v>55</v>
      </c>
      <c r="J955" s="1" t="s">
        <v>27</v>
      </c>
      <c r="K955" s="1" t="s">
        <v>23</v>
      </c>
      <c r="L955">
        <v>448.85</v>
      </c>
      <c r="M955">
        <v>15.9</v>
      </c>
      <c r="N955">
        <v>2023</v>
      </c>
      <c r="O955">
        <f t="shared" si="14"/>
        <v>1</v>
      </c>
      <c r="P955" s="13" t="s">
        <v>61</v>
      </c>
      <c r="Q955">
        <v>84.67</v>
      </c>
      <c r="R955" s="3" t="s">
        <v>29</v>
      </c>
      <c r="S955" s="7">
        <f>Ventas[[#This Row],[Costo Material (€)]]/Ventas[[#This Row],[Beneficio (€)]]</f>
        <v>5.301169245305303</v>
      </c>
      <c r="T955" s="3" t="str">
        <f>IF(Ventas[[#This Row],[Margen (%)]]&gt;20%,"Beneficio","Perdidas")</f>
        <v>Beneficio</v>
      </c>
    </row>
    <row r="956" spans="1:20" x14ac:dyDescent="0.25">
      <c r="A956" s="12">
        <v>44954</v>
      </c>
      <c r="B956" s="1" t="s">
        <v>35</v>
      </c>
      <c r="C956" s="1" t="s">
        <v>36</v>
      </c>
      <c r="D956" s="1" t="s">
        <v>32</v>
      </c>
      <c r="E956" s="1" t="s">
        <v>20</v>
      </c>
      <c r="F956">
        <v>67</v>
      </c>
      <c r="G956">
        <v>7.68</v>
      </c>
      <c r="H956">
        <v>514.55999999999995</v>
      </c>
      <c r="I956" s="1" t="s">
        <v>39</v>
      </c>
      <c r="J956" s="1" t="s">
        <v>56</v>
      </c>
      <c r="K956" s="1" t="s">
        <v>23</v>
      </c>
      <c r="L956">
        <v>432.39</v>
      </c>
      <c r="M956">
        <v>16</v>
      </c>
      <c r="N956">
        <v>2023</v>
      </c>
      <c r="O956">
        <f t="shared" si="14"/>
        <v>1</v>
      </c>
      <c r="P956" s="13" t="s">
        <v>24</v>
      </c>
      <c r="Q956">
        <v>82.17</v>
      </c>
      <c r="R956" s="3" t="s">
        <v>29</v>
      </c>
      <c r="S956" s="7">
        <f>Ventas[[#This Row],[Costo Material (€)]]/Ventas[[#This Row],[Beneficio (€)]]</f>
        <v>5.262139466958744</v>
      </c>
      <c r="T956" s="3" t="str">
        <f>IF(Ventas[[#This Row],[Margen (%)]]&gt;20%,"Beneficio","Perdidas")</f>
        <v>Beneficio</v>
      </c>
    </row>
    <row r="957" spans="1:20" x14ac:dyDescent="0.25">
      <c r="A957" s="12">
        <v>45010</v>
      </c>
      <c r="B957" s="1" t="s">
        <v>51</v>
      </c>
      <c r="C957" s="1" t="s">
        <v>52</v>
      </c>
      <c r="D957" s="1" t="s">
        <v>32</v>
      </c>
      <c r="E957" s="1" t="s">
        <v>20</v>
      </c>
      <c r="F957">
        <v>112</v>
      </c>
      <c r="G957">
        <v>3.06</v>
      </c>
      <c r="H957">
        <v>342.72</v>
      </c>
      <c r="I957" s="1" t="s">
        <v>55</v>
      </c>
      <c r="J957" s="1" t="s">
        <v>27</v>
      </c>
      <c r="K957" s="1" t="s">
        <v>41</v>
      </c>
      <c r="L957">
        <v>260.56</v>
      </c>
      <c r="M957">
        <v>24</v>
      </c>
      <c r="N957">
        <v>2023</v>
      </c>
      <c r="O957">
        <f t="shared" si="14"/>
        <v>1</v>
      </c>
      <c r="P957" s="13" t="s">
        <v>61</v>
      </c>
      <c r="Q957">
        <v>82.16</v>
      </c>
      <c r="R957" s="3" t="s">
        <v>29</v>
      </c>
      <c r="S957" s="7">
        <f>Ventas[[#This Row],[Costo Material (€)]]/Ventas[[#This Row],[Beneficio (€)]]</f>
        <v>3.1713729308666019</v>
      </c>
      <c r="T957" s="3" t="str">
        <f>IF(Ventas[[#This Row],[Margen (%)]]&gt;20%,"Beneficio","Perdidas")</f>
        <v>Beneficio</v>
      </c>
    </row>
    <row r="958" spans="1:20" x14ac:dyDescent="0.25">
      <c r="A958" s="12">
        <v>45601</v>
      </c>
      <c r="B958" s="1" t="s">
        <v>30</v>
      </c>
      <c r="C958" s="1" t="s">
        <v>31</v>
      </c>
      <c r="D958" s="1" t="s">
        <v>44</v>
      </c>
      <c r="E958" s="1" t="s">
        <v>38</v>
      </c>
      <c r="F958">
        <v>91</v>
      </c>
      <c r="G958">
        <v>2.25</v>
      </c>
      <c r="H958">
        <v>204.75</v>
      </c>
      <c r="I958" s="1" t="s">
        <v>33</v>
      </c>
      <c r="J958" s="1" t="s">
        <v>40</v>
      </c>
      <c r="K958" s="1" t="s">
        <v>28</v>
      </c>
      <c r="L958">
        <v>124.5</v>
      </c>
      <c r="M958">
        <v>39.200000000000003</v>
      </c>
      <c r="N958">
        <v>2024</v>
      </c>
      <c r="O958">
        <f t="shared" si="14"/>
        <v>4</v>
      </c>
      <c r="P958" s="13" t="s">
        <v>69</v>
      </c>
      <c r="Q958">
        <v>80.25</v>
      </c>
      <c r="R958" s="3" t="s">
        <v>25</v>
      </c>
      <c r="S958" s="7">
        <f>Ventas[[#This Row],[Costo Material (€)]]/Ventas[[#This Row],[Beneficio (€)]]</f>
        <v>1.5514018691588785</v>
      </c>
      <c r="T958" s="3" t="str">
        <f>IF(Ventas[[#This Row],[Margen (%)]]&gt;20%,"Beneficio","Perdidas")</f>
        <v>Beneficio</v>
      </c>
    </row>
    <row r="959" spans="1:20" x14ac:dyDescent="0.25">
      <c r="A959" s="12">
        <v>45283</v>
      </c>
      <c r="B959" s="1" t="s">
        <v>30</v>
      </c>
      <c r="C959" s="1" t="s">
        <v>31</v>
      </c>
      <c r="D959" s="1" t="s">
        <v>48</v>
      </c>
      <c r="E959" s="1" t="s">
        <v>38</v>
      </c>
      <c r="F959">
        <v>153</v>
      </c>
      <c r="G959">
        <v>4.8499999999999996</v>
      </c>
      <c r="H959">
        <v>742.05</v>
      </c>
      <c r="I959" s="1" t="s">
        <v>55</v>
      </c>
      <c r="J959" s="1" t="s">
        <v>56</v>
      </c>
      <c r="K959" s="1" t="s">
        <v>28</v>
      </c>
      <c r="L959">
        <v>663.85</v>
      </c>
      <c r="M959">
        <v>10.5</v>
      </c>
      <c r="N959">
        <v>2023</v>
      </c>
      <c r="O959">
        <f t="shared" si="14"/>
        <v>4</v>
      </c>
      <c r="P959" s="13" t="s">
        <v>70</v>
      </c>
      <c r="Q959">
        <v>78.2</v>
      </c>
      <c r="R959" s="3" t="s">
        <v>29</v>
      </c>
      <c r="S959" s="7">
        <f>Ventas[[#This Row],[Costo Material (€)]]/Ventas[[#This Row],[Beneficio (€)]]</f>
        <v>8.4891304347826093</v>
      </c>
      <c r="T959" s="3" t="str">
        <f>IF(Ventas[[#This Row],[Margen (%)]]&gt;20%,"Beneficio","Perdidas")</f>
        <v>Beneficio</v>
      </c>
    </row>
    <row r="960" spans="1:20" x14ac:dyDescent="0.25">
      <c r="A960" s="12">
        <v>44938</v>
      </c>
      <c r="B960" s="1" t="s">
        <v>30</v>
      </c>
      <c r="C960" s="1" t="s">
        <v>31</v>
      </c>
      <c r="D960" s="1" t="s">
        <v>45</v>
      </c>
      <c r="E960" s="1" t="s">
        <v>20</v>
      </c>
      <c r="F960">
        <v>61</v>
      </c>
      <c r="G960">
        <v>5.92</v>
      </c>
      <c r="H960">
        <v>361.12</v>
      </c>
      <c r="I960" s="1" t="s">
        <v>55</v>
      </c>
      <c r="J960" s="1" t="s">
        <v>47</v>
      </c>
      <c r="K960" s="1" t="s">
        <v>23</v>
      </c>
      <c r="L960">
        <v>283.35000000000002</v>
      </c>
      <c r="M960">
        <v>21.5</v>
      </c>
      <c r="N960">
        <v>2023</v>
      </c>
      <c r="O960">
        <f t="shared" si="14"/>
        <v>1</v>
      </c>
      <c r="P960" s="13" t="s">
        <v>24</v>
      </c>
      <c r="Q960">
        <v>77.77</v>
      </c>
      <c r="R960" s="3" t="s">
        <v>29</v>
      </c>
      <c r="S960" s="7">
        <f>Ventas[[#This Row],[Costo Material (€)]]/Ventas[[#This Row],[Beneficio (€)]]</f>
        <v>3.6434357721486439</v>
      </c>
      <c r="T960" s="3" t="str">
        <f>IF(Ventas[[#This Row],[Margen (%)]]&gt;20%,"Beneficio","Perdidas")</f>
        <v>Beneficio</v>
      </c>
    </row>
    <row r="961" spans="1:20" x14ac:dyDescent="0.25">
      <c r="A961" s="12">
        <v>45225</v>
      </c>
      <c r="B961" s="1" t="s">
        <v>30</v>
      </c>
      <c r="C961" s="1" t="s">
        <v>31</v>
      </c>
      <c r="D961" s="1" t="s">
        <v>37</v>
      </c>
      <c r="E961" s="1" t="s">
        <v>38</v>
      </c>
      <c r="F961">
        <v>58</v>
      </c>
      <c r="G961">
        <v>7.4</v>
      </c>
      <c r="H961">
        <v>429.2</v>
      </c>
      <c r="I961" s="1" t="s">
        <v>39</v>
      </c>
      <c r="J961" s="1" t="s">
        <v>56</v>
      </c>
      <c r="K961" s="1" t="s">
        <v>28</v>
      </c>
      <c r="L961">
        <v>352.99</v>
      </c>
      <c r="M961">
        <v>17.8</v>
      </c>
      <c r="N961">
        <v>2023</v>
      </c>
      <c r="O961">
        <f t="shared" si="14"/>
        <v>4</v>
      </c>
      <c r="P961" s="13" t="s">
        <v>68</v>
      </c>
      <c r="Q961">
        <v>76.209999999999994</v>
      </c>
      <c r="R961" s="3" t="s">
        <v>29</v>
      </c>
      <c r="S961" s="7">
        <f>Ventas[[#This Row],[Costo Material (€)]]/Ventas[[#This Row],[Beneficio (€)]]</f>
        <v>4.6318068494948177</v>
      </c>
      <c r="T961" s="3" t="str">
        <f>IF(Ventas[[#This Row],[Margen (%)]]&gt;20%,"Beneficio","Perdidas")</f>
        <v>Beneficio</v>
      </c>
    </row>
    <row r="962" spans="1:20" x14ac:dyDescent="0.25">
      <c r="A962" s="12">
        <v>45034</v>
      </c>
      <c r="B962" s="1" t="s">
        <v>51</v>
      </c>
      <c r="C962" s="1" t="s">
        <v>52</v>
      </c>
      <c r="D962" s="1" t="s">
        <v>45</v>
      </c>
      <c r="E962" s="1" t="s">
        <v>20</v>
      </c>
      <c r="F962">
        <v>194</v>
      </c>
      <c r="G962">
        <v>3.49</v>
      </c>
      <c r="H962">
        <v>677.06</v>
      </c>
      <c r="I962" s="1" t="s">
        <v>46</v>
      </c>
      <c r="J962" s="1" t="s">
        <v>40</v>
      </c>
      <c r="K962" s="1" t="s">
        <v>41</v>
      </c>
      <c r="L962">
        <v>601.16</v>
      </c>
      <c r="M962">
        <v>11.2</v>
      </c>
      <c r="N962">
        <v>2023</v>
      </c>
      <c r="O962">
        <f t="shared" ref="O962:O994" si="15">ROUNDUP(MONTH(A962)/3,0)</f>
        <v>2</v>
      </c>
      <c r="P962" s="13" t="s">
        <v>62</v>
      </c>
      <c r="Q962">
        <v>75.900000000000006</v>
      </c>
      <c r="R962" s="3" t="s">
        <v>29</v>
      </c>
      <c r="S962" s="7">
        <f>Ventas[[#This Row],[Costo Material (€)]]/Ventas[[#This Row],[Beneficio (€)]]</f>
        <v>7.9204216073781284</v>
      </c>
      <c r="T962" s="3" t="str">
        <f>IF(Ventas[[#This Row],[Margen (%)]]&gt;20%,"Beneficio","Perdidas")</f>
        <v>Beneficio</v>
      </c>
    </row>
    <row r="963" spans="1:20" x14ac:dyDescent="0.25">
      <c r="A963" s="12">
        <v>45143</v>
      </c>
      <c r="B963" s="1" t="s">
        <v>42</v>
      </c>
      <c r="C963" s="1" t="s">
        <v>43</v>
      </c>
      <c r="D963" s="1" t="s">
        <v>44</v>
      </c>
      <c r="E963" s="1" t="s">
        <v>38</v>
      </c>
      <c r="F963">
        <v>95</v>
      </c>
      <c r="G963">
        <v>3.24</v>
      </c>
      <c r="H963">
        <v>307.8</v>
      </c>
      <c r="I963" s="1" t="s">
        <v>33</v>
      </c>
      <c r="J963" s="1" t="s">
        <v>22</v>
      </c>
      <c r="K963" s="1" t="s">
        <v>41</v>
      </c>
      <c r="L963">
        <v>234.19</v>
      </c>
      <c r="M963">
        <v>23.9</v>
      </c>
      <c r="N963">
        <v>2023</v>
      </c>
      <c r="O963">
        <f t="shared" si="15"/>
        <v>3</v>
      </c>
      <c r="P963" s="13" t="s">
        <v>66</v>
      </c>
      <c r="Q963">
        <v>73.61</v>
      </c>
      <c r="R963" s="3" t="s">
        <v>29</v>
      </c>
      <c r="S963" s="7">
        <f>Ventas[[#This Row],[Costo Material (€)]]/Ventas[[#This Row],[Beneficio (€)]]</f>
        <v>3.1814970792011956</v>
      </c>
      <c r="T963" s="3" t="str">
        <f>IF(Ventas[[#This Row],[Margen (%)]]&gt;20%,"Beneficio","Perdidas")</f>
        <v>Beneficio</v>
      </c>
    </row>
    <row r="964" spans="1:20" x14ac:dyDescent="0.25">
      <c r="A964" s="12">
        <v>44970</v>
      </c>
      <c r="B964" s="1" t="s">
        <v>30</v>
      </c>
      <c r="C964" s="1" t="s">
        <v>31</v>
      </c>
      <c r="D964" s="1" t="s">
        <v>49</v>
      </c>
      <c r="E964" s="1" t="s">
        <v>50</v>
      </c>
      <c r="F964">
        <v>359</v>
      </c>
      <c r="G964">
        <v>2.02</v>
      </c>
      <c r="H964">
        <v>725.18</v>
      </c>
      <c r="I964" s="1" t="s">
        <v>21</v>
      </c>
      <c r="J964" s="1" t="s">
        <v>22</v>
      </c>
      <c r="K964" s="1" t="s">
        <v>41</v>
      </c>
      <c r="L964">
        <v>652.4</v>
      </c>
      <c r="M964">
        <v>10</v>
      </c>
      <c r="N964">
        <v>2023</v>
      </c>
      <c r="O964">
        <f t="shared" si="15"/>
        <v>1</v>
      </c>
      <c r="P964" s="13" t="s">
        <v>60</v>
      </c>
      <c r="Q964">
        <v>72.78</v>
      </c>
      <c r="R964" s="3" t="s">
        <v>29</v>
      </c>
      <c r="S964" s="7">
        <f>Ventas[[#This Row],[Costo Material (€)]]/Ventas[[#This Row],[Beneficio (€)]]</f>
        <v>8.9640010992030774</v>
      </c>
      <c r="T964" s="3" t="str">
        <f>IF(Ventas[[#This Row],[Margen (%)]]&gt;20%,"Beneficio","Perdidas")</f>
        <v>Beneficio</v>
      </c>
    </row>
    <row r="965" spans="1:20" x14ac:dyDescent="0.25">
      <c r="A965" s="12">
        <v>45077</v>
      </c>
      <c r="B965" s="1" t="s">
        <v>58</v>
      </c>
      <c r="C965" s="1" t="s">
        <v>59</v>
      </c>
      <c r="D965" s="1" t="s">
        <v>32</v>
      </c>
      <c r="E965" s="1" t="s">
        <v>20</v>
      </c>
      <c r="F965">
        <v>131</v>
      </c>
      <c r="G965">
        <v>3.34</v>
      </c>
      <c r="H965">
        <v>437.54</v>
      </c>
      <c r="I965" s="1" t="s">
        <v>21</v>
      </c>
      <c r="J965" s="1" t="s">
        <v>47</v>
      </c>
      <c r="K965" s="1" t="s">
        <v>28</v>
      </c>
      <c r="L965">
        <v>364.85</v>
      </c>
      <c r="M965">
        <v>16.600000000000001</v>
      </c>
      <c r="N965">
        <v>2023</v>
      </c>
      <c r="O965">
        <f t="shared" si="15"/>
        <v>2</v>
      </c>
      <c r="P965" s="13" t="s">
        <v>63</v>
      </c>
      <c r="Q965">
        <v>72.69</v>
      </c>
      <c r="R965" s="3" t="s">
        <v>29</v>
      </c>
      <c r="S965" s="7">
        <f>Ventas[[#This Row],[Costo Material (€)]]/Ventas[[#This Row],[Beneficio (€)]]</f>
        <v>5.0192598706837259</v>
      </c>
      <c r="T965" s="3" t="str">
        <f>IF(Ventas[[#This Row],[Margen (%)]]&gt;20%,"Beneficio","Perdidas")</f>
        <v>Beneficio</v>
      </c>
    </row>
    <row r="966" spans="1:20" x14ac:dyDescent="0.25">
      <c r="A966" s="12">
        <v>44973</v>
      </c>
      <c r="B966" s="1" t="s">
        <v>30</v>
      </c>
      <c r="C966" s="1" t="s">
        <v>31</v>
      </c>
      <c r="D966" s="1" t="s">
        <v>49</v>
      </c>
      <c r="E966" s="1" t="s">
        <v>50</v>
      </c>
      <c r="F966">
        <v>54</v>
      </c>
      <c r="G966">
        <v>4.6100000000000003</v>
      </c>
      <c r="H966">
        <v>248.94</v>
      </c>
      <c r="I966" s="1" t="s">
        <v>39</v>
      </c>
      <c r="J966" s="1" t="s">
        <v>34</v>
      </c>
      <c r="K966" s="1" t="s">
        <v>23</v>
      </c>
      <c r="L966">
        <v>178.14</v>
      </c>
      <c r="M966">
        <v>28.4</v>
      </c>
      <c r="N966">
        <v>2023</v>
      </c>
      <c r="O966">
        <f t="shared" si="15"/>
        <v>1</v>
      </c>
      <c r="P966" s="13" t="s">
        <v>60</v>
      </c>
      <c r="Q966">
        <v>70.8</v>
      </c>
      <c r="R966" s="3" t="s">
        <v>25</v>
      </c>
      <c r="S966" s="7">
        <f>Ventas[[#This Row],[Costo Material (€)]]/Ventas[[#This Row],[Beneficio (€)]]</f>
        <v>2.5161016949152541</v>
      </c>
      <c r="T966" s="3" t="str">
        <f>IF(Ventas[[#This Row],[Margen (%)]]&gt;20%,"Beneficio","Perdidas")</f>
        <v>Beneficio</v>
      </c>
    </row>
    <row r="967" spans="1:20" x14ac:dyDescent="0.25">
      <c r="A967" s="12">
        <v>44933</v>
      </c>
      <c r="B967" s="1" t="s">
        <v>30</v>
      </c>
      <c r="C967" s="1" t="s">
        <v>31</v>
      </c>
      <c r="D967" s="1" t="s">
        <v>53</v>
      </c>
      <c r="E967" s="1" t="s">
        <v>50</v>
      </c>
      <c r="F967">
        <v>63</v>
      </c>
      <c r="G967">
        <v>3.41</v>
      </c>
      <c r="H967">
        <v>214.83</v>
      </c>
      <c r="I967" s="1" t="s">
        <v>21</v>
      </c>
      <c r="J967" s="1" t="s">
        <v>22</v>
      </c>
      <c r="K967" s="1" t="s">
        <v>23</v>
      </c>
      <c r="L967">
        <v>144.49</v>
      </c>
      <c r="M967">
        <v>32.700000000000003</v>
      </c>
      <c r="N967">
        <v>2023</v>
      </c>
      <c r="O967">
        <f t="shared" si="15"/>
        <v>1</v>
      </c>
      <c r="P967" s="13" t="s">
        <v>24</v>
      </c>
      <c r="Q967">
        <v>70.34</v>
      </c>
      <c r="R967" s="3" t="s">
        <v>25</v>
      </c>
      <c r="S967" s="7">
        <f>Ventas[[#This Row],[Costo Material (€)]]/Ventas[[#This Row],[Beneficio (€)]]</f>
        <v>2.0541654819448394</v>
      </c>
      <c r="T967" s="3" t="str">
        <f>IF(Ventas[[#This Row],[Margen (%)]]&gt;20%,"Beneficio","Perdidas")</f>
        <v>Beneficio</v>
      </c>
    </row>
    <row r="968" spans="1:20" x14ac:dyDescent="0.25">
      <c r="A968" s="12">
        <v>45200</v>
      </c>
      <c r="B968" s="1" t="s">
        <v>30</v>
      </c>
      <c r="C968" s="1" t="s">
        <v>31</v>
      </c>
      <c r="D968" s="1" t="s">
        <v>19</v>
      </c>
      <c r="E968" s="1" t="s">
        <v>20</v>
      </c>
      <c r="F968">
        <v>51</v>
      </c>
      <c r="G968">
        <v>11.14</v>
      </c>
      <c r="H968">
        <v>568.14</v>
      </c>
      <c r="I968" s="1" t="s">
        <v>26</v>
      </c>
      <c r="J968" s="1" t="s">
        <v>27</v>
      </c>
      <c r="K968" s="1" t="s">
        <v>28</v>
      </c>
      <c r="L968">
        <v>498.07</v>
      </c>
      <c r="M968">
        <v>12.3</v>
      </c>
      <c r="N968">
        <v>2023</v>
      </c>
      <c r="O968">
        <f t="shared" si="15"/>
        <v>4</v>
      </c>
      <c r="P968" s="13" t="s">
        <v>68</v>
      </c>
      <c r="Q968">
        <v>70.069999999999993</v>
      </c>
      <c r="R968" s="3" t="s">
        <v>29</v>
      </c>
      <c r="S968" s="7">
        <f>Ventas[[#This Row],[Costo Material (€)]]/Ventas[[#This Row],[Beneficio (€)]]</f>
        <v>7.1081775367489657</v>
      </c>
      <c r="T968" s="3" t="str">
        <f>IF(Ventas[[#This Row],[Margen (%)]]&gt;20%,"Beneficio","Perdidas")</f>
        <v>Beneficio</v>
      </c>
    </row>
    <row r="969" spans="1:20" x14ac:dyDescent="0.25">
      <c r="A969" s="12">
        <v>45013</v>
      </c>
      <c r="B969" s="1" t="s">
        <v>51</v>
      </c>
      <c r="C969" s="1" t="s">
        <v>52</v>
      </c>
      <c r="D969" s="1" t="s">
        <v>44</v>
      </c>
      <c r="E969" s="1" t="s">
        <v>38</v>
      </c>
      <c r="F969">
        <v>77</v>
      </c>
      <c r="G969">
        <v>7.32</v>
      </c>
      <c r="H969">
        <v>563.64</v>
      </c>
      <c r="I969" s="1" t="s">
        <v>21</v>
      </c>
      <c r="J969" s="1" t="s">
        <v>40</v>
      </c>
      <c r="K969" s="1" t="s">
        <v>41</v>
      </c>
      <c r="L969">
        <v>494.28</v>
      </c>
      <c r="M969">
        <v>12.3</v>
      </c>
      <c r="N969">
        <v>2023</v>
      </c>
      <c r="O969">
        <f t="shared" si="15"/>
        <v>1</v>
      </c>
      <c r="P969" s="13" t="s">
        <v>61</v>
      </c>
      <c r="Q969">
        <v>69.36</v>
      </c>
      <c r="R969" s="3" t="s">
        <v>29</v>
      </c>
      <c r="S969" s="7">
        <f>Ventas[[#This Row],[Costo Material (€)]]/Ventas[[#This Row],[Beneficio (€)]]</f>
        <v>7.1262975778546709</v>
      </c>
      <c r="T969" s="3" t="str">
        <f>IF(Ventas[[#This Row],[Margen (%)]]&gt;20%,"Beneficio","Perdidas")</f>
        <v>Beneficio</v>
      </c>
    </row>
    <row r="970" spans="1:20" x14ac:dyDescent="0.25">
      <c r="A970" s="12">
        <v>45247</v>
      </c>
      <c r="B970" s="1" t="s">
        <v>35</v>
      </c>
      <c r="C970" s="1" t="s">
        <v>36</v>
      </c>
      <c r="D970" s="1" t="s">
        <v>48</v>
      </c>
      <c r="E970" s="1" t="s">
        <v>38</v>
      </c>
      <c r="F970">
        <v>96</v>
      </c>
      <c r="G970">
        <v>7.01</v>
      </c>
      <c r="H970">
        <v>672.96</v>
      </c>
      <c r="I970" s="1" t="s">
        <v>57</v>
      </c>
      <c r="J970" s="1" t="s">
        <v>22</v>
      </c>
      <c r="K970" s="1" t="s">
        <v>28</v>
      </c>
      <c r="L970">
        <v>604.1</v>
      </c>
      <c r="M970">
        <v>10.199999999999999</v>
      </c>
      <c r="N970">
        <v>2023</v>
      </c>
      <c r="O970">
        <f t="shared" si="15"/>
        <v>4</v>
      </c>
      <c r="P970" s="13" t="s">
        <v>69</v>
      </c>
      <c r="Q970">
        <v>68.86</v>
      </c>
      <c r="R970" s="3" t="s">
        <v>29</v>
      </c>
      <c r="S970" s="7">
        <f>Ventas[[#This Row],[Costo Material (€)]]/Ventas[[#This Row],[Beneficio (€)]]</f>
        <v>8.7728724949172232</v>
      </c>
      <c r="T970" s="3" t="str">
        <f>IF(Ventas[[#This Row],[Margen (%)]]&gt;20%,"Beneficio","Perdidas")</f>
        <v>Beneficio</v>
      </c>
    </row>
    <row r="971" spans="1:20" x14ac:dyDescent="0.25">
      <c r="A971" s="12">
        <v>44957</v>
      </c>
      <c r="B971" s="1" t="s">
        <v>58</v>
      </c>
      <c r="C971" s="1" t="s">
        <v>59</v>
      </c>
      <c r="D971" s="1" t="s">
        <v>45</v>
      </c>
      <c r="E971" s="1" t="s">
        <v>20</v>
      </c>
      <c r="F971">
        <v>74</v>
      </c>
      <c r="G971">
        <v>6.21</v>
      </c>
      <c r="H971">
        <v>459.54</v>
      </c>
      <c r="I971" s="1" t="s">
        <v>55</v>
      </c>
      <c r="J971" s="1" t="s">
        <v>47</v>
      </c>
      <c r="K971" s="1" t="s">
        <v>28</v>
      </c>
      <c r="L971">
        <v>392.54</v>
      </c>
      <c r="M971">
        <v>14.6</v>
      </c>
      <c r="N971">
        <v>2023</v>
      </c>
      <c r="O971">
        <f t="shared" si="15"/>
        <v>1</v>
      </c>
      <c r="P971" s="13" t="s">
        <v>24</v>
      </c>
      <c r="Q971">
        <v>67</v>
      </c>
      <c r="R971" s="3" t="s">
        <v>29</v>
      </c>
      <c r="S971" s="7">
        <f>Ventas[[#This Row],[Costo Material (€)]]/Ventas[[#This Row],[Beneficio (€)]]</f>
        <v>5.8588059701492536</v>
      </c>
      <c r="T971" s="3" t="str">
        <f>IF(Ventas[[#This Row],[Margen (%)]]&gt;20%,"Beneficio","Perdidas")</f>
        <v>Beneficio</v>
      </c>
    </row>
    <row r="972" spans="1:20" x14ac:dyDescent="0.25">
      <c r="A972" s="12">
        <v>45300</v>
      </c>
      <c r="B972" s="1" t="s">
        <v>51</v>
      </c>
      <c r="C972" s="1" t="s">
        <v>52</v>
      </c>
      <c r="D972" s="1" t="s">
        <v>37</v>
      </c>
      <c r="E972" s="1" t="s">
        <v>38</v>
      </c>
      <c r="F972">
        <v>113</v>
      </c>
      <c r="G972">
        <v>4.38</v>
      </c>
      <c r="H972">
        <v>494.94</v>
      </c>
      <c r="I972" s="1" t="s">
        <v>55</v>
      </c>
      <c r="J972" s="1" t="s">
        <v>56</v>
      </c>
      <c r="K972" s="1" t="s">
        <v>28</v>
      </c>
      <c r="L972">
        <v>429.29</v>
      </c>
      <c r="M972">
        <v>13.3</v>
      </c>
      <c r="N972">
        <v>2024</v>
      </c>
      <c r="O972">
        <f t="shared" si="15"/>
        <v>1</v>
      </c>
      <c r="P972" s="13" t="s">
        <v>24</v>
      </c>
      <c r="Q972">
        <v>65.650000000000006</v>
      </c>
      <c r="R972" s="3" t="s">
        <v>29</v>
      </c>
      <c r="S972" s="7">
        <f>Ventas[[#This Row],[Costo Material (€)]]/Ventas[[#This Row],[Beneficio (€)]]</f>
        <v>6.5390708301599387</v>
      </c>
      <c r="T972" s="3" t="str">
        <f>IF(Ventas[[#This Row],[Margen (%)]]&gt;20%,"Beneficio","Perdidas")</f>
        <v>Beneficio</v>
      </c>
    </row>
    <row r="973" spans="1:20" x14ac:dyDescent="0.25">
      <c r="A973" s="12">
        <v>45053</v>
      </c>
      <c r="B973" s="1" t="s">
        <v>17</v>
      </c>
      <c r="C973" s="1" t="s">
        <v>18</v>
      </c>
      <c r="D973" s="1" t="s">
        <v>44</v>
      </c>
      <c r="E973" s="1" t="s">
        <v>38</v>
      </c>
      <c r="F973">
        <v>68</v>
      </c>
      <c r="G973">
        <v>2.75</v>
      </c>
      <c r="H973">
        <v>187</v>
      </c>
      <c r="I973" s="1" t="s">
        <v>39</v>
      </c>
      <c r="J973" s="1" t="s">
        <v>40</v>
      </c>
      <c r="K973" s="1" t="s">
        <v>28</v>
      </c>
      <c r="L973">
        <v>122.31</v>
      </c>
      <c r="M973">
        <v>34.6</v>
      </c>
      <c r="N973">
        <v>2023</v>
      </c>
      <c r="O973">
        <f t="shared" si="15"/>
        <v>2</v>
      </c>
      <c r="P973" s="13" t="s">
        <v>63</v>
      </c>
      <c r="Q973">
        <v>64.69</v>
      </c>
      <c r="R973" s="3" t="s">
        <v>25</v>
      </c>
      <c r="S973" s="7">
        <f>Ventas[[#This Row],[Costo Material (€)]]/Ventas[[#This Row],[Beneficio (€)]]</f>
        <v>1.8907095377956409</v>
      </c>
      <c r="T973" s="3" t="str">
        <f>IF(Ventas[[#This Row],[Margen (%)]]&gt;20%,"Beneficio","Perdidas")</f>
        <v>Beneficio</v>
      </c>
    </row>
    <row r="974" spans="1:20" x14ac:dyDescent="0.25">
      <c r="A974" s="12">
        <v>45002</v>
      </c>
      <c r="B974" s="1" t="s">
        <v>17</v>
      </c>
      <c r="C974" s="1" t="s">
        <v>18</v>
      </c>
      <c r="D974" s="1" t="s">
        <v>32</v>
      </c>
      <c r="E974" s="1" t="s">
        <v>20</v>
      </c>
      <c r="F974">
        <v>150</v>
      </c>
      <c r="G974">
        <v>3.27</v>
      </c>
      <c r="H974">
        <v>490.5</v>
      </c>
      <c r="I974" s="1" t="s">
        <v>57</v>
      </c>
      <c r="J974" s="1" t="s">
        <v>47</v>
      </c>
      <c r="K974" s="1" t="s">
        <v>41</v>
      </c>
      <c r="L974">
        <v>426.44</v>
      </c>
      <c r="M974">
        <v>13.1</v>
      </c>
      <c r="N974">
        <v>2023</v>
      </c>
      <c r="O974">
        <f t="shared" si="15"/>
        <v>1</v>
      </c>
      <c r="P974" s="13" t="s">
        <v>61</v>
      </c>
      <c r="Q974">
        <v>64.06</v>
      </c>
      <c r="R974" s="3" t="s">
        <v>29</v>
      </c>
      <c r="S974" s="7">
        <f>Ventas[[#This Row],[Costo Material (€)]]/Ventas[[#This Row],[Beneficio (€)]]</f>
        <v>6.6568841710896036</v>
      </c>
      <c r="T974" s="3" t="str">
        <f>IF(Ventas[[#This Row],[Margen (%)]]&gt;20%,"Beneficio","Perdidas")</f>
        <v>Beneficio</v>
      </c>
    </row>
    <row r="975" spans="1:20" x14ac:dyDescent="0.25">
      <c r="A975" s="12">
        <v>45324</v>
      </c>
      <c r="B975" s="1" t="s">
        <v>35</v>
      </c>
      <c r="C975" s="1" t="s">
        <v>36</v>
      </c>
      <c r="D975" s="1" t="s">
        <v>37</v>
      </c>
      <c r="E975" s="1" t="s">
        <v>38</v>
      </c>
      <c r="F975">
        <v>210</v>
      </c>
      <c r="G975">
        <v>2.5099999999999998</v>
      </c>
      <c r="H975">
        <v>527.1</v>
      </c>
      <c r="I975" s="1" t="s">
        <v>26</v>
      </c>
      <c r="J975" s="1" t="s">
        <v>27</v>
      </c>
      <c r="K975" s="1" t="s">
        <v>23</v>
      </c>
      <c r="L975">
        <v>464.62</v>
      </c>
      <c r="M975">
        <v>11.9</v>
      </c>
      <c r="N975">
        <v>2024</v>
      </c>
      <c r="O975">
        <f t="shared" si="15"/>
        <v>1</v>
      </c>
      <c r="P975" s="13" t="s">
        <v>60</v>
      </c>
      <c r="Q975">
        <v>62.48</v>
      </c>
      <c r="R975" s="3" t="s">
        <v>29</v>
      </c>
      <c r="S975" s="7">
        <f>Ventas[[#This Row],[Costo Material (€)]]/Ventas[[#This Row],[Beneficio (€)]]</f>
        <v>7.4362996158770809</v>
      </c>
      <c r="T975" s="3" t="str">
        <f>IF(Ventas[[#This Row],[Margen (%)]]&gt;20%,"Beneficio","Perdidas")</f>
        <v>Beneficio</v>
      </c>
    </row>
    <row r="976" spans="1:20" x14ac:dyDescent="0.25">
      <c r="A976" s="12">
        <v>45439</v>
      </c>
      <c r="B976" s="1" t="s">
        <v>58</v>
      </c>
      <c r="C976" s="1" t="s">
        <v>59</v>
      </c>
      <c r="D976" s="1" t="s">
        <v>53</v>
      </c>
      <c r="E976" s="1" t="s">
        <v>50</v>
      </c>
      <c r="F976">
        <v>58</v>
      </c>
      <c r="G976">
        <v>2.73</v>
      </c>
      <c r="H976">
        <v>158.34</v>
      </c>
      <c r="I976" s="1" t="s">
        <v>33</v>
      </c>
      <c r="J976" s="1" t="s">
        <v>34</v>
      </c>
      <c r="K976" s="1" t="s">
        <v>23</v>
      </c>
      <c r="L976">
        <v>99.51</v>
      </c>
      <c r="M976">
        <v>37.200000000000003</v>
      </c>
      <c r="N976">
        <v>2024</v>
      </c>
      <c r="O976">
        <f t="shared" si="15"/>
        <v>2</v>
      </c>
      <c r="P976" s="13" t="s">
        <v>63</v>
      </c>
      <c r="Q976">
        <v>58.83</v>
      </c>
      <c r="R976" s="3" t="s">
        <v>25</v>
      </c>
      <c r="S976" s="7">
        <f>Ventas[[#This Row],[Costo Material (€)]]/Ventas[[#This Row],[Beneficio (€)]]</f>
        <v>1.6914839367669559</v>
      </c>
      <c r="T976" s="3" t="str">
        <f>IF(Ventas[[#This Row],[Margen (%)]]&gt;20%,"Beneficio","Perdidas")</f>
        <v>Beneficio</v>
      </c>
    </row>
    <row r="977" spans="1:20" x14ac:dyDescent="0.25">
      <c r="A977" s="12">
        <v>45086</v>
      </c>
      <c r="B977" s="1" t="s">
        <v>42</v>
      </c>
      <c r="C977" s="1" t="s">
        <v>43</v>
      </c>
      <c r="D977" s="1" t="s">
        <v>49</v>
      </c>
      <c r="E977" s="1" t="s">
        <v>50</v>
      </c>
      <c r="F977">
        <v>50</v>
      </c>
      <c r="G977">
        <v>11.62</v>
      </c>
      <c r="H977">
        <v>581</v>
      </c>
      <c r="I977" s="1" t="s">
        <v>26</v>
      </c>
      <c r="J977" s="1" t="s">
        <v>56</v>
      </c>
      <c r="K977" s="1" t="s">
        <v>41</v>
      </c>
      <c r="L977">
        <v>522.27</v>
      </c>
      <c r="M977">
        <v>10.1</v>
      </c>
      <c r="N977">
        <v>2023</v>
      </c>
      <c r="O977">
        <f t="shared" si="15"/>
        <v>2</v>
      </c>
      <c r="P977" s="13" t="s">
        <v>64</v>
      </c>
      <c r="Q977">
        <v>58.73</v>
      </c>
      <c r="R977" s="3" t="s">
        <v>29</v>
      </c>
      <c r="S977" s="7">
        <f>Ventas[[#This Row],[Costo Material (€)]]/Ventas[[#This Row],[Beneficio (€)]]</f>
        <v>8.8927294398092975</v>
      </c>
      <c r="T977" s="3" t="str">
        <f>IF(Ventas[[#This Row],[Margen (%)]]&gt;20%,"Beneficio","Perdidas")</f>
        <v>Beneficio</v>
      </c>
    </row>
    <row r="978" spans="1:20" x14ac:dyDescent="0.25">
      <c r="A978" s="12">
        <v>45664</v>
      </c>
      <c r="B978" s="1" t="s">
        <v>58</v>
      </c>
      <c r="C978" s="1" t="s">
        <v>59</v>
      </c>
      <c r="D978" s="1" t="s">
        <v>45</v>
      </c>
      <c r="E978" s="1" t="s">
        <v>20</v>
      </c>
      <c r="F978">
        <v>52</v>
      </c>
      <c r="G978">
        <v>9.65</v>
      </c>
      <c r="H978">
        <v>501.8</v>
      </c>
      <c r="I978" s="1" t="s">
        <v>39</v>
      </c>
      <c r="J978" s="1" t="s">
        <v>22</v>
      </c>
      <c r="K978" s="1" t="s">
        <v>28</v>
      </c>
      <c r="L978">
        <v>445.51</v>
      </c>
      <c r="M978">
        <v>11.2</v>
      </c>
      <c r="N978">
        <v>2025</v>
      </c>
      <c r="O978">
        <f t="shared" si="15"/>
        <v>1</v>
      </c>
      <c r="P978" s="13" t="s">
        <v>24</v>
      </c>
      <c r="Q978">
        <v>56.29</v>
      </c>
      <c r="R978" s="3" t="s">
        <v>29</v>
      </c>
      <c r="S978" s="7">
        <f>Ventas[[#This Row],[Costo Material (€)]]/Ventas[[#This Row],[Beneficio (€)]]</f>
        <v>7.9145496535796767</v>
      </c>
      <c r="T978" s="3" t="str">
        <f>IF(Ventas[[#This Row],[Margen (%)]]&gt;20%,"Beneficio","Perdidas")</f>
        <v>Beneficio</v>
      </c>
    </row>
    <row r="979" spans="1:20" x14ac:dyDescent="0.25">
      <c r="A979" s="12">
        <v>45136</v>
      </c>
      <c r="B979" s="1" t="s">
        <v>35</v>
      </c>
      <c r="C979" s="1" t="s">
        <v>36</v>
      </c>
      <c r="D979" s="1" t="s">
        <v>48</v>
      </c>
      <c r="E979" s="1" t="s">
        <v>38</v>
      </c>
      <c r="F979">
        <v>177</v>
      </c>
      <c r="G979">
        <v>2.68</v>
      </c>
      <c r="H979">
        <v>474.36</v>
      </c>
      <c r="I979" s="1" t="s">
        <v>55</v>
      </c>
      <c r="J979" s="1" t="s">
        <v>27</v>
      </c>
      <c r="K979" s="1" t="s">
        <v>28</v>
      </c>
      <c r="L979">
        <v>418.65</v>
      </c>
      <c r="M979">
        <v>11.7</v>
      </c>
      <c r="N979">
        <v>2023</v>
      </c>
      <c r="O979">
        <f t="shared" si="15"/>
        <v>3</v>
      </c>
      <c r="P979" s="13" t="s">
        <v>65</v>
      </c>
      <c r="Q979">
        <v>55.71</v>
      </c>
      <c r="R979" s="3" t="s">
        <v>29</v>
      </c>
      <c r="S979" s="7">
        <f>Ventas[[#This Row],[Costo Material (€)]]/Ventas[[#This Row],[Beneficio (€)]]</f>
        <v>7.5148088314485726</v>
      </c>
      <c r="T979" s="3" t="str">
        <f>IF(Ventas[[#This Row],[Margen (%)]]&gt;20%,"Beneficio","Perdidas")</f>
        <v>Beneficio</v>
      </c>
    </row>
    <row r="980" spans="1:20" x14ac:dyDescent="0.25">
      <c r="A980" s="12">
        <v>44941</v>
      </c>
      <c r="B980" s="1" t="s">
        <v>51</v>
      </c>
      <c r="C980" s="1" t="s">
        <v>52</v>
      </c>
      <c r="D980" s="1" t="s">
        <v>44</v>
      </c>
      <c r="E980" s="1" t="s">
        <v>38</v>
      </c>
      <c r="F980">
        <v>51</v>
      </c>
      <c r="G980">
        <v>5.41</v>
      </c>
      <c r="H980">
        <v>275.91000000000003</v>
      </c>
      <c r="I980" s="1" t="s">
        <v>57</v>
      </c>
      <c r="J980" s="1" t="s">
        <v>40</v>
      </c>
      <c r="K980" s="1" t="s">
        <v>23</v>
      </c>
      <c r="L980">
        <v>220.91</v>
      </c>
      <c r="M980">
        <v>19.899999999999999</v>
      </c>
      <c r="N980">
        <v>2023</v>
      </c>
      <c r="O980">
        <f t="shared" si="15"/>
        <v>1</v>
      </c>
      <c r="P980" s="13" t="s">
        <v>24</v>
      </c>
      <c r="Q980">
        <v>55</v>
      </c>
      <c r="R980" s="3" t="s">
        <v>29</v>
      </c>
      <c r="S980" s="7">
        <f>Ventas[[#This Row],[Costo Material (€)]]/Ventas[[#This Row],[Beneficio (€)]]</f>
        <v>4.0165454545454544</v>
      </c>
      <c r="T980" s="3" t="str">
        <f>IF(Ventas[[#This Row],[Margen (%)]]&gt;20%,"Beneficio","Perdidas")</f>
        <v>Beneficio</v>
      </c>
    </row>
    <row r="981" spans="1:20" x14ac:dyDescent="0.25">
      <c r="A981" s="12">
        <v>45035</v>
      </c>
      <c r="B981" s="1" t="s">
        <v>17</v>
      </c>
      <c r="C981" s="1" t="s">
        <v>18</v>
      </c>
      <c r="D981" s="1" t="s">
        <v>53</v>
      </c>
      <c r="E981" s="1" t="s">
        <v>50</v>
      </c>
      <c r="F981">
        <v>111</v>
      </c>
      <c r="G981">
        <v>4.07</v>
      </c>
      <c r="H981">
        <v>451.77</v>
      </c>
      <c r="I981" s="1" t="s">
        <v>54</v>
      </c>
      <c r="J981" s="1" t="s">
        <v>47</v>
      </c>
      <c r="K981" s="1" t="s">
        <v>41</v>
      </c>
      <c r="L981">
        <v>397.17</v>
      </c>
      <c r="M981">
        <v>12.1</v>
      </c>
      <c r="N981">
        <v>2023</v>
      </c>
      <c r="O981">
        <f t="shared" si="15"/>
        <v>2</v>
      </c>
      <c r="P981" s="13" t="s">
        <v>62</v>
      </c>
      <c r="Q981">
        <v>54.6</v>
      </c>
      <c r="R981" s="3" t="s">
        <v>29</v>
      </c>
      <c r="S981" s="7">
        <f>Ventas[[#This Row],[Costo Material (€)]]/Ventas[[#This Row],[Beneficio (€)]]</f>
        <v>7.2741758241758241</v>
      </c>
      <c r="T981" s="3" t="str">
        <f>IF(Ventas[[#This Row],[Margen (%)]]&gt;20%,"Beneficio","Perdidas")</f>
        <v>Beneficio</v>
      </c>
    </row>
    <row r="982" spans="1:20" x14ac:dyDescent="0.25">
      <c r="A982" s="12">
        <v>45037</v>
      </c>
      <c r="B982" s="1" t="s">
        <v>51</v>
      </c>
      <c r="C982" s="1" t="s">
        <v>52</v>
      </c>
      <c r="D982" s="1" t="s">
        <v>53</v>
      </c>
      <c r="E982" s="1" t="s">
        <v>50</v>
      </c>
      <c r="F982">
        <v>56</v>
      </c>
      <c r="G982">
        <v>6.07</v>
      </c>
      <c r="H982">
        <v>339.92</v>
      </c>
      <c r="I982" s="1" t="s">
        <v>46</v>
      </c>
      <c r="J982" s="1" t="s">
        <v>56</v>
      </c>
      <c r="K982" s="1" t="s">
        <v>41</v>
      </c>
      <c r="L982">
        <v>286.89999999999998</v>
      </c>
      <c r="M982">
        <v>15.6</v>
      </c>
      <c r="N982">
        <v>2023</v>
      </c>
      <c r="O982">
        <f t="shared" si="15"/>
        <v>2</v>
      </c>
      <c r="P982" s="13" t="s">
        <v>62</v>
      </c>
      <c r="Q982">
        <v>53.02</v>
      </c>
      <c r="R982" s="3" t="s">
        <v>29</v>
      </c>
      <c r="S982" s="7">
        <f>Ventas[[#This Row],[Costo Material (€)]]/Ventas[[#This Row],[Beneficio (€)]]</f>
        <v>5.4111655978875888</v>
      </c>
      <c r="T982" s="3" t="str">
        <f>IF(Ventas[[#This Row],[Margen (%)]]&gt;20%,"Beneficio","Perdidas")</f>
        <v>Beneficio</v>
      </c>
    </row>
    <row r="983" spans="1:20" x14ac:dyDescent="0.25">
      <c r="A983" s="12">
        <v>44947</v>
      </c>
      <c r="B983" s="1" t="s">
        <v>30</v>
      </c>
      <c r="C983" s="1" t="s">
        <v>31</v>
      </c>
      <c r="D983" s="1" t="s">
        <v>44</v>
      </c>
      <c r="E983" s="1" t="s">
        <v>38</v>
      </c>
      <c r="F983">
        <v>69</v>
      </c>
      <c r="G983">
        <v>5.15</v>
      </c>
      <c r="H983">
        <v>355.35</v>
      </c>
      <c r="I983" s="1" t="s">
        <v>54</v>
      </c>
      <c r="J983" s="1" t="s">
        <v>34</v>
      </c>
      <c r="K983" s="1" t="s">
        <v>41</v>
      </c>
      <c r="L983">
        <v>303.2</v>
      </c>
      <c r="M983">
        <v>14.7</v>
      </c>
      <c r="N983">
        <v>2023</v>
      </c>
      <c r="O983">
        <f t="shared" si="15"/>
        <v>1</v>
      </c>
      <c r="P983" s="13" t="s">
        <v>24</v>
      </c>
      <c r="Q983">
        <v>52.15</v>
      </c>
      <c r="R983" s="3" t="s">
        <v>29</v>
      </c>
      <c r="S983" s="7">
        <f>Ventas[[#This Row],[Costo Material (€)]]/Ventas[[#This Row],[Beneficio (€)]]</f>
        <v>5.8139980824544581</v>
      </c>
      <c r="T983" s="3" t="str">
        <f>IF(Ventas[[#This Row],[Margen (%)]]&gt;20%,"Beneficio","Perdidas")</f>
        <v>Beneficio</v>
      </c>
    </row>
    <row r="984" spans="1:20" x14ac:dyDescent="0.25">
      <c r="A984" s="12">
        <v>45445</v>
      </c>
      <c r="B984" s="1" t="s">
        <v>17</v>
      </c>
      <c r="C984" s="1" t="s">
        <v>18</v>
      </c>
      <c r="D984" s="1" t="s">
        <v>45</v>
      </c>
      <c r="E984" s="1" t="s">
        <v>20</v>
      </c>
      <c r="F984">
        <v>60</v>
      </c>
      <c r="G984">
        <v>4.29</v>
      </c>
      <c r="H984">
        <v>257.39999999999998</v>
      </c>
      <c r="I984" s="1" t="s">
        <v>55</v>
      </c>
      <c r="J984" s="1" t="s">
        <v>56</v>
      </c>
      <c r="K984" s="1" t="s">
        <v>23</v>
      </c>
      <c r="L984">
        <v>208.49</v>
      </c>
      <c r="M984">
        <v>19</v>
      </c>
      <c r="N984">
        <v>2024</v>
      </c>
      <c r="O984">
        <f t="shared" si="15"/>
        <v>2</v>
      </c>
      <c r="P984" s="13" t="s">
        <v>64</v>
      </c>
      <c r="Q984">
        <v>48.91</v>
      </c>
      <c r="R984" s="3" t="s">
        <v>29</v>
      </c>
      <c r="S984" s="7">
        <f>Ventas[[#This Row],[Costo Material (€)]]/Ventas[[#This Row],[Beneficio (€)]]</f>
        <v>4.262727458597424</v>
      </c>
      <c r="T984" s="3" t="str">
        <f>IF(Ventas[[#This Row],[Margen (%)]]&gt;20%,"Beneficio","Perdidas")</f>
        <v>Beneficio</v>
      </c>
    </row>
    <row r="985" spans="1:20" x14ac:dyDescent="0.25">
      <c r="A985" s="12">
        <v>44958</v>
      </c>
      <c r="B985" s="1" t="s">
        <v>35</v>
      </c>
      <c r="C985" s="1" t="s">
        <v>36</v>
      </c>
      <c r="D985" s="1" t="s">
        <v>48</v>
      </c>
      <c r="E985" s="1" t="s">
        <v>38</v>
      </c>
      <c r="F985">
        <v>106</v>
      </c>
      <c r="G985">
        <v>3.97</v>
      </c>
      <c r="H985">
        <v>420.82</v>
      </c>
      <c r="I985" s="1" t="s">
        <v>26</v>
      </c>
      <c r="J985" s="1" t="s">
        <v>47</v>
      </c>
      <c r="K985" s="1" t="s">
        <v>28</v>
      </c>
      <c r="L985">
        <v>372.62</v>
      </c>
      <c r="M985">
        <v>11.5</v>
      </c>
      <c r="N985">
        <v>2023</v>
      </c>
      <c r="O985">
        <f t="shared" si="15"/>
        <v>1</v>
      </c>
      <c r="P985" s="13" t="s">
        <v>60</v>
      </c>
      <c r="Q985">
        <v>48.2</v>
      </c>
      <c r="R985" s="3" t="s">
        <v>29</v>
      </c>
      <c r="S985" s="7">
        <f>Ventas[[#This Row],[Costo Material (€)]]/Ventas[[#This Row],[Beneficio (€)]]</f>
        <v>7.7307053941908714</v>
      </c>
      <c r="T985" s="3" t="str">
        <f>IF(Ventas[[#This Row],[Margen (%)]]&gt;20%,"Beneficio","Perdidas")</f>
        <v>Beneficio</v>
      </c>
    </row>
    <row r="986" spans="1:20" x14ac:dyDescent="0.25">
      <c r="A986" s="12">
        <v>45434</v>
      </c>
      <c r="B986" s="1" t="s">
        <v>51</v>
      </c>
      <c r="C986" s="1" t="s">
        <v>52</v>
      </c>
      <c r="D986" s="1" t="s">
        <v>19</v>
      </c>
      <c r="E986" s="1" t="s">
        <v>20</v>
      </c>
      <c r="F986">
        <v>57</v>
      </c>
      <c r="G986">
        <v>3.68</v>
      </c>
      <c r="H986">
        <v>209.76</v>
      </c>
      <c r="I986" s="1" t="s">
        <v>54</v>
      </c>
      <c r="J986" s="1" t="s">
        <v>22</v>
      </c>
      <c r="K986" s="1" t="s">
        <v>28</v>
      </c>
      <c r="L986">
        <v>162.22999999999999</v>
      </c>
      <c r="M986">
        <v>22.7</v>
      </c>
      <c r="N986">
        <v>2024</v>
      </c>
      <c r="O986">
        <f t="shared" si="15"/>
        <v>2</v>
      </c>
      <c r="P986" s="13" t="s">
        <v>63</v>
      </c>
      <c r="Q986">
        <v>47.53</v>
      </c>
      <c r="R986" s="3" t="s">
        <v>29</v>
      </c>
      <c r="S986" s="7">
        <f>Ventas[[#This Row],[Costo Material (€)]]/Ventas[[#This Row],[Beneficio (€)]]</f>
        <v>3.4132127077635173</v>
      </c>
      <c r="T986" s="3" t="str">
        <f>IF(Ventas[[#This Row],[Margen (%)]]&gt;20%,"Beneficio","Perdidas")</f>
        <v>Beneficio</v>
      </c>
    </row>
    <row r="987" spans="1:20" x14ac:dyDescent="0.25">
      <c r="A987" s="12">
        <v>45089</v>
      </c>
      <c r="B987" s="1" t="s">
        <v>30</v>
      </c>
      <c r="C987" s="1" t="s">
        <v>31</v>
      </c>
      <c r="D987" s="1" t="s">
        <v>45</v>
      </c>
      <c r="E987" s="1" t="s">
        <v>20</v>
      </c>
      <c r="F987">
        <v>66</v>
      </c>
      <c r="G987">
        <v>2.0299999999999998</v>
      </c>
      <c r="H987">
        <v>133.97999999999999</v>
      </c>
      <c r="I987" s="1" t="s">
        <v>46</v>
      </c>
      <c r="J987" s="1" t="s">
        <v>56</v>
      </c>
      <c r="K987" s="1" t="s">
        <v>41</v>
      </c>
      <c r="L987">
        <v>86.52</v>
      </c>
      <c r="M987">
        <v>35.4</v>
      </c>
      <c r="N987">
        <v>2023</v>
      </c>
      <c r="O987">
        <f t="shared" si="15"/>
        <v>2</v>
      </c>
      <c r="P987" s="13" t="s">
        <v>64</v>
      </c>
      <c r="Q987">
        <v>47.46</v>
      </c>
      <c r="R987" s="3" t="s">
        <v>25</v>
      </c>
      <c r="S987" s="7">
        <f>Ventas[[#This Row],[Costo Material (€)]]/Ventas[[#This Row],[Beneficio (€)]]</f>
        <v>1.8230088495575221</v>
      </c>
      <c r="T987" s="3" t="str">
        <f>IF(Ventas[[#This Row],[Margen (%)]]&gt;20%,"Beneficio","Perdidas")</f>
        <v>Beneficio</v>
      </c>
    </row>
    <row r="988" spans="1:20" x14ac:dyDescent="0.25">
      <c r="A988" s="12">
        <v>45278</v>
      </c>
      <c r="B988" s="1" t="s">
        <v>51</v>
      </c>
      <c r="C988" s="1" t="s">
        <v>52</v>
      </c>
      <c r="D988" s="1" t="s">
        <v>45</v>
      </c>
      <c r="E988" s="1" t="s">
        <v>20</v>
      </c>
      <c r="F988">
        <v>119</v>
      </c>
      <c r="G988">
        <v>3.12</v>
      </c>
      <c r="H988">
        <v>371.28</v>
      </c>
      <c r="I988" s="1" t="s">
        <v>21</v>
      </c>
      <c r="J988" s="1" t="s">
        <v>27</v>
      </c>
      <c r="K988" s="1" t="s">
        <v>41</v>
      </c>
      <c r="L988">
        <v>323.86</v>
      </c>
      <c r="M988">
        <v>12.8</v>
      </c>
      <c r="N988">
        <v>2023</v>
      </c>
      <c r="O988">
        <f t="shared" si="15"/>
        <v>4</v>
      </c>
      <c r="P988" s="13" t="s">
        <v>70</v>
      </c>
      <c r="Q988">
        <v>47.42</v>
      </c>
      <c r="R988" s="3" t="s">
        <v>29</v>
      </c>
      <c r="S988" s="7">
        <f>Ventas[[#This Row],[Costo Material (€)]]/Ventas[[#This Row],[Beneficio (€)]]</f>
        <v>6.8296077604386332</v>
      </c>
      <c r="T988" s="3" t="str">
        <f>IF(Ventas[[#This Row],[Margen (%)]]&gt;20%,"Beneficio","Perdidas")</f>
        <v>Beneficio</v>
      </c>
    </row>
    <row r="989" spans="1:20" x14ac:dyDescent="0.25">
      <c r="A989" s="12">
        <v>45081</v>
      </c>
      <c r="B989" s="1" t="s">
        <v>30</v>
      </c>
      <c r="C989" s="1" t="s">
        <v>31</v>
      </c>
      <c r="D989" s="1" t="s">
        <v>32</v>
      </c>
      <c r="E989" s="1" t="s">
        <v>20</v>
      </c>
      <c r="F989">
        <v>53</v>
      </c>
      <c r="G989">
        <v>6.14</v>
      </c>
      <c r="H989">
        <v>325.42</v>
      </c>
      <c r="I989" s="1" t="s">
        <v>39</v>
      </c>
      <c r="J989" s="1" t="s">
        <v>22</v>
      </c>
      <c r="K989" s="1" t="s">
        <v>23</v>
      </c>
      <c r="L989">
        <v>280.25</v>
      </c>
      <c r="M989">
        <v>13.9</v>
      </c>
      <c r="N989">
        <v>2023</v>
      </c>
      <c r="O989">
        <f t="shared" si="15"/>
        <v>2</v>
      </c>
      <c r="P989" s="13" t="s">
        <v>64</v>
      </c>
      <c r="Q989">
        <v>45.17</v>
      </c>
      <c r="R989" s="3" t="s">
        <v>29</v>
      </c>
      <c r="S989" s="7">
        <f>Ventas[[#This Row],[Costo Material (€)]]/Ventas[[#This Row],[Beneficio (€)]]</f>
        <v>6.2043391631613902</v>
      </c>
      <c r="T989" s="3" t="str">
        <f>IF(Ventas[[#This Row],[Margen (%)]]&gt;20%,"Beneficio","Perdidas")</f>
        <v>Beneficio</v>
      </c>
    </row>
    <row r="990" spans="1:20" x14ac:dyDescent="0.25">
      <c r="A990" s="12">
        <v>45098</v>
      </c>
      <c r="B990" s="1" t="s">
        <v>30</v>
      </c>
      <c r="C990" s="1" t="s">
        <v>31</v>
      </c>
      <c r="D990" s="1" t="s">
        <v>53</v>
      </c>
      <c r="E990" s="1" t="s">
        <v>50</v>
      </c>
      <c r="F990">
        <v>101</v>
      </c>
      <c r="G990">
        <v>2.23</v>
      </c>
      <c r="H990">
        <v>225.23</v>
      </c>
      <c r="I990" s="1" t="s">
        <v>33</v>
      </c>
      <c r="J990" s="1" t="s">
        <v>34</v>
      </c>
      <c r="K990" s="1" t="s">
        <v>41</v>
      </c>
      <c r="L990">
        <v>180.6</v>
      </c>
      <c r="M990">
        <v>19.8</v>
      </c>
      <c r="N990">
        <v>2023</v>
      </c>
      <c r="O990">
        <f t="shared" si="15"/>
        <v>2</v>
      </c>
      <c r="P990" s="13" t="s">
        <v>64</v>
      </c>
      <c r="Q990">
        <v>44.63</v>
      </c>
      <c r="R990" s="3" t="s">
        <v>29</v>
      </c>
      <c r="S990" s="7">
        <f>Ventas[[#This Row],[Costo Material (€)]]/Ventas[[#This Row],[Beneficio (€)]]</f>
        <v>4.0466054223616394</v>
      </c>
      <c r="T990" s="3" t="str">
        <f>IF(Ventas[[#This Row],[Margen (%)]]&gt;20%,"Beneficio","Perdidas")</f>
        <v>Beneficio</v>
      </c>
    </row>
    <row r="991" spans="1:20" x14ac:dyDescent="0.25">
      <c r="A991" s="12">
        <v>44984</v>
      </c>
      <c r="B991" s="1" t="s">
        <v>30</v>
      </c>
      <c r="C991" s="1" t="s">
        <v>31</v>
      </c>
      <c r="D991" s="1" t="s">
        <v>37</v>
      </c>
      <c r="E991" s="1" t="s">
        <v>38</v>
      </c>
      <c r="F991">
        <v>89</v>
      </c>
      <c r="G991">
        <v>3.54</v>
      </c>
      <c r="H991">
        <v>315.06</v>
      </c>
      <c r="I991" s="1" t="s">
        <v>21</v>
      </c>
      <c r="J991" s="1" t="s">
        <v>47</v>
      </c>
      <c r="K991" s="1" t="s">
        <v>28</v>
      </c>
      <c r="L991">
        <v>275.10000000000002</v>
      </c>
      <c r="M991">
        <v>12.7</v>
      </c>
      <c r="N991">
        <v>2023</v>
      </c>
      <c r="O991">
        <f t="shared" si="15"/>
        <v>1</v>
      </c>
      <c r="P991" s="13" t="s">
        <v>60</v>
      </c>
      <c r="Q991">
        <v>39.96</v>
      </c>
      <c r="R991" s="3" t="s">
        <v>29</v>
      </c>
      <c r="S991" s="7">
        <f>Ventas[[#This Row],[Costo Material (€)]]/Ventas[[#This Row],[Beneficio (€)]]</f>
        <v>6.8843843843843846</v>
      </c>
      <c r="T991" s="3" t="str">
        <f>IF(Ventas[[#This Row],[Margen (%)]]&gt;20%,"Beneficio","Perdidas")</f>
        <v>Beneficio</v>
      </c>
    </row>
    <row r="992" spans="1:20" x14ac:dyDescent="0.25">
      <c r="A992" s="12">
        <v>45039</v>
      </c>
      <c r="B992" s="1" t="s">
        <v>17</v>
      </c>
      <c r="C992" s="1" t="s">
        <v>18</v>
      </c>
      <c r="D992" s="1" t="s">
        <v>45</v>
      </c>
      <c r="E992" s="1" t="s">
        <v>20</v>
      </c>
      <c r="F992">
        <v>91</v>
      </c>
      <c r="G992">
        <v>2.16</v>
      </c>
      <c r="H992">
        <v>196.56</v>
      </c>
      <c r="I992" s="1" t="s">
        <v>39</v>
      </c>
      <c r="J992" s="1" t="s">
        <v>40</v>
      </c>
      <c r="K992" s="1" t="s">
        <v>41</v>
      </c>
      <c r="L992">
        <v>161.65</v>
      </c>
      <c r="M992">
        <v>17.8</v>
      </c>
      <c r="N992">
        <v>2023</v>
      </c>
      <c r="O992">
        <f t="shared" si="15"/>
        <v>2</v>
      </c>
      <c r="P992" s="13" t="s">
        <v>62</v>
      </c>
      <c r="Q992">
        <v>34.909999999999997</v>
      </c>
      <c r="R992" s="3" t="s">
        <v>29</v>
      </c>
      <c r="S992" s="7">
        <f>Ventas[[#This Row],[Costo Material (€)]]/Ventas[[#This Row],[Beneficio (€)]]</f>
        <v>4.630478372959038</v>
      </c>
      <c r="T992" s="3" t="str">
        <f>IF(Ventas[[#This Row],[Margen (%)]]&gt;20%,"Beneficio","Perdidas")</f>
        <v>Beneficio</v>
      </c>
    </row>
    <row r="993" spans="1:20" x14ac:dyDescent="0.25">
      <c r="A993" s="12">
        <v>44974</v>
      </c>
      <c r="B993" s="1" t="s">
        <v>42</v>
      </c>
      <c r="C993" s="1" t="s">
        <v>43</v>
      </c>
      <c r="D993" s="1" t="s">
        <v>19</v>
      </c>
      <c r="E993" s="1" t="s">
        <v>20</v>
      </c>
      <c r="F993">
        <v>62</v>
      </c>
      <c r="G993">
        <v>3.69</v>
      </c>
      <c r="H993">
        <v>228.78</v>
      </c>
      <c r="I993" s="1" t="s">
        <v>54</v>
      </c>
      <c r="J993" s="1" t="s">
        <v>56</v>
      </c>
      <c r="K993" s="1" t="s">
        <v>41</v>
      </c>
      <c r="L993">
        <v>196.13</v>
      </c>
      <c r="M993">
        <v>14.3</v>
      </c>
      <c r="N993">
        <v>2023</v>
      </c>
      <c r="O993">
        <f t="shared" si="15"/>
        <v>1</v>
      </c>
      <c r="P993" s="13" t="s">
        <v>60</v>
      </c>
      <c r="Q993">
        <v>32.65</v>
      </c>
      <c r="R993" s="3" t="s">
        <v>29</v>
      </c>
      <c r="S993" s="7">
        <f>Ventas[[#This Row],[Costo Material (€)]]/Ventas[[#This Row],[Beneficio (€)]]</f>
        <v>6.0070444104134761</v>
      </c>
      <c r="T993" s="3" t="str">
        <f>IF(Ventas[[#This Row],[Margen (%)]]&gt;20%,"Beneficio","Perdidas")</f>
        <v>Beneficio</v>
      </c>
    </row>
    <row r="994" spans="1:20" x14ac:dyDescent="0.25">
      <c r="A994" s="12">
        <v>45067</v>
      </c>
      <c r="B994" s="1" t="s">
        <v>17</v>
      </c>
      <c r="C994" s="1" t="s">
        <v>18</v>
      </c>
      <c r="D994" s="1" t="s">
        <v>44</v>
      </c>
      <c r="E994" s="1" t="s">
        <v>38</v>
      </c>
      <c r="F994">
        <v>63</v>
      </c>
      <c r="G994">
        <v>3.33</v>
      </c>
      <c r="H994">
        <v>209.79</v>
      </c>
      <c r="I994" s="1" t="s">
        <v>39</v>
      </c>
      <c r="J994" s="1" t="s">
        <v>34</v>
      </c>
      <c r="K994" s="1" t="s">
        <v>28</v>
      </c>
      <c r="L994">
        <v>188.44</v>
      </c>
      <c r="M994">
        <v>10.199999999999999</v>
      </c>
      <c r="N994">
        <v>2023</v>
      </c>
      <c r="O994">
        <f t="shared" si="15"/>
        <v>2</v>
      </c>
      <c r="P994" s="13" t="s">
        <v>63</v>
      </c>
      <c r="Q994">
        <v>21.35</v>
      </c>
      <c r="R994" s="3" t="s">
        <v>29</v>
      </c>
      <c r="S994" s="7">
        <f>Ventas[[#This Row],[Costo Material (€)]]/Ventas[[#This Row],[Beneficio (€)]]</f>
        <v>8.8262295081967199</v>
      </c>
      <c r="T994" s="3" t="str">
        <f>IF(Ventas[[#This Row],[Margen (%)]]&gt;20%,"Beneficio","Perdidas")</f>
        <v>Beneficio</v>
      </c>
    </row>
    <row r="1044069" spans="19:19" x14ac:dyDescent="0.25">
      <c r="S1044069" s="7">
        <f>AVERAGE(S2:S1044068)</f>
        <v>3.7347042581696641</v>
      </c>
    </row>
  </sheetData>
  <phoneticPr fontId="1" type="noConversion"/>
  <conditionalFormatting sqref="M1:M1048576">
    <cfRule type="iconSet" priority="8">
      <iconSet iconSet="3Signs">
        <cfvo type="percent" val="0"/>
        <cfvo type="percent" val="33"/>
        <cfvo type="percent" val="67"/>
      </iconSet>
    </cfRule>
  </conditionalFormatting>
  <conditionalFormatting sqref="Q1:Q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{0AF2DC2F-54A5-4895-98EC-C04D39A6783F}</x14:id>
        </ext>
      </extLst>
    </cfRule>
  </conditionalFormatting>
  <conditionalFormatting sqref="S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{555C25B0-4053-4A3B-A670-C7297E444A10}</x14:id>
        </ext>
      </extLs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F2DC2F-54A5-4895-98EC-C04D39A67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555C25B0-4053-4A3B-A670-C7297E444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E5BE-30DC-49F0-A4F9-1B92889C3F40}">
  <dimension ref="A1:S5"/>
  <sheetViews>
    <sheetView workbookViewId="0">
      <selection sqref="A1:S5"/>
    </sheetView>
  </sheetViews>
  <sheetFormatPr baseColWidth="10" defaultRowHeight="15" x14ac:dyDescent="0.25"/>
  <cols>
    <col min="3" max="3" width="12.7109375" customWidth="1"/>
    <col min="6" max="6" width="18.28515625" customWidth="1"/>
    <col min="7" max="7" width="19.28515625" customWidth="1"/>
    <col min="8" max="8" width="13.140625" customWidth="1"/>
    <col min="10" max="10" width="11.85546875" customWidth="1"/>
    <col min="12" max="12" width="19.140625" customWidth="1"/>
    <col min="13" max="13" width="13.140625" customWidth="1"/>
    <col min="16" max="17" width="14.5703125" customWidth="1"/>
    <col min="18" max="18" width="28" customWidth="1"/>
    <col min="19" max="19" width="24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71</v>
      </c>
      <c r="S1" t="s">
        <v>72</v>
      </c>
    </row>
    <row r="2" spans="1:19" x14ac:dyDescent="0.25">
      <c r="A2">
        <v>45960</v>
      </c>
      <c r="B2" t="s">
        <v>30</v>
      </c>
      <c r="C2" t="s">
        <v>31</v>
      </c>
      <c r="D2" t="s">
        <v>32</v>
      </c>
      <c r="E2" t="s">
        <v>20</v>
      </c>
      <c r="F2">
        <v>530</v>
      </c>
      <c r="G2">
        <v>3.51</v>
      </c>
      <c r="H2">
        <v>1860.3</v>
      </c>
      <c r="I2" t="s">
        <v>55</v>
      </c>
      <c r="J2" t="s">
        <v>47</v>
      </c>
      <c r="K2" t="s">
        <v>23</v>
      </c>
      <c r="L2">
        <v>1532.81</v>
      </c>
      <c r="M2">
        <v>17.600000000000001</v>
      </c>
      <c r="N2">
        <v>2025</v>
      </c>
      <c r="O2" t="s">
        <v>68</v>
      </c>
      <c r="P2">
        <v>327.49</v>
      </c>
      <c r="Q2" t="s">
        <v>29</v>
      </c>
      <c r="R2">
        <v>4.6804787932455953</v>
      </c>
      <c r="S2" t="s">
        <v>78</v>
      </c>
    </row>
    <row r="3" spans="1:19" x14ac:dyDescent="0.25">
      <c r="A3">
        <v>45934</v>
      </c>
      <c r="B3" t="s">
        <v>58</v>
      </c>
      <c r="C3" t="s">
        <v>59</v>
      </c>
      <c r="D3" t="s">
        <v>49</v>
      </c>
      <c r="E3" t="s">
        <v>50</v>
      </c>
      <c r="F3">
        <v>66</v>
      </c>
      <c r="G3">
        <v>7.82</v>
      </c>
      <c r="H3">
        <v>516.12</v>
      </c>
      <c r="I3" t="s">
        <v>55</v>
      </c>
      <c r="J3" t="s">
        <v>47</v>
      </c>
      <c r="K3" t="s">
        <v>23</v>
      </c>
      <c r="L3">
        <v>407.7</v>
      </c>
      <c r="M3">
        <v>21</v>
      </c>
      <c r="N3">
        <v>2025</v>
      </c>
      <c r="O3" t="s">
        <v>68</v>
      </c>
      <c r="P3">
        <v>108.42</v>
      </c>
      <c r="Q3" t="s">
        <v>29</v>
      </c>
      <c r="R3">
        <v>3.7603763143331488</v>
      </c>
      <c r="S3" t="s">
        <v>78</v>
      </c>
    </row>
    <row r="4" spans="1:19" x14ac:dyDescent="0.25">
      <c r="A4">
        <v>45741</v>
      </c>
      <c r="B4" t="s">
        <v>35</v>
      </c>
      <c r="C4" t="s">
        <v>36</v>
      </c>
      <c r="D4" t="s">
        <v>49</v>
      </c>
      <c r="E4" t="s">
        <v>50</v>
      </c>
      <c r="F4">
        <v>827</v>
      </c>
      <c r="G4">
        <v>4.76</v>
      </c>
      <c r="H4">
        <v>3936.52</v>
      </c>
      <c r="I4" t="s">
        <v>57</v>
      </c>
      <c r="J4" t="s">
        <v>47</v>
      </c>
      <c r="K4" t="s">
        <v>23</v>
      </c>
      <c r="L4">
        <v>3247.26</v>
      </c>
      <c r="M4">
        <v>17.5</v>
      </c>
      <c r="N4">
        <v>2025</v>
      </c>
      <c r="O4" t="s">
        <v>61</v>
      </c>
      <c r="P4">
        <v>689.26</v>
      </c>
      <c r="Q4" t="s">
        <v>29</v>
      </c>
      <c r="R4">
        <v>4.7112265328032965</v>
      </c>
      <c r="S4" t="s">
        <v>78</v>
      </c>
    </row>
    <row r="5" spans="1:19" x14ac:dyDescent="0.25">
      <c r="A5">
        <v>45703</v>
      </c>
      <c r="B5" t="s">
        <v>51</v>
      </c>
      <c r="C5" t="s">
        <v>52</v>
      </c>
      <c r="D5" t="s">
        <v>44</v>
      </c>
      <c r="E5" t="s">
        <v>38</v>
      </c>
      <c r="F5">
        <v>544</v>
      </c>
      <c r="G5">
        <v>8.5299999999999994</v>
      </c>
      <c r="H5">
        <v>4640.32</v>
      </c>
      <c r="I5" t="s">
        <v>54</v>
      </c>
      <c r="J5" t="s">
        <v>47</v>
      </c>
      <c r="K5" t="s">
        <v>28</v>
      </c>
      <c r="L5">
        <v>4116.79</v>
      </c>
      <c r="M5">
        <v>11.3</v>
      </c>
      <c r="N5">
        <v>2025</v>
      </c>
      <c r="O5" t="s">
        <v>60</v>
      </c>
      <c r="P5">
        <v>523.53</v>
      </c>
      <c r="Q5" t="s">
        <v>29</v>
      </c>
      <c r="R5">
        <v>7.8635226252554773</v>
      </c>
      <c r="S5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97D5-55FC-4E86-86DA-F8026B08B3A3}">
  <dimension ref="A1:S25"/>
  <sheetViews>
    <sheetView workbookViewId="0">
      <selection sqref="A1:S25"/>
    </sheetView>
  </sheetViews>
  <sheetFormatPr baseColWidth="10" defaultRowHeight="15" x14ac:dyDescent="0.25"/>
  <cols>
    <col min="3" max="3" width="12.7109375" customWidth="1"/>
    <col min="6" max="6" width="18.28515625" customWidth="1"/>
    <col min="7" max="7" width="19.28515625" customWidth="1"/>
    <col min="8" max="8" width="13.140625" customWidth="1"/>
    <col min="10" max="10" width="11.85546875" customWidth="1"/>
    <col min="12" max="12" width="19.140625" customWidth="1"/>
    <col min="13" max="13" width="13.140625" customWidth="1"/>
    <col min="16" max="17" width="14.5703125" customWidth="1"/>
    <col min="18" max="18" width="28" customWidth="1"/>
    <col min="19" max="19" width="24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71</v>
      </c>
      <c r="S1" t="s">
        <v>72</v>
      </c>
    </row>
    <row r="2" spans="1:19" x14ac:dyDescent="0.25">
      <c r="A2">
        <v>45960</v>
      </c>
      <c r="B2" t="s">
        <v>30</v>
      </c>
      <c r="C2" t="s">
        <v>31</v>
      </c>
      <c r="D2" t="s">
        <v>32</v>
      </c>
      <c r="E2" t="s">
        <v>20</v>
      </c>
      <c r="F2">
        <v>530</v>
      </c>
      <c r="G2">
        <v>3.51</v>
      </c>
      <c r="H2">
        <v>1860.3</v>
      </c>
      <c r="I2" t="s">
        <v>55</v>
      </c>
      <c r="J2" t="s">
        <v>47</v>
      </c>
      <c r="K2" t="s">
        <v>23</v>
      </c>
      <c r="L2">
        <v>1532.81</v>
      </c>
      <c r="M2">
        <v>17.600000000000001</v>
      </c>
      <c r="N2">
        <v>2025</v>
      </c>
      <c r="O2" t="s">
        <v>68</v>
      </c>
      <c r="P2">
        <v>327.49</v>
      </c>
      <c r="Q2" t="s">
        <v>29</v>
      </c>
      <c r="R2">
        <v>4.6804787932455953</v>
      </c>
      <c r="S2" t="s">
        <v>78</v>
      </c>
    </row>
    <row r="3" spans="1:19" x14ac:dyDescent="0.25">
      <c r="A3">
        <v>45943</v>
      </c>
      <c r="B3" t="s">
        <v>42</v>
      </c>
      <c r="C3" t="s">
        <v>43</v>
      </c>
      <c r="D3" t="s">
        <v>53</v>
      </c>
      <c r="E3" t="s">
        <v>50</v>
      </c>
      <c r="F3">
        <v>90</v>
      </c>
      <c r="G3">
        <v>9.35</v>
      </c>
      <c r="H3">
        <v>841.5</v>
      </c>
      <c r="I3" t="s">
        <v>46</v>
      </c>
      <c r="J3" t="s">
        <v>40</v>
      </c>
      <c r="K3" t="s">
        <v>23</v>
      </c>
      <c r="L3">
        <v>628.72</v>
      </c>
      <c r="M3">
        <v>25.3</v>
      </c>
      <c r="N3">
        <v>2025</v>
      </c>
      <c r="O3" t="s">
        <v>68</v>
      </c>
      <c r="P3">
        <v>212.78</v>
      </c>
      <c r="Q3" t="s">
        <v>25</v>
      </c>
      <c r="R3">
        <v>2.9547889839270609</v>
      </c>
      <c r="S3" t="s">
        <v>78</v>
      </c>
    </row>
    <row r="4" spans="1:19" x14ac:dyDescent="0.25">
      <c r="A4">
        <v>45938</v>
      </c>
      <c r="B4" t="s">
        <v>42</v>
      </c>
      <c r="C4" t="s">
        <v>43</v>
      </c>
      <c r="D4" t="s">
        <v>45</v>
      </c>
      <c r="E4" t="s">
        <v>20</v>
      </c>
      <c r="F4">
        <v>278</v>
      </c>
      <c r="G4">
        <v>8.39</v>
      </c>
      <c r="H4">
        <v>2332.42</v>
      </c>
      <c r="I4" t="s">
        <v>57</v>
      </c>
      <c r="J4" t="s">
        <v>34</v>
      </c>
      <c r="K4" t="s">
        <v>41</v>
      </c>
      <c r="L4">
        <v>1400.05</v>
      </c>
      <c r="M4">
        <v>40</v>
      </c>
      <c r="N4">
        <v>2025</v>
      </c>
      <c r="O4" t="s">
        <v>68</v>
      </c>
      <c r="P4">
        <v>932.37</v>
      </c>
      <c r="Q4" t="s">
        <v>25</v>
      </c>
      <c r="R4">
        <v>1.501603440694145</v>
      </c>
      <c r="S4" t="s">
        <v>78</v>
      </c>
    </row>
    <row r="5" spans="1:19" x14ac:dyDescent="0.25">
      <c r="A5">
        <v>45934</v>
      </c>
      <c r="B5" t="s">
        <v>58</v>
      </c>
      <c r="C5" t="s">
        <v>59</v>
      </c>
      <c r="D5" t="s">
        <v>49</v>
      </c>
      <c r="E5" t="s">
        <v>50</v>
      </c>
      <c r="F5">
        <v>66</v>
      </c>
      <c r="G5">
        <v>7.82</v>
      </c>
      <c r="H5">
        <v>516.12</v>
      </c>
      <c r="I5" t="s">
        <v>55</v>
      </c>
      <c r="J5" t="s">
        <v>47</v>
      </c>
      <c r="K5" t="s">
        <v>23</v>
      </c>
      <c r="L5">
        <v>407.7</v>
      </c>
      <c r="M5">
        <v>21</v>
      </c>
      <c r="N5">
        <v>2025</v>
      </c>
      <c r="O5" t="s">
        <v>68</v>
      </c>
      <c r="P5">
        <v>108.42</v>
      </c>
      <c r="Q5" t="s">
        <v>29</v>
      </c>
      <c r="R5">
        <v>3.7603763143331488</v>
      </c>
      <c r="S5" t="s">
        <v>78</v>
      </c>
    </row>
    <row r="6" spans="1:19" x14ac:dyDescent="0.25">
      <c r="A6">
        <v>45913</v>
      </c>
      <c r="B6" t="s">
        <v>35</v>
      </c>
      <c r="C6" t="s">
        <v>36</v>
      </c>
      <c r="D6" t="s">
        <v>53</v>
      </c>
      <c r="E6" t="s">
        <v>50</v>
      </c>
      <c r="F6">
        <v>327</v>
      </c>
      <c r="G6">
        <v>4.13</v>
      </c>
      <c r="H6">
        <v>1350.51</v>
      </c>
      <c r="I6" t="s">
        <v>55</v>
      </c>
      <c r="J6" t="s">
        <v>27</v>
      </c>
      <c r="K6" t="s">
        <v>23</v>
      </c>
      <c r="L6">
        <v>827.7</v>
      </c>
      <c r="M6">
        <v>38.700000000000003</v>
      </c>
      <c r="N6">
        <v>2025</v>
      </c>
      <c r="O6" t="s">
        <v>67</v>
      </c>
      <c r="P6">
        <v>522.80999999999995</v>
      </c>
      <c r="Q6" t="s">
        <v>25</v>
      </c>
      <c r="R6">
        <v>1.5831755322201184</v>
      </c>
      <c r="S6" t="s">
        <v>78</v>
      </c>
    </row>
    <row r="7" spans="1:19" x14ac:dyDescent="0.25">
      <c r="A7">
        <v>45884</v>
      </c>
      <c r="B7" t="s">
        <v>17</v>
      </c>
      <c r="C7" t="s">
        <v>18</v>
      </c>
      <c r="D7" t="s">
        <v>49</v>
      </c>
      <c r="E7" t="s">
        <v>50</v>
      </c>
      <c r="F7">
        <v>523</v>
      </c>
      <c r="G7">
        <v>8.6</v>
      </c>
      <c r="H7">
        <v>4497.8</v>
      </c>
      <c r="I7" t="s">
        <v>33</v>
      </c>
      <c r="J7" t="s">
        <v>40</v>
      </c>
      <c r="K7" t="s">
        <v>41</v>
      </c>
      <c r="L7">
        <v>3094.23</v>
      </c>
      <c r="M7">
        <v>31.2</v>
      </c>
      <c r="N7">
        <v>2025</v>
      </c>
      <c r="O7" t="s">
        <v>66</v>
      </c>
      <c r="P7">
        <v>1403.57</v>
      </c>
      <c r="Q7" t="s">
        <v>25</v>
      </c>
      <c r="R7">
        <v>2.2045427018246331</v>
      </c>
      <c r="S7" t="s">
        <v>78</v>
      </c>
    </row>
    <row r="8" spans="1:19" x14ac:dyDescent="0.25">
      <c r="A8">
        <v>45869</v>
      </c>
      <c r="B8" t="s">
        <v>51</v>
      </c>
      <c r="C8" t="s">
        <v>52</v>
      </c>
      <c r="D8" t="s">
        <v>37</v>
      </c>
      <c r="E8" t="s">
        <v>38</v>
      </c>
      <c r="F8">
        <v>110</v>
      </c>
      <c r="G8">
        <v>9.7899999999999991</v>
      </c>
      <c r="H8">
        <v>1076.9000000000001</v>
      </c>
      <c r="I8" t="s">
        <v>57</v>
      </c>
      <c r="J8" t="s">
        <v>40</v>
      </c>
      <c r="K8" t="s">
        <v>23</v>
      </c>
      <c r="L8">
        <v>902.08</v>
      </c>
      <c r="M8">
        <v>16.2</v>
      </c>
      <c r="N8">
        <v>2025</v>
      </c>
      <c r="O8" t="s">
        <v>65</v>
      </c>
      <c r="P8">
        <v>174.82</v>
      </c>
      <c r="Q8" t="s">
        <v>29</v>
      </c>
      <c r="R8">
        <v>5.1600503374899898</v>
      </c>
      <c r="S8" t="s">
        <v>78</v>
      </c>
    </row>
    <row r="9" spans="1:19" x14ac:dyDescent="0.25">
      <c r="A9">
        <v>45811</v>
      </c>
      <c r="B9" t="s">
        <v>17</v>
      </c>
      <c r="C9" t="s">
        <v>18</v>
      </c>
      <c r="D9" t="s">
        <v>19</v>
      </c>
      <c r="E9" t="s">
        <v>20</v>
      </c>
      <c r="F9">
        <v>459</v>
      </c>
      <c r="G9">
        <v>6.66</v>
      </c>
      <c r="H9">
        <v>3056.94</v>
      </c>
      <c r="I9" t="s">
        <v>57</v>
      </c>
      <c r="J9" t="s">
        <v>56</v>
      </c>
      <c r="K9" t="s">
        <v>41</v>
      </c>
      <c r="L9">
        <v>2355.52</v>
      </c>
      <c r="M9">
        <v>22.9</v>
      </c>
      <c r="N9">
        <v>2025</v>
      </c>
      <c r="O9" t="s">
        <v>64</v>
      </c>
      <c r="P9">
        <v>701.42</v>
      </c>
      <c r="Q9" t="s">
        <v>29</v>
      </c>
      <c r="R9">
        <v>3.358216190014542</v>
      </c>
      <c r="S9" t="s">
        <v>78</v>
      </c>
    </row>
    <row r="10" spans="1:19" x14ac:dyDescent="0.25">
      <c r="A10">
        <v>45807</v>
      </c>
      <c r="B10" t="s">
        <v>30</v>
      </c>
      <c r="C10" t="s">
        <v>31</v>
      </c>
      <c r="D10" t="s">
        <v>45</v>
      </c>
      <c r="E10" t="s">
        <v>20</v>
      </c>
      <c r="F10">
        <v>736</v>
      </c>
      <c r="G10">
        <v>11.75</v>
      </c>
      <c r="H10">
        <v>8648</v>
      </c>
      <c r="I10" t="s">
        <v>46</v>
      </c>
      <c r="J10" t="s">
        <v>34</v>
      </c>
      <c r="K10" t="s">
        <v>28</v>
      </c>
      <c r="L10">
        <v>5986.28</v>
      </c>
      <c r="M10">
        <v>30.8</v>
      </c>
      <c r="N10">
        <v>2025</v>
      </c>
      <c r="O10" t="s">
        <v>63</v>
      </c>
      <c r="P10">
        <v>2661.72</v>
      </c>
      <c r="Q10" t="s">
        <v>25</v>
      </c>
      <c r="R10">
        <v>2.2490269449829436</v>
      </c>
      <c r="S10" t="s">
        <v>78</v>
      </c>
    </row>
    <row r="11" spans="1:19" x14ac:dyDescent="0.25">
      <c r="A11">
        <v>45803</v>
      </c>
      <c r="B11" t="s">
        <v>35</v>
      </c>
      <c r="C11" t="s">
        <v>36</v>
      </c>
      <c r="D11" t="s">
        <v>45</v>
      </c>
      <c r="E11" t="s">
        <v>20</v>
      </c>
      <c r="F11">
        <v>188</v>
      </c>
      <c r="G11">
        <v>8.75</v>
      </c>
      <c r="H11">
        <v>1645</v>
      </c>
      <c r="I11" t="s">
        <v>57</v>
      </c>
      <c r="J11" t="s">
        <v>34</v>
      </c>
      <c r="K11" t="s">
        <v>23</v>
      </c>
      <c r="L11">
        <v>1059.5</v>
      </c>
      <c r="M11">
        <v>35.6</v>
      </c>
      <c r="N11">
        <v>2025</v>
      </c>
      <c r="O11" t="s">
        <v>63</v>
      </c>
      <c r="P11">
        <v>585.5</v>
      </c>
      <c r="Q11" t="s">
        <v>25</v>
      </c>
      <c r="R11">
        <v>1.8095644748078565</v>
      </c>
      <c r="S11" t="s">
        <v>78</v>
      </c>
    </row>
    <row r="12" spans="1:19" x14ac:dyDescent="0.25">
      <c r="A12">
        <v>45782</v>
      </c>
      <c r="B12" t="s">
        <v>17</v>
      </c>
      <c r="C12" t="s">
        <v>18</v>
      </c>
      <c r="D12" t="s">
        <v>32</v>
      </c>
      <c r="E12" t="s">
        <v>20</v>
      </c>
      <c r="F12">
        <v>699</v>
      </c>
      <c r="G12">
        <v>7.62</v>
      </c>
      <c r="H12">
        <v>5326.38</v>
      </c>
      <c r="I12" t="s">
        <v>57</v>
      </c>
      <c r="J12" t="s">
        <v>27</v>
      </c>
      <c r="K12" t="s">
        <v>41</v>
      </c>
      <c r="L12">
        <v>4203.4399999999996</v>
      </c>
      <c r="M12">
        <v>21.1</v>
      </c>
      <c r="N12">
        <v>2025</v>
      </c>
      <c r="O12" t="s">
        <v>63</v>
      </c>
      <c r="P12">
        <v>1122.94</v>
      </c>
      <c r="Q12" t="s">
        <v>29</v>
      </c>
      <c r="R12">
        <v>3.743245409371827</v>
      </c>
      <c r="S12" t="s">
        <v>78</v>
      </c>
    </row>
    <row r="13" spans="1:19" x14ac:dyDescent="0.25">
      <c r="A13">
        <v>45780</v>
      </c>
      <c r="B13" t="s">
        <v>30</v>
      </c>
      <c r="C13" t="s">
        <v>31</v>
      </c>
      <c r="D13" t="s">
        <v>19</v>
      </c>
      <c r="E13" t="s">
        <v>20</v>
      </c>
      <c r="F13">
        <v>569</v>
      </c>
      <c r="G13">
        <v>11.87</v>
      </c>
      <c r="H13">
        <v>6754.03</v>
      </c>
      <c r="I13" t="s">
        <v>46</v>
      </c>
      <c r="J13" t="s">
        <v>40</v>
      </c>
      <c r="K13" t="s">
        <v>28</v>
      </c>
      <c r="L13">
        <v>5274.51</v>
      </c>
      <c r="M13">
        <v>21.9</v>
      </c>
      <c r="N13">
        <v>2025</v>
      </c>
      <c r="O13" t="s">
        <v>63</v>
      </c>
      <c r="P13">
        <v>1479.52</v>
      </c>
      <c r="Q13" t="s">
        <v>29</v>
      </c>
      <c r="R13">
        <v>3.5650143289715586</v>
      </c>
      <c r="S13" t="s">
        <v>78</v>
      </c>
    </row>
    <row r="14" spans="1:19" x14ac:dyDescent="0.25">
      <c r="A14">
        <v>45762</v>
      </c>
      <c r="B14" t="s">
        <v>42</v>
      </c>
      <c r="C14" t="s">
        <v>43</v>
      </c>
      <c r="D14" t="s">
        <v>19</v>
      </c>
      <c r="E14" t="s">
        <v>20</v>
      </c>
      <c r="F14">
        <v>145</v>
      </c>
      <c r="G14">
        <v>4.18</v>
      </c>
      <c r="H14">
        <v>606.1</v>
      </c>
      <c r="I14" t="s">
        <v>21</v>
      </c>
      <c r="J14" t="s">
        <v>56</v>
      </c>
      <c r="K14" t="s">
        <v>23</v>
      </c>
      <c r="L14">
        <v>388.89</v>
      </c>
      <c r="M14">
        <v>35.799999999999997</v>
      </c>
      <c r="N14">
        <v>2025</v>
      </c>
      <c r="O14" t="s">
        <v>62</v>
      </c>
      <c r="P14">
        <v>217.21</v>
      </c>
      <c r="Q14" t="s">
        <v>25</v>
      </c>
      <c r="R14">
        <v>1.7903871829105473</v>
      </c>
      <c r="S14" t="s">
        <v>78</v>
      </c>
    </row>
    <row r="15" spans="1:19" x14ac:dyDescent="0.25">
      <c r="A15">
        <v>45754</v>
      </c>
      <c r="B15" t="s">
        <v>30</v>
      </c>
      <c r="C15" t="s">
        <v>31</v>
      </c>
      <c r="D15" t="s">
        <v>32</v>
      </c>
      <c r="E15" t="s">
        <v>20</v>
      </c>
      <c r="F15">
        <v>803</v>
      </c>
      <c r="G15">
        <v>2.17</v>
      </c>
      <c r="H15">
        <v>1742.51</v>
      </c>
      <c r="I15" t="s">
        <v>26</v>
      </c>
      <c r="J15" t="s">
        <v>47</v>
      </c>
      <c r="K15" t="s">
        <v>28</v>
      </c>
      <c r="L15">
        <v>1206.97</v>
      </c>
      <c r="M15">
        <v>30.7</v>
      </c>
      <c r="N15">
        <v>2025</v>
      </c>
      <c r="O15" t="s">
        <v>62</v>
      </c>
      <c r="P15">
        <v>535.54</v>
      </c>
      <c r="Q15" t="s">
        <v>25</v>
      </c>
      <c r="R15">
        <v>2.2537438846771485</v>
      </c>
      <c r="S15" t="s">
        <v>78</v>
      </c>
    </row>
    <row r="16" spans="1:19" x14ac:dyDescent="0.25">
      <c r="A16">
        <v>45748</v>
      </c>
      <c r="B16" t="s">
        <v>58</v>
      </c>
      <c r="C16" t="s">
        <v>59</v>
      </c>
      <c r="D16" t="s">
        <v>45</v>
      </c>
      <c r="E16" t="s">
        <v>20</v>
      </c>
      <c r="F16">
        <v>598</v>
      </c>
      <c r="G16">
        <v>4.3899999999999997</v>
      </c>
      <c r="H16">
        <v>2625.22</v>
      </c>
      <c r="I16" t="s">
        <v>33</v>
      </c>
      <c r="J16" t="s">
        <v>40</v>
      </c>
      <c r="K16" t="s">
        <v>23</v>
      </c>
      <c r="L16">
        <v>2330.1</v>
      </c>
      <c r="M16">
        <v>11.2</v>
      </c>
      <c r="N16">
        <v>2025</v>
      </c>
      <c r="O16" t="s">
        <v>62</v>
      </c>
      <c r="P16">
        <v>295.12</v>
      </c>
      <c r="Q16" t="s">
        <v>29</v>
      </c>
      <c r="R16">
        <v>7.895432366494985</v>
      </c>
      <c r="S16" t="s">
        <v>78</v>
      </c>
    </row>
    <row r="17" spans="1:19" x14ac:dyDescent="0.25">
      <c r="A17">
        <v>45741</v>
      </c>
      <c r="B17" t="s">
        <v>35</v>
      </c>
      <c r="C17" t="s">
        <v>36</v>
      </c>
      <c r="D17" t="s">
        <v>49</v>
      </c>
      <c r="E17" t="s">
        <v>50</v>
      </c>
      <c r="F17">
        <v>827</v>
      </c>
      <c r="G17">
        <v>4.76</v>
      </c>
      <c r="H17">
        <v>3936.52</v>
      </c>
      <c r="I17" t="s">
        <v>57</v>
      </c>
      <c r="J17" t="s">
        <v>47</v>
      </c>
      <c r="K17" t="s">
        <v>23</v>
      </c>
      <c r="L17">
        <v>3247.26</v>
      </c>
      <c r="M17">
        <v>17.5</v>
      </c>
      <c r="N17">
        <v>2025</v>
      </c>
      <c r="O17" t="s">
        <v>61</v>
      </c>
      <c r="P17">
        <v>689.26</v>
      </c>
      <c r="Q17" t="s">
        <v>29</v>
      </c>
      <c r="R17">
        <v>4.7112265328032965</v>
      </c>
      <c r="S17" t="s">
        <v>78</v>
      </c>
    </row>
    <row r="18" spans="1:19" x14ac:dyDescent="0.25">
      <c r="A18">
        <v>45729</v>
      </c>
      <c r="B18" t="s">
        <v>42</v>
      </c>
      <c r="C18" t="s">
        <v>43</v>
      </c>
      <c r="D18" t="s">
        <v>19</v>
      </c>
      <c r="E18" t="s">
        <v>20</v>
      </c>
      <c r="F18">
        <v>232</v>
      </c>
      <c r="G18">
        <v>9.56</v>
      </c>
      <c r="H18">
        <v>2217.92</v>
      </c>
      <c r="I18" t="s">
        <v>54</v>
      </c>
      <c r="J18" t="s">
        <v>56</v>
      </c>
      <c r="K18" t="s">
        <v>23</v>
      </c>
      <c r="L18">
        <v>1748.05</v>
      </c>
      <c r="M18">
        <v>21.2</v>
      </c>
      <c r="N18">
        <v>2025</v>
      </c>
      <c r="O18" t="s">
        <v>61</v>
      </c>
      <c r="P18">
        <v>469.87</v>
      </c>
      <c r="Q18" t="s">
        <v>29</v>
      </c>
      <c r="R18">
        <v>3.7202843339647136</v>
      </c>
      <c r="S18" t="s">
        <v>78</v>
      </c>
    </row>
    <row r="19" spans="1:19" x14ac:dyDescent="0.25">
      <c r="A19">
        <v>45713</v>
      </c>
      <c r="B19" t="s">
        <v>42</v>
      </c>
      <c r="C19" t="s">
        <v>43</v>
      </c>
      <c r="D19" t="s">
        <v>48</v>
      </c>
      <c r="E19" t="s">
        <v>38</v>
      </c>
      <c r="F19">
        <v>754</v>
      </c>
      <c r="G19">
        <v>4.24</v>
      </c>
      <c r="H19">
        <v>3196.96</v>
      </c>
      <c r="I19" t="s">
        <v>33</v>
      </c>
      <c r="J19" t="s">
        <v>22</v>
      </c>
      <c r="K19" t="s">
        <v>23</v>
      </c>
      <c r="L19">
        <v>2106.9299999999998</v>
      </c>
      <c r="M19">
        <v>34.1</v>
      </c>
      <c r="N19">
        <v>2025</v>
      </c>
      <c r="O19" t="s">
        <v>60</v>
      </c>
      <c r="P19">
        <v>1090.03</v>
      </c>
      <c r="Q19" t="s">
        <v>25</v>
      </c>
      <c r="R19">
        <v>1.9329101033916496</v>
      </c>
      <c r="S19" t="s">
        <v>78</v>
      </c>
    </row>
    <row r="20" spans="1:19" x14ac:dyDescent="0.25">
      <c r="A20">
        <v>45703</v>
      </c>
      <c r="B20" t="s">
        <v>51</v>
      </c>
      <c r="C20" t="s">
        <v>52</v>
      </c>
      <c r="D20" t="s">
        <v>44</v>
      </c>
      <c r="E20" t="s">
        <v>38</v>
      </c>
      <c r="F20">
        <v>544</v>
      </c>
      <c r="G20">
        <v>8.5299999999999994</v>
      </c>
      <c r="H20">
        <v>4640.32</v>
      </c>
      <c r="I20" t="s">
        <v>54</v>
      </c>
      <c r="J20" t="s">
        <v>47</v>
      </c>
      <c r="K20" t="s">
        <v>28</v>
      </c>
      <c r="L20">
        <v>4116.79</v>
      </c>
      <c r="M20">
        <v>11.3</v>
      </c>
      <c r="N20">
        <v>2025</v>
      </c>
      <c r="O20" t="s">
        <v>60</v>
      </c>
      <c r="P20">
        <v>523.53</v>
      </c>
      <c r="Q20" t="s">
        <v>29</v>
      </c>
      <c r="R20">
        <v>7.8635226252554773</v>
      </c>
      <c r="S20" t="s">
        <v>78</v>
      </c>
    </row>
    <row r="21" spans="1:19" x14ac:dyDescent="0.25">
      <c r="A21">
        <v>45698</v>
      </c>
      <c r="B21" t="s">
        <v>58</v>
      </c>
      <c r="C21" t="s">
        <v>59</v>
      </c>
      <c r="D21" t="s">
        <v>19</v>
      </c>
      <c r="E21" t="s">
        <v>20</v>
      </c>
      <c r="F21">
        <v>569</v>
      </c>
      <c r="G21">
        <v>6.67</v>
      </c>
      <c r="H21">
        <v>3795.23</v>
      </c>
      <c r="I21" t="s">
        <v>39</v>
      </c>
      <c r="J21" t="s">
        <v>27</v>
      </c>
      <c r="K21" t="s">
        <v>23</v>
      </c>
      <c r="L21">
        <v>2853.9</v>
      </c>
      <c r="M21">
        <v>24.8</v>
      </c>
      <c r="N21">
        <v>2025</v>
      </c>
      <c r="O21" t="s">
        <v>60</v>
      </c>
      <c r="P21">
        <v>941.33</v>
      </c>
      <c r="Q21" t="s">
        <v>29</v>
      </c>
      <c r="R21">
        <v>3.0317741918349568</v>
      </c>
      <c r="S21" t="s">
        <v>78</v>
      </c>
    </row>
    <row r="22" spans="1:19" x14ac:dyDescent="0.25">
      <c r="A22">
        <v>45696</v>
      </c>
      <c r="B22" t="s">
        <v>30</v>
      </c>
      <c r="C22" t="s">
        <v>31</v>
      </c>
      <c r="D22" t="s">
        <v>45</v>
      </c>
      <c r="E22" t="s">
        <v>20</v>
      </c>
      <c r="F22">
        <v>69</v>
      </c>
      <c r="G22">
        <v>4.4400000000000004</v>
      </c>
      <c r="H22">
        <v>306.36</v>
      </c>
      <c r="I22" t="s">
        <v>46</v>
      </c>
      <c r="J22" t="s">
        <v>27</v>
      </c>
      <c r="K22" t="s">
        <v>28</v>
      </c>
      <c r="L22">
        <v>217.28</v>
      </c>
      <c r="M22">
        <v>29.1</v>
      </c>
      <c r="N22">
        <v>2025</v>
      </c>
      <c r="O22" t="s">
        <v>60</v>
      </c>
      <c r="P22">
        <v>89.08</v>
      </c>
      <c r="Q22" t="s">
        <v>25</v>
      </c>
      <c r="R22">
        <v>2.439155814997755</v>
      </c>
      <c r="S22" t="s">
        <v>78</v>
      </c>
    </row>
    <row r="23" spans="1:19" x14ac:dyDescent="0.25">
      <c r="A23">
        <v>45666</v>
      </c>
      <c r="B23" t="s">
        <v>17</v>
      </c>
      <c r="C23" t="s">
        <v>18</v>
      </c>
      <c r="D23" t="s">
        <v>53</v>
      </c>
      <c r="E23" t="s">
        <v>50</v>
      </c>
      <c r="F23">
        <v>911</v>
      </c>
      <c r="G23">
        <v>3.11</v>
      </c>
      <c r="H23">
        <v>2833.21</v>
      </c>
      <c r="I23" t="s">
        <v>57</v>
      </c>
      <c r="J23" t="s">
        <v>56</v>
      </c>
      <c r="K23" t="s">
        <v>28</v>
      </c>
      <c r="L23">
        <v>1965.56</v>
      </c>
      <c r="M23">
        <v>30.6</v>
      </c>
      <c r="N23">
        <v>2025</v>
      </c>
      <c r="O23" t="s">
        <v>24</v>
      </c>
      <c r="P23">
        <v>867.65</v>
      </c>
      <c r="Q23" t="s">
        <v>25</v>
      </c>
      <c r="R23">
        <v>2.2653835071745521</v>
      </c>
      <c r="S23" t="s">
        <v>78</v>
      </c>
    </row>
    <row r="24" spans="1:19" x14ac:dyDescent="0.25">
      <c r="A24">
        <v>45664</v>
      </c>
      <c r="B24" t="s">
        <v>58</v>
      </c>
      <c r="C24" t="s">
        <v>59</v>
      </c>
      <c r="D24" t="s">
        <v>45</v>
      </c>
      <c r="E24" t="s">
        <v>20</v>
      </c>
      <c r="F24">
        <v>52</v>
      </c>
      <c r="G24">
        <v>9.65</v>
      </c>
      <c r="H24">
        <v>501.8</v>
      </c>
      <c r="I24" t="s">
        <v>39</v>
      </c>
      <c r="J24" t="s">
        <v>22</v>
      </c>
      <c r="K24" t="s">
        <v>28</v>
      </c>
      <c r="L24">
        <v>445.51</v>
      </c>
      <c r="M24">
        <v>11.2</v>
      </c>
      <c r="N24">
        <v>2025</v>
      </c>
      <c r="O24" t="s">
        <v>24</v>
      </c>
      <c r="P24">
        <v>56.29</v>
      </c>
      <c r="Q24" t="s">
        <v>29</v>
      </c>
      <c r="R24">
        <v>7.9145496535796767</v>
      </c>
      <c r="S24" t="s">
        <v>78</v>
      </c>
    </row>
    <row r="25" spans="1:19" x14ac:dyDescent="0.25">
      <c r="A25">
        <v>45664</v>
      </c>
      <c r="B25" t="s">
        <v>35</v>
      </c>
      <c r="C25" t="s">
        <v>36</v>
      </c>
      <c r="D25" t="s">
        <v>32</v>
      </c>
      <c r="E25" t="s">
        <v>20</v>
      </c>
      <c r="F25">
        <v>272</v>
      </c>
      <c r="G25">
        <v>6.01</v>
      </c>
      <c r="H25">
        <v>1634.72</v>
      </c>
      <c r="I25" t="s">
        <v>26</v>
      </c>
      <c r="J25" t="s">
        <v>27</v>
      </c>
      <c r="K25" t="s">
        <v>41</v>
      </c>
      <c r="L25">
        <v>1294.55</v>
      </c>
      <c r="M25">
        <v>20.8</v>
      </c>
      <c r="N25">
        <v>2025</v>
      </c>
      <c r="O25" t="s">
        <v>24</v>
      </c>
      <c r="P25">
        <v>340.17</v>
      </c>
      <c r="Q25" t="s">
        <v>29</v>
      </c>
      <c r="R25">
        <v>3.8055972013993</v>
      </c>
      <c r="S25" t="s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6D49-A964-4691-B91B-4AA7E02E048E}">
  <dimension ref="A1:S25"/>
  <sheetViews>
    <sheetView workbookViewId="0">
      <selection sqref="A1:S25"/>
    </sheetView>
  </sheetViews>
  <sheetFormatPr baseColWidth="10" defaultRowHeight="15" x14ac:dyDescent="0.25"/>
  <cols>
    <col min="3" max="3" width="12.7109375" customWidth="1"/>
    <col min="6" max="6" width="18.28515625" customWidth="1"/>
    <col min="7" max="7" width="19.28515625" customWidth="1"/>
    <col min="8" max="8" width="13.140625" customWidth="1"/>
    <col min="10" max="10" width="11.85546875" customWidth="1"/>
    <col min="12" max="12" width="19.140625" customWidth="1"/>
    <col min="13" max="13" width="13.140625" customWidth="1"/>
    <col min="16" max="17" width="14.5703125" customWidth="1"/>
    <col min="18" max="18" width="28" customWidth="1"/>
    <col min="19" max="19" width="24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71</v>
      </c>
      <c r="S1" t="s">
        <v>72</v>
      </c>
    </row>
    <row r="2" spans="1:19" x14ac:dyDescent="0.25">
      <c r="A2">
        <v>45960</v>
      </c>
      <c r="B2" t="s">
        <v>30</v>
      </c>
      <c r="C2" t="s">
        <v>31</v>
      </c>
      <c r="D2" t="s">
        <v>32</v>
      </c>
      <c r="E2" t="s">
        <v>20</v>
      </c>
      <c r="F2">
        <v>530</v>
      </c>
      <c r="G2">
        <v>3.51</v>
      </c>
      <c r="H2">
        <v>1860.3</v>
      </c>
      <c r="I2" t="s">
        <v>55</v>
      </c>
      <c r="J2" t="s">
        <v>47</v>
      </c>
      <c r="K2" t="s">
        <v>23</v>
      </c>
      <c r="L2">
        <v>1532.81</v>
      </c>
      <c r="M2">
        <v>17.600000000000001</v>
      </c>
      <c r="N2">
        <v>2025</v>
      </c>
      <c r="O2" t="s">
        <v>68</v>
      </c>
      <c r="P2">
        <v>327.49</v>
      </c>
      <c r="Q2" t="s">
        <v>29</v>
      </c>
      <c r="R2">
        <v>4.6804787932455953</v>
      </c>
      <c r="S2" t="s">
        <v>78</v>
      </c>
    </row>
    <row r="3" spans="1:19" x14ac:dyDescent="0.25">
      <c r="A3">
        <v>45943</v>
      </c>
      <c r="B3" t="s">
        <v>42</v>
      </c>
      <c r="C3" t="s">
        <v>43</v>
      </c>
      <c r="D3" t="s">
        <v>53</v>
      </c>
      <c r="E3" t="s">
        <v>50</v>
      </c>
      <c r="F3">
        <v>90</v>
      </c>
      <c r="G3">
        <v>9.35</v>
      </c>
      <c r="H3">
        <v>841.5</v>
      </c>
      <c r="I3" t="s">
        <v>46</v>
      </c>
      <c r="J3" t="s">
        <v>40</v>
      </c>
      <c r="K3" t="s">
        <v>23</v>
      </c>
      <c r="L3">
        <v>628.72</v>
      </c>
      <c r="M3">
        <v>25.3</v>
      </c>
      <c r="N3">
        <v>2025</v>
      </c>
      <c r="O3" t="s">
        <v>68</v>
      </c>
      <c r="P3">
        <v>212.78</v>
      </c>
      <c r="Q3" t="s">
        <v>25</v>
      </c>
      <c r="R3">
        <v>2.9547889839270609</v>
      </c>
      <c r="S3" t="s">
        <v>78</v>
      </c>
    </row>
    <row r="4" spans="1:19" x14ac:dyDescent="0.25">
      <c r="A4">
        <v>45938</v>
      </c>
      <c r="B4" t="s">
        <v>42</v>
      </c>
      <c r="C4" t="s">
        <v>43</v>
      </c>
      <c r="D4" t="s">
        <v>45</v>
      </c>
      <c r="E4" t="s">
        <v>20</v>
      </c>
      <c r="F4">
        <v>278</v>
      </c>
      <c r="G4">
        <v>8.39</v>
      </c>
      <c r="H4">
        <v>2332.42</v>
      </c>
      <c r="I4" t="s">
        <v>57</v>
      </c>
      <c r="J4" t="s">
        <v>34</v>
      </c>
      <c r="K4" t="s">
        <v>41</v>
      </c>
      <c r="L4">
        <v>1400.05</v>
      </c>
      <c r="M4">
        <v>40</v>
      </c>
      <c r="N4">
        <v>2025</v>
      </c>
      <c r="O4" t="s">
        <v>68</v>
      </c>
      <c r="P4">
        <v>932.37</v>
      </c>
      <c r="Q4" t="s">
        <v>25</v>
      </c>
      <c r="R4">
        <v>1.501603440694145</v>
      </c>
      <c r="S4" t="s">
        <v>78</v>
      </c>
    </row>
    <row r="5" spans="1:19" x14ac:dyDescent="0.25">
      <c r="A5">
        <v>45934</v>
      </c>
      <c r="B5" t="s">
        <v>58</v>
      </c>
      <c r="C5" t="s">
        <v>59</v>
      </c>
      <c r="D5" t="s">
        <v>49</v>
      </c>
      <c r="E5" t="s">
        <v>50</v>
      </c>
      <c r="F5">
        <v>66</v>
      </c>
      <c r="G5">
        <v>7.82</v>
      </c>
      <c r="H5">
        <v>516.12</v>
      </c>
      <c r="I5" t="s">
        <v>55</v>
      </c>
      <c r="J5" t="s">
        <v>47</v>
      </c>
      <c r="K5" t="s">
        <v>23</v>
      </c>
      <c r="L5">
        <v>407.7</v>
      </c>
      <c r="M5">
        <v>21</v>
      </c>
      <c r="N5">
        <v>2025</v>
      </c>
      <c r="O5" t="s">
        <v>68</v>
      </c>
      <c r="P5">
        <v>108.42</v>
      </c>
      <c r="Q5" t="s">
        <v>29</v>
      </c>
      <c r="R5">
        <v>3.7603763143331488</v>
      </c>
      <c r="S5" t="s">
        <v>78</v>
      </c>
    </row>
    <row r="6" spans="1:19" x14ac:dyDescent="0.25">
      <c r="A6">
        <v>45913</v>
      </c>
      <c r="B6" t="s">
        <v>35</v>
      </c>
      <c r="C6" t="s">
        <v>36</v>
      </c>
      <c r="D6" t="s">
        <v>53</v>
      </c>
      <c r="E6" t="s">
        <v>50</v>
      </c>
      <c r="F6">
        <v>327</v>
      </c>
      <c r="G6">
        <v>4.13</v>
      </c>
      <c r="H6">
        <v>1350.51</v>
      </c>
      <c r="I6" t="s">
        <v>55</v>
      </c>
      <c r="J6" t="s">
        <v>27</v>
      </c>
      <c r="K6" t="s">
        <v>23</v>
      </c>
      <c r="L6">
        <v>827.7</v>
      </c>
      <c r="M6">
        <v>38.700000000000003</v>
      </c>
      <c r="N6">
        <v>2025</v>
      </c>
      <c r="O6" t="s">
        <v>67</v>
      </c>
      <c r="P6">
        <v>522.80999999999995</v>
      </c>
      <c r="Q6" t="s">
        <v>25</v>
      </c>
      <c r="R6">
        <v>1.5831755322201184</v>
      </c>
      <c r="S6" t="s">
        <v>78</v>
      </c>
    </row>
    <row r="7" spans="1:19" x14ac:dyDescent="0.25">
      <c r="A7">
        <v>45884</v>
      </c>
      <c r="B7" t="s">
        <v>17</v>
      </c>
      <c r="C7" t="s">
        <v>18</v>
      </c>
      <c r="D7" t="s">
        <v>49</v>
      </c>
      <c r="E7" t="s">
        <v>50</v>
      </c>
      <c r="F7">
        <v>523</v>
      </c>
      <c r="G7">
        <v>8.6</v>
      </c>
      <c r="H7">
        <v>4497.8</v>
      </c>
      <c r="I7" t="s">
        <v>33</v>
      </c>
      <c r="J7" t="s">
        <v>40</v>
      </c>
      <c r="K7" t="s">
        <v>41</v>
      </c>
      <c r="L7">
        <v>3094.23</v>
      </c>
      <c r="M7">
        <v>31.2</v>
      </c>
      <c r="N7">
        <v>2025</v>
      </c>
      <c r="O7" t="s">
        <v>66</v>
      </c>
      <c r="P7">
        <v>1403.57</v>
      </c>
      <c r="Q7" t="s">
        <v>25</v>
      </c>
      <c r="R7">
        <v>2.2045427018246331</v>
      </c>
      <c r="S7" t="s">
        <v>78</v>
      </c>
    </row>
    <row r="8" spans="1:19" x14ac:dyDescent="0.25">
      <c r="A8">
        <v>45869</v>
      </c>
      <c r="B8" t="s">
        <v>51</v>
      </c>
      <c r="C8" t="s">
        <v>52</v>
      </c>
      <c r="D8" t="s">
        <v>37</v>
      </c>
      <c r="E8" t="s">
        <v>38</v>
      </c>
      <c r="F8">
        <v>110</v>
      </c>
      <c r="G8">
        <v>9.7899999999999991</v>
      </c>
      <c r="H8">
        <v>1076.9000000000001</v>
      </c>
      <c r="I8" t="s">
        <v>57</v>
      </c>
      <c r="J8" t="s">
        <v>40</v>
      </c>
      <c r="K8" t="s">
        <v>23</v>
      </c>
      <c r="L8">
        <v>902.08</v>
      </c>
      <c r="M8">
        <v>16.2</v>
      </c>
      <c r="N8">
        <v>2025</v>
      </c>
      <c r="O8" t="s">
        <v>65</v>
      </c>
      <c r="P8">
        <v>174.82</v>
      </c>
      <c r="Q8" t="s">
        <v>29</v>
      </c>
      <c r="R8">
        <v>5.1600503374899898</v>
      </c>
      <c r="S8" t="s">
        <v>78</v>
      </c>
    </row>
    <row r="9" spans="1:19" x14ac:dyDescent="0.25">
      <c r="A9">
        <v>45811</v>
      </c>
      <c r="B9" t="s">
        <v>17</v>
      </c>
      <c r="C9" t="s">
        <v>18</v>
      </c>
      <c r="D9" t="s">
        <v>19</v>
      </c>
      <c r="E9" t="s">
        <v>20</v>
      </c>
      <c r="F9">
        <v>459</v>
      </c>
      <c r="G9">
        <v>6.66</v>
      </c>
      <c r="H9">
        <v>3056.94</v>
      </c>
      <c r="I9" t="s">
        <v>57</v>
      </c>
      <c r="J9" t="s">
        <v>56</v>
      </c>
      <c r="K9" t="s">
        <v>41</v>
      </c>
      <c r="L9">
        <v>2355.52</v>
      </c>
      <c r="M9">
        <v>22.9</v>
      </c>
      <c r="N9">
        <v>2025</v>
      </c>
      <c r="O9" t="s">
        <v>64</v>
      </c>
      <c r="P9">
        <v>701.42</v>
      </c>
      <c r="Q9" t="s">
        <v>29</v>
      </c>
      <c r="R9">
        <v>3.358216190014542</v>
      </c>
      <c r="S9" t="s">
        <v>78</v>
      </c>
    </row>
    <row r="10" spans="1:19" x14ac:dyDescent="0.25">
      <c r="A10">
        <v>45807</v>
      </c>
      <c r="B10" t="s">
        <v>30</v>
      </c>
      <c r="C10" t="s">
        <v>31</v>
      </c>
      <c r="D10" t="s">
        <v>45</v>
      </c>
      <c r="E10" t="s">
        <v>20</v>
      </c>
      <c r="F10">
        <v>736</v>
      </c>
      <c r="G10">
        <v>11.75</v>
      </c>
      <c r="H10">
        <v>8648</v>
      </c>
      <c r="I10" t="s">
        <v>46</v>
      </c>
      <c r="J10" t="s">
        <v>34</v>
      </c>
      <c r="K10" t="s">
        <v>28</v>
      </c>
      <c r="L10">
        <v>5986.28</v>
      </c>
      <c r="M10">
        <v>30.8</v>
      </c>
      <c r="N10">
        <v>2025</v>
      </c>
      <c r="O10" t="s">
        <v>63</v>
      </c>
      <c r="P10">
        <v>2661.72</v>
      </c>
      <c r="Q10" t="s">
        <v>25</v>
      </c>
      <c r="R10">
        <v>2.2490269449829436</v>
      </c>
      <c r="S10" t="s">
        <v>78</v>
      </c>
    </row>
    <row r="11" spans="1:19" x14ac:dyDescent="0.25">
      <c r="A11">
        <v>45803</v>
      </c>
      <c r="B11" t="s">
        <v>35</v>
      </c>
      <c r="C11" t="s">
        <v>36</v>
      </c>
      <c r="D11" t="s">
        <v>45</v>
      </c>
      <c r="E11" t="s">
        <v>20</v>
      </c>
      <c r="F11">
        <v>188</v>
      </c>
      <c r="G11">
        <v>8.75</v>
      </c>
      <c r="H11">
        <v>1645</v>
      </c>
      <c r="I11" t="s">
        <v>57</v>
      </c>
      <c r="J11" t="s">
        <v>34</v>
      </c>
      <c r="K11" t="s">
        <v>23</v>
      </c>
      <c r="L11">
        <v>1059.5</v>
      </c>
      <c r="M11">
        <v>35.6</v>
      </c>
      <c r="N11">
        <v>2025</v>
      </c>
      <c r="O11" t="s">
        <v>63</v>
      </c>
      <c r="P11">
        <v>585.5</v>
      </c>
      <c r="Q11" t="s">
        <v>25</v>
      </c>
      <c r="R11">
        <v>1.8095644748078565</v>
      </c>
      <c r="S11" t="s">
        <v>78</v>
      </c>
    </row>
    <row r="12" spans="1:19" x14ac:dyDescent="0.25">
      <c r="A12">
        <v>45782</v>
      </c>
      <c r="B12" t="s">
        <v>17</v>
      </c>
      <c r="C12" t="s">
        <v>18</v>
      </c>
      <c r="D12" t="s">
        <v>32</v>
      </c>
      <c r="E12" t="s">
        <v>20</v>
      </c>
      <c r="F12">
        <v>699</v>
      </c>
      <c r="G12">
        <v>7.62</v>
      </c>
      <c r="H12">
        <v>5326.38</v>
      </c>
      <c r="I12" t="s">
        <v>57</v>
      </c>
      <c r="J12" t="s">
        <v>27</v>
      </c>
      <c r="K12" t="s">
        <v>41</v>
      </c>
      <c r="L12">
        <v>4203.4399999999996</v>
      </c>
      <c r="M12">
        <v>21.1</v>
      </c>
      <c r="N12">
        <v>2025</v>
      </c>
      <c r="O12" t="s">
        <v>63</v>
      </c>
      <c r="P12">
        <v>1122.94</v>
      </c>
      <c r="Q12" t="s">
        <v>29</v>
      </c>
      <c r="R12">
        <v>3.743245409371827</v>
      </c>
      <c r="S12" t="s">
        <v>78</v>
      </c>
    </row>
    <row r="13" spans="1:19" x14ac:dyDescent="0.25">
      <c r="A13">
        <v>45780</v>
      </c>
      <c r="B13" t="s">
        <v>30</v>
      </c>
      <c r="C13" t="s">
        <v>31</v>
      </c>
      <c r="D13" t="s">
        <v>19</v>
      </c>
      <c r="E13" t="s">
        <v>20</v>
      </c>
      <c r="F13">
        <v>569</v>
      </c>
      <c r="G13">
        <v>11.87</v>
      </c>
      <c r="H13">
        <v>6754.03</v>
      </c>
      <c r="I13" t="s">
        <v>46</v>
      </c>
      <c r="J13" t="s">
        <v>40</v>
      </c>
      <c r="K13" t="s">
        <v>28</v>
      </c>
      <c r="L13">
        <v>5274.51</v>
      </c>
      <c r="M13">
        <v>21.9</v>
      </c>
      <c r="N13">
        <v>2025</v>
      </c>
      <c r="O13" t="s">
        <v>63</v>
      </c>
      <c r="P13">
        <v>1479.52</v>
      </c>
      <c r="Q13" t="s">
        <v>29</v>
      </c>
      <c r="R13">
        <v>3.5650143289715586</v>
      </c>
      <c r="S13" t="s">
        <v>78</v>
      </c>
    </row>
    <row r="14" spans="1:19" x14ac:dyDescent="0.25">
      <c r="A14">
        <v>45762</v>
      </c>
      <c r="B14" t="s">
        <v>42</v>
      </c>
      <c r="C14" t="s">
        <v>43</v>
      </c>
      <c r="D14" t="s">
        <v>19</v>
      </c>
      <c r="E14" t="s">
        <v>20</v>
      </c>
      <c r="F14">
        <v>145</v>
      </c>
      <c r="G14">
        <v>4.18</v>
      </c>
      <c r="H14">
        <v>606.1</v>
      </c>
      <c r="I14" t="s">
        <v>21</v>
      </c>
      <c r="J14" t="s">
        <v>56</v>
      </c>
      <c r="K14" t="s">
        <v>23</v>
      </c>
      <c r="L14">
        <v>388.89</v>
      </c>
      <c r="M14">
        <v>35.799999999999997</v>
      </c>
      <c r="N14">
        <v>2025</v>
      </c>
      <c r="O14" t="s">
        <v>62</v>
      </c>
      <c r="P14">
        <v>217.21</v>
      </c>
      <c r="Q14" t="s">
        <v>25</v>
      </c>
      <c r="R14">
        <v>1.7903871829105473</v>
      </c>
      <c r="S14" t="s">
        <v>78</v>
      </c>
    </row>
    <row r="15" spans="1:19" x14ac:dyDescent="0.25">
      <c r="A15">
        <v>45754</v>
      </c>
      <c r="B15" t="s">
        <v>30</v>
      </c>
      <c r="C15" t="s">
        <v>31</v>
      </c>
      <c r="D15" t="s">
        <v>32</v>
      </c>
      <c r="E15" t="s">
        <v>20</v>
      </c>
      <c r="F15">
        <v>803</v>
      </c>
      <c r="G15">
        <v>2.17</v>
      </c>
      <c r="H15">
        <v>1742.51</v>
      </c>
      <c r="I15" t="s">
        <v>26</v>
      </c>
      <c r="J15" t="s">
        <v>47</v>
      </c>
      <c r="K15" t="s">
        <v>28</v>
      </c>
      <c r="L15">
        <v>1206.97</v>
      </c>
      <c r="M15">
        <v>30.7</v>
      </c>
      <c r="N15">
        <v>2025</v>
      </c>
      <c r="O15" t="s">
        <v>62</v>
      </c>
      <c r="P15">
        <v>535.54</v>
      </c>
      <c r="Q15" t="s">
        <v>25</v>
      </c>
      <c r="R15">
        <v>2.2537438846771485</v>
      </c>
      <c r="S15" t="s">
        <v>78</v>
      </c>
    </row>
    <row r="16" spans="1:19" x14ac:dyDescent="0.25">
      <c r="A16">
        <v>45748</v>
      </c>
      <c r="B16" t="s">
        <v>58</v>
      </c>
      <c r="C16" t="s">
        <v>59</v>
      </c>
      <c r="D16" t="s">
        <v>45</v>
      </c>
      <c r="E16" t="s">
        <v>20</v>
      </c>
      <c r="F16">
        <v>598</v>
      </c>
      <c r="G16">
        <v>4.3899999999999997</v>
      </c>
      <c r="H16">
        <v>2625.22</v>
      </c>
      <c r="I16" t="s">
        <v>33</v>
      </c>
      <c r="J16" t="s">
        <v>40</v>
      </c>
      <c r="K16" t="s">
        <v>23</v>
      </c>
      <c r="L16">
        <v>2330.1</v>
      </c>
      <c r="M16">
        <v>11.2</v>
      </c>
      <c r="N16">
        <v>2025</v>
      </c>
      <c r="O16" t="s">
        <v>62</v>
      </c>
      <c r="P16">
        <v>295.12</v>
      </c>
      <c r="Q16" t="s">
        <v>29</v>
      </c>
      <c r="R16">
        <v>7.895432366494985</v>
      </c>
      <c r="S16" t="s">
        <v>78</v>
      </c>
    </row>
    <row r="17" spans="1:19" x14ac:dyDescent="0.25">
      <c r="A17">
        <v>45741</v>
      </c>
      <c r="B17" t="s">
        <v>35</v>
      </c>
      <c r="C17" t="s">
        <v>36</v>
      </c>
      <c r="D17" t="s">
        <v>49</v>
      </c>
      <c r="E17" t="s">
        <v>50</v>
      </c>
      <c r="F17">
        <v>827</v>
      </c>
      <c r="G17">
        <v>4.76</v>
      </c>
      <c r="H17">
        <v>3936.52</v>
      </c>
      <c r="I17" t="s">
        <v>57</v>
      </c>
      <c r="J17" t="s">
        <v>47</v>
      </c>
      <c r="K17" t="s">
        <v>23</v>
      </c>
      <c r="L17">
        <v>3247.26</v>
      </c>
      <c r="M17">
        <v>17.5</v>
      </c>
      <c r="N17">
        <v>2025</v>
      </c>
      <c r="O17" t="s">
        <v>61</v>
      </c>
      <c r="P17">
        <v>689.26</v>
      </c>
      <c r="Q17" t="s">
        <v>29</v>
      </c>
      <c r="R17">
        <v>4.7112265328032965</v>
      </c>
      <c r="S17" t="s">
        <v>78</v>
      </c>
    </row>
    <row r="18" spans="1:19" x14ac:dyDescent="0.25">
      <c r="A18">
        <v>45729</v>
      </c>
      <c r="B18" t="s">
        <v>42</v>
      </c>
      <c r="C18" t="s">
        <v>43</v>
      </c>
      <c r="D18" t="s">
        <v>19</v>
      </c>
      <c r="E18" t="s">
        <v>20</v>
      </c>
      <c r="F18">
        <v>232</v>
      </c>
      <c r="G18">
        <v>9.56</v>
      </c>
      <c r="H18">
        <v>2217.92</v>
      </c>
      <c r="I18" t="s">
        <v>54</v>
      </c>
      <c r="J18" t="s">
        <v>56</v>
      </c>
      <c r="K18" t="s">
        <v>23</v>
      </c>
      <c r="L18">
        <v>1748.05</v>
      </c>
      <c r="M18">
        <v>21.2</v>
      </c>
      <c r="N18">
        <v>2025</v>
      </c>
      <c r="O18" t="s">
        <v>61</v>
      </c>
      <c r="P18">
        <v>469.87</v>
      </c>
      <c r="Q18" t="s">
        <v>29</v>
      </c>
      <c r="R18">
        <v>3.7202843339647136</v>
      </c>
      <c r="S18" t="s">
        <v>78</v>
      </c>
    </row>
    <row r="19" spans="1:19" x14ac:dyDescent="0.25">
      <c r="A19">
        <v>45713</v>
      </c>
      <c r="B19" t="s">
        <v>42</v>
      </c>
      <c r="C19" t="s">
        <v>43</v>
      </c>
      <c r="D19" t="s">
        <v>48</v>
      </c>
      <c r="E19" t="s">
        <v>38</v>
      </c>
      <c r="F19">
        <v>754</v>
      </c>
      <c r="G19">
        <v>4.24</v>
      </c>
      <c r="H19">
        <v>3196.96</v>
      </c>
      <c r="I19" t="s">
        <v>33</v>
      </c>
      <c r="J19" t="s">
        <v>22</v>
      </c>
      <c r="K19" t="s">
        <v>23</v>
      </c>
      <c r="L19">
        <v>2106.9299999999998</v>
      </c>
      <c r="M19">
        <v>34.1</v>
      </c>
      <c r="N19">
        <v>2025</v>
      </c>
      <c r="O19" t="s">
        <v>60</v>
      </c>
      <c r="P19">
        <v>1090.03</v>
      </c>
      <c r="Q19" t="s">
        <v>25</v>
      </c>
      <c r="R19">
        <v>1.9329101033916496</v>
      </c>
      <c r="S19" t="s">
        <v>78</v>
      </c>
    </row>
    <row r="20" spans="1:19" x14ac:dyDescent="0.25">
      <c r="A20">
        <v>45703</v>
      </c>
      <c r="B20" t="s">
        <v>51</v>
      </c>
      <c r="C20" t="s">
        <v>52</v>
      </c>
      <c r="D20" t="s">
        <v>44</v>
      </c>
      <c r="E20" t="s">
        <v>38</v>
      </c>
      <c r="F20">
        <v>544</v>
      </c>
      <c r="G20">
        <v>8.5299999999999994</v>
      </c>
      <c r="H20">
        <v>4640.32</v>
      </c>
      <c r="I20" t="s">
        <v>54</v>
      </c>
      <c r="J20" t="s">
        <v>47</v>
      </c>
      <c r="K20" t="s">
        <v>28</v>
      </c>
      <c r="L20">
        <v>4116.79</v>
      </c>
      <c r="M20">
        <v>11.3</v>
      </c>
      <c r="N20">
        <v>2025</v>
      </c>
      <c r="O20" t="s">
        <v>60</v>
      </c>
      <c r="P20">
        <v>523.53</v>
      </c>
      <c r="Q20" t="s">
        <v>29</v>
      </c>
      <c r="R20">
        <v>7.8635226252554773</v>
      </c>
      <c r="S20" t="s">
        <v>78</v>
      </c>
    </row>
    <row r="21" spans="1:19" x14ac:dyDescent="0.25">
      <c r="A21">
        <v>45698</v>
      </c>
      <c r="B21" t="s">
        <v>58</v>
      </c>
      <c r="C21" t="s">
        <v>59</v>
      </c>
      <c r="D21" t="s">
        <v>19</v>
      </c>
      <c r="E21" t="s">
        <v>20</v>
      </c>
      <c r="F21">
        <v>569</v>
      </c>
      <c r="G21">
        <v>6.67</v>
      </c>
      <c r="H21">
        <v>3795.23</v>
      </c>
      <c r="I21" t="s">
        <v>39</v>
      </c>
      <c r="J21" t="s">
        <v>27</v>
      </c>
      <c r="K21" t="s">
        <v>23</v>
      </c>
      <c r="L21">
        <v>2853.9</v>
      </c>
      <c r="M21">
        <v>24.8</v>
      </c>
      <c r="N21">
        <v>2025</v>
      </c>
      <c r="O21" t="s">
        <v>60</v>
      </c>
      <c r="P21">
        <v>941.33</v>
      </c>
      <c r="Q21" t="s">
        <v>29</v>
      </c>
      <c r="R21">
        <v>3.0317741918349568</v>
      </c>
      <c r="S21" t="s">
        <v>78</v>
      </c>
    </row>
    <row r="22" spans="1:19" x14ac:dyDescent="0.25">
      <c r="A22">
        <v>45696</v>
      </c>
      <c r="B22" t="s">
        <v>30</v>
      </c>
      <c r="C22" t="s">
        <v>31</v>
      </c>
      <c r="D22" t="s">
        <v>45</v>
      </c>
      <c r="E22" t="s">
        <v>20</v>
      </c>
      <c r="F22">
        <v>69</v>
      </c>
      <c r="G22">
        <v>4.4400000000000004</v>
      </c>
      <c r="H22">
        <v>306.36</v>
      </c>
      <c r="I22" t="s">
        <v>46</v>
      </c>
      <c r="J22" t="s">
        <v>27</v>
      </c>
      <c r="K22" t="s">
        <v>28</v>
      </c>
      <c r="L22">
        <v>217.28</v>
      </c>
      <c r="M22">
        <v>29.1</v>
      </c>
      <c r="N22">
        <v>2025</v>
      </c>
      <c r="O22" t="s">
        <v>60</v>
      </c>
      <c r="P22">
        <v>89.08</v>
      </c>
      <c r="Q22" t="s">
        <v>25</v>
      </c>
      <c r="R22">
        <v>2.439155814997755</v>
      </c>
      <c r="S22" t="s">
        <v>78</v>
      </c>
    </row>
    <row r="23" spans="1:19" x14ac:dyDescent="0.25">
      <c r="A23">
        <v>45666</v>
      </c>
      <c r="B23" t="s">
        <v>17</v>
      </c>
      <c r="C23" t="s">
        <v>18</v>
      </c>
      <c r="D23" t="s">
        <v>53</v>
      </c>
      <c r="E23" t="s">
        <v>50</v>
      </c>
      <c r="F23">
        <v>911</v>
      </c>
      <c r="G23">
        <v>3.11</v>
      </c>
      <c r="H23">
        <v>2833.21</v>
      </c>
      <c r="I23" t="s">
        <v>57</v>
      </c>
      <c r="J23" t="s">
        <v>56</v>
      </c>
      <c r="K23" t="s">
        <v>28</v>
      </c>
      <c r="L23">
        <v>1965.56</v>
      </c>
      <c r="M23">
        <v>30.6</v>
      </c>
      <c r="N23">
        <v>2025</v>
      </c>
      <c r="O23" t="s">
        <v>24</v>
      </c>
      <c r="P23">
        <v>867.65</v>
      </c>
      <c r="Q23" t="s">
        <v>25</v>
      </c>
      <c r="R23">
        <v>2.2653835071745521</v>
      </c>
      <c r="S23" t="s">
        <v>78</v>
      </c>
    </row>
    <row r="24" spans="1:19" x14ac:dyDescent="0.25">
      <c r="A24">
        <v>45664</v>
      </c>
      <c r="B24" t="s">
        <v>58</v>
      </c>
      <c r="C24" t="s">
        <v>59</v>
      </c>
      <c r="D24" t="s">
        <v>45</v>
      </c>
      <c r="E24" t="s">
        <v>20</v>
      </c>
      <c r="F24">
        <v>52</v>
      </c>
      <c r="G24">
        <v>9.65</v>
      </c>
      <c r="H24">
        <v>501.8</v>
      </c>
      <c r="I24" t="s">
        <v>39</v>
      </c>
      <c r="J24" t="s">
        <v>22</v>
      </c>
      <c r="K24" t="s">
        <v>28</v>
      </c>
      <c r="L24">
        <v>445.51</v>
      </c>
      <c r="M24">
        <v>11.2</v>
      </c>
      <c r="N24">
        <v>2025</v>
      </c>
      <c r="O24" t="s">
        <v>24</v>
      </c>
      <c r="P24">
        <v>56.29</v>
      </c>
      <c r="Q24" t="s">
        <v>29</v>
      </c>
      <c r="R24">
        <v>7.9145496535796767</v>
      </c>
      <c r="S24" t="s">
        <v>78</v>
      </c>
    </row>
    <row r="25" spans="1:19" x14ac:dyDescent="0.25">
      <c r="A25">
        <v>45664</v>
      </c>
      <c r="B25" t="s">
        <v>35</v>
      </c>
      <c r="C25" t="s">
        <v>36</v>
      </c>
      <c r="D25" t="s">
        <v>32</v>
      </c>
      <c r="E25" t="s">
        <v>20</v>
      </c>
      <c r="F25">
        <v>272</v>
      </c>
      <c r="G25">
        <v>6.01</v>
      </c>
      <c r="H25">
        <v>1634.72</v>
      </c>
      <c r="I25" t="s">
        <v>26</v>
      </c>
      <c r="J25" t="s">
        <v>27</v>
      </c>
      <c r="K25" t="s">
        <v>41</v>
      </c>
      <c r="L25">
        <v>1294.55</v>
      </c>
      <c r="M25">
        <v>20.8</v>
      </c>
      <c r="N25">
        <v>2025</v>
      </c>
      <c r="O25" t="s">
        <v>24</v>
      </c>
      <c r="P25">
        <v>340.17</v>
      </c>
      <c r="Q25" t="s">
        <v>29</v>
      </c>
      <c r="R25">
        <v>3.8055972013993</v>
      </c>
      <c r="S25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BAD6-D694-4E21-BBF9-8CBA65CDFB28}">
  <dimension ref="A1:T5501"/>
  <sheetViews>
    <sheetView workbookViewId="0">
      <selection sqref="A1:T5501"/>
    </sheetView>
  </sheetViews>
  <sheetFormatPr baseColWidth="10" defaultRowHeight="15" x14ac:dyDescent="0.25"/>
  <cols>
    <col min="3" max="3" width="12.7109375" customWidth="1"/>
    <col min="6" max="6" width="18.28515625" customWidth="1"/>
    <col min="7" max="7" width="19.28515625" customWidth="1"/>
    <col min="8" max="8" width="13.140625" customWidth="1"/>
    <col min="10" max="10" width="11.85546875" customWidth="1"/>
    <col min="12" max="12" width="19.140625" customWidth="1"/>
    <col min="13" max="13" width="13.140625" customWidth="1"/>
    <col min="15" max="15" width="11.85546875" customWidth="1"/>
    <col min="17" max="18" width="14.5703125" customWidth="1"/>
    <col min="19" max="19" width="28" customWidth="1"/>
    <col min="20" max="20" width="24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80</v>
      </c>
      <c r="P1" t="s">
        <v>14</v>
      </c>
      <c r="Q1" t="s">
        <v>15</v>
      </c>
      <c r="R1" t="s">
        <v>16</v>
      </c>
      <c r="S1" t="s">
        <v>71</v>
      </c>
      <c r="T1" t="s">
        <v>72</v>
      </c>
    </row>
    <row r="2" spans="1:20" x14ac:dyDescent="0.25">
      <c r="A2" s="11">
        <v>45109</v>
      </c>
      <c r="B2" t="s">
        <v>17</v>
      </c>
      <c r="C2" t="s">
        <v>18</v>
      </c>
      <c r="D2" t="s">
        <v>53</v>
      </c>
      <c r="E2" t="s">
        <v>50</v>
      </c>
      <c r="F2">
        <v>973</v>
      </c>
      <c r="G2">
        <v>11.3</v>
      </c>
      <c r="H2">
        <v>10994.9</v>
      </c>
      <c r="I2" t="s">
        <v>26</v>
      </c>
      <c r="J2" t="s">
        <v>47</v>
      </c>
      <c r="K2" t="s">
        <v>28</v>
      </c>
      <c r="L2">
        <v>6812.56</v>
      </c>
      <c r="M2">
        <v>38</v>
      </c>
      <c r="N2">
        <v>2024</v>
      </c>
      <c r="O2">
        <v>3</v>
      </c>
      <c r="P2" t="s">
        <v>61</v>
      </c>
      <c r="Q2">
        <v>4182.34</v>
      </c>
      <c r="R2" t="s">
        <v>25</v>
      </c>
      <c r="S2">
        <v>1.6288871779912681</v>
      </c>
      <c r="T2" t="s">
        <v>78</v>
      </c>
    </row>
    <row r="3" spans="1:20" x14ac:dyDescent="0.25">
      <c r="A3" s="11">
        <v>44974</v>
      </c>
      <c r="B3" t="s">
        <v>51</v>
      </c>
      <c r="C3" t="s">
        <v>52</v>
      </c>
      <c r="D3" t="s">
        <v>49</v>
      </c>
      <c r="E3" t="s">
        <v>50</v>
      </c>
      <c r="F3">
        <v>985</v>
      </c>
      <c r="G3">
        <v>10.94</v>
      </c>
      <c r="H3">
        <v>10775.9</v>
      </c>
      <c r="I3" t="s">
        <v>54</v>
      </c>
      <c r="J3" t="s">
        <v>34</v>
      </c>
      <c r="K3" t="s">
        <v>28</v>
      </c>
      <c r="L3">
        <v>6892.01</v>
      </c>
      <c r="M3">
        <v>36</v>
      </c>
      <c r="N3">
        <v>2023</v>
      </c>
      <c r="O3">
        <v>1</v>
      </c>
      <c r="P3" t="s">
        <v>60</v>
      </c>
      <c r="Q3">
        <v>3883.89</v>
      </c>
      <c r="R3" t="s">
        <v>25</v>
      </c>
      <c r="S3">
        <v>1.7745121514769986</v>
      </c>
      <c r="T3" t="s">
        <v>78</v>
      </c>
    </row>
    <row r="4" spans="1:20" x14ac:dyDescent="0.25">
      <c r="A4" s="11">
        <v>45119</v>
      </c>
      <c r="B4" t="s">
        <v>58</v>
      </c>
      <c r="C4" t="s">
        <v>59</v>
      </c>
      <c r="D4" t="s">
        <v>53</v>
      </c>
      <c r="E4" t="s">
        <v>50</v>
      </c>
      <c r="F4">
        <v>888</v>
      </c>
      <c r="G4">
        <v>11.35</v>
      </c>
      <c r="H4">
        <v>10078.799999999999</v>
      </c>
      <c r="I4" t="s">
        <v>57</v>
      </c>
      <c r="J4" t="s">
        <v>27</v>
      </c>
      <c r="K4" t="s">
        <v>23</v>
      </c>
      <c r="L4">
        <v>6275.67</v>
      </c>
      <c r="M4">
        <v>37.700000000000003</v>
      </c>
      <c r="N4">
        <v>2024</v>
      </c>
      <c r="O4">
        <v>3</v>
      </c>
      <c r="P4" t="s">
        <v>64</v>
      </c>
      <c r="Q4">
        <v>3803.13</v>
      </c>
      <c r="R4" t="s">
        <v>25</v>
      </c>
      <c r="S4">
        <v>1.6501329168342918</v>
      </c>
      <c r="T4" t="s">
        <v>78</v>
      </c>
    </row>
    <row r="5" spans="1:20" x14ac:dyDescent="0.25">
      <c r="A5" s="11">
        <v>45022</v>
      </c>
      <c r="B5" t="s">
        <v>51</v>
      </c>
      <c r="C5" t="s">
        <v>52</v>
      </c>
      <c r="D5" t="s">
        <v>19</v>
      </c>
      <c r="E5" t="s">
        <v>20</v>
      </c>
      <c r="F5">
        <v>994</v>
      </c>
      <c r="G5">
        <v>11.81</v>
      </c>
      <c r="H5">
        <v>11739.14</v>
      </c>
      <c r="I5" t="s">
        <v>46</v>
      </c>
      <c r="J5" t="s">
        <v>47</v>
      </c>
      <c r="K5" t="s">
        <v>23</v>
      </c>
      <c r="L5">
        <v>8186.17</v>
      </c>
      <c r="M5">
        <v>30.3</v>
      </c>
      <c r="N5">
        <v>2023</v>
      </c>
      <c r="O5">
        <v>2</v>
      </c>
      <c r="P5" t="s">
        <v>63</v>
      </c>
      <c r="Q5">
        <v>3552.97</v>
      </c>
      <c r="R5" t="s">
        <v>25</v>
      </c>
      <c r="S5">
        <v>2.304035778517691</v>
      </c>
      <c r="T5" t="s">
        <v>78</v>
      </c>
    </row>
    <row r="6" spans="1:20" x14ac:dyDescent="0.25">
      <c r="A6" s="11">
        <v>45086</v>
      </c>
      <c r="B6" t="s">
        <v>30</v>
      </c>
      <c r="C6" t="s">
        <v>31</v>
      </c>
      <c r="D6" t="s">
        <v>53</v>
      </c>
      <c r="E6" t="s">
        <v>50</v>
      </c>
      <c r="F6">
        <v>861</v>
      </c>
      <c r="G6">
        <v>11.09</v>
      </c>
      <c r="H6">
        <v>9548.49</v>
      </c>
      <c r="I6" t="s">
        <v>33</v>
      </c>
      <c r="J6" t="s">
        <v>40</v>
      </c>
      <c r="K6" t="s">
        <v>23</v>
      </c>
      <c r="L6">
        <v>6043.37</v>
      </c>
      <c r="M6">
        <v>36.700000000000003</v>
      </c>
      <c r="N6">
        <v>2023</v>
      </c>
      <c r="O6">
        <v>2</v>
      </c>
      <c r="P6" t="s">
        <v>69</v>
      </c>
      <c r="Q6">
        <v>3505.12</v>
      </c>
      <c r="R6" t="s">
        <v>25</v>
      </c>
      <c r="S6">
        <v>1.7241549504724518</v>
      </c>
      <c r="T6" t="s">
        <v>78</v>
      </c>
    </row>
    <row r="7" spans="1:20" x14ac:dyDescent="0.25">
      <c r="A7" s="11">
        <v>45109</v>
      </c>
      <c r="B7" t="s">
        <v>58</v>
      </c>
      <c r="C7" t="s">
        <v>59</v>
      </c>
      <c r="D7" t="s">
        <v>53</v>
      </c>
      <c r="E7" t="s">
        <v>50</v>
      </c>
      <c r="F7">
        <v>988</v>
      </c>
      <c r="G7">
        <v>11.95</v>
      </c>
      <c r="H7">
        <v>11806.6</v>
      </c>
      <c r="I7" t="s">
        <v>26</v>
      </c>
      <c r="J7" t="s">
        <v>47</v>
      </c>
      <c r="K7" t="s">
        <v>23</v>
      </c>
      <c r="L7">
        <v>8378.17</v>
      </c>
      <c r="M7">
        <v>29</v>
      </c>
      <c r="N7">
        <v>2024</v>
      </c>
      <c r="O7">
        <v>3</v>
      </c>
      <c r="P7" t="s">
        <v>61</v>
      </c>
      <c r="Q7">
        <v>3428.43</v>
      </c>
      <c r="R7" t="s">
        <v>25</v>
      </c>
      <c r="S7">
        <v>2.443733720682645</v>
      </c>
      <c r="T7" t="s">
        <v>78</v>
      </c>
    </row>
    <row r="8" spans="1:20" x14ac:dyDescent="0.25">
      <c r="A8" s="11">
        <v>44978</v>
      </c>
      <c r="B8" t="s">
        <v>58</v>
      </c>
      <c r="C8" t="s">
        <v>59</v>
      </c>
      <c r="D8" t="s">
        <v>32</v>
      </c>
      <c r="E8" t="s">
        <v>20</v>
      </c>
      <c r="F8">
        <v>949</v>
      </c>
      <c r="G8">
        <v>9.84</v>
      </c>
      <c r="H8">
        <v>9338.16</v>
      </c>
      <c r="I8" t="s">
        <v>21</v>
      </c>
      <c r="J8" t="s">
        <v>47</v>
      </c>
      <c r="K8" t="s">
        <v>28</v>
      </c>
      <c r="L8">
        <v>5930.01</v>
      </c>
      <c r="M8">
        <v>36.5</v>
      </c>
      <c r="N8">
        <v>2023</v>
      </c>
      <c r="O8">
        <v>1</v>
      </c>
      <c r="P8" t="s">
        <v>61</v>
      </c>
      <c r="Q8">
        <v>3408.15</v>
      </c>
      <c r="R8" t="s">
        <v>25</v>
      </c>
      <c r="S8">
        <v>1.7399498261520179</v>
      </c>
      <c r="T8" t="s">
        <v>78</v>
      </c>
    </row>
    <row r="9" spans="1:20" x14ac:dyDescent="0.25">
      <c r="A9" s="11">
        <v>45060</v>
      </c>
      <c r="B9" t="s">
        <v>35</v>
      </c>
      <c r="C9" t="s">
        <v>36</v>
      </c>
      <c r="D9" t="s">
        <v>49</v>
      </c>
      <c r="E9" t="s">
        <v>50</v>
      </c>
      <c r="F9">
        <v>839</v>
      </c>
      <c r="G9">
        <v>10.8</v>
      </c>
      <c r="H9">
        <v>9061.2000000000007</v>
      </c>
      <c r="I9" t="s">
        <v>46</v>
      </c>
      <c r="J9" t="s">
        <v>34</v>
      </c>
      <c r="K9" t="s">
        <v>28</v>
      </c>
      <c r="L9">
        <v>5719.77</v>
      </c>
      <c r="M9">
        <v>36.9</v>
      </c>
      <c r="N9">
        <v>2023</v>
      </c>
      <c r="O9">
        <v>2</v>
      </c>
      <c r="P9" t="s">
        <v>65</v>
      </c>
      <c r="Q9">
        <v>3341.43</v>
      </c>
      <c r="R9" t="s">
        <v>25</v>
      </c>
      <c r="S9">
        <v>1.7117731031324914</v>
      </c>
      <c r="T9" t="s">
        <v>78</v>
      </c>
    </row>
    <row r="10" spans="1:20" x14ac:dyDescent="0.25">
      <c r="A10" s="11">
        <v>44947</v>
      </c>
      <c r="B10" t="s">
        <v>51</v>
      </c>
      <c r="C10" t="s">
        <v>52</v>
      </c>
      <c r="D10" t="s">
        <v>44</v>
      </c>
      <c r="E10" t="s">
        <v>38</v>
      </c>
      <c r="F10">
        <v>891</v>
      </c>
      <c r="G10">
        <v>11.41</v>
      </c>
      <c r="H10">
        <v>10166.31</v>
      </c>
      <c r="I10" t="s">
        <v>33</v>
      </c>
      <c r="J10" t="s">
        <v>22</v>
      </c>
      <c r="K10" t="s">
        <v>23</v>
      </c>
      <c r="L10">
        <v>6836.52</v>
      </c>
      <c r="M10">
        <v>32.799999999999997</v>
      </c>
      <c r="N10">
        <v>2023</v>
      </c>
      <c r="O10">
        <v>1</v>
      </c>
      <c r="P10" t="s">
        <v>24</v>
      </c>
      <c r="Q10">
        <v>3329.79</v>
      </c>
      <c r="R10" t="s">
        <v>25</v>
      </c>
      <c r="S10">
        <v>2.0531384862108424</v>
      </c>
      <c r="T10" t="s">
        <v>78</v>
      </c>
    </row>
    <row r="11" spans="1:20" x14ac:dyDescent="0.25">
      <c r="A11" s="11">
        <v>44945</v>
      </c>
      <c r="B11" t="s">
        <v>35</v>
      </c>
      <c r="C11" t="s">
        <v>36</v>
      </c>
      <c r="D11" t="s">
        <v>37</v>
      </c>
      <c r="E11" t="s">
        <v>38</v>
      </c>
      <c r="F11">
        <v>803</v>
      </c>
      <c r="G11">
        <v>11.37</v>
      </c>
      <c r="H11">
        <v>9130.11</v>
      </c>
      <c r="I11" t="s">
        <v>54</v>
      </c>
      <c r="J11" t="s">
        <v>47</v>
      </c>
      <c r="K11" t="s">
        <v>23</v>
      </c>
      <c r="L11">
        <v>5825.84</v>
      </c>
      <c r="M11">
        <v>36.200000000000003</v>
      </c>
      <c r="N11">
        <v>2023</v>
      </c>
      <c r="O11">
        <v>1</v>
      </c>
      <c r="P11" t="s">
        <v>24</v>
      </c>
      <c r="Q11">
        <v>3304.27</v>
      </c>
      <c r="R11" t="s">
        <v>25</v>
      </c>
      <c r="S11">
        <v>1.7631246841208497</v>
      </c>
      <c r="T11" t="s">
        <v>78</v>
      </c>
    </row>
    <row r="12" spans="1:20" x14ac:dyDescent="0.25">
      <c r="A12" s="11">
        <v>44946</v>
      </c>
      <c r="B12" t="s">
        <v>30</v>
      </c>
      <c r="C12" t="s">
        <v>31</v>
      </c>
      <c r="D12" t="s">
        <v>45</v>
      </c>
      <c r="E12" t="s">
        <v>20</v>
      </c>
      <c r="F12">
        <v>954</v>
      </c>
      <c r="G12">
        <v>10.55</v>
      </c>
      <c r="H12">
        <v>10064.700000000001</v>
      </c>
      <c r="I12" t="s">
        <v>57</v>
      </c>
      <c r="J12" t="s">
        <v>34</v>
      </c>
      <c r="K12" t="s">
        <v>23</v>
      </c>
      <c r="L12">
        <v>6815.41</v>
      </c>
      <c r="M12">
        <v>32.299999999999997</v>
      </c>
      <c r="N12">
        <v>2023</v>
      </c>
      <c r="O12">
        <v>1</v>
      </c>
      <c r="P12" t="s">
        <v>24</v>
      </c>
      <c r="Q12">
        <v>3249.29</v>
      </c>
      <c r="R12" t="s">
        <v>25</v>
      </c>
      <c r="S12">
        <v>2.0975074554748883</v>
      </c>
      <c r="T12" t="s">
        <v>78</v>
      </c>
    </row>
    <row r="13" spans="1:20" x14ac:dyDescent="0.25">
      <c r="A13" s="11">
        <v>45026</v>
      </c>
      <c r="B13" t="s">
        <v>35</v>
      </c>
      <c r="C13" t="s">
        <v>36</v>
      </c>
      <c r="D13" t="s">
        <v>45</v>
      </c>
      <c r="E13" t="s">
        <v>20</v>
      </c>
      <c r="F13">
        <v>838</v>
      </c>
      <c r="G13">
        <v>10.74</v>
      </c>
      <c r="H13">
        <v>9000.1200000000008</v>
      </c>
      <c r="I13" t="s">
        <v>46</v>
      </c>
      <c r="J13" t="s">
        <v>22</v>
      </c>
      <c r="K13" t="s">
        <v>23</v>
      </c>
      <c r="L13">
        <v>5768.15</v>
      </c>
      <c r="M13">
        <v>35.9</v>
      </c>
      <c r="N13">
        <v>2023</v>
      </c>
      <c r="O13">
        <v>2</v>
      </c>
      <c r="P13" t="s">
        <v>63</v>
      </c>
      <c r="Q13">
        <v>3231.97</v>
      </c>
      <c r="R13" t="s">
        <v>25</v>
      </c>
      <c r="S13">
        <v>1.7847164422937094</v>
      </c>
      <c r="T13" t="s">
        <v>78</v>
      </c>
    </row>
    <row r="14" spans="1:20" x14ac:dyDescent="0.25">
      <c r="A14" s="11">
        <v>44976</v>
      </c>
      <c r="B14" t="s">
        <v>42</v>
      </c>
      <c r="C14" t="s">
        <v>43</v>
      </c>
      <c r="D14" t="s">
        <v>19</v>
      </c>
      <c r="E14" t="s">
        <v>20</v>
      </c>
      <c r="F14">
        <v>704</v>
      </c>
      <c r="G14">
        <v>11.83</v>
      </c>
      <c r="H14">
        <v>8328.32</v>
      </c>
      <c r="I14" t="s">
        <v>54</v>
      </c>
      <c r="J14" t="s">
        <v>34</v>
      </c>
      <c r="K14" t="s">
        <v>23</v>
      </c>
      <c r="L14">
        <v>5192.47</v>
      </c>
      <c r="M14">
        <v>37.700000000000003</v>
      </c>
      <c r="N14">
        <v>2023</v>
      </c>
      <c r="O14">
        <v>1</v>
      </c>
      <c r="P14" t="s">
        <v>60</v>
      </c>
      <c r="Q14">
        <v>3135.85</v>
      </c>
      <c r="R14" t="s">
        <v>25</v>
      </c>
      <c r="S14">
        <v>1.6558413189406382</v>
      </c>
      <c r="T14" t="s">
        <v>78</v>
      </c>
    </row>
    <row r="15" spans="1:20" x14ac:dyDescent="0.25">
      <c r="A15" s="11">
        <v>45069</v>
      </c>
      <c r="B15" t="s">
        <v>17</v>
      </c>
      <c r="C15" t="s">
        <v>18</v>
      </c>
      <c r="D15" t="s">
        <v>19</v>
      </c>
      <c r="E15" t="s">
        <v>20</v>
      </c>
      <c r="F15">
        <v>887</v>
      </c>
      <c r="G15">
        <v>10.96</v>
      </c>
      <c r="H15">
        <v>9721.52</v>
      </c>
      <c r="I15" t="s">
        <v>55</v>
      </c>
      <c r="J15" t="s">
        <v>34</v>
      </c>
      <c r="K15" t="s">
        <v>23</v>
      </c>
      <c r="L15">
        <v>6588.28</v>
      </c>
      <c r="M15">
        <v>32.200000000000003</v>
      </c>
      <c r="N15">
        <v>2023</v>
      </c>
      <c r="O15">
        <v>2</v>
      </c>
      <c r="P15" t="s">
        <v>66</v>
      </c>
      <c r="Q15">
        <v>3133.24</v>
      </c>
      <c r="R15" t="s">
        <v>25</v>
      </c>
      <c r="S15">
        <v>2.102705186963016</v>
      </c>
      <c r="T15" t="s">
        <v>78</v>
      </c>
    </row>
    <row r="16" spans="1:20" x14ac:dyDescent="0.25">
      <c r="A16" s="11">
        <v>45118</v>
      </c>
      <c r="B16" t="s">
        <v>58</v>
      </c>
      <c r="C16" t="s">
        <v>59</v>
      </c>
      <c r="D16" t="s">
        <v>44</v>
      </c>
      <c r="E16" t="s">
        <v>38</v>
      </c>
      <c r="F16">
        <v>717</v>
      </c>
      <c r="G16">
        <v>11.84</v>
      </c>
      <c r="H16">
        <v>8489.2800000000007</v>
      </c>
      <c r="I16" t="s">
        <v>21</v>
      </c>
      <c r="J16" t="s">
        <v>27</v>
      </c>
      <c r="K16" t="s">
        <v>23</v>
      </c>
      <c r="L16">
        <v>5430.55</v>
      </c>
      <c r="M16">
        <v>36</v>
      </c>
      <c r="N16">
        <v>2024</v>
      </c>
      <c r="O16">
        <v>3</v>
      </c>
      <c r="P16" t="s">
        <v>64</v>
      </c>
      <c r="Q16">
        <v>3058.73</v>
      </c>
      <c r="R16" t="s">
        <v>25</v>
      </c>
      <c r="S16">
        <v>1.7754264024611521</v>
      </c>
      <c r="T16" t="s">
        <v>78</v>
      </c>
    </row>
    <row r="17" spans="1:20" x14ac:dyDescent="0.25">
      <c r="A17" s="11">
        <v>45105</v>
      </c>
      <c r="B17" t="s">
        <v>58</v>
      </c>
      <c r="C17" t="s">
        <v>59</v>
      </c>
      <c r="D17" t="s">
        <v>32</v>
      </c>
      <c r="E17" t="s">
        <v>20</v>
      </c>
      <c r="F17">
        <v>995</v>
      </c>
      <c r="G17">
        <v>9.18</v>
      </c>
      <c r="H17">
        <v>9134.1</v>
      </c>
      <c r="I17" t="s">
        <v>57</v>
      </c>
      <c r="J17" t="s">
        <v>22</v>
      </c>
      <c r="K17" t="s">
        <v>28</v>
      </c>
      <c r="L17">
        <v>6080.67</v>
      </c>
      <c r="M17">
        <v>33.4</v>
      </c>
      <c r="N17">
        <v>2024</v>
      </c>
      <c r="O17">
        <v>2</v>
      </c>
      <c r="P17" t="s">
        <v>60</v>
      </c>
      <c r="Q17">
        <v>3053.43</v>
      </c>
      <c r="R17" t="s">
        <v>25</v>
      </c>
      <c r="S17">
        <v>1.9914227606331243</v>
      </c>
      <c r="T17" t="s">
        <v>78</v>
      </c>
    </row>
    <row r="18" spans="1:20" x14ac:dyDescent="0.25">
      <c r="A18" s="11">
        <v>44999</v>
      </c>
      <c r="B18" t="s">
        <v>42</v>
      </c>
      <c r="C18" t="s">
        <v>43</v>
      </c>
      <c r="D18" t="s">
        <v>48</v>
      </c>
      <c r="E18" t="s">
        <v>38</v>
      </c>
      <c r="F18">
        <v>915</v>
      </c>
      <c r="G18">
        <v>10.16</v>
      </c>
      <c r="H18">
        <v>9296.4</v>
      </c>
      <c r="I18" t="s">
        <v>55</v>
      </c>
      <c r="J18" t="s">
        <v>22</v>
      </c>
      <c r="K18" t="s">
        <v>28</v>
      </c>
      <c r="L18">
        <v>6283.31</v>
      </c>
      <c r="M18">
        <v>32.4</v>
      </c>
      <c r="N18">
        <v>2023</v>
      </c>
      <c r="O18">
        <v>1</v>
      </c>
      <c r="P18" t="s">
        <v>61</v>
      </c>
      <c r="Q18">
        <v>3013.09</v>
      </c>
      <c r="R18" t="s">
        <v>25</v>
      </c>
      <c r="S18">
        <v>2.0853376434158952</v>
      </c>
      <c r="T18" t="s">
        <v>78</v>
      </c>
    </row>
    <row r="19" spans="1:20" x14ac:dyDescent="0.25">
      <c r="A19" s="11">
        <v>44941</v>
      </c>
      <c r="B19" t="s">
        <v>35</v>
      </c>
      <c r="C19" t="s">
        <v>36</v>
      </c>
      <c r="D19" t="s">
        <v>32</v>
      </c>
      <c r="E19" t="s">
        <v>20</v>
      </c>
      <c r="F19">
        <v>789</v>
      </c>
      <c r="G19">
        <v>10.79</v>
      </c>
      <c r="H19">
        <v>8513.31</v>
      </c>
      <c r="I19" t="s">
        <v>46</v>
      </c>
      <c r="J19" t="s">
        <v>34</v>
      </c>
      <c r="K19" t="s">
        <v>23</v>
      </c>
      <c r="L19">
        <v>5522.1</v>
      </c>
      <c r="M19">
        <v>35.1</v>
      </c>
      <c r="N19">
        <v>2023</v>
      </c>
      <c r="O19">
        <v>1</v>
      </c>
      <c r="P19" t="s">
        <v>24</v>
      </c>
      <c r="Q19">
        <v>2991.21</v>
      </c>
      <c r="R19" t="s">
        <v>25</v>
      </c>
      <c r="S19">
        <v>1.8461090996620098</v>
      </c>
      <c r="T19" t="s">
        <v>78</v>
      </c>
    </row>
    <row r="20" spans="1:20" x14ac:dyDescent="0.25">
      <c r="A20" s="11">
        <v>45081</v>
      </c>
      <c r="B20" t="s">
        <v>35</v>
      </c>
      <c r="C20" t="s">
        <v>36</v>
      </c>
      <c r="D20" t="s">
        <v>44</v>
      </c>
      <c r="E20" t="s">
        <v>38</v>
      </c>
      <c r="F20">
        <v>805</v>
      </c>
      <c r="G20">
        <v>10.87</v>
      </c>
      <c r="H20">
        <v>8750.35</v>
      </c>
      <c r="I20" t="s">
        <v>57</v>
      </c>
      <c r="J20" t="s">
        <v>34</v>
      </c>
      <c r="K20" t="s">
        <v>23</v>
      </c>
      <c r="L20">
        <v>5766.22</v>
      </c>
      <c r="M20">
        <v>34.1</v>
      </c>
      <c r="N20">
        <v>2023</v>
      </c>
      <c r="O20">
        <v>2</v>
      </c>
      <c r="P20" t="s">
        <v>68</v>
      </c>
      <c r="Q20">
        <v>2984.13</v>
      </c>
      <c r="R20" t="s">
        <v>25</v>
      </c>
      <c r="S20">
        <v>1.9322951748080681</v>
      </c>
      <c r="T20" t="s">
        <v>78</v>
      </c>
    </row>
    <row r="21" spans="1:20" x14ac:dyDescent="0.25">
      <c r="A21" s="11">
        <v>44982</v>
      </c>
      <c r="B21" t="s">
        <v>42</v>
      </c>
      <c r="C21" t="s">
        <v>43</v>
      </c>
      <c r="D21" t="s">
        <v>45</v>
      </c>
      <c r="E21" t="s">
        <v>20</v>
      </c>
      <c r="F21">
        <v>957</v>
      </c>
      <c r="G21">
        <v>8.77</v>
      </c>
      <c r="H21">
        <v>8392.89</v>
      </c>
      <c r="I21" t="s">
        <v>46</v>
      </c>
      <c r="J21" t="s">
        <v>34</v>
      </c>
      <c r="K21" t="s">
        <v>28</v>
      </c>
      <c r="L21">
        <v>5483.64</v>
      </c>
      <c r="M21">
        <v>34.700000000000003</v>
      </c>
      <c r="N21">
        <v>2023</v>
      </c>
      <c r="O21">
        <v>1</v>
      </c>
      <c r="P21" t="s">
        <v>61</v>
      </c>
      <c r="Q21">
        <v>2909.25</v>
      </c>
      <c r="R21" t="s">
        <v>25</v>
      </c>
      <c r="S21">
        <v>1.8848981696313485</v>
      </c>
      <c r="T21" t="s">
        <v>78</v>
      </c>
    </row>
    <row r="22" spans="1:20" x14ac:dyDescent="0.25">
      <c r="A22" s="11">
        <v>45081</v>
      </c>
      <c r="B22" t="s">
        <v>30</v>
      </c>
      <c r="C22" t="s">
        <v>31</v>
      </c>
      <c r="D22" t="s">
        <v>45</v>
      </c>
      <c r="E22" t="s">
        <v>20</v>
      </c>
      <c r="F22">
        <v>914</v>
      </c>
      <c r="G22">
        <v>9.41</v>
      </c>
      <c r="H22">
        <v>8600.74</v>
      </c>
      <c r="I22" t="s">
        <v>21</v>
      </c>
      <c r="J22" t="s">
        <v>22</v>
      </c>
      <c r="K22" t="s">
        <v>23</v>
      </c>
      <c r="L22">
        <v>5705.69</v>
      </c>
      <c r="M22">
        <v>33.700000000000003</v>
      </c>
      <c r="N22">
        <v>2023</v>
      </c>
      <c r="O22">
        <v>2</v>
      </c>
      <c r="P22" t="s">
        <v>68</v>
      </c>
      <c r="Q22">
        <v>2895.05</v>
      </c>
      <c r="R22" t="s">
        <v>25</v>
      </c>
      <c r="S22">
        <v>1.9708433360391009</v>
      </c>
      <c r="T22" t="s">
        <v>78</v>
      </c>
    </row>
    <row r="23" spans="1:20" x14ac:dyDescent="0.25">
      <c r="A23" s="11">
        <v>45102</v>
      </c>
      <c r="B23" t="s">
        <v>42</v>
      </c>
      <c r="C23" t="s">
        <v>43</v>
      </c>
      <c r="D23" t="s">
        <v>19</v>
      </c>
      <c r="E23" t="s">
        <v>20</v>
      </c>
      <c r="F23">
        <v>741</v>
      </c>
      <c r="G23">
        <v>10.91</v>
      </c>
      <c r="H23">
        <v>8084.31</v>
      </c>
      <c r="I23" t="s">
        <v>54</v>
      </c>
      <c r="J23" t="s">
        <v>34</v>
      </c>
      <c r="K23" t="s">
        <v>23</v>
      </c>
      <c r="L23">
        <v>5197.7</v>
      </c>
      <c r="M23">
        <v>35.700000000000003</v>
      </c>
      <c r="N23">
        <v>2024</v>
      </c>
      <c r="O23">
        <v>2</v>
      </c>
      <c r="P23" t="s">
        <v>24</v>
      </c>
      <c r="Q23">
        <v>2886.61</v>
      </c>
      <c r="R23" t="s">
        <v>25</v>
      </c>
      <c r="S23">
        <v>1.8006242616771921</v>
      </c>
      <c r="T23" t="s">
        <v>78</v>
      </c>
    </row>
    <row r="24" spans="1:20" x14ac:dyDescent="0.25">
      <c r="A24" s="11">
        <v>45032</v>
      </c>
      <c r="B24" t="s">
        <v>30</v>
      </c>
      <c r="C24" t="s">
        <v>31</v>
      </c>
      <c r="D24" t="s">
        <v>19</v>
      </c>
      <c r="E24" t="s">
        <v>20</v>
      </c>
      <c r="F24">
        <v>837</v>
      </c>
      <c r="G24">
        <v>10.64</v>
      </c>
      <c r="H24">
        <v>8905.68</v>
      </c>
      <c r="I24" t="s">
        <v>39</v>
      </c>
      <c r="J24" t="s">
        <v>47</v>
      </c>
      <c r="K24" t="s">
        <v>23</v>
      </c>
      <c r="L24">
        <v>6022.51</v>
      </c>
      <c r="M24">
        <v>32.4</v>
      </c>
      <c r="N24">
        <v>2023</v>
      </c>
      <c r="O24">
        <v>2</v>
      </c>
      <c r="P24" t="s">
        <v>63</v>
      </c>
      <c r="Q24">
        <v>2883.17</v>
      </c>
      <c r="R24" t="s">
        <v>25</v>
      </c>
      <c r="S24">
        <v>2.0888501198333778</v>
      </c>
      <c r="T24" t="s">
        <v>78</v>
      </c>
    </row>
    <row r="25" spans="1:20" x14ac:dyDescent="0.25">
      <c r="A25" s="11">
        <v>44965</v>
      </c>
      <c r="B25" t="s">
        <v>17</v>
      </c>
      <c r="C25" t="s">
        <v>18</v>
      </c>
      <c r="D25" t="s">
        <v>45</v>
      </c>
      <c r="E25" t="s">
        <v>20</v>
      </c>
      <c r="F25">
        <v>885</v>
      </c>
      <c r="G25">
        <v>11.92</v>
      </c>
      <c r="H25">
        <v>10549.2</v>
      </c>
      <c r="I25" t="s">
        <v>57</v>
      </c>
      <c r="J25" t="s">
        <v>47</v>
      </c>
      <c r="K25" t="s">
        <v>41</v>
      </c>
      <c r="L25">
        <v>7668.49</v>
      </c>
      <c r="M25">
        <v>27.3</v>
      </c>
      <c r="N25">
        <v>2023</v>
      </c>
      <c r="O25">
        <v>1</v>
      </c>
      <c r="P25" t="s">
        <v>60</v>
      </c>
      <c r="Q25">
        <v>2880.71</v>
      </c>
      <c r="R25" t="s">
        <v>25</v>
      </c>
      <c r="S25">
        <v>2.6620138785230028</v>
      </c>
      <c r="T25" t="s">
        <v>78</v>
      </c>
    </row>
    <row r="26" spans="1:20" x14ac:dyDescent="0.25">
      <c r="A26" s="11">
        <v>45120</v>
      </c>
      <c r="B26" t="s">
        <v>17</v>
      </c>
      <c r="C26" t="s">
        <v>18</v>
      </c>
      <c r="D26" t="s">
        <v>49</v>
      </c>
      <c r="E26" t="s">
        <v>50</v>
      </c>
      <c r="F26">
        <v>921</v>
      </c>
      <c r="G26">
        <v>10.4</v>
      </c>
      <c r="H26">
        <v>9578.4</v>
      </c>
      <c r="I26" t="s">
        <v>54</v>
      </c>
      <c r="J26" t="s">
        <v>56</v>
      </c>
      <c r="K26" t="s">
        <v>28</v>
      </c>
      <c r="L26">
        <v>6698.58</v>
      </c>
      <c r="M26">
        <v>30.1</v>
      </c>
      <c r="N26">
        <v>2024</v>
      </c>
      <c r="O26">
        <v>3</v>
      </c>
      <c r="P26" t="s">
        <v>65</v>
      </c>
      <c r="Q26">
        <v>2879.82</v>
      </c>
      <c r="R26" t="s">
        <v>25</v>
      </c>
      <c r="S26">
        <v>2.3260412109090152</v>
      </c>
      <c r="T26" t="s">
        <v>78</v>
      </c>
    </row>
    <row r="27" spans="1:20" x14ac:dyDescent="0.25">
      <c r="A27" s="11">
        <v>45121</v>
      </c>
      <c r="B27" t="s">
        <v>30</v>
      </c>
      <c r="C27" t="s">
        <v>31</v>
      </c>
      <c r="D27" t="s">
        <v>53</v>
      </c>
      <c r="E27" t="s">
        <v>50</v>
      </c>
      <c r="F27">
        <v>984</v>
      </c>
      <c r="G27">
        <v>8.2799999999999994</v>
      </c>
      <c r="H27">
        <v>8147.52</v>
      </c>
      <c r="I27" t="s">
        <v>46</v>
      </c>
      <c r="J27" t="s">
        <v>27</v>
      </c>
      <c r="K27" t="s">
        <v>28</v>
      </c>
      <c r="L27">
        <v>5276.92</v>
      </c>
      <c r="M27">
        <v>35.200000000000003</v>
      </c>
      <c r="N27">
        <v>2024</v>
      </c>
      <c r="O27">
        <v>3</v>
      </c>
      <c r="P27" t="s">
        <v>66</v>
      </c>
      <c r="Q27">
        <v>2870.6</v>
      </c>
      <c r="R27" t="s">
        <v>25</v>
      </c>
      <c r="S27">
        <v>1.8382637776074688</v>
      </c>
      <c r="T27" t="s">
        <v>78</v>
      </c>
    </row>
    <row r="28" spans="1:20" x14ac:dyDescent="0.25">
      <c r="A28" s="11">
        <v>44966</v>
      </c>
      <c r="B28" t="s">
        <v>17</v>
      </c>
      <c r="C28" t="s">
        <v>18</v>
      </c>
      <c r="D28" t="s">
        <v>45</v>
      </c>
      <c r="E28" t="s">
        <v>20</v>
      </c>
      <c r="F28">
        <v>964</v>
      </c>
      <c r="G28">
        <v>9.9600000000000009</v>
      </c>
      <c r="H28">
        <v>9601.44</v>
      </c>
      <c r="I28" t="s">
        <v>33</v>
      </c>
      <c r="J28" t="s">
        <v>56</v>
      </c>
      <c r="K28" t="s">
        <v>23</v>
      </c>
      <c r="L28">
        <v>6770.42</v>
      </c>
      <c r="M28">
        <v>29.5</v>
      </c>
      <c r="N28">
        <v>2023</v>
      </c>
      <c r="O28">
        <v>1</v>
      </c>
      <c r="P28" t="s">
        <v>60</v>
      </c>
      <c r="Q28">
        <v>2831.02</v>
      </c>
      <c r="R28" t="s">
        <v>25</v>
      </c>
      <c r="S28">
        <v>2.3915125996990483</v>
      </c>
      <c r="T28" t="s">
        <v>78</v>
      </c>
    </row>
    <row r="29" spans="1:20" x14ac:dyDescent="0.25">
      <c r="A29" s="11">
        <v>45009</v>
      </c>
      <c r="B29" t="s">
        <v>42</v>
      </c>
      <c r="C29" t="s">
        <v>43</v>
      </c>
      <c r="D29" t="s">
        <v>53</v>
      </c>
      <c r="E29" t="s">
        <v>50</v>
      </c>
      <c r="F29">
        <v>903</v>
      </c>
      <c r="G29">
        <v>11.63</v>
      </c>
      <c r="H29">
        <v>10501.89</v>
      </c>
      <c r="I29" t="s">
        <v>46</v>
      </c>
      <c r="J29" t="s">
        <v>56</v>
      </c>
      <c r="K29" t="s">
        <v>28</v>
      </c>
      <c r="L29">
        <v>7676.15</v>
      </c>
      <c r="M29">
        <v>26.9</v>
      </c>
      <c r="N29">
        <v>2023</v>
      </c>
      <c r="O29">
        <v>1</v>
      </c>
      <c r="P29" t="s">
        <v>62</v>
      </c>
      <c r="Q29">
        <v>2825.74</v>
      </c>
      <c r="R29" t="s">
        <v>25</v>
      </c>
      <c r="S29">
        <v>2.7165096576472005</v>
      </c>
      <c r="T29" t="s">
        <v>78</v>
      </c>
    </row>
    <row r="30" spans="1:20" x14ac:dyDescent="0.25">
      <c r="A30" s="11">
        <v>45048</v>
      </c>
      <c r="B30" t="s">
        <v>51</v>
      </c>
      <c r="C30" t="s">
        <v>52</v>
      </c>
      <c r="D30" t="s">
        <v>49</v>
      </c>
      <c r="E30" t="s">
        <v>50</v>
      </c>
      <c r="F30">
        <v>943</v>
      </c>
      <c r="G30">
        <v>11.94</v>
      </c>
      <c r="H30">
        <v>11259.42</v>
      </c>
      <c r="I30" t="s">
        <v>57</v>
      </c>
      <c r="J30" t="s">
        <v>56</v>
      </c>
      <c r="K30" t="s">
        <v>41</v>
      </c>
      <c r="L30">
        <v>8433.81</v>
      </c>
      <c r="M30">
        <v>25.1</v>
      </c>
      <c r="N30">
        <v>2023</v>
      </c>
      <c r="O30">
        <v>2</v>
      </c>
      <c r="P30" t="s">
        <v>64</v>
      </c>
      <c r="Q30">
        <v>2825.61</v>
      </c>
      <c r="R30" t="s">
        <v>25</v>
      </c>
      <c r="S30">
        <v>2.9847749689447585</v>
      </c>
      <c r="T30" t="s">
        <v>78</v>
      </c>
    </row>
    <row r="31" spans="1:20" x14ac:dyDescent="0.25">
      <c r="A31" s="11">
        <v>44941</v>
      </c>
      <c r="B31" t="s">
        <v>17</v>
      </c>
      <c r="C31" t="s">
        <v>18</v>
      </c>
      <c r="D31" t="s">
        <v>19</v>
      </c>
      <c r="E31" t="s">
        <v>20</v>
      </c>
      <c r="F31">
        <v>811</v>
      </c>
      <c r="G31">
        <v>10.97</v>
      </c>
      <c r="H31">
        <v>8896.67</v>
      </c>
      <c r="I31" t="s">
        <v>21</v>
      </c>
      <c r="J31" t="s">
        <v>56</v>
      </c>
      <c r="K31" t="s">
        <v>41</v>
      </c>
      <c r="L31">
        <v>6082.13</v>
      </c>
      <c r="M31">
        <v>31.6</v>
      </c>
      <c r="N31">
        <v>2023</v>
      </c>
      <c r="O31">
        <v>1</v>
      </c>
      <c r="P31" t="s">
        <v>24</v>
      </c>
      <c r="Q31">
        <v>2814.54</v>
      </c>
      <c r="R31" t="s">
        <v>25</v>
      </c>
      <c r="S31">
        <v>2.1609676892138681</v>
      </c>
      <c r="T31" t="s">
        <v>78</v>
      </c>
    </row>
    <row r="32" spans="1:20" x14ac:dyDescent="0.25">
      <c r="A32" s="11">
        <v>45027</v>
      </c>
      <c r="B32" t="s">
        <v>17</v>
      </c>
      <c r="C32" t="s">
        <v>18</v>
      </c>
      <c r="D32" t="s">
        <v>45</v>
      </c>
      <c r="E32" t="s">
        <v>20</v>
      </c>
      <c r="F32">
        <v>992</v>
      </c>
      <c r="G32">
        <v>7.88</v>
      </c>
      <c r="H32">
        <v>7816.96</v>
      </c>
      <c r="I32" t="s">
        <v>46</v>
      </c>
      <c r="J32" t="s">
        <v>27</v>
      </c>
      <c r="K32" t="s">
        <v>23</v>
      </c>
      <c r="L32">
        <v>5039.6000000000004</v>
      </c>
      <c r="M32">
        <v>35.5</v>
      </c>
      <c r="N32">
        <v>2023</v>
      </c>
      <c r="O32">
        <v>2</v>
      </c>
      <c r="P32" t="s">
        <v>63</v>
      </c>
      <c r="Q32">
        <v>2777.36</v>
      </c>
      <c r="R32" t="s">
        <v>25</v>
      </c>
      <c r="S32">
        <v>1.8145289051473341</v>
      </c>
      <c r="T32" t="s">
        <v>78</v>
      </c>
    </row>
    <row r="33" spans="1:20" x14ac:dyDescent="0.25">
      <c r="A33" s="11">
        <v>45098</v>
      </c>
      <c r="B33" t="s">
        <v>30</v>
      </c>
      <c r="C33" t="s">
        <v>31</v>
      </c>
      <c r="D33" t="s">
        <v>44</v>
      </c>
      <c r="E33" t="s">
        <v>38</v>
      </c>
      <c r="F33">
        <v>994</v>
      </c>
      <c r="G33">
        <v>9.15</v>
      </c>
      <c r="H33">
        <v>9095.1</v>
      </c>
      <c r="I33" t="s">
        <v>26</v>
      </c>
      <c r="J33" t="s">
        <v>34</v>
      </c>
      <c r="K33" t="s">
        <v>41</v>
      </c>
      <c r="L33">
        <v>6345.64</v>
      </c>
      <c r="M33">
        <v>30.2</v>
      </c>
      <c r="N33">
        <v>2024</v>
      </c>
      <c r="O33">
        <v>2</v>
      </c>
      <c r="P33" t="s">
        <v>24</v>
      </c>
      <c r="Q33">
        <v>2749.46</v>
      </c>
      <c r="R33" t="s">
        <v>25</v>
      </c>
      <c r="S33">
        <v>2.3079586536992718</v>
      </c>
      <c r="T33" t="s">
        <v>78</v>
      </c>
    </row>
    <row r="34" spans="1:20" x14ac:dyDescent="0.25">
      <c r="A34" s="11">
        <v>45114</v>
      </c>
      <c r="B34" t="s">
        <v>42</v>
      </c>
      <c r="C34" t="s">
        <v>43</v>
      </c>
      <c r="D34" t="s">
        <v>37</v>
      </c>
      <c r="E34" t="s">
        <v>38</v>
      </c>
      <c r="F34">
        <v>925</v>
      </c>
      <c r="G34">
        <v>9.5</v>
      </c>
      <c r="H34">
        <v>8787.5</v>
      </c>
      <c r="I34" t="s">
        <v>39</v>
      </c>
      <c r="J34" t="s">
        <v>22</v>
      </c>
      <c r="K34" t="s">
        <v>41</v>
      </c>
      <c r="L34">
        <v>6058.65</v>
      </c>
      <c r="M34">
        <v>31.1</v>
      </c>
      <c r="N34">
        <v>2024</v>
      </c>
      <c r="O34">
        <v>3</v>
      </c>
      <c r="P34" t="s">
        <v>62</v>
      </c>
      <c r="Q34">
        <v>2728.85</v>
      </c>
      <c r="R34" t="s">
        <v>25</v>
      </c>
      <c r="S34">
        <v>2.2202209722044084</v>
      </c>
      <c r="T34" t="s">
        <v>78</v>
      </c>
    </row>
    <row r="35" spans="1:20" x14ac:dyDescent="0.25">
      <c r="A35" s="11">
        <v>45034</v>
      </c>
      <c r="B35" t="s">
        <v>51</v>
      </c>
      <c r="C35" t="s">
        <v>52</v>
      </c>
      <c r="D35" t="s">
        <v>49</v>
      </c>
      <c r="E35" t="s">
        <v>50</v>
      </c>
      <c r="F35">
        <v>886</v>
      </c>
      <c r="G35">
        <v>9.85</v>
      </c>
      <c r="H35">
        <v>8727.1</v>
      </c>
      <c r="I35" t="s">
        <v>46</v>
      </c>
      <c r="J35" t="s">
        <v>40</v>
      </c>
      <c r="K35" t="s">
        <v>23</v>
      </c>
      <c r="L35">
        <v>6008.63</v>
      </c>
      <c r="M35">
        <v>31.1</v>
      </c>
      <c r="N35">
        <v>2023</v>
      </c>
      <c r="O35">
        <v>2</v>
      </c>
      <c r="P35" t="s">
        <v>63</v>
      </c>
      <c r="Q35">
        <v>2718.47</v>
      </c>
      <c r="R35" t="s">
        <v>25</v>
      </c>
      <c r="S35">
        <v>2.2102984399312851</v>
      </c>
      <c r="T35" t="s">
        <v>78</v>
      </c>
    </row>
    <row r="36" spans="1:20" x14ac:dyDescent="0.25">
      <c r="A36" s="11">
        <v>45060</v>
      </c>
      <c r="B36" t="s">
        <v>51</v>
      </c>
      <c r="C36" t="s">
        <v>52</v>
      </c>
      <c r="D36" t="s">
        <v>44</v>
      </c>
      <c r="E36" t="s">
        <v>38</v>
      </c>
      <c r="F36">
        <v>910</v>
      </c>
      <c r="G36">
        <v>7.84</v>
      </c>
      <c r="H36">
        <v>7134.4</v>
      </c>
      <c r="I36" t="s">
        <v>21</v>
      </c>
      <c r="J36" t="s">
        <v>40</v>
      </c>
      <c r="K36" t="s">
        <v>23</v>
      </c>
      <c r="L36">
        <v>4428.13</v>
      </c>
      <c r="M36">
        <v>37.9</v>
      </c>
      <c r="N36">
        <v>2023</v>
      </c>
      <c r="O36">
        <v>2</v>
      </c>
      <c r="P36" t="s">
        <v>65</v>
      </c>
      <c r="Q36">
        <v>2706.27</v>
      </c>
      <c r="R36" t="s">
        <v>25</v>
      </c>
      <c r="S36">
        <v>1.6362484157160964</v>
      </c>
      <c r="T36" t="s">
        <v>78</v>
      </c>
    </row>
    <row r="37" spans="1:20" x14ac:dyDescent="0.25">
      <c r="A37" s="11">
        <v>45089</v>
      </c>
      <c r="B37" t="s">
        <v>51</v>
      </c>
      <c r="C37" t="s">
        <v>52</v>
      </c>
      <c r="D37" t="s">
        <v>37</v>
      </c>
      <c r="E37" t="s">
        <v>38</v>
      </c>
      <c r="F37">
        <v>935</v>
      </c>
      <c r="G37">
        <v>11.27</v>
      </c>
      <c r="H37">
        <v>10537.45</v>
      </c>
      <c r="I37" t="s">
        <v>46</v>
      </c>
      <c r="J37" t="s">
        <v>47</v>
      </c>
      <c r="K37" t="s">
        <v>41</v>
      </c>
      <c r="L37">
        <v>7865.26</v>
      </c>
      <c r="M37">
        <v>25.4</v>
      </c>
      <c r="N37">
        <v>2023</v>
      </c>
      <c r="O37">
        <v>2</v>
      </c>
      <c r="P37" t="s">
        <v>69</v>
      </c>
      <c r="Q37">
        <v>2672.19</v>
      </c>
      <c r="R37" t="s">
        <v>25</v>
      </c>
      <c r="S37">
        <v>2.9433760323929063</v>
      </c>
      <c r="T37" t="s">
        <v>78</v>
      </c>
    </row>
    <row r="38" spans="1:20" x14ac:dyDescent="0.25">
      <c r="A38" s="11">
        <v>45131</v>
      </c>
      <c r="B38" t="s">
        <v>30</v>
      </c>
      <c r="C38" t="s">
        <v>31</v>
      </c>
      <c r="D38" t="s">
        <v>45</v>
      </c>
      <c r="E38" t="s">
        <v>20</v>
      </c>
      <c r="F38">
        <v>736</v>
      </c>
      <c r="G38">
        <v>11.75</v>
      </c>
      <c r="H38">
        <v>8648</v>
      </c>
      <c r="I38" t="s">
        <v>46</v>
      </c>
      <c r="J38" t="s">
        <v>34</v>
      </c>
      <c r="K38" t="s">
        <v>28</v>
      </c>
      <c r="L38">
        <v>5986.28</v>
      </c>
      <c r="M38">
        <v>30.8</v>
      </c>
      <c r="N38">
        <v>2025</v>
      </c>
      <c r="O38">
        <v>3</v>
      </c>
      <c r="P38" t="s">
        <v>63</v>
      </c>
      <c r="Q38">
        <v>2661.72</v>
      </c>
      <c r="R38" t="s">
        <v>25</v>
      </c>
      <c r="S38">
        <v>2.2490269449829436</v>
      </c>
      <c r="T38" t="s">
        <v>78</v>
      </c>
    </row>
    <row r="39" spans="1:20" x14ac:dyDescent="0.25">
      <c r="A39" s="11">
        <v>45103</v>
      </c>
      <c r="B39" t="s">
        <v>51</v>
      </c>
      <c r="C39" t="s">
        <v>52</v>
      </c>
      <c r="D39" t="s">
        <v>32</v>
      </c>
      <c r="E39" t="s">
        <v>20</v>
      </c>
      <c r="F39">
        <v>920</v>
      </c>
      <c r="G39">
        <v>7.87</v>
      </c>
      <c r="H39">
        <v>7240.4</v>
      </c>
      <c r="I39" t="s">
        <v>46</v>
      </c>
      <c r="J39" t="s">
        <v>40</v>
      </c>
      <c r="K39" t="s">
        <v>23</v>
      </c>
      <c r="L39">
        <v>4621.43</v>
      </c>
      <c r="M39">
        <v>36.200000000000003</v>
      </c>
      <c r="N39">
        <v>2024</v>
      </c>
      <c r="O39">
        <v>2</v>
      </c>
      <c r="P39" t="s">
        <v>24</v>
      </c>
      <c r="Q39">
        <v>2618.9699999999998</v>
      </c>
      <c r="R39" t="s">
        <v>25</v>
      </c>
      <c r="S39">
        <v>1.7645982962767808</v>
      </c>
      <c r="T39" t="s">
        <v>78</v>
      </c>
    </row>
    <row r="40" spans="1:20" x14ac:dyDescent="0.25">
      <c r="A40" s="11">
        <v>45045</v>
      </c>
      <c r="B40" t="s">
        <v>35</v>
      </c>
      <c r="C40" t="s">
        <v>36</v>
      </c>
      <c r="D40" t="s">
        <v>48</v>
      </c>
      <c r="E40" t="s">
        <v>38</v>
      </c>
      <c r="F40">
        <v>858</v>
      </c>
      <c r="G40">
        <v>9.2100000000000009</v>
      </c>
      <c r="H40">
        <v>7902.18</v>
      </c>
      <c r="I40" t="s">
        <v>21</v>
      </c>
      <c r="J40" t="s">
        <v>47</v>
      </c>
      <c r="K40" t="s">
        <v>28</v>
      </c>
      <c r="L40">
        <v>5327.07</v>
      </c>
      <c r="M40">
        <v>32.6</v>
      </c>
      <c r="N40">
        <v>2023</v>
      </c>
      <c r="O40">
        <v>2</v>
      </c>
      <c r="P40" t="s">
        <v>64</v>
      </c>
      <c r="Q40">
        <v>2575.11</v>
      </c>
      <c r="R40" t="s">
        <v>25</v>
      </c>
      <c r="S40">
        <v>2.0686766778894881</v>
      </c>
      <c r="T40" t="s">
        <v>78</v>
      </c>
    </row>
    <row r="41" spans="1:20" x14ac:dyDescent="0.25">
      <c r="A41" s="11">
        <v>44954</v>
      </c>
      <c r="B41" t="s">
        <v>58</v>
      </c>
      <c r="C41" t="s">
        <v>59</v>
      </c>
      <c r="D41" t="s">
        <v>32</v>
      </c>
      <c r="E41" t="s">
        <v>20</v>
      </c>
      <c r="F41">
        <v>987</v>
      </c>
      <c r="G41">
        <v>8.98</v>
      </c>
      <c r="H41">
        <v>8863.26</v>
      </c>
      <c r="I41" t="s">
        <v>46</v>
      </c>
      <c r="J41" t="s">
        <v>40</v>
      </c>
      <c r="K41" t="s">
        <v>41</v>
      </c>
      <c r="L41">
        <v>6314.92</v>
      </c>
      <c r="M41">
        <v>28.8</v>
      </c>
      <c r="N41">
        <v>2023</v>
      </c>
      <c r="O41">
        <v>1</v>
      </c>
      <c r="P41" t="s">
        <v>24</v>
      </c>
      <c r="Q41">
        <v>2548.34</v>
      </c>
      <c r="R41" t="s">
        <v>25</v>
      </c>
      <c r="S41">
        <v>2.4780523791958684</v>
      </c>
      <c r="T41" t="s">
        <v>78</v>
      </c>
    </row>
    <row r="42" spans="1:20" x14ac:dyDescent="0.25">
      <c r="A42" s="11">
        <v>44938</v>
      </c>
      <c r="B42" t="s">
        <v>30</v>
      </c>
      <c r="C42" t="s">
        <v>31</v>
      </c>
      <c r="D42" t="s">
        <v>19</v>
      </c>
      <c r="E42" t="s">
        <v>20</v>
      </c>
      <c r="F42">
        <v>915</v>
      </c>
      <c r="G42">
        <v>8.25</v>
      </c>
      <c r="H42">
        <v>7548.75</v>
      </c>
      <c r="I42" t="s">
        <v>26</v>
      </c>
      <c r="J42" t="s">
        <v>22</v>
      </c>
      <c r="K42" t="s">
        <v>23</v>
      </c>
      <c r="L42">
        <v>5023.07</v>
      </c>
      <c r="M42">
        <v>33.5</v>
      </c>
      <c r="N42">
        <v>2023</v>
      </c>
      <c r="O42">
        <v>1</v>
      </c>
      <c r="P42" t="s">
        <v>24</v>
      </c>
      <c r="Q42">
        <v>2525.6799999999998</v>
      </c>
      <c r="R42" t="s">
        <v>25</v>
      </c>
      <c r="S42">
        <v>1.9887990560957842</v>
      </c>
      <c r="T42" t="s">
        <v>78</v>
      </c>
    </row>
    <row r="43" spans="1:20" x14ac:dyDescent="0.25">
      <c r="A43" s="11">
        <v>45097</v>
      </c>
      <c r="B43" t="s">
        <v>17</v>
      </c>
      <c r="C43" t="s">
        <v>18</v>
      </c>
      <c r="D43" t="s">
        <v>37</v>
      </c>
      <c r="E43" t="s">
        <v>38</v>
      </c>
      <c r="F43">
        <v>884</v>
      </c>
      <c r="G43">
        <v>7.6</v>
      </c>
      <c r="H43">
        <v>6718.4</v>
      </c>
      <c r="I43" t="s">
        <v>54</v>
      </c>
      <c r="J43" t="s">
        <v>22</v>
      </c>
      <c r="K43" t="s">
        <v>28</v>
      </c>
      <c r="L43">
        <v>4192.8</v>
      </c>
      <c r="M43">
        <v>37.6</v>
      </c>
      <c r="N43">
        <v>2023</v>
      </c>
      <c r="O43">
        <v>2</v>
      </c>
      <c r="P43" t="s">
        <v>70</v>
      </c>
      <c r="Q43">
        <v>2525.6</v>
      </c>
      <c r="R43" t="s">
        <v>25</v>
      </c>
      <c r="S43">
        <v>1.6601203674374407</v>
      </c>
      <c r="T43" t="s">
        <v>78</v>
      </c>
    </row>
    <row r="44" spans="1:20" x14ac:dyDescent="0.25">
      <c r="A44" s="11">
        <v>45027</v>
      </c>
      <c r="B44" t="s">
        <v>51</v>
      </c>
      <c r="C44" t="s">
        <v>52</v>
      </c>
      <c r="D44" t="s">
        <v>49</v>
      </c>
      <c r="E44" t="s">
        <v>50</v>
      </c>
      <c r="F44">
        <v>759</v>
      </c>
      <c r="G44">
        <v>10.47</v>
      </c>
      <c r="H44">
        <v>7946.73</v>
      </c>
      <c r="I44" t="s">
        <v>21</v>
      </c>
      <c r="J44" t="s">
        <v>34</v>
      </c>
      <c r="K44" t="s">
        <v>23</v>
      </c>
      <c r="L44">
        <v>5429.88</v>
      </c>
      <c r="M44">
        <v>31.7</v>
      </c>
      <c r="N44">
        <v>2023</v>
      </c>
      <c r="O44">
        <v>2</v>
      </c>
      <c r="P44" t="s">
        <v>63</v>
      </c>
      <c r="Q44">
        <v>2516.85</v>
      </c>
      <c r="R44" t="s">
        <v>25</v>
      </c>
      <c r="S44">
        <v>2.1574110495261936</v>
      </c>
      <c r="T44" t="s">
        <v>78</v>
      </c>
    </row>
    <row r="45" spans="1:20" x14ac:dyDescent="0.25">
      <c r="A45" s="11">
        <v>44972</v>
      </c>
      <c r="B45" t="s">
        <v>42</v>
      </c>
      <c r="C45" t="s">
        <v>43</v>
      </c>
      <c r="D45" t="s">
        <v>32</v>
      </c>
      <c r="E45" t="s">
        <v>20</v>
      </c>
      <c r="F45">
        <v>688</v>
      </c>
      <c r="G45">
        <v>9.2899999999999991</v>
      </c>
      <c r="H45">
        <v>6391.52</v>
      </c>
      <c r="I45" t="s">
        <v>39</v>
      </c>
      <c r="J45" t="s">
        <v>34</v>
      </c>
      <c r="K45" t="s">
        <v>28</v>
      </c>
      <c r="L45">
        <v>3880.91</v>
      </c>
      <c r="M45">
        <v>39.299999999999997</v>
      </c>
      <c r="N45">
        <v>2023</v>
      </c>
      <c r="O45">
        <v>1</v>
      </c>
      <c r="P45" t="s">
        <v>60</v>
      </c>
      <c r="Q45">
        <v>2510.61</v>
      </c>
      <c r="R45" t="s">
        <v>25</v>
      </c>
      <c r="S45">
        <v>1.545803609481361</v>
      </c>
      <c r="T45" t="s">
        <v>78</v>
      </c>
    </row>
    <row r="46" spans="1:20" x14ac:dyDescent="0.25">
      <c r="A46" s="11">
        <v>44973</v>
      </c>
      <c r="B46" t="s">
        <v>42</v>
      </c>
      <c r="C46" t="s">
        <v>43</v>
      </c>
      <c r="D46" t="s">
        <v>32</v>
      </c>
      <c r="E46" t="s">
        <v>20</v>
      </c>
      <c r="F46">
        <v>952</v>
      </c>
      <c r="G46">
        <v>11.32</v>
      </c>
      <c r="H46">
        <v>10776.64</v>
      </c>
      <c r="I46" t="s">
        <v>55</v>
      </c>
      <c r="J46" t="s">
        <v>56</v>
      </c>
      <c r="K46" t="s">
        <v>23</v>
      </c>
      <c r="L46">
        <v>8273.67</v>
      </c>
      <c r="M46">
        <v>23.2</v>
      </c>
      <c r="N46">
        <v>2023</v>
      </c>
      <c r="O46">
        <v>1</v>
      </c>
      <c r="P46" t="s">
        <v>60</v>
      </c>
      <c r="Q46">
        <v>2502.9699999999998</v>
      </c>
      <c r="R46" t="s">
        <v>29</v>
      </c>
      <c r="S46">
        <v>3.3055410172714819</v>
      </c>
      <c r="T46" t="s">
        <v>78</v>
      </c>
    </row>
    <row r="47" spans="1:20" x14ac:dyDescent="0.25">
      <c r="A47" s="11">
        <v>45098</v>
      </c>
      <c r="B47" t="s">
        <v>58</v>
      </c>
      <c r="C47" t="s">
        <v>59</v>
      </c>
      <c r="D47" t="s">
        <v>49</v>
      </c>
      <c r="E47" t="s">
        <v>50</v>
      </c>
      <c r="F47">
        <v>704</v>
      </c>
      <c r="G47">
        <v>9.01</v>
      </c>
      <c r="H47">
        <v>6343.04</v>
      </c>
      <c r="I47" t="s">
        <v>55</v>
      </c>
      <c r="J47" t="s">
        <v>40</v>
      </c>
      <c r="K47" t="s">
        <v>28</v>
      </c>
      <c r="L47">
        <v>3844.99</v>
      </c>
      <c r="M47">
        <v>39.4</v>
      </c>
      <c r="N47">
        <v>2024</v>
      </c>
      <c r="O47">
        <v>2</v>
      </c>
      <c r="P47" t="s">
        <v>24</v>
      </c>
      <c r="Q47">
        <v>2498.0500000000002</v>
      </c>
      <c r="R47" t="s">
        <v>25</v>
      </c>
      <c r="S47">
        <v>1.5391965733271951</v>
      </c>
      <c r="T47" t="s">
        <v>78</v>
      </c>
    </row>
    <row r="48" spans="1:20" x14ac:dyDescent="0.25">
      <c r="A48" s="11">
        <v>45121</v>
      </c>
      <c r="B48" t="s">
        <v>58</v>
      </c>
      <c r="C48" t="s">
        <v>59</v>
      </c>
      <c r="D48" t="s">
        <v>45</v>
      </c>
      <c r="E48" t="s">
        <v>20</v>
      </c>
      <c r="F48">
        <v>674</v>
      </c>
      <c r="G48">
        <v>9.3800000000000008</v>
      </c>
      <c r="H48">
        <v>6322.12</v>
      </c>
      <c r="I48" t="s">
        <v>21</v>
      </c>
      <c r="J48" t="s">
        <v>56</v>
      </c>
      <c r="K48" t="s">
        <v>41</v>
      </c>
      <c r="L48">
        <v>3841.13</v>
      </c>
      <c r="M48">
        <v>39.200000000000003</v>
      </c>
      <c r="N48">
        <v>2024</v>
      </c>
      <c r="O48">
        <v>3</v>
      </c>
      <c r="P48" t="s">
        <v>66</v>
      </c>
      <c r="Q48">
        <v>2480.9899999999998</v>
      </c>
      <c r="R48" t="s">
        <v>25</v>
      </c>
      <c r="S48">
        <v>1.5482247006235417</v>
      </c>
      <c r="T48" t="s">
        <v>78</v>
      </c>
    </row>
    <row r="49" spans="1:20" x14ac:dyDescent="0.25">
      <c r="A49" s="11">
        <v>45120</v>
      </c>
      <c r="B49" t="s">
        <v>17</v>
      </c>
      <c r="C49" t="s">
        <v>18</v>
      </c>
      <c r="D49" t="s">
        <v>48</v>
      </c>
      <c r="E49" t="s">
        <v>38</v>
      </c>
      <c r="F49">
        <v>601</v>
      </c>
      <c r="G49">
        <v>10.38</v>
      </c>
      <c r="H49">
        <v>6238.38</v>
      </c>
      <c r="I49" t="s">
        <v>21</v>
      </c>
      <c r="J49" t="s">
        <v>22</v>
      </c>
      <c r="K49" t="s">
        <v>23</v>
      </c>
      <c r="L49">
        <v>3806.26</v>
      </c>
      <c r="M49">
        <v>39</v>
      </c>
      <c r="N49">
        <v>2024</v>
      </c>
      <c r="O49">
        <v>3</v>
      </c>
      <c r="P49" t="s">
        <v>65</v>
      </c>
      <c r="Q49">
        <v>2432.12</v>
      </c>
      <c r="R49" t="s">
        <v>25</v>
      </c>
      <c r="S49">
        <v>1.5649967929214021</v>
      </c>
      <c r="T49" t="s">
        <v>78</v>
      </c>
    </row>
    <row r="50" spans="1:20" x14ac:dyDescent="0.25">
      <c r="A50" s="11">
        <v>44982</v>
      </c>
      <c r="B50" t="s">
        <v>51</v>
      </c>
      <c r="C50" t="s">
        <v>52</v>
      </c>
      <c r="D50" t="s">
        <v>32</v>
      </c>
      <c r="E50" t="s">
        <v>20</v>
      </c>
      <c r="F50">
        <v>651</v>
      </c>
      <c r="G50">
        <v>9.7200000000000006</v>
      </c>
      <c r="H50">
        <v>6327.72</v>
      </c>
      <c r="I50" t="s">
        <v>21</v>
      </c>
      <c r="J50" t="s">
        <v>56</v>
      </c>
      <c r="K50" t="s">
        <v>28</v>
      </c>
      <c r="L50">
        <v>3947.36</v>
      </c>
      <c r="M50">
        <v>37.6</v>
      </c>
      <c r="N50">
        <v>2023</v>
      </c>
      <c r="O50">
        <v>1</v>
      </c>
      <c r="P50" t="s">
        <v>61</v>
      </c>
      <c r="Q50">
        <v>2380.36</v>
      </c>
      <c r="R50" t="s">
        <v>25</v>
      </c>
      <c r="S50">
        <v>1.6583037859819523</v>
      </c>
      <c r="T50" t="s">
        <v>78</v>
      </c>
    </row>
    <row r="51" spans="1:20" x14ac:dyDescent="0.25">
      <c r="A51" s="11">
        <v>44983</v>
      </c>
      <c r="B51" t="s">
        <v>58</v>
      </c>
      <c r="C51" t="s">
        <v>59</v>
      </c>
      <c r="D51" t="s">
        <v>32</v>
      </c>
      <c r="E51" t="s">
        <v>20</v>
      </c>
      <c r="F51">
        <v>886</v>
      </c>
      <c r="G51">
        <v>10.01</v>
      </c>
      <c r="H51">
        <v>8868.86</v>
      </c>
      <c r="I51" t="s">
        <v>57</v>
      </c>
      <c r="J51" t="s">
        <v>34</v>
      </c>
      <c r="K51" t="s">
        <v>41</v>
      </c>
      <c r="L51">
        <v>6498.3</v>
      </c>
      <c r="M51">
        <v>26.7</v>
      </c>
      <c r="N51">
        <v>2023</v>
      </c>
      <c r="O51">
        <v>1</v>
      </c>
      <c r="P51" t="s">
        <v>61</v>
      </c>
      <c r="Q51">
        <v>2370.56</v>
      </c>
      <c r="R51" t="s">
        <v>25</v>
      </c>
      <c r="S51">
        <v>2.7412510124190068</v>
      </c>
      <c r="T51" t="s">
        <v>78</v>
      </c>
    </row>
    <row r="52" spans="1:20" x14ac:dyDescent="0.25">
      <c r="A52" s="11">
        <v>44928</v>
      </c>
      <c r="B52" t="s">
        <v>30</v>
      </c>
      <c r="C52" t="s">
        <v>31</v>
      </c>
      <c r="D52" t="s">
        <v>44</v>
      </c>
      <c r="E52" t="s">
        <v>38</v>
      </c>
      <c r="F52">
        <v>742</v>
      </c>
      <c r="G52">
        <v>10.41</v>
      </c>
      <c r="H52">
        <v>7724.22</v>
      </c>
      <c r="I52" t="s">
        <v>46</v>
      </c>
      <c r="J52" t="s">
        <v>47</v>
      </c>
      <c r="K52" t="s">
        <v>41</v>
      </c>
      <c r="L52">
        <v>5357.82</v>
      </c>
      <c r="M52">
        <v>30.6</v>
      </c>
      <c r="N52">
        <v>2023</v>
      </c>
      <c r="O52">
        <v>1</v>
      </c>
      <c r="P52" t="s">
        <v>24</v>
      </c>
      <c r="Q52">
        <v>2366.4</v>
      </c>
      <c r="R52" t="s">
        <v>25</v>
      </c>
      <c r="S52">
        <v>2.2641227180527381</v>
      </c>
      <c r="T52" t="s">
        <v>78</v>
      </c>
    </row>
    <row r="53" spans="1:20" x14ac:dyDescent="0.25">
      <c r="A53" s="11">
        <v>45109</v>
      </c>
      <c r="B53" t="s">
        <v>17</v>
      </c>
      <c r="C53" t="s">
        <v>18</v>
      </c>
      <c r="D53" t="s">
        <v>53</v>
      </c>
      <c r="E53" t="s">
        <v>50</v>
      </c>
      <c r="F53">
        <v>925</v>
      </c>
      <c r="G53">
        <v>6.6</v>
      </c>
      <c r="H53">
        <v>6105</v>
      </c>
      <c r="I53" t="s">
        <v>55</v>
      </c>
      <c r="J53" t="s">
        <v>27</v>
      </c>
      <c r="K53" t="s">
        <v>28</v>
      </c>
      <c r="L53">
        <v>3772.38</v>
      </c>
      <c r="M53">
        <v>38.200000000000003</v>
      </c>
      <c r="N53">
        <v>2024</v>
      </c>
      <c r="O53">
        <v>3</v>
      </c>
      <c r="P53" t="s">
        <v>61</v>
      </c>
      <c r="Q53">
        <v>2332.62</v>
      </c>
      <c r="R53" t="s">
        <v>25</v>
      </c>
      <c r="S53">
        <v>1.617228695629807</v>
      </c>
      <c r="T53" t="s">
        <v>78</v>
      </c>
    </row>
    <row r="54" spans="1:20" x14ac:dyDescent="0.25">
      <c r="A54" s="11">
        <v>45008</v>
      </c>
      <c r="B54" t="s">
        <v>30</v>
      </c>
      <c r="C54" t="s">
        <v>31</v>
      </c>
      <c r="D54" t="s">
        <v>49</v>
      </c>
      <c r="E54" t="s">
        <v>50</v>
      </c>
      <c r="F54">
        <v>513</v>
      </c>
      <c r="G54">
        <v>11.43</v>
      </c>
      <c r="H54">
        <v>5863.59</v>
      </c>
      <c r="I54" t="s">
        <v>54</v>
      </c>
      <c r="J54" t="s">
        <v>40</v>
      </c>
      <c r="K54" t="s">
        <v>23</v>
      </c>
      <c r="L54">
        <v>3543.88</v>
      </c>
      <c r="M54">
        <v>39.6</v>
      </c>
      <c r="N54">
        <v>2023</v>
      </c>
      <c r="O54">
        <v>1</v>
      </c>
      <c r="P54" t="s">
        <v>62</v>
      </c>
      <c r="Q54">
        <v>2319.71</v>
      </c>
      <c r="R54" t="s">
        <v>25</v>
      </c>
      <c r="S54">
        <v>1.5277254484396756</v>
      </c>
      <c r="T54" t="s">
        <v>78</v>
      </c>
    </row>
    <row r="55" spans="1:20" x14ac:dyDescent="0.25">
      <c r="A55" s="11">
        <v>44999</v>
      </c>
      <c r="B55" t="s">
        <v>51</v>
      </c>
      <c r="C55" t="s">
        <v>52</v>
      </c>
      <c r="D55" t="s">
        <v>32</v>
      </c>
      <c r="E55" t="s">
        <v>20</v>
      </c>
      <c r="F55">
        <v>795</v>
      </c>
      <c r="G55">
        <v>11.88</v>
      </c>
      <c r="H55">
        <v>9444.6</v>
      </c>
      <c r="I55" t="s">
        <v>55</v>
      </c>
      <c r="J55" t="s">
        <v>40</v>
      </c>
      <c r="K55" t="s">
        <v>28</v>
      </c>
      <c r="L55">
        <v>7125.99</v>
      </c>
      <c r="M55">
        <v>24.5</v>
      </c>
      <c r="N55">
        <v>2023</v>
      </c>
      <c r="O55">
        <v>1</v>
      </c>
      <c r="P55" t="s">
        <v>61</v>
      </c>
      <c r="Q55">
        <v>2318.61</v>
      </c>
      <c r="R55" t="s">
        <v>29</v>
      </c>
      <c r="S55">
        <v>3.073388797598561</v>
      </c>
      <c r="T55" t="s">
        <v>78</v>
      </c>
    </row>
    <row r="56" spans="1:20" x14ac:dyDescent="0.25">
      <c r="A56" s="11">
        <v>45093</v>
      </c>
      <c r="B56" t="s">
        <v>30</v>
      </c>
      <c r="C56" t="s">
        <v>31</v>
      </c>
      <c r="D56" t="s">
        <v>45</v>
      </c>
      <c r="E56" t="s">
        <v>20</v>
      </c>
      <c r="F56">
        <v>834</v>
      </c>
      <c r="G56">
        <v>11.98</v>
      </c>
      <c r="H56">
        <v>9991.32</v>
      </c>
      <c r="I56" t="s">
        <v>26</v>
      </c>
      <c r="J56" t="s">
        <v>22</v>
      </c>
      <c r="K56" t="s">
        <v>23</v>
      </c>
      <c r="L56">
        <v>7707.88</v>
      </c>
      <c r="M56">
        <v>22.9</v>
      </c>
      <c r="N56">
        <v>2023</v>
      </c>
      <c r="O56">
        <v>2</v>
      </c>
      <c r="P56" t="s">
        <v>70</v>
      </c>
      <c r="Q56">
        <v>2283.44</v>
      </c>
      <c r="R56" t="s">
        <v>29</v>
      </c>
      <c r="S56">
        <v>3.3755561783975057</v>
      </c>
      <c r="T56" t="s">
        <v>78</v>
      </c>
    </row>
    <row r="57" spans="1:20" x14ac:dyDescent="0.25">
      <c r="A57" s="11">
        <v>44981</v>
      </c>
      <c r="B57" t="s">
        <v>42</v>
      </c>
      <c r="C57" t="s">
        <v>43</v>
      </c>
      <c r="D57" t="s">
        <v>19</v>
      </c>
      <c r="E57" t="s">
        <v>20</v>
      </c>
      <c r="F57">
        <v>923</v>
      </c>
      <c r="G57">
        <v>6.48</v>
      </c>
      <c r="H57">
        <v>5981.04</v>
      </c>
      <c r="I57" t="s">
        <v>55</v>
      </c>
      <c r="J57" t="s">
        <v>27</v>
      </c>
      <c r="K57" t="s">
        <v>41</v>
      </c>
      <c r="L57">
        <v>3705.8</v>
      </c>
      <c r="M57">
        <v>38</v>
      </c>
      <c r="N57">
        <v>2023</v>
      </c>
      <c r="O57">
        <v>1</v>
      </c>
      <c r="P57" t="s">
        <v>61</v>
      </c>
      <c r="Q57">
        <v>2275.2399999999998</v>
      </c>
      <c r="R57" t="s">
        <v>25</v>
      </c>
      <c r="S57">
        <v>1.6287512526151089</v>
      </c>
      <c r="T57" t="s">
        <v>78</v>
      </c>
    </row>
    <row r="58" spans="1:20" x14ac:dyDescent="0.25">
      <c r="A58" s="11">
        <v>45018</v>
      </c>
      <c r="B58" t="s">
        <v>51</v>
      </c>
      <c r="C58" t="s">
        <v>52</v>
      </c>
      <c r="D58" t="s">
        <v>37</v>
      </c>
      <c r="E58" t="s">
        <v>38</v>
      </c>
      <c r="F58">
        <v>792</v>
      </c>
      <c r="G58">
        <v>7.89</v>
      </c>
      <c r="H58">
        <v>6248.88</v>
      </c>
      <c r="I58" t="s">
        <v>26</v>
      </c>
      <c r="J58" t="s">
        <v>40</v>
      </c>
      <c r="K58" t="s">
        <v>41</v>
      </c>
      <c r="L58">
        <v>3989.68</v>
      </c>
      <c r="M58">
        <v>36.200000000000003</v>
      </c>
      <c r="N58">
        <v>2023</v>
      </c>
      <c r="O58">
        <v>2</v>
      </c>
      <c r="P58" t="s">
        <v>62</v>
      </c>
      <c r="Q58">
        <v>2259.1999999999998</v>
      </c>
      <c r="R58" t="s">
        <v>25</v>
      </c>
      <c r="S58">
        <v>1.7659702549575071</v>
      </c>
      <c r="T58" t="s">
        <v>78</v>
      </c>
    </row>
    <row r="59" spans="1:20" x14ac:dyDescent="0.25">
      <c r="A59" s="11">
        <v>45116</v>
      </c>
      <c r="B59" t="s">
        <v>17</v>
      </c>
      <c r="C59" t="s">
        <v>18</v>
      </c>
      <c r="D59" t="s">
        <v>32</v>
      </c>
      <c r="E59" t="s">
        <v>20</v>
      </c>
      <c r="F59">
        <v>758</v>
      </c>
      <c r="G59">
        <v>10.07</v>
      </c>
      <c r="H59">
        <v>7633.06</v>
      </c>
      <c r="I59" t="s">
        <v>54</v>
      </c>
      <c r="J59" t="s">
        <v>27</v>
      </c>
      <c r="K59" t="s">
        <v>23</v>
      </c>
      <c r="L59">
        <v>5378.38</v>
      </c>
      <c r="M59">
        <v>29.5</v>
      </c>
      <c r="N59">
        <v>2024</v>
      </c>
      <c r="O59">
        <v>3</v>
      </c>
      <c r="P59" t="s">
        <v>63</v>
      </c>
      <c r="Q59">
        <v>2254.6799999999998</v>
      </c>
      <c r="R59" t="s">
        <v>25</v>
      </c>
      <c r="S59">
        <v>2.3854294179218338</v>
      </c>
      <c r="T59" t="s">
        <v>78</v>
      </c>
    </row>
    <row r="60" spans="1:20" x14ac:dyDescent="0.25">
      <c r="A60" s="11">
        <v>45033</v>
      </c>
      <c r="B60" t="s">
        <v>58</v>
      </c>
      <c r="C60" t="s">
        <v>59</v>
      </c>
      <c r="D60" t="s">
        <v>19</v>
      </c>
      <c r="E60" t="s">
        <v>20</v>
      </c>
      <c r="F60">
        <v>624</v>
      </c>
      <c r="G60">
        <v>9.86</v>
      </c>
      <c r="H60">
        <v>6152.64</v>
      </c>
      <c r="I60" t="s">
        <v>46</v>
      </c>
      <c r="J60" t="s">
        <v>34</v>
      </c>
      <c r="K60" t="s">
        <v>41</v>
      </c>
      <c r="L60">
        <v>3932.18</v>
      </c>
      <c r="M60">
        <v>36.1</v>
      </c>
      <c r="N60">
        <v>2023</v>
      </c>
      <c r="O60">
        <v>2</v>
      </c>
      <c r="P60" t="s">
        <v>63</v>
      </c>
      <c r="Q60">
        <v>2220.46</v>
      </c>
      <c r="R60" t="s">
        <v>25</v>
      </c>
      <c r="S60">
        <v>1.7708853120524575</v>
      </c>
      <c r="T60" t="s">
        <v>78</v>
      </c>
    </row>
    <row r="61" spans="1:20" x14ac:dyDescent="0.25">
      <c r="A61" s="11">
        <v>45122</v>
      </c>
      <c r="B61" t="s">
        <v>30</v>
      </c>
      <c r="C61" t="s">
        <v>31</v>
      </c>
      <c r="D61" t="s">
        <v>32</v>
      </c>
      <c r="E61" t="s">
        <v>20</v>
      </c>
      <c r="F61">
        <v>874</v>
      </c>
      <c r="G61">
        <v>9.67</v>
      </c>
      <c r="H61">
        <v>8451.58</v>
      </c>
      <c r="I61" t="s">
        <v>57</v>
      </c>
      <c r="J61" t="s">
        <v>47</v>
      </c>
      <c r="K61" t="s">
        <v>28</v>
      </c>
      <c r="L61">
        <v>6232.91</v>
      </c>
      <c r="M61">
        <v>26.3</v>
      </c>
      <c r="N61">
        <v>2024</v>
      </c>
      <c r="O61">
        <v>3</v>
      </c>
      <c r="P61" t="s">
        <v>66</v>
      </c>
      <c r="Q61">
        <v>2218.67</v>
      </c>
      <c r="R61" t="s">
        <v>25</v>
      </c>
      <c r="S61">
        <v>2.8093001663158557</v>
      </c>
      <c r="T61" t="s">
        <v>78</v>
      </c>
    </row>
    <row r="62" spans="1:20" x14ac:dyDescent="0.25">
      <c r="A62" s="11">
        <v>45077</v>
      </c>
      <c r="B62" t="s">
        <v>58</v>
      </c>
      <c r="C62" t="s">
        <v>59</v>
      </c>
      <c r="D62" t="s">
        <v>37</v>
      </c>
      <c r="E62" t="s">
        <v>38</v>
      </c>
      <c r="F62">
        <v>896</v>
      </c>
      <c r="G62">
        <v>6.3</v>
      </c>
      <c r="H62">
        <v>5644.8</v>
      </c>
      <c r="I62" t="s">
        <v>39</v>
      </c>
      <c r="J62" t="s">
        <v>22</v>
      </c>
      <c r="K62" t="s">
        <v>28</v>
      </c>
      <c r="L62">
        <v>3452.37</v>
      </c>
      <c r="M62">
        <v>38.799999999999997</v>
      </c>
      <c r="N62">
        <v>2023</v>
      </c>
      <c r="O62">
        <v>2</v>
      </c>
      <c r="P62" t="s">
        <v>67</v>
      </c>
      <c r="Q62">
        <v>2192.4299999999998</v>
      </c>
      <c r="R62" t="s">
        <v>25</v>
      </c>
      <c r="S62">
        <v>1.5746774127338159</v>
      </c>
      <c r="T62" t="s">
        <v>78</v>
      </c>
    </row>
    <row r="63" spans="1:20" x14ac:dyDescent="0.25">
      <c r="A63" s="11">
        <v>45086</v>
      </c>
      <c r="B63" t="s">
        <v>35</v>
      </c>
      <c r="C63" t="s">
        <v>36</v>
      </c>
      <c r="D63" t="s">
        <v>53</v>
      </c>
      <c r="E63" t="s">
        <v>50</v>
      </c>
      <c r="F63">
        <v>923</v>
      </c>
      <c r="G63">
        <v>9.34</v>
      </c>
      <c r="H63">
        <v>8620.82</v>
      </c>
      <c r="I63" t="s">
        <v>21</v>
      </c>
      <c r="J63" t="s">
        <v>47</v>
      </c>
      <c r="K63" t="s">
        <v>41</v>
      </c>
      <c r="L63">
        <v>6439.54</v>
      </c>
      <c r="M63">
        <v>25.3</v>
      </c>
      <c r="N63">
        <v>2023</v>
      </c>
      <c r="O63">
        <v>2</v>
      </c>
      <c r="P63" t="s">
        <v>69</v>
      </c>
      <c r="Q63">
        <v>2181.2800000000002</v>
      </c>
      <c r="R63" t="s">
        <v>25</v>
      </c>
      <c r="S63">
        <v>2.9521840387295528</v>
      </c>
      <c r="T63" t="s">
        <v>78</v>
      </c>
    </row>
    <row r="64" spans="1:20" x14ac:dyDescent="0.25">
      <c r="A64" s="11">
        <v>45114</v>
      </c>
      <c r="B64" t="s">
        <v>42</v>
      </c>
      <c r="C64" t="s">
        <v>43</v>
      </c>
      <c r="D64" t="s">
        <v>32</v>
      </c>
      <c r="E64" t="s">
        <v>20</v>
      </c>
      <c r="F64">
        <v>693</v>
      </c>
      <c r="G64">
        <v>8.67</v>
      </c>
      <c r="H64">
        <v>6008.31</v>
      </c>
      <c r="I64" t="s">
        <v>54</v>
      </c>
      <c r="J64" t="s">
        <v>56</v>
      </c>
      <c r="K64" t="s">
        <v>23</v>
      </c>
      <c r="L64">
        <v>3831.92</v>
      </c>
      <c r="M64">
        <v>36.200000000000003</v>
      </c>
      <c r="N64">
        <v>2024</v>
      </c>
      <c r="O64">
        <v>3</v>
      </c>
      <c r="P64" t="s">
        <v>62</v>
      </c>
      <c r="Q64">
        <v>2176.39</v>
      </c>
      <c r="R64" t="s">
        <v>25</v>
      </c>
      <c r="S64">
        <v>1.7606770845298867</v>
      </c>
      <c r="T64" t="s">
        <v>78</v>
      </c>
    </row>
    <row r="65" spans="1:20" x14ac:dyDescent="0.25">
      <c r="A65" s="11">
        <v>45056</v>
      </c>
      <c r="B65" t="s">
        <v>58</v>
      </c>
      <c r="C65" t="s">
        <v>59</v>
      </c>
      <c r="D65" t="s">
        <v>49</v>
      </c>
      <c r="E65" t="s">
        <v>50</v>
      </c>
      <c r="F65">
        <v>943</v>
      </c>
      <c r="G65">
        <v>8.4</v>
      </c>
      <c r="H65">
        <v>7921.2</v>
      </c>
      <c r="I65" t="s">
        <v>46</v>
      </c>
      <c r="J65" t="s">
        <v>27</v>
      </c>
      <c r="K65" t="s">
        <v>41</v>
      </c>
      <c r="L65">
        <v>5757.96</v>
      </c>
      <c r="M65">
        <v>27.3</v>
      </c>
      <c r="N65">
        <v>2023</v>
      </c>
      <c r="O65">
        <v>2</v>
      </c>
      <c r="P65" t="s">
        <v>65</v>
      </c>
      <c r="Q65">
        <v>2163.2399999999998</v>
      </c>
      <c r="R65" t="s">
        <v>25</v>
      </c>
      <c r="S65">
        <v>2.6617296277805518</v>
      </c>
      <c r="T65" t="s">
        <v>78</v>
      </c>
    </row>
    <row r="66" spans="1:20" x14ac:dyDescent="0.25">
      <c r="A66" s="11">
        <v>44990</v>
      </c>
      <c r="B66" t="s">
        <v>58</v>
      </c>
      <c r="C66" t="s">
        <v>59</v>
      </c>
      <c r="D66" t="s">
        <v>32</v>
      </c>
      <c r="E66" t="s">
        <v>20</v>
      </c>
      <c r="F66">
        <v>822</v>
      </c>
      <c r="G66">
        <v>7.52</v>
      </c>
      <c r="H66">
        <v>6181.44</v>
      </c>
      <c r="I66" t="s">
        <v>54</v>
      </c>
      <c r="J66" t="s">
        <v>22</v>
      </c>
      <c r="K66" t="s">
        <v>23</v>
      </c>
      <c r="L66">
        <v>4020.19</v>
      </c>
      <c r="M66">
        <v>35</v>
      </c>
      <c r="N66">
        <v>2023</v>
      </c>
      <c r="O66">
        <v>1</v>
      </c>
      <c r="P66" t="s">
        <v>61</v>
      </c>
      <c r="Q66">
        <v>2161.25</v>
      </c>
      <c r="R66" t="s">
        <v>25</v>
      </c>
      <c r="S66">
        <v>1.8601226142278775</v>
      </c>
      <c r="T66" t="s">
        <v>78</v>
      </c>
    </row>
    <row r="67" spans="1:20" x14ac:dyDescent="0.25">
      <c r="A67" s="11">
        <v>45002</v>
      </c>
      <c r="B67" t="s">
        <v>42</v>
      </c>
      <c r="C67" t="s">
        <v>43</v>
      </c>
      <c r="D67" t="s">
        <v>48</v>
      </c>
      <c r="E67" t="s">
        <v>38</v>
      </c>
      <c r="F67">
        <v>947</v>
      </c>
      <c r="G67">
        <v>10.67</v>
      </c>
      <c r="H67">
        <v>10104.49</v>
      </c>
      <c r="I67" t="s">
        <v>26</v>
      </c>
      <c r="J67" t="s">
        <v>22</v>
      </c>
      <c r="K67" t="s">
        <v>23</v>
      </c>
      <c r="L67">
        <v>7957.18</v>
      </c>
      <c r="M67">
        <v>21.3</v>
      </c>
      <c r="N67">
        <v>2023</v>
      </c>
      <c r="O67">
        <v>1</v>
      </c>
      <c r="P67" t="s">
        <v>62</v>
      </c>
      <c r="Q67">
        <v>2147.31</v>
      </c>
      <c r="R67" t="s">
        <v>29</v>
      </c>
      <c r="S67">
        <v>3.7056503252907129</v>
      </c>
      <c r="T67" t="s">
        <v>78</v>
      </c>
    </row>
    <row r="68" spans="1:20" x14ac:dyDescent="0.25">
      <c r="A68" s="11">
        <v>45027</v>
      </c>
      <c r="B68" t="s">
        <v>51</v>
      </c>
      <c r="C68" t="s">
        <v>52</v>
      </c>
      <c r="D68" t="s">
        <v>44</v>
      </c>
      <c r="E68" t="s">
        <v>38</v>
      </c>
      <c r="F68">
        <v>914</v>
      </c>
      <c r="G68">
        <v>11.69</v>
      </c>
      <c r="H68">
        <v>10684.66</v>
      </c>
      <c r="I68" t="s">
        <v>21</v>
      </c>
      <c r="J68" t="s">
        <v>27</v>
      </c>
      <c r="K68" t="s">
        <v>41</v>
      </c>
      <c r="L68">
        <v>8537.83</v>
      </c>
      <c r="M68">
        <v>20.100000000000001</v>
      </c>
      <c r="N68">
        <v>2023</v>
      </c>
      <c r="O68">
        <v>2</v>
      </c>
      <c r="P68" t="s">
        <v>63</v>
      </c>
      <c r="Q68">
        <v>2146.83</v>
      </c>
      <c r="R68" t="s">
        <v>29</v>
      </c>
      <c r="S68">
        <v>3.9769474061756172</v>
      </c>
      <c r="T68" t="s">
        <v>78</v>
      </c>
    </row>
    <row r="69" spans="1:20" x14ac:dyDescent="0.25">
      <c r="A69" s="11">
        <v>45118</v>
      </c>
      <c r="B69" t="s">
        <v>30</v>
      </c>
      <c r="C69" t="s">
        <v>31</v>
      </c>
      <c r="D69" t="s">
        <v>53</v>
      </c>
      <c r="E69" t="s">
        <v>50</v>
      </c>
      <c r="F69">
        <v>706</v>
      </c>
      <c r="G69">
        <v>7.7</v>
      </c>
      <c r="H69">
        <v>5436.2</v>
      </c>
      <c r="I69" t="s">
        <v>57</v>
      </c>
      <c r="J69" t="s">
        <v>27</v>
      </c>
      <c r="K69" t="s">
        <v>28</v>
      </c>
      <c r="L69">
        <v>3294.71</v>
      </c>
      <c r="M69">
        <v>39.4</v>
      </c>
      <c r="N69">
        <v>2024</v>
      </c>
      <c r="O69">
        <v>3</v>
      </c>
      <c r="P69" t="s">
        <v>64</v>
      </c>
      <c r="Q69">
        <v>2141.4899999999998</v>
      </c>
      <c r="R69" t="s">
        <v>25</v>
      </c>
      <c r="S69">
        <v>1.538512904566447</v>
      </c>
      <c r="T69" t="s">
        <v>78</v>
      </c>
    </row>
    <row r="70" spans="1:20" x14ac:dyDescent="0.25">
      <c r="A70" s="11">
        <v>44978</v>
      </c>
      <c r="B70" t="s">
        <v>30</v>
      </c>
      <c r="C70" t="s">
        <v>31</v>
      </c>
      <c r="D70" t="s">
        <v>53</v>
      </c>
      <c r="E70" t="s">
        <v>50</v>
      </c>
      <c r="F70">
        <v>626</v>
      </c>
      <c r="G70">
        <v>9.82</v>
      </c>
      <c r="H70">
        <v>6147.32</v>
      </c>
      <c r="I70" t="s">
        <v>55</v>
      </c>
      <c r="J70" t="s">
        <v>40</v>
      </c>
      <c r="K70" t="s">
        <v>28</v>
      </c>
      <c r="L70">
        <v>4007.71</v>
      </c>
      <c r="M70">
        <v>34.799999999999997</v>
      </c>
      <c r="N70">
        <v>2023</v>
      </c>
      <c r="O70">
        <v>1</v>
      </c>
      <c r="P70" t="s">
        <v>61</v>
      </c>
      <c r="Q70">
        <v>2139.61</v>
      </c>
      <c r="R70" t="s">
        <v>25</v>
      </c>
      <c r="S70">
        <v>1.8731030421431942</v>
      </c>
      <c r="T70" t="s">
        <v>78</v>
      </c>
    </row>
    <row r="71" spans="1:20" x14ac:dyDescent="0.25">
      <c r="A71" s="11">
        <v>45059</v>
      </c>
      <c r="B71" t="s">
        <v>58</v>
      </c>
      <c r="C71" t="s">
        <v>59</v>
      </c>
      <c r="D71" t="s">
        <v>19</v>
      </c>
      <c r="E71" t="s">
        <v>20</v>
      </c>
      <c r="F71">
        <v>942</v>
      </c>
      <c r="G71">
        <v>10.27</v>
      </c>
      <c r="H71">
        <v>9674.34</v>
      </c>
      <c r="I71" t="s">
        <v>55</v>
      </c>
      <c r="J71" t="s">
        <v>22</v>
      </c>
      <c r="K71" t="s">
        <v>41</v>
      </c>
      <c r="L71">
        <v>7539.15</v>
      </c>
      <c r="M71">
        <v>22.1</v>
      </c>
      <c r="N71">
        <v>2023</v>
      </c>
      <c r="O71">
        <v>2</v>
      </c>
      <c r="P71" t="s">
        <v>65</v>
      </c>
      <c r="Q71">
        <v>2135.19</v>
      </c>
      <c r="R71" t="s">
        <v>29</v>
      </c>
      <c r="S71">
        <v>3.5309035729841369</v>
      </c>
      <c r="T71" t="s">
        <v>78</v>
      </c>
    </row>
    <row r="72" spans="1:20" x14ac:dyDescent="0.25">
      <c r="A72" s="11">
        <v>45040</v>
      </c>
      <c r="B72" t="s">
        <v>42</v>
      </c>
      <c r="C72" t="s">
        <v>43</v>
      </c>
      <c r="D72" t="s">
        <v>49</v>
      </c>
      <c r="E72" t="s">
        <v>50</v>
      </c>
      <c r="F72">
        <v>633</v>
      </c>
      <c r="G72">
        <v>9.75</v>
      </c>
      <c r="H72">
        <v>6171.75</v>
      </c>
      <c r="I72" t="s">
        <v>57</v>
      </c>
      <c r="J72" t="s">
        <v>47</v>
      </c>
      <c r="K72" t="s">
        <v>28</v>
      </c>
      <c r="L72">
        <v>4039.36</v>
      </c>
      <c r="M72">
        <v>34.6</v>
      </c>
      <c r="N72">
        <v>2023</v>
      </c>
      <c r="O72">
        <v>2</v>
      </c>
      <c r="P72" t="s">
        <v>63</v>
      </c>
      <c r="Q72">
        <v>2132.39</v>
      </c>
      <c r="R72" t="s">
        <v>25</v>
      </c>
      <c r="S72">
        <v>1.8942876303115286</v>
      </c>
      <c r="T72" t="s">
        <v>78</v>
      </c>
    </row>
    <row r="73" spans="1:20" x14ac:dyDescent="0.25">
      <c r="A73" s="11">
        <v>45076</v>
      </c>
      <c r="B73" t="s">
        <v>58</v>
      </c>
      <c r="C73" t="s">
        <v>59</v>
      </c>
      <c r="D73" t="s">
        <v>48</v>
      </c>
      <c r="E73" t="s">
        <v>38</v>
      </c>
      <c r="F73">
        <v>798</v>
      </c>
      <c r="G73">
        <v>11.29</v>
      </c>
      <c r="H73">
        <v>9009.42</v>
      </c>
      <c r="I73" t="s">
        <v>39</v>
      </c>
      <c r="J73" t="s">
        <v>34</v>
      </c>
      <c r="K73" t="s">
        <v>23</v>
      </c>
      <c r="L73">
        <v>6880.94</v>
      </c>
      <c r="M73">
        <v>23.6</v>
      </c>
      <c r="N73">
        <v>2023</v>
      </c>
      <c r="O73">
        <v>2</v>
      </c>
      <c r="P73" t="s">
        <v>67</v>
      </c>
      <c r="Q73">
        <v>2128.48</v>
      </c>
      <c r="R73" t="s">
        <v>29</v>
      </c>
      <c r="S73">
        <v>3.2327952341577086</v>
      </c>
      <c r="T73" t="s">
        <v>78</v>
      </c>
    </row>
    <row r="74" spans="1:20" x14ac:dyDescent="0.25">
      <c r="A74" s="11">
        <v>45119</v>
      </c>
      <c r="B74" t="s">
        <v>35</v>
      </c>
      <c r="C74" t="s">
        <v>36</v>
      </c>
      <c r="D74" t="s">
        <v>32</v>
      </c>
      <c r="E74" t="s">
        <v>20</v>
      </c>
      <c r="F74">
        <v>906</v>
      </c>
      <c r="G74">
        <v>6.78</v>
      </c>
      <c r="H74">
        <v>6142.68</v>
      </c>
      <c r="I74" t="s">
        <v>54</v>
      </c>
      <c r="J74" t="s">
        <v>56</v>
      </c>
      <c r="K74" t="s">
        <v>41</v>
      </c>
      <c r="L74">
        <v>4019.69</v>
      </c>
      <c r="M74">
        <v>34.6</v>
      </c>
      <c r="N74">
        <v>2024</v>
      </c>
      <c r="O74">
        <v>3</v>
      </c>
      <c r="P74" t="s">
        <v>65</v>
      </c>
      <c r="Q74">
        <v>2122.9899999999998</v>
      </c>
      <c r="R74" t="s">
        <v>25</v>
      </c>
      <c r="S74">
        <v>1.8934097664143499</v>
      </c>
      <c r="T74" t="s">
        <v>78</v>
      </c>
    </row>
    <row r="75" spans="1:20" x14ac:dyDescent="0.25">
      <c r="A75" s="11">
        <v>44935</v>
      </c>
      <c r="B75" t="s">
        <v>51</v>
      </c>
      <c r="C75" t="s">
        <v>52</v>
      </c>
      <c r="D75" t="s">
        <v>49</v>
      </c>
      <c r="E75" t="s">
        <v>50</v>
      </c>
      <c r="F75">
        <v>962</v>
      </c>
      <c r="G75">
        <v>9.36</v>
      </c>
      <c r="H75">
        <v>9004.32</v>
      </c>
      <c r="I75" t="s">
        <v>57</v>
      </c>
      <c r="J75" t="s">
        <v>34</v>
      </c>
      <c r="K75" t="s">
        <v>28</v>
      </c>
      <c r="L75">
        <v>6885.5</v>
      </c>
      <c r="M75">
        <v>23.5</v>
      </c>
      <c r="N75">
        <v>2023</v>
      </c>
      <c r="O75">
        <v>1</v>
      </c>
      <c r="P75" t="s">
        <v>24</v>
      </c>
      <c r="Q75">
        <v>2118.8200000000002</v>
      </c>
      <c r="R75" t="s">
        <v>29</v>
      </c>
      <c r="S75">
        <v>3.2496861460624307</v>
      </c>
      <c r="T75" t="s">
        <v>78</v>
      </c>
    </row>
    <row r="76" spans="1:20" x14ac:dyDescent="0.25">
      <c r="A76" s="11">
        <v>45124</v>
      </c>
      <c r="B76" t="s">
        <v>42</v>
      </c>
      <c r="C76" t="s">
        <v>43</v>
      </c>
      <c r="D76" t="s">
        <v>53</v>
      </c>
      <c r="E76" t="s">
        <v>50</v>
      </c>
      <c r="F76">
        <v>923</v>
      </c>
      <c r="G76">
        <v>11.7</v>
      </c>
      <c r="H76">
        <v>10799.1</v>
      </c>
      <c r="I76" t="s">
        <v>57</v>
      </c>
      <c r="J76" t="s">
        <v>56</v>
      </c>
      <c r="K76" t="s">
        <v>41</v>
      </c>
      <c r="L76">
        <v>8690.08</v>
      </c>
      <c r="M76">
        <v>19.5</v>
      </c>
      <c r="N76">
        <v>2024</v>
      </c>
      <c r="O76">
        <v>3</v>
      </c>
      <c r="P76" t="s">
        <v>68</v>
      </c>
      <c r="Q76">
        <v>2109.02</v>
      </c>
      <c r="R76" t="s">
        <v>29</v>
      </c>
      <c r="S76">
        <v>4.1204350835933274</v>
      </c>
      <c r="T76" t="s">
        <v>78</v>
      </c>
    </row>
    <row r="77" spans="1:20" x14ac:dyDescent="0.25">
      <c r="A77" s="11">
        <v>44951</v>
      </c>
      <c r="B77" t="s">
        <v>30</v>
      </c>
      <c r="C77" t="s">
        <v>31</v>
      </c>
      <c r="D77" t="s">
        <v>19</v>
      </c>
      <c r="E77" t="s">
        <v>20</v>
      </c>
      <c r="F77">
        <v>492</v>
      </c>
      <c r="G77">
        <v>10.69</v>
      </c>
      <c r="H77">
        <v>5259.48</v>
      </c>
      <c r="I77" t="s">
        <v>55</v>
      </c>
      <c r="J77" t="s">
        <v>56</v>
      </c>
      <c r="K77" t="s">
        <v>41</v>
      </c>
      <c r="L77">
        <v>3165.96</v>
      </c>
      <c r="M77">
        <v>39.799999999999997</v>
      </c>
      <c r="N77">
        <v>2023</v>
      </c>
      <c r="O77">
        <v>1</v>
      </c>
      <c r="P77" t="s">
        <v>24</v>
      </c>
      <c r="Q77">
        <v>2093.52</v>
      </c>
      <c r="R77" t="s">
        <v>25</v>
      </c>
      <c r="S77">
        <v>1.5122664221024877</v>
      </c>
      <c r="T77" t="s">
        <v>78</v>
      </c>
    </row>
    <row r="78" spans="1:20" x14ac:dyDescent="0.25">
      <c r="A78" s="11">
        <v>45051</v>
      </c>
      <c r="B78" t="s">
        <v>51</v>
      </c>
      <c r="C78" t="s">
        <v>52</v>
      </c>
      <c r="D78" t="s">
        <v>48</v>
      </c>
      <c r="E78" t="s">
        <v>38</v>
      </c>
      <c r="F78">
        <v>780</v>
      </c>
      <c r="G78">
        <v>11.1</v>
      </c>
      <c r="H78">
        <v>8658</v>
      </c>
      <c r="I78" t="s">
        <v>54</v>
      </c>
      <c r="J78" t="s">
        <v>22</v>
      </c>
      <c r="K78" t="s">
        <v>28</v>
      </c>
      <c r="L78">
        <v>6570.21</v>
      </c>
      <c r="M78">
        <v>24.1</v>
      </c>
      <c r="N78">
        <v>2023</v>
      </c>
      <c r="O78">
        <v>2</v>
      </c>
      <c r="P78" t="s">
        <v>64</v>
      </c>
      <c r="Q78">
        <v>2087.79</v>
      </c>
      <c r="R78" t="s">
        <v>29</v>
      </c>
      <c r="S78">
        <v>3.1469688043337691</v>
      </c>
      <c r="T78" t="s">
        <v>78</v>
      </c>
    </row>
    <row r="79" spans="1:20" x14ac:dyDescent="0.25">
      <c r="A79" s="11">
        <v>45074</v>
      </c>
      <c r="B79" t="s">
        <v>17</v>
      </c>
      <c r="C79" t="s">
        <v>18</v>
      </c>
      <c r="D79" t="s">
        <v>49</v>
      </c>
      <c r="E79" t="s">
        <v>50</v>
      </c>
      <c r="F79">
        <v>481</v>
      </c>
      <c r="G79">
        <v>11.25</v>
      </c>
      <c r="H79">
        <v>5411.25</v>
      </c>
      <c r="I79" t="s">
        <v>55</v>
      </c>
      <c r="J79" t="s">
        <v>22</v>
      </c>
      <c r="K79" t="s">
        <v>23</v>
      </c>
      <c r="L79">
        <v>3325.12</v>
      </c>
      <c r="M79">
        <v>38.6</v>
      </c>
      <c r="N79">
        <v>2023</v>
      </c>
      <c r="O79">
        <v>2</v>
      </c>
      <c r="P79" t="s">
        <v>67</v>
      </c>
      <c r="Q79">
        <v>2086.13</v>
      </c>
      <c r="R79" t="s">
        <v>25</v>
      </c>
      <c r="S79">
        <v>1.5939179245780464</v>
      </c>
      <c r="T79" t="s">
        <v>78</v>
      </c>
    </row>
    <row r="80" spans="1:20" x14ac:dyDescent="0.25">
      <c r="A80" s="11">
        <v>45058</v>
      </c>
      <c r="B80" t="s">
        <v>30</v>
      </c>
      <c r="C80" t="s">
        <v>31</v>
      </c>
      <c r="D80" t="s">
        <v>53</v>
      </c>
      <c r="E80" t="s">
        <v>50</v>
      </c>
      <c r="F80">
        <v>600</v>
      </c>
      <c r="G80">
        <v>10.09</v>
      </c>
      <c r="H80">
        <v>6054</v>
      </c>
      <c r="I80" t="s">
        <v>54</v>
      </c>
      <c r="J80" t="s">
        <v>40</v>
      </c>
      <c r="K80" t="s">
        <v>23</v>
      </c>
      <c r="L80">
        <v>3973.55</v>
      </c>
      <c r="M80">
        <v>34.4</v>
      </c>
      <c r="N80">
        <v>2023</v>
      </c>
      <c r="O80">
        <v>2</v>
      </c>
      <c r="P80" t="s">
        <v>65</v>
      </c>
      <c r="Q80">
        <v>2080.4499999999998</v>
      </c>
      <c r="R80" t="s">
        <v>25</v>
      </c>
      <c r="S80">
        <v>1.9099473671561444</v>
      </c>
      <c r="T80" t="s">
        <v>78</v>
      </c>
    </row>
    <row r="81" spans="1:20" x14ac:dyDescent="0.25">
      <c r="A81" s="11">
        <v>45127</v>
      </c>
      <c r="B81" t="s">
        <v>51</v>
      </c>
      <c r="C81" t="s">
        <v>52</v>
      </c>
      <c r="D81" t="s">
        <v>45</v>
      </c>
      <c r="E81" t="s">
        <v>20</v>
      </c>
      <c r="F81">
        <v>470</v>
      </c>
      <c r="G81">
        <v>11.77</v>
      </c>
      <c r="H81">
        <v>5531.9</v>
      </c>
      <c r="I81" t="s">
        <v>39</v>
      </c>
      <c r="J81" t="s">
        <v>34</v>
      </c>
      <c r="K81" t="s">
        <v>28</v>
      </c>
      <c r="L81">
        <v>3455.07</v>
      </c>
      <c r="M81">
        <v>37.5</v>
      </c>
      <c r="N81">
        <v>2024</v>
      </c>
      <c r="O81">
        <v>3</v>
      </c>
      <c r="P81" t="s">
        <v>70</v>
      </c>
      <c r="Q81">
        <v>2076.83</v>
      </c>
      <c r="R81" t="s">
        <v>25</v>
      </c>
      <c r="S81">
        <v>1.6636267773481701</v>
      </c>
      <c r="T81" t="s">
        <v>78</v>
      </c>
    </row>
    <row r="82" spans="1:20" x14ac:dyDescent="0.25">
      <c r="A82" s="11">
        <v>45088</v>
      </c>
      <c r="B82" t="s">
        <v>42</v>
      </c>
      <c r="C82" t="s">
        <v>43</v>
      </c>
      <c r="D82" t="s">
        <v>37</v>
      </c>
      <c r="E82" t="s">
        <v>38</v>
      </c>
      <c r="F82">
        <v>586</v>
      </c>
      <c r="G82">
        <v>11.04</v>
      </c>
      <c r="H82">
        <v>6469.44</v>
      </c>
      <c r="I82" t="s">
        <v>55</v>
      </c>
      <c r="J82" t="s">
        <v>27</v>
      </c>
      <c r="K82" t="s">
        <v>28</v>
      </c>
      <c r="L82">
        <v>4412.58</v>
      </c>
      <c r="M82">
        <v>31.8</v>
      </c>
      <c r="N82">
        <v>2023</v>
      </c>
      <c r="O82">
        <v>2</v>
      </c>
      <c r="P82" t="s">
        <v>69</v>
      </c>
      <c r="Q82">
        <v>2056.86</v>
      </c>
      <c r="R82" t="s">
        <v>25</v>
      </c>
      <c r="S82">
        <v>2.1452991452991452</v>
      </c>
      <c r="T82" t="s">
        <v>78</v>
      </c>
    </row>
    <row r="83" spans="1:20" x14ac:dyDescent="0.25">
      <c r="A83" s="11">
        <v>45041</v>
      </c>
      <c r="B83" t="s">
        <v>17</v>
      </c>
      <c r="C83" t="s">
        <v>18</v>
      </c>
      <c r="D83" t="s">
        <v>45</v>
      </c>
      <c r="E83" t="s">
        <v>20</v>
      </c>
      <c r="F83">
        <v>596</v>
      </c>
      <c r="G83">
        <v>10.62</v>
      </c>
      <c r="H83">
        <v>6329.52</v>
      </c>
      <c r="I83" t="s">
        <v>21</v>
      </c>
      <c r="J83" t="s">
        <v>34</v>
      </c>
      <c r="K83" t="s">
        <v>23</v>
      </c>
      <c r="L83">
        <v>4287.26</v>
      </c>
      <c r="M83">
        <v>32.299999999999997</v>
      </c>
      <c r="N83">
        <v>2023</v>
      </c>
      <c r="O83">
        <v>2</v>
      </c>
      <c r="P83" t="s">
        <v>64</v>
      </c>
      <c r="Q83">
        <v>2042.26</v>
      </c>
      <c r="R83" t="s">
        <v>25</v>
      </c>
      <c r="S83">
        <v>2.0992723747221218</v>
      </c>
      <c r="T83" t="s">
        <v>78</v>
      </c>
    </row>
    <row r="84" spans="1:20" x14ac:dyDescent="0.25">
      <c r="A84" s="11">
        <v>44979</v>
      </c>
      <c r="B84" t="s">
        <v>58</v>
      </c>
      <c r="C84" t="s">
        <v>59</v>
      </c>
      <c r="D84" t="s">
        <v>44</v>
      </c>
      <c r="E84" t="s">
        <v>38</v>
      </c>
      <c r="F84">
        <v>669</v>
      </c>
      <c r="G84">
        <v>9.92</v>
      </c>
      <c r="H84">
        <v>6636.48</v>
      </c>
      <c r="I84" t="s">
        <v>33</v>
      </c>
      <c r="J84" t="s">
        <v>40</v>
      </c>
      <c r="K84" t="s">
        <v>28</v>
      </c>
      <c r="L84">
        <v>4594.3999999999996</v>
      </c>
      <c r="M84">
        <v>30.8</v>
      </c>
      <c r="N84">
        <v>2023</v>
      </c>
      <c r="O84">
        <v>1</v>
      </c>
      <c r="P84" t="s">
        <v>61</v>
      </c>
      <c r="Q84">
        <v>2042.08</v>
      </c>
      <c r="R84" t="s">
        <v>25</v>
      </c>
      <c r="S84">
        <v>2.2498628849016686</v>
      </c>
      <c r="T84" t="s">
        <v>78</v>
      </c>
    </row>
    <row r="85" spans="1:20" x14ac:dyDescent="0.25">
      <c r="A85" s="11">
        <v>45087</v>
      </c>
      <c r="B85" t="s">
        <v>17</v>
      </c>
      <c r="C85" t="s">
        <v>18</v>
      </c>
      <c r="D85" t="s">
        <v>37</v>
      </c>
      <c r="E85" t="s">
        <v>38</v>
      </c>
      <c r="F85">
        <v>629</v>
      </c>
      <c r="G85">
        <v>10.14</v>
      </c>
      <c r="H85">
        <v>6378.06</v>
      </c>
      <c r="I85" t="s">
        <v>33</v>
      </c>
      <c r="J85" t="s">
        <v>27</v>
      </c>
      <c r="K85" t="s">
        <v>23</v>
      </c>
      <c r="L85">
        <v>4336.2299999999996</v>
      </c>
      <c r="M85">
        <v>32</v>
      </c>
      <c r="N85">
        <v>2023</v>
      </c>
      <c r="O85">
        <v>2</v>
      </c>
      <c r="P85" t="s">
        <v>69</v>
      </c>
      <c r="Q85">
        <v>2041.83</v>
      </c>
      <c r="R85" t="s">
        <v>25</v>
      </c>
      <c r="S85">
        <v>2.1236978592732987</v>
      </c>
      <c r="T85" t="s">
        <v>78</v>
      </c>
    </row>
    <row r="86" spans="1:20" x14ac:dyDescent="0.25">
      <c r="A86" s="11">
        <v>44985</v>
      </c>
      <c r="B86" t="s">
        <v>58</v>
      </c>
      <c r="C86" t="s">
        <v>59</v>
      </c>
      <c r="D86" t="s">
        <v>53</v>
      </c>
      <c r="E86" t="s">
        <v>50</v>
      </c>
      <c r="F86">
        <v>664</v>
      </c>
      <c r="G86">
        <v>9.94</v>
      </c>
      <c r="H86">
        <v>6600.16</v>
      </c>
      <c r="I86" t="s">
        <v>57</v>
      </c>
      <c r="J86" t="s">
        <v>40</v>
      </c>
      <c r="K86" t="s">
        <v>28</v>
      </c>
      <c r="L86">
        <v>4559.8599999999997</v>
      </c>
      <c r="M86">
        <v>30.9</v>
      </c>
      <c r="N86">
        <v>2023</v>
      </c>
      <c r="O86">
        <v>1</v>
      </c>
      <c r="P86" t="s">
        <v>61</v>
      </c>
      <c r="Q86">
        <v>2040.3</v>
      </c>
      <c r="R86" t="s">
        <v>25</v>
      </c>
      <c r="S86">
        <v>2.2348968288977109</v>
      </c>
      <c r="T86" t="s">
        <v>78</v>
      </c>
    </row>
    <row r="87" spans="1:20" x14ac:dyDescent="0.25">
      <c r="A87" s="11">
        <v>45075</v>
      </c>
      <c r="B87" t="s">
        <v>51</v>
      </c>
      <c r="C87" t="s">
        <v>52</v>
      </c>
      <c r="D87" t="s">
        <v>45</v>
      </c>
      <c r="E87" t="s">
        <v>20</v>
      </c>
      <c r="F87">
        <v>475</v>
      </c>
      <c r="G87">
        <v>10.72</v>
      </c>
      <c r="H87">
        <v>5092</v>
      </c>
      <c r="I87" t="s">
        <v>46</v>
      </c>
      <c r="J87" t="s">
        <v>27</v>
      </c>
      <c r="K87" t="s">
        <v>23</v>
      </c>
      <c r="L87">
        <v>3062.75</v>
      </c>
      <c r="M87">
        <v>39.9</v>
      </c>
      <c r="N87">
        <v>2023</v>
      </c>
      <c r="O87">
        <v>2</v>
      </c>
      <c r="P87" t="s">
        <v>67</v>
      </c>
      <c r="Q87">
        <v>2029.25</v>
      </c>
      <c r="R87" t="s">
        <v>25</v>
      </c>
      <c r="S87">
        <v>1.5093014660588888</v>
      </c>
      <c r="T87" t="s">
        <v>78</v>
      </c>
    </row>
    <row r="88" spans="1:20" x14ac:dyDescent="0.25">
      <c r="A88" s="11">
        <v>45006</v>
      </c>
      <c r="B88" t="s">
        <v>51</v>
      </c>
      <c r="C88" t="s">
        <v>52</v>
      </c>
      <c r="D88" t="s">
        <v>32</v>
      </c>
      <c r="E88" t="s">
        <v>20</v>
      </c>
      <c r="F88">
        <v>960</v>
      </c>
      <c r="G88">
        <v>7.34</v>
      </c>
      <c r="H88">
        <v>7046.4</v>
      </c>
      <c r="I88" t="s">
        <v>46</v>
      </c>
      <c r="J88" t="s">
        <v>56</v>
      </c>
      <c r="K88" t="s">
        <v>23</v>
      </c>
      <c r="L88">
        <v>5024.63</v>
      </c>
      <c r="M88">
        <v>28.7</v>
      </c>
      <c r="N88">
        <v>2023</v>
      </c>
      <c r="O88">
        <v>1</v>
      </c>
      <c r="P88" t="s">
        <v>62</v>
      </c>
      <c r="Q88">
        <v>2021.77</v>
      </c>
      <c r="R88" t="s">
        <v>25</v>
      </c>
      <c r="S88">
        <v>2.4852629131899278</v>
      </c>
      <c r="T88" t="s">
        <v>78</v>
      </c>
    </row>
    <row r="89" spans="1:20" x14ac:dyDescent="0.25">
      <c r="A89" s="11">
        <v>45110</v>
      </c>
      <c r="B89" t="s">
        <v>17</v>
      </c>
      <c r="C89" t="s">
        <v>18</v>
      </c>
      <c r="D89" t="s">
        <v>45</v>
      </c>
      <c r="E89" t="s">
        <v>20</v>
      </c>
      <c r="F89">
        <v>707</v>
      </c>
      <c r="G89">
        <v>8.4600000000000009</v>
      </c>
      <c r="H89">
        <v>5981.22</v>
      </c>
      <c r="I89" t="s">
        <v>57</v>
      </c>
      <c r="J89" t="s">
        <v>34</v>
      </c>
      <c r="K89" t="s">
        <v>28</v>
      </c>
      <c r="L89">
        <v>3961.8</v>
      </c>
      <c r="M89">
        <v>33.799999999999997</v>
      </c>
      <c r="N89">
        <v>2024</v>
      </c>
      <c r="O89">
        <v>3</v>
      </c>
      <c r="P89" t="s">
        <v>62</v>
      </c>
      <c r="Q89">
        <v>2019.42</v>
      </c>
      <c r="R89" t="s">
        <v>25</v>
      </c>
      <c r="S89">
        <v>1.9618504323023442</v>
      </c>
      <c r="T89" t="s">
        <v>78</v>
      </c>
    </row>
    <row r="90" spans="1:20" x14ac:dyDescent="0.25">
      <c r="A90" s="11">
        <v>45056</v>
      </c>
      <c r="B90" t="s">
        <v>58</v>
      </c>
      <c r="C90" t="s">
        <v>59</v>
      </c>
      <c r="D90" t="s">
        <v>49</v>
      </c>
      <c r="E90" t="s">
        <v>50</v>
      </c>
      <c r="F90">
        <v>955</v>
      </c>
      <c r="G90">
        <v>11.93</v>
      </c>
      <c r="H90">
        <v>11393.15</v>
      </c>
      <c r="I90" t="s">
        <v>46</v>
      </c>
      <c r="J90" t="s">
        <v>47</v>
      </c>
      <c r="K90" t="s">
        <v>28</v>
      </c>
      <c r="L90">
        <v>9377.6</v>
      </c>
      <c r="M90">
        <v>17.7</v>
      </c>
      <c r="N90">
        <v>2023</v>
      </c>
      <c r="O90">
        <v>2</v>
      </c>
      <c r="P90" t="s">
        <v>65</v>
      </c>
      <c r="Q90">
        <v>2015.55</v>
      </c>
      <c r="R90" t="s">
        <v>29</v>
      </c>
      <c r="S90">
        <v>4.652625834139565</v>
      </c>
      <c r="T90" t="s">
        <v>78</v>
      </c>
    </row>
    <row r="91" spans="1:20" x14ac:dyDescent="0.25">
      <c r="A91" s="11">
        <v>45016</v>
      </c>
      <c r="B91" t="s">
        <v>51</v>
      </c>
      <c r="C91" t="s">
        <v>52</v>
      </c>
      <c r="D91" t="s">
        <v>32</v>
      </c>
      <c r="E91" t="s">
        <v>20</v>
      </c>
      <c r="F91">
        <v>493</v>
      </c>
      <c r="G91">
        <v>10.71</v>
      </c>
      <c r="H91">
        <v>5280.03</v>
      </c>
      <c r="I91" t="s">
        <v>57</v>
      </c>
      <c r="J91" t="s">
        <v>47</v>
      </c>
      <c r="K91" t="s">
        <v>23</v>
      </c>
      <c r="L91">
        <v>3267.45</v>
      </c>
      <c r="M91">
        <v>38.1</v>
      </c>
      <c r="N91">
        <v>2023</v>
      </c>
      <c r="O91">
        <v>1</v>
      </c>
      <c r="P91" t="s">
        <v>62</v>
      </c>
      <c r="Q91">
        <v>2012.58</v>
      </c>
      <c r="R91" t="s">
        <v>25</v>
      </c>
      <c r="S91">
        <v>1.623513102584742</v>
      </c>
      <c r="T91" t="s">
        <v>78</v>
      </c>
    </row>
    <row r="92" spans="1:20" x14ac:dyDescent="0.25">
      <c r="A92" s="11">
        <v>45032</v>
      </c>
      <c r="B92" t="s">
        <v>17</v>
      </c>
      <c r="C92" t="s">
        <v>18</v>
      </c>
      <c r="D92" t="s">
        <v>49</v>
      </c>
      <c r="E92" t="s">
        <v>50</v>
      </c>
      <c r="F92">
        <v>603</v>
      </c>
      <c r="G92">
        <v>10.25</v>
      </c>
      <c r="H92">
        <v>6180.75</v>
      </c>
      <c r="I92" t="s">
        <v>57</v>
      </c>
      <c r="J92" t="s">
        <v>27</v>
      </c>
      <c r="K92" t="s">
        <v>23</v>
      </c>
      <c r="L92">
        <v>4177.38</v>
      </c>
      <c r="M92">
        <v>32.4</v>
      </c>
      <c r="N92">
        <v>2023</v>
      </c>
      <c r="O92">
        <v>2</v>
      </c>
      <c r="P92" t="s">
        <v>63</v>
      </c>
      <c r="Q92">
        <v>2003.37</v>
      </c>
      <c r="R92" t="s">
        <v>25</v>
      </c>
      <c r="S92">
        <v>2.0851764776351849</v>
      </c>
      <c r="T92" t="s">
        <v>78</v>
      </c>
    </row>
    <row r="93" spans="1:20" x14ac:dyDescent="0.25">
      <c r="A93" s="11">
        <v>44934</v>
      </c>
      <c r="B93" t="s">
        <v>42</v>
      </c>
      <c r="C93" t="s">
        <v>43</v>
      </c>
      <c r="D93" t="s">
        <v>37</v>
      </c>
      <c r="E93" t="s">
        <v>38</v>
      </c>
      <c r="F93">
        <v>595</v>
      </c>
      <c r="G93">
        <v>8.65</v>
      </c>
      <c r="H93">
        <v>5146.75</v>
      </c>
      <c r="I93" t="s">
        <v>54</v>
      </c>
      <c r="J93" t="s">
        <v>22</v>
      </c>
      <c r="K93" t="s">
        <v>28</v>
      </c>
      <c r="L93">
        <v>3159.95</v>
      </c>
      <c r="M93">
        <v>38.6</v>
      </c>
      <c r="N93">
        <v>2023</v>
      </c>
      <c r="O93">
        <v>1</v>
      </c>
      <c r="P93" t="s">
        <v>24</v>
      </c>
      <c r="Q93">
        <v>1986.8</v>
      </c>
      <c r="R93" t="s">
        <v>25</v>
      </c>
      <c r="S93">
        <v>1.5904721159653714</v>
      </c>
      <c r="T93" t="s">
        <v>78</v>
      </c>
    </row>
    <row r="94" spans="1:20" x14ac:dyDescent="0.25">
      <c r="A94" s="11">
        <v>45093</v>
      </c>
      <c r="B94" t="s">
        <v>42</v>
      </c>
      <c r="C94" t="s">
        <v>43</v>
      </c>
      <c r="D94" t="s">
        <v>19</v>
      </c>
      <c r="E94" t="s">
        <v>20</v>
      </c>
      <c r="F94">
        <v>974</v>
      </c>
      <c r="G94">
        <v>8.51</v>
      </c>
      <c r="H94">
        <v>8288.74</v>
      </c>
      <c r="I94" t="s">
        <v>55</v>
      </c>
      <c r="J94" t="s">
        <v>56</v>
      </c>
      <c r="K94" t="s">
        <v>23</v>
      </c>
      <c r="L94">
        <v>6310.12</v>
      </c>
      <c r="M94">
        <v>23.9</v>
      </c>
      <c r="N94">
        <v>2023</v>
      </c>
      <c r="O94">
        <v>2</v>
      </c>
      <c r="P94" t="s">
        <v>70</v>
      </c>
      <c r="Q94">
        <v>1978.62</v>
      </c>
      <c r="R94" t="s">
        <v>29</v>
      </c>
      <c r="S94">
        <v>3.1891520352568965</v>
      </c>
      <c r="T94" t="s">
        <v>78</v>
      </c>
    </row>
    <row r="95" spans="1:20" x14ac:dyDescent="0.25">
      <c r="A95" s="11">
        <v>45052</v>
      </c>
      <c r="B95" t="s">
        <v>17</v>
      </c>
      <c r="C95" t="s">
        <v>18</v>
      </c>
      <c r="D95" t="s">
        <v>44</v>
      </c>
      <c r="E95" t="s">
        <v>38</v>
      </c>
      <c r="F95">
        <v>638</v>
      </c>
      <c r="G95">
        <v>11.19</v>
      </c>
      <c r="H95">
        <v>7139.22</v>
      </c>
      <c r="I95" t="s">
        <v>57</v>
      </c>
      <c r="J95" t="s">
        <v>27</v>
      </c>
      <c r="K95" t="s">
        <v>41</v>
      </c>
      <c r="L95">
        <v>5179.0200000000004</v>
      </c>
      <c r="M95">
        <v>27.5</v>
      </c>
      <c r="N95">
        <v>2023</v>
      </c>
      <c r="O95">
        <v>2</v>
      </c>
      <c r="P95" t="s">
        <v>65</v>
      </c>
      <c r="Q95">
        <v>1960.2</v>
      </c>
      <c r="R95" t="s">
        <v>25</v>
      </c>
      <c r="S95">
        <v>2.642087542087542</v>
      </c>
      <c r="T95" t="s">
        <v>78</v>
      </c>
    </row>
    <row r="96" spans="1:20" x14ac:dyDescent="0.25">
      <c r="A96" s="11">
        <v>45075</v>
      </c>
      <c r="B96" t="s">
        <v>30</v>
      </c>
      <c r="C96" t="s">
        <v>31</v>
      </c>
      <c r="D96" t="s">
        <v>32</v>
      </c>
      <c r="E96" t="s">
        <v>20</v>
      </c>
      <c r="F96">
        <v>743</v>
      </c>
      <c r="G96">
        <v>6.83</v>
      </c>
      <c r="H96">
        <v>5074.6899999999996</v>
      </c>
      <c r="I96" t="s">
        <v>21</v>
      </c>
      <c r="J96" t="s">
        <v>40</v>
      </c>
      <c r="K96" t="s">
        <v>28</v>
      </c>
      <c r="L96">
        <v>3115.81</v>
      </c>
      <c r="M96">
        <v>38.6</v>
      </c>
      <c r="N96">
        <v>2023</v>
      </c>
      <c r="O96">
        <v>2</v>
      </c>
      <c r="P96" t="s">
        <v>67</v>
      </c>
      <c r="Q96">
        <v>1958.88</v>
      </c>
      <c r="R96" t="s">
        <v>25</v>
      </c>
      <c r="S96">
        <v>1.5906078983909171</v>
      </c>
      <c r="T96" t="s">
        <v>78</v>
      </c>
    </row>
    <row r="97" spans="1:20" x14ac:dyDescent="0.25">
      <c r="A97" s="11">
        <v>44962</v>
      </c>
      <c r="B97" t="s">
        <v>42</v>
      </c>
      <c r="C97" t="s">
        <v>43</v>
      </c>
      <c r="D97" t="s">
        <v>49</v>
      </c>
      <c r="E97" t="s">
        <v>50</v>
      </c>
      <c r="F97">
        <v>942</v>
      </c>
      <c r="G97">
        <v>5.94</v>
      </c>
      <c r="H97">
        <v>5595.48</v>
      </c>
      <c r="I97" t="s">
        <v>39</v>
      </c>
      <c r="J97" t="s">
        <v>27</v>
      </c>
      <c r="K97" t="s">
        <v>23</v>
      </c>
      <c r="L97">
        <v>3639.22</v>
      </c>
      <c r="M97">
        <v>35</v>
      </c>
      <c r="N97">
        <v>2023</v>
      </c>
      <c r="O97">
        <v>1</v>
      </c>
      <c r="P97" t="s">
        <v>60</v>
      </c>
      <c r="Q97">
        <v>1956.26</v>
      </c>
      <c r="R97" t="s">
        <v>25</v>
      </c>
      <c r="S97">
        <v>1.8602946438612453</v>
      </c>
      <c r="T97" t="s">
        <v>78</v>
      </c>
    </row>
    <row r="98" spans="1:20" x14ac:dyDescent="0.25">
      <c r="A98" s="11">
        <v>44954</v>
      </c>
      <c r="B98" t="s">
        <v>30</v>
      </c>
      <c r="C98" t="s">
        <v>31</v>
      </c>
      <c r="D98" t="s">
        <v>19</v>
      </c>
      <c r="E98" t="s">
        <v>20</v>
      </c>
      <c r="F98">
        <v>593</v>
      </c>
      <c r="G98">
        <v>9.9</v>
      </c>
      <c r="H98">
        <v>5870.7</v>
      </c>
      <c r="I98" t="s">
        <v>26</v>
      </c>
      <c r="J98" t="s">
        <v>34</v>
      </c>
      <c r="K98" t="s">
        <v>23</v>
      </c>
      <c r="L98">
        <v>3915.01</v>
      </c>
      <c r="M98">
        <v>33.299999999999997</v>
      </c>
      <c r="N98">
        <v>2023</v>
      </c>
      <c r="O98">
        <v>1</v>
      </c>
      <c r="P98" t="s">
        <v>24</v>
      </c>
      <c r="Q98">
        <v>1955.69</v>
      </c>
      <c r="R98" t="s">
        <v>25</v>
      </c>
      <c r="S98">
        <v>2.0018561223915858</v>
      </c>
      <c r="T98" t="s">
        <v>78</v>
      </c>
    </row>
    <row r="99" spans="1:20" x14ac:dyDescent="0.25">
      <c r="A99" s="11">
        <v>44995</v>
      </c>
      <c r="B99" t="s">
        <v>51</v>
      </c>
      <c r="C99" t="s">
        <v>52</v>
      </c>
      <c r="D99" t="s">
        <v>45</v>
      </c>
      <c r="E99" t="s">
        <v>20</v>
      </c>
      <c r="F99">
        <v>988</v>
      </c>
      <c r="G99">
        <v>5.14</v>
      </c>
      <c r="H99">
        <v>5078.32</v>
      </c>
      <c r="I99" t="s">
        <v>39</v>
      </c>
      <c r="J99" t="s">
        <v>56</v>
      </c>
      <c r="K99" t="s">
        <v>28</v>
      </c>
      <c r="L99">
        <v>3123.11</v>
      </c>
      <c r="M99">
        <v>38.5</v>
      </c>
      <c r="N99">
        <v>2023</v>
      </c>
      <c r="O99">
        <v>1</v>
      </c>
      <c r="P99" t="s">
        <v>61</v>
      </c>
      <c r="Q99">
        <v>1955.21</v>
      </c>
      <c r="R99" t="s">
        <v>25</v>
      </c>
      <c r="S99">
        <v>1.5973271413300874</v>
      </c>
      <c r="T99" t="s">
        <v>78</v>
      </c>
    </row>
    <row r="100" spans="1:20" x14ac:dyDescent="0.25">
      <c r="A100" s="11">
        <v>45122</v>
      </c>
      <c r="B100" t="s">
        <v>35</v>
      </c>
      <c r="C100" t="s">
        <v>36</v>
      </c>
      <c r="D100" t="s">
        <v>53</v>
      </c>
      <c r="E100" t="s">
        <v>50</v>
      </c>
      <c r="F100">
        <v>847</v>
      </c>
      <c r="G100">
        <v>10.65</v>
      </c>
      <c r="H100">
        <v>9020.5499999999993</v>
      </c>
      <c r="I100" t="s">
        <v>55</v>
      </c>
      <c r="J100" t="s">
        <v>47</v>
      </c>
      <c r="K100" t="s">
        <v>41</v>
      </c>
      <c r="L100">
        <v>7065.45</v>
      </c>
      <c r="M100">
        <v>21.7</v>
      </c>
      <c r="N100">
        <v>2024</v>
      </c>
      <c r="O100">
        <v>3</v>
      </c>
      <c r="P100" t="s">
        <v>66</v>
      </c>
      <c r="Q100">
        <v>1955.1</v>
      </c>
      <c r="R100" t="s">
        <v>29</v>
      </c>
      <c r="S100">
        <v>3.6138560687432868</v>
      </c>
      <c r="T100" t="s">
        <v>78</v>
      </c>
    </row>
    <row r="101" spans="1:20" x14ac:dyDescent="0.25">
      <c r="A101" s="11">
        <v>45051</v>
      </c>
      <c r="B101" t="s">
        <v>58</v>
      </c>
      <c r="C101" t="s">
        <v>59</v>
      </c>
      <c r="D101" t="s">
        <v>32</v>
      </c>
      <c r="E101" t="s">
        <v>20</v>
      </c>
      <c r="F101">
        <v>772</v>
      </c>
      <c r="G101">
        <v>7.57</v>
      </c>
      <c r="H101">
        <v>5844.04</v>
      </c>
      <c r="I101" t="s">
        <v>46</v>
      </c>
      <c r="J101" t="s">
        <v>22</v>
      </c>
      <c r="K101" t="s">
        <v>23</v>
      </c>
      <c r="L101">
        <v>3889.42</v>
      </c>
      <c r="M101">
        <v>33.4</v>
      </c>
      <c r="N101">
        <v>2023</v>
      </c>
      <c r="O101">
        <v>2</v>
      </c>
      <c r="P101" t="s">
        <v>64</v>
      </c>
      <c r="Q101">
        <v>1954.62</v>
      </c>
      <c r="R101" t="s">
        <v>25</v>
      </c>
      <c r="S101">
        <v>1.9898599216215942</v>
      </c>
      <c r="T101" t="s">
        <v>78</v>
      </c>
    </row>
    <row r="102" spans="1:20" x14ac:dyDescent="0.25">
      <c r="A102" s="11">
        <v>45039</v>
      </c>
      <c r="B102" t="s">
        <v>35</v>
      </c>
      <c r="C102" t="s">
        <v>36</v>
      </c>
      <c r="D102" t="s">
        <v>37</v>
      </c>
      <c r="E102" t="s">
        <v>38</v>
      </c>
      <c r="F102">
        <v>903</v>
      </c>
      <c r="G102">
        <v>6.54</v>
      </c>
      <c r="H102">
        <v>5905.62</v>
      </c>
      <c r="I102" t="s">
        <v>21</v>
      </c>
      <c r="J102" t="s">
        <v>47</v>
      </c>
      <c r="K102" t="s">
        <v>23</v>
      </c>
      <c r="L102">
        <v>3959.1</v>
      </c>
      <c r="M102">
        <v>33</v>
      </c>
      <c r="N102">
        <v>2023</v>
      </c>
      <c r="O102">
        <v>2</v>
      </c>
      <c r="P102" t="s">
        <v>63</v>
      </c>
      <c r="Q102">
        <v>1946.52</v>
      </c>
      <c r="R102" t="s">
        <v>25</v>
      </c>
      <c r="S102">
        <v>2.0339374884409098</v>
      </c>
      <c r="T102" t="s">
        <v>78</v>
      </c>
    </row>
    <row r="103" spans="1:20" x14ac:dyDescent="0.25">
      <c r="A103" s="11">
        <v>45001</v>
      </c>
      <c r="B103" t="s">
        <v>58</v>
      </c>
      <c r="C103" t="s">
        <v>59</v>
      </c>
      <c r="D103" t="s">
        <v>53</v>
      </c>
      <c r="E103" t="s">
        <v>50</v>
      </c>
      <c r="F103">
        <v>807</v>
      </c>
      <c r="G103">
        <v>6.08</v>
      </c>
      <c r="H103">
        <v>4906.5600000000004</v>
      </c>
      <c r="I103" t="s">
        <v>26</v>
      </c>
      <c r="J103" t="s">
        <v>22</v>
      </c>
      <c r="K103" t="s">
        <v>41</v>
      </c>
      <c r="L103">
        <v>2963.91</v>
      </c>
      <c r="M103">
        <v>39.6</v>
      </c>
      <c r="N103">
        <v>2023</v>
      </c>
      <c r="O103">
        <v>1</v>
      </c>
      <c r="P103" t="s">
        <v>62</v>
      </c>
      <c r="Q103">
        <v>1942.65</v>
      </c>
      <c r="R103" t="s">
        <v>25</v>
      </c>
      <c r="S103">
        <v>1.5257045787970041</v>
      </c>
      <c r="T103" t="s">
        <v>78</v>
      </c>
    </row>
    <row r="104" spans="1:20" x14ac:dyDescent="0.25">
      <c r="A104" s="11">
        <v>45115</v>
      </c>
      <c r="B104" t="s">
        <v>42</v>
      </c>
      <c r="C104" t="s">
        <v>43</v>
      </c>
      <c r="D104" t="s">
        <v>32</v>
      </c>
      <c r="E104" t="s">
        <v>20</v>
      </c>
      <c r="F104">
        <v>765</v>
      </c>
      <c r="G104">
        <v>11.85</v>
      </c>
      <c r="H104">
        <v>9065.25</v>
      </c>
      <c r="I104" t="s">
        <v>57</v>
      </c>
      <c r="J104" t="s">
        <v>27</v>
      </c>
      <c r="K104" t="s">
        <v>23</v>
      </c>
      <c r="L104">
        <v>7123.5</v>
      </c>
      <c r="M104">
        <v>21.4</v>
      </c>
      <c r="N104">
        <v>2024</v>
      </c>
      <c r="O104">
        <v>3</v>
      </c>
      <c r="P104" t="s">
        <v>63</v>
      </c>
      <c r="Q104">
        <v>1941.75</v>
      </c>
      <c r="R104" t="s">
        <v>29</v>
      </c>
      <c r="S104">
        <v>3.6685979142526071</v>
      </c>
      <c r="T104" t="s">
        <v>78</v>
      </c>
    </row>
    <row r="105" spans="1:20" x14ac:dyDescent="0.25">
      <c r="A105" s="11">
        <v>45124</v>
      </c>
      <c r="B105" t="s">
        <v>51</v>
      </c>
      <c r="C105" t="s">
        <v>52</v>
      </c>
      <c r="D105" t="s">
        <v>49</v>
      </c>
      <c r="E105" t="s">
        <v>50</v>
      </c>
      <c r="F105">
        <v>832</v>
      </c>
      <c r="G105">
        <v>9.76</v>
      </c>
      <c r="H105">
        <v>8120.32</v>
      </c>
      <c r="I105" t="s">
        <v>21</v>
      </c>
      <c r="J105" t="s">
        <v>27</v>
      </c>
      <c r="K105" t="s">
        <v>28</v>
      </c>
      <c r="L105">
        <v>6209.81</v>
      </c>
      <c r="M105">
        <v>23.5</v>
      </c>
      <c r="N105">
        <v>2024</v>
      </c>
      <c r="O105">
        <v>3</v>
      </c>
      <c r="P105" t="s">
        <v>67</v>
      </c>
      <c r="Q105">
        <v>1910.51</v>
      </c>
      <c r="R105" t="s">
        <v>29</v>
      </c>
      <c r="S105">
        <v>3.2503415318422832</v>
      </c>
      <c r="T105" t="s">
        <v>78</v>
      </c>
    </row>
    <row r="106" spans="1:20" x14ac:dyDescent="0.25">
      <c r="A106" s="11">
        <v>44944</v>
      </c>
      <c r="B106" t="s">
        <v>42</v>
      </c>
      <c r="C106" t="s">
        <v>43</v>
      </c>
      <c r="D106" t="s">
        <v>44</v>
      </c>
      <c r="E106" t="s">
        <v>38</v>
      </c>
      <c r="F106">
        <v>575</v>
      </c>
      <c r="G106">
        <v>8.52</v>
      </c>
      <c r="H106">
        <v>4899</v>
      </c>
      <c r="I106" t="s">
        <v>46</v>
      </c>
      <c r="J106" t="s">
        <v>27</v>
      </c>
      <c r="K106" t="s">
        <v>23</v>
      </c>
      <c r="L106">
        <v>2997.58</v>
      </c>
      <c r="M106">
        <v>38.799999999999997</v>
      </c>
      <c r="N106">
        <v>2023</v>
      </c>
      <c r="O106">
        <v>1</v>
      </c>
      <c r="P106" t="s">
        <v>24</v>
      </c>
      <c r="Q106">
        <v>1901.42</v>
      </c>
      <c r="R106" t="s">
        <v>25</v>
      </c>
      <c r="S106">
        <v>1.5764954612868276</v>
      </c>
      <c r="T106" t="s">
        <v>78</v>
      </c>
    </row>
    <row r="107" spans="1:20" x14ac:dyDescent="0.25">
      <c r="A107" s="11">
        <v>45091</v>
      </c>
      <c r="B107" t="s">
        <v>30</v>
      </c>
      <c r="C107" t="s">
        <v>31</v>
      </c>
      <c r="D107" t="s">
        <v>49</v>
      </c>
      <c r="E107" t="s">
        <v>50</v>
      </c>
      <c r="F107">
        <v>658</v>
      </c>
      <c r="G107">
        <v>11.02</v>
      </c>
      <c r="H107">
        <v>7251.16</v>
      </c>
      <c r="I107" t="s">
        <v>57</v>
      </c>
      <c r="J107" t="s">
        <v>40</v>
      </c>
      <c r="K107" t="s">
        <v>41</v>
      </c>
      <c r="L107">
        <v>5357.78</v>
      </c>
      <c r="M107">
        <v>26.1</v>
      </c>
      <c r="N107">
        <v>2023</v>
      </c>
      <c r="O107">
        <v>2</v>
      </c>
      <c r="P107" t="s">
        <v>70</v>
      </c>
      <c r="Q107">
        <v>1893.38</v>
      </c>
      <c r="R107" t="s">
        <v>25</v>
      </c>
      <c r="S107">
        <v>2.8297436330794659</v>
      </c>
      <c r="T107" t="s">
        <v>78</v>
      </c>
    </row>
    <row r="108" spans="1:20" x14ac:dyDescent="0.25">
      <c r="A108" s="11">
        <v>45108</v>
      </c>
      <c r="B108" t="s">
        <v>58</v>
      </c>
      <c r="C108" t="s">
        <v>59</v>
      </c>
      <c r="D108" t="s">
        <v>49</v>
      </c>
      <c r="E108" t="s">
        <v>50</v>
      </c>
      <c r="F108">
        <v>739</v>
      </c>
      <c r="G108">
        <v>11.67</v>
      </c>
      <c r="H108">
        <v>8624.1299999999992</v>
      </c>
      <c r="I108" t="s">
        <v>55</v>
      </c>
      <c r="J108" t="s">
        <v>56</v>
      </c>
      <c r="K108" t="s">
        <v>23</v>
      </c>
      <c r="L108">
        <v>6741.37</v>
      </c>
      <c r="M108">
        <v>21.8</v>
      </c>
      <c r="N108">
        <v>2024</v>
      </c>
      <c r="O108">
        <v>3</v>
      </c>
      <c r="P108" t="s">
        <v>60</v>
      </c>
      <c r="Q108">
        <v>1882.76</v>
      </c>
      <c r="R108" t="s">
        <v>29</v>
      </c>
      <c r="S108">
        <v>3.580578512396694</v>
      </c>
      <c r="T108" t="s">
        <v>78</v>
      </c>
    </row>
    <row r="109" spans="1:20" x14ac:dyDescent="0.25">
      <c r="A109" s="11">
        <v>45118</v>
      </c>
      <c r="B109" t="s">
        <v>30</v>
      </c>
      <c r="C109" t="s">
        <v>31</v>
      </c>
      <c r="D109" t="s">
        <v>53</v>
      </c>
      <c r="E109" t="s">
        <v>50</v>
      </c>
      <c r="F109">
        <v>939</v>
      </c>
      <c r="G109">
        <v>5.18</v>
      </c>
      <c r="H109">
        <v>4864.0200000000004</v>
      </c>
      <c r="I109" t="s">
        <v>26</v>
      </c>
      <c r="J109" t="s">
        <v>34</v>
      </c>
      <c r="K109" t="s">
        <v>23</v>
      </c>
      <c r="L109">
        <v>2995</v>
      </c>
      <c r="M109">
        <v>38.4</v>
      </c>
      <c r="N109">
        <v>2024</v>
      </c>
      <c r="O109">
        <v>3</v>
      </c>
      <c r="P109" t="s">
        <v>64</v>
      </c>
      <c r="Q109">
        <v>1869.02</v>
      </c>
      <c r="R109" t="s">
        <v>25</v>
      </c>
      <c r="S109">
        <v>1.6024440615937765</v>
      </c>
      <c r="T109" t="s">
        <v>78</v>
      </c>
    </row>
    <row r="110" spans="1:20" x14ac:dyDescent="0.25">
      <c r="A110" s="11">
        <v>45035</v>
      </c>
      <c r="B110" t="s">
        <v>30</v>
      </c>
      <c r="C110" t="s">
        <v>31</v>
      </c>
      <c r="D110" t="s">
        <v>53</v>
      </c>
      <c r="E110" t="s">
        <v>50</v>
      </c>
      <c r="F110">
        <v>758</v>
      </c>
      <c r="G110">
        <v>10.52</v>
      </c>
      <c r="H110">
        <v>7974.16</v>
      </c>
      <c r="I110" t="s">
        <v>26</v>
      </c>
      <c r="J110" t="s">
        <v>34</v>
      </c>
      <c r="K110" t="s">
        <v>23</v>
      </c>
      <c r="L110">
        <v>6129.14</v>
      </c>
      <c r="M110">
        <v>23.1</v>
      </c>
      <c r="N110">
        <v>2023</v>
      </c>
      <c r="O110">
        <v>2</v>
      </c>
      <c r="P110" t="s">
        <v>63</v>
      </c>
      <c r="Q110">
        <v>1845.02</v>
      </c>
      <c r="R110" t="s">
        <v>29</v>
      </c>
      <c r="S110">
        <v>3.3219910895274851</v>
      </c>
      <c r="T110" t="s">
        <v>78</v>
      </c>
    </row>
    <row r="111" spans="1:20" x14ac:dyDescent="0.25">
      <c r="A111" s="11">
        <v>44948</v>
      </c>
      <c r="B111" t="s">
        <v>35</v>
      </c>
      <c r="C111" t="s">
        <v>36</v>
      </c>
      <c r="D111" t="s">
        <v>53</v>
      </c>
      <c r="E111" t="s">
        <v>50</v>
      </c>
      <c r="F111">
        <v>969</v>
      </c>
      <c r="G111">
        <v>11.44</v>
      </c>
      <c r="H111">
        <v>11085.36</v>
      </c>
      <c r="I111" t="s">
        <v>33</v>
      </c>
      <c r="J111" t="s">
        <v>34</v>
      </c>
      <c r="K111" t="s">
        <v>28</v>
      </c>
      <c r="L111">
        <v>9254.84</v>
      </c>
      <c r="M111">
        <v>16.5</v>
      </c>
      <c r="N111">
        <v>2023</v>
      </c>
      <c r="O111">
        <v>1</v>
      </c>
      <c r="P111" t="s">
        <v>24</v>
      </c>
      <c r="Q111">
        <v>1830.52</v>
      </c>
      <c r="R111" t="s">
        <v>29</v>
      </c>
      <c r="S111">
        <v>5.0558529816664119</v>
      </c>
      <c r="T111" t="s">
        <v>78</v>
      </c>
    </row>
    <row r="112" spans="1:20" x14ac:dyDescent="0.25">
      <c r="A112" s="11">
        <v>45125</v>
      </c>
      <c r="B112" t="s">
        <v>30</v>
      </c>
      <c r="C112" t="s">
        <v>31</v>
      </c>
      <c r="D112" t="s">
        <v>32</v>
      </c>
      <c r="E112" t="s">
        <v>20</v>
      </c>
      <c r="F112">
        <v>832</v>
      </c>
      <c r="G112">
        <v>8.6999999999999993</v>
      </c>
      <c r="H112">
        <v>7238.4</v>
      </c>
      <c r="I112" t="s">
        <v>21</v>
      </c>
      <c r="J112" t="s">
        <v>47</v>
      </c>
      <c r="K112" t="s">
        <v>28</v>
      </c>
      <c r="L112">
        <v>5409.36</v>
      </c>
      <c r="M112">
        <v>25.3</v>
      </c>
      <c r="N112">
        <v>2024</v>
      </c>
      <c r="O112">
        <v>3</v>
      </c>
      <c r="P112" t="s">
        <v>69</v>
      </c>
      <c r="Q112">
        <v>1829.04</v>
      </c>
      <c r="R112" t="s">
        <v>25</v>
      </c>
      <c r="S112">
        <v>2.9574858942396012</v>
      </c>
      <c r="T112" t="s">
        <v>78</v>
      </c>
    </row>
    <row r="113" spans="1:20" x14ac:dyDescent="0.25">
      <c r="A113" s="11">
        <v>44931</v>
      </c>
      <c r="B113" t="s">
        <v>35</v>
      </c>
      <c r="C113" t="s">
        <v>36</v>
      </c>
      <c r="D113" t="s">
        <v>53</v>
      </c>
      <c r="E113" t="s">
        <v>50</v>
      </c>
      <c r="F113">
        <v>667</v>
      </c>
      <c r="G113">
        <v>11.03</v>
      </c>
      <c r="H113">
        <v>7357.01</v>
      </c>
      <c r="I113" t="s">
        <v>55</v>
      </c>
      <c r="J113" t="s">
        <v>56</v>
      </c>
      <c r="K113" t="s">
        <v>23</v>
      </c>
      <c r="L113">
        <v>5531.23</v>
      </c>
      <c r="M113">
        <v>24.8</v>
      </c>
      <c r="N113">
        <v>2023</v>
      </c>
      <c r="O113">
        <v>1</v>
      </c>
      <c r="P113" t="s">
        <v>24</v>
      </c>
      <c r="Q113">
        <v>1825.78</v>
      </c>
      <c r="R113" t="s">
        <v>29</v>
      </c>
      <c r="S113">
        <v>3.0295161520007885</v>
      </c>
      <c r="T113" t="s">
        <v>78</v>
      </c>
    </row>
    <row r="114" spans="1:20" x14ac:dyDescent="0.25">
      <c r="A114" s="11">
        <v>44998</v>
      </c>
      <c r="B114" t="s">
        <v>58</v>
      </c>
      <c r="C114" t="s">
        <v>59</v>
      </c>
      <c r="D114" t="s">
        <v>32</v>
      </c>
      <c r="E114" t="s">
        <v>20</v>
      </c>
      <c r="F114">
        <v>821</v>
      </c>
      <c r="G114">
        <v>9.3000000000000007</v>
      </c>
      <c r="H114">
        <v>7635.3</v>
      </c>
      <c r="I114" t="s">
        <v>54</v>
      </c>
      <c r="J114" t="s">
        <v>40</v>
      </c>
      <c r="K114" t="s">
        <v>41</v>
      </c>
      <c r="L114">
        <v>5813.82</v>
      </c>
      <c r="M114">
        <v>23.9</v>
      </c>
      <c r="N114">
        <v>2023</v>
      </c>
      <c r="O114">
        <v>1</v>
      </c>
      <c r="P114" t="s">
        <v>61</v>
      </c>
      <c r="Q114">
        <v>1821.48</v>
      </c>
      <c r="R114" t="s">
        <v>29</v>
      </c>
      <c r="S114">
        <v>3.1918110547466894</v>
      </c>
      <c r="T114" t="s">
        <v>78</v>
      </c>
    </row>
    <row r="115" spans="1:20" x14ac:dyDescent="0.25">
      <c r="A115" s="11">
        <v>44970</v>
      </c>
      <c r="B115" t="s">
        <v>58</v>
      </c>
      <c r="C115" t="s">
        <v>59</v>
      </c>
      <c r="D115" t="s">
        <v>48</v>
      </c>
      <c r="E115" t="s">
        <v>38</v>
      </c>
      <c r="F115">
        <v>747</v>
      </c>
      <c r="G115">
        <v>7.1</v>
      </c>
      <c r="H115">
        <v>5303.7</v>
      </c>
      <c r="I115" t="s">
        <v>46</v>
      </c>
      <c r="J115" t="s">
        <v>56</v>
      </c>
      <c r="K115" t="s">
        <v>41</v>
      </c>
      <c r="L115">
        <v>3484.67</v>
      </c>
      <c r="M115">
        <v>34.299999999999997</v>
      </c>
      <c r="N115">
        <v>2023</v>
      </c>
      <c r="O115">
        <v>1</v>
      </c>
      <c r="P115" t="s">
        <v>60</v>
      </c>
      <c r="Q115">
        <v>1819.03</v>
      </c>
      <c r="R115" t="s">
        <v>25</v>
      </c>
      <c r="S115">
        <v>1.9156748376882184</v>
      </c>
      <c r="T115" t="s">
        <v>78</v>
      </c>
    </row>
    <row r="116" spans="1:20" x14ac:dyDescent="0.25">
      <c r="A116" s="11">
        <v>44987</v>
      </c>
      <c r="B116" t="s">
        <v>42</v>
      </c>
      <c r="C116" t="s">
        <v>43</v>
      </c>
      <c r="D116" t="s">
        <v>45</v>
      </c>
      <c r="E116" t="s">
        <v>20</v>
      </c>
      <c r="F116">
        <v>885</v>
      </c>
      <c r="G116">
        <v>9.0500000000000007</v>
      </c>
      <c r="H116">
        <v>8009.25</v>
      </c>
      <c r="I116" t="s">
        <v>39</v>
      </c>
      <c r="J116" t="s">
        <v>27</v>
      </c>
      <c r="K116" t="s">
        <v>28</v>
      </c>
      <c r="L116">
        <v>6193.34</v>
      </c>
      <c r="M116">
        <v>22.7</v>
      </c>
      <c r="N116">
        <v>2023</v>
      </c>
      <c r="O116">
        <v>1</v>
      </c>
      <c r="P116" t="s">
        <v>61</v>
      </c>
      <c r="Q116">
        <v>1815.91</v>
      </c>
      <c r="R116" t="s">
        <v>29</v>
      </c>
      <c r="S116">
        <v>3.4105985428793275</v>
      </c>
      <c r="T116" t="s">
        <v>78</v>
      </c>
    </row>
    <row r="117" spans="1:20" x14ac:dyDescent="0.25">
      <c r="A117" s="11">
        <v>45037</v>
      </c>
      <c r="B117" t="s">
        <v>51</v>
      </c>
      <c r="C117" t="s">
        <v>52</v>
      </c>
      <c r="D117" t="s">
        <v>32</v>
      </c>
      <c r="E117" t="s">
        <v>20</v>
      </c>
      <c r="F117">
        <v>987</v>
      </c>
      <c r="G117">
        <v>7.17</v>
      </c>
      <c r="H117">
        <v>7076.79</v>
      </c>
      <c r="I117" t="s">
        <v>55</v>
      </c>
      <c r="J117" t="s">
        <v>22</v>
      </c>
      <c r="K117" t="s">
        <v>41</v>
      </c>
      <c r="L117">
        <v>5266.84</v>
      </c>
      <c r="M117">
        <v>25.6</v>
      </c>
      <c r="N117">
        <v>2023</v>
      </c>
      <c r="O117">
        <v>2</v>
      </c>
      <c r="P117" t="s">
        <v>63</v>
      </c>
      <c r="Q117">
        <v>1809.95</v>
      </c>
      <c r="R117" t="s">
        <v>25</v>
      </c>
      <c r="S117">
        <v>2.909936738583939</v>
      </c>
      <c r="T117" t="s">
        <v>78</v>
      </c>
    </row>
    <row r="118" spans="1:20" x14ac:dyDescent="0.25">
      <c r="A118" s="11">
        <v>45096</v>
      </c>
      <c r="B118" t="s">
        <v>35</v>
      </c>
      <c r="C118" t="s">
        <v>36</v>
      </c>
      <c r="D118" t="s">
        <v>19</v>
      </c>
      <c r="E118" t="s">
        <v>20</v>
      </c>
      <c r="F118">
        <v>852</v>
      </c>
      <c r="G118">
        <v>7.35</v>
      </c>
      <c r="H118">
        <v>6262.2</v>
      </c>
      <c r="I118" t="s">
        <v>21</v>
      </c>
      <c r="J118" t="s">
        <v>40</v>
      </c>
      <c r="K118" t="s">
        <v>41</v>
      </c>
      <c r="L118">
        <v>4453.08</v>
      </c>
      <c r="M118">
        <v>28.9</v>
      </c>
      <c r="N118">
        <v>2023</v>
      </c>
      <c r="O118">
        <v>2</v>
      </c>
      <c r="P118" t="s">
        <v>70</v>
      </c>
      <c r="Q118">
        <v>1809.12</v>
      </c>
      <c r="R118" t="s">
        <v>25</v>
      </c>
      <c r="S118">
        <v>2.4614619262403821</v>
      </c>
      <c r="T118" t="s">
        <v>78</v>
      </c>
    </row>
    <row r="119" spans="1:20" x14ac:dyDescent="0.25">
      <c r="A119" s="11">
        <v>45016</v>
      </c>
      <c r="B119" t="s">
        <v>51</v>
      </c>
      <c r="C119" t="s">
        <v>52</v>
      </c>
      <c r="D119" t="s">
        <v>37</v>
      </c>
      <c r="E119" t="s">
        <v>38</v>
      </c>
      <c r="F119">
        <v>939</v>
      </c>
      <c r="G119">
        <v>7.63</v>
      </c>
      <c r="H119">
        <v>7164.57</v>
      </c>
      <c r="I119" t="s">
        <v>46</v>
      </c>
      <c r="J119" t="s">
        <v>27</v>
      </c>
      <c r="K119" t="s">
        <v>41</v>
      </c>
      <c r="L119">
        <v>5355.54</v>
      </c>
      <c r="M119">
        <v>25.2</v>
      </c>
      <c r="N119">
        <v>2023</v>
      </c>
      <c r="O119">
        <v>1</v>
      </c>
      <c r="P119" t="s">
        <v>62</v>
      </c>
      <c r="Q119">
        <v>1809.03</v>
      </c>
      <c r="R119" t="s">
        <v>25</v>
      </c>
      <c r="S119">
        <v>2.9604484171075107</v>
      </c>
      <c r="T119" t="s">
        <v>78</v>
      </c>
    </row>
    <row r="120" spans="1:20" x14ac:dyDescent="0.25">
      <c r="A120" s="11">
        <v>45003</v>
      </c>
      <c r="B120" t="s">
        <v>58</v>
      </c>
      <c r="C120" t="s">
        <v>59</v>
      </c>
      <c r="D120" t="s">
        <v>37</v>
      </c>
      <c r="E120" t="s">
        <v>38</v>
      </c>
      <c r="F120">
        <v>793</v>
      </c>
      <c r="G120">
        <v>8.09</v>
      </c>
      <c r="H120">
        <v>6415.37</v>
      </c>
      <c r="I120" t="s">
        <v>54</v>
      </c>
      <c r="J120" t="s">
        <v>34</v>
      </c>
      <c r="K120" t="s">
        <v>28</v>
      </c>
      <c r="L120">
        <v>4607.82</v>
      </c>
      <c r="M120">
        <v>28.2</v>
      </c>
      <c r="N120">
        <v>2023</v>
      </c>
      <c r="O120">
        <v>1</v>
      </c>
      <c r="P120" t="s">
        <v>62</v>
      </c>
      <c r="Q120">
        <v>1807.55</v>
      </c>
      <c r="R120" t="s">
        <v>25</v>
      </c>
      <c r="S120">
        <v>2.5492074908024671</v>
      </c>
      <c r="T120" t="s">
        <v>78</v>
      </c>
    </row>
    <row r="121" spans="1:20" x14ac:dyDescent="0.25">
      <c r="A121" s="11">
        <v>45092</v>
      </c>
      <c r="B121" t="s">
        <v>30</v>
      </c>
      <c r="C121" t="s">
        <v>31</v>
      </c>
      <c r="D121" t="s">
        <v>37</v>
      </c>
      <c r="E121" t="s">
        <v>38</v>
      </c>
      <c r="F121">
        <v>840</v>
      </c>
      <c r="G121">
        <v>10.050000000000001</v>
      </c>
      <c r="H121">
        <v>8442</v>
      </c>
      <c r="I121" t="s">
        <v>55</v>
      </c>
      <c r="J121" t="s">
        <v>27</v>
      </c>
      <c r="K121" t="s">
        <v>23</v>
      </c>
      <c r="L121">
        <v>6641.6</v>
      </c>
      <c r="M121">
        <v>21.3</v>
      </c>
      <c r="N121">
        <v>2023</v>
      </c>
      <c r="O121">
        <v>2</v>
      </c>
      <c r="P121" t="s">
        <v>70</v>
      </c>
      <c r="Q121">
        <v>1800.4</v>
      </c>
      <c r="R121" t="s">
        <v>29</v>
      </c>
      <c r="S121">
        <v>3.6889580093312597</v>
      </c>
      <c r="T121" t="s">
        <v>78</v>
      </c>
    </row>
    <row r="122" spans="1:20" x14ac:dyDescent="0.25">
      <c r="A122" s="11">
        <v>45004</v>
      </c>
      <c r="B122" t="s">
        <v>58</v>
      </c>
      <c r="C122" t="s">
        <v>59</v>
      </c>
      <c r="D122" t="s">
        <v>37</v>
      </c>
      <c r="E122" t="s">
        <v>38</v>
      </c>
      <c r="F122">
        <v>609</v>
      </c>
      <c r="G122">
        <v>7.39</v>
      </c>
      <c r="H122">
        <v>4500.51</v>
      </c>
      <c r="I122" t="s">
        <v>57</v>
      </c>
      <c r="J122" t="s">
        <v>56</v>
      </c>
      <c r="K122" t="s">
        <v>28</v>
      </c>
      <c r="L122">
        <v>2707.92</v>
      </c>
      <c r="M122">
        <v>39.799999999999997</v>
      </c>
      <c r="N122">
        <v>2023</v>
      </c>
      <c r="O122">
        <v>1</v>
      </c>
      <c r="P122" t="s">
        <v>62</v>
      </c>
      <c r="Q122">
        <v>1792.59</v>
      </c>
      <c r="R122" t="s">
        <v>25</v>
      </c>
      <c r="S122">
        <v>1.5106187137047513</v>
      </c>
      <c r="T122" t="s">
        <v>78</v>
      </c>
    </row>
    <row r="123" spans="1:20" x14ac:dyDescent="0.25">
      <c r="A123" s="11">
        <v>45051</v>
      </c>
      <c r="B123" t="s">
        <v>58</v>
      </c>
      <c r="C123" t="s">
        <v>59</v>
      </c>
      <c r="D123" t="s">
        <v>48</v>
      </c>
      <c r="E123" t="s">
        <v>38</v>
      </c>
      <c r="F123">
        <v>954</v>
      </c>
      <c r="G123">
        <v>8.35</v>
      </c>
      <c r="H123">
        <v>7965.9</v>
      </c>
      <c r="I123" t="s">
        <v>57</v>
      </c>
      <c r="J123" t="s">
        <v>34</v>
      </c>
      <c r="K123" t="s">
        <v>23</v>
      </c>
      <c r="L123">
        <v>6182.6</v>
      </c>
      <c r="M123">
        <v>22.4</v>
      </c>
      <c r="N123">
        <v>2023</v>
      </c>
      <c r="O123">
        <v>2</v>
      </c>
      <c r="P123" t="s">
        <v>64</v>
      </c>
      <c r="Q123">
        <v>1783.3</v>
      </c>
      <c r="R123" t="s">
        <v>29</v>
      </c>
      <c r="S123">
        <v>3.4669433073515394</v>
      </c>
      <c r="T123" t="s">
        <v>78</v>
      </c>
    </row>
    <row r="124" spans="1:20" x14ac:dyDescent="0.25">
      <c r="A124" s="11">
        <v>45121</v>
      </c>
      <c r="B124" t="s">
        <v>35</v>
      </c>
      <c r="C124" t="s">
        <v>36</v>
      </c>
      <c r="D124" t="s">
        <v>49</v>
      </c>
      <c r="E124" t="s">
        <v>50</v>
      </c>
      <c r="F124">
        <v>872</v>
      </c>
      <c r="G124">
        <v>6.59</v>
      </c>
      <c r="H124">
        <v>5746.48</v>
      </c>
      <c r="I124" t="s">
        <v>21</v>
      </c>
      <c r="J124" t="s">
        <v>47</v>
      </c>
      <c r="K124" t="s">
        <v>23</v>
      </c>
      <c r="L124">
        <v>3963.37</v>
      </c>
      <c r="M124">
        <v>31</v>
      </c>
      <c r="N124">
        <v>2024</v>
      </c>
      <c r="O124">
        <v>3</v>
      </c>
      <c r="P124" t="s">
        <v>66</v>
      </c>
      <c r="Q124">
        <v>1783.11</v>
      </c>
      <c r="R124" t="s">
        <v>25</v>
      </c>
      <c r="S124">
        <v>2.2227288277223503</v>
      </c>
      <c r="T124" t="s">
        <v>78</v>
      </c>
    </row>
    <row r="125" spans="1:20" x14ac:dyDescent="0.25">
      <c r="A125" s="11">
        <v>44969</v>
      </c>
      <c r="B125" t="s">
        <v>42</v>
      </c>
      <c r="C125" t="s">
        <v>43</v>
      </c>
      <c r="D125" t="s">
        <v>37</v>
      </c>
      <c r="E125" t="s">
        <v>38</v>
      </c>
      <c r="F125">
        <v>846</v>
      </c>
      <c r="G125">
        <v>9.69</v>
      </c>
      <c r="H125">
        <v>8197.74</v>
      </c>
      <c r="I125" t="s">
        <v>57</v>
      </c>
      <c r="J125" t="s">
        <v>40</v>
      </c>
      <c r="K125" t="s">
        <v>23</v>
      </c>
      <c r="L125">
        <v>6419.21</v>
      </c>
      <c r="M125">
        <v>21.7</v>
      </c>
      <c r="N125">
        <v>2023</v>
      </c>
      <c r="O125">
        <v>1</v>
      </c>
      <c r="P125" t="s">
        <v>60</v>
      </c>
      <c r="Q125">
        <v>1778.53</v>
      </c>
      <c r="R125" t="s">
        <v>29</v>
      </c>
      <c r="S125">
        <v>3.6092784490562431</v>
      </c>
      <c r="T125" t="s">
        <v>78</v>
      </c>
    </row>
    <row r="126" spans="1:20" x14ac:dyDescent="0.25">
      <c r="A126" s="11">
        <v>44984</v>
      </c>
      <c r="B126" t="s">
        <v>51</v>
      </c>
      <c r="C126" t="s">
        <v>52</v>
      </c>
      <c r="D126" t="s">
        <v>32</v>
      </c>
      <c r="E126" t="s">
        <v>20</v>
      </c>
      <c r="F126">
        <v>743</v>
      </c>
      <c r="G126">
        <v>6.06</v>
      </c>
      <c r="H126">
        <v>4502.58</v>
      </c>
      <c r="I126" t="s">
        <v>21</v>
      </c>
      <c r="J126" t="s">
        <v>47</v>
      </c>
      <c r="K126" t="s">
        <v>23</v>
      </c>
      <c r="L126">
        <v>2729.15</v>
      </c>
      <c r="M126">
        <v>39.4</v>
      </c>
      <c r="N126">
        <v>2023</v>
      </c>
      <c r="O126">
        <v>1</v>
      </c>
      <c r="P126" t="s">
        <v>61</v>
      </c>
      <c r="Q126">
        <v>1773.43</v>
      </c>
      <c r="R126" t="s">
        <v>25</v>
      </c>
      <c r="S126">
        <v>1.538910472925348</v>
      </c>
      <c r="T126" t="s">
        <v>78</v>
      </c>
    </row>
    <row r="127" spans="1:20" x14ac:dyDescent="0.25">
      <c r="A127" s="11">
        <v>45034</v>
      </c>
      <c r="B127" t="s">
        <v>35</v>
      </c>
      <c r="C127" t="s">
        <v>36</v>
      </c>
      <c r="D127" t="s">
        <v>53</v>
      </c>
      <c r="E127" t="s">
        <v>50</v>
      </c>
      <c r="F127">
        <v>812</v>
      </c>
      <c r="G127">
        <v>11.68</v>
      </c>
      <c r="H127">
        <v>9484.16</v>
      </c>
      <c r="I127" t="s">
        <v>55</v>
      </c>
      <c r="J127" t="s">
        <v>22</v>
      </c>
      <c r="K127" t="s">
        <v>41</v>
      </c>
      <c r="L127">
        <v>7724.28</v>
      </c>
      <c r="M127">
        <v>18.600000000000001</v>
      </c>
      <c r="N127">
        <v>2023</v>
      </c>
      <c r="O127">
        <v>2</v>
      </c>
      <c r="P127" t="s">
        <v>63</v>
      </c>
      <c r="Q127">
        <v>1759.88</v>
      </c>
      <c r="R127" t="s">
        <v>29</v>
      </c>
      <c r="S127">
        <v>4.3890947110030227</v>
      </c>
      <c r="T127" t="s">
        <v>78</v>
      </c>
    </row>
    <row r="128" spans="1:20" x14ac:dyDescent="0.25">
      <c r="A128" s="11">
        <v>45005</v>
      </c>
      <c r="B128" t="s">
        <v>58</v>
      </c>
      <c r="C128" t="s">
        <v>59</v>
      </c>
      <c r="D128" t="s">
        <v>45</v>
      </c>
      <c r="E128" t="s">
        <v>20</v>
      </c>
      <c r="F128">
        <v>746</v>
      </c>
      <c r="G128">
        <v>11.21</v>
      </c>
      <c r="H128">
        <v>8362.66</v>
      </c>
      <c r="I128" t="s">
        <v>55</v>
      </c>
      <c r="J128" t="s">
        <v>34</v>
      </c>
      <c r="K128" t="s">
        <v>23</v>
      </c>
      <c r="L128">
        <v>6610.07</v>
      </c>
      <c r="M128">
        <v>21</v>
      </c>
      <c r="N128">
        <v>2023</v>
      </c>
      <c r="O128">
        <v>1</v>
      </c>
      <c r="P128" t="s">
        <v>62</v>
      </c>
      <c r="Q128">
        <v>1752.59</v>
      </c>
      <c r="R128" t="s">
        <v>29</v>
      </c>
      <c r="S128">
        <v>3.7716008878288703</v>
      </c>
      <c r="T128" t="s">
        <v>78</v>
      </c>
    </row>
    <row r="129" spans="1:20" x14ac:dyDescent="0.25">
      <c r="A129" s="11">
        <v>45041</v>
      </c>
      <c r="B129" t="s">
        <v>42</v>
      </c>
      <c r="C129" t="s">
        <v>43</v>
      </c>
      <c r="D129" t="s">
        <v>53</v>
      </c>
      <c r="E129" t="s">
        <v>50</v>
      </c>
      <c r="F129">
        <v>643</v>
      </c>
      <c r="G129">
        <v>11.61</v>
      </c>
      <c r="H129">
        <v>7465.23</v>
      </c>
      <c r="I129" t="s">
        <v>55</v>
      </c>
      <c r="J129" t="s">
        <v>56</v>
      </c>
      <c r="K129" t="s">
        <v>23</v>
      </c>
      <c r="L129">
        <v>5719.86</v>
      </c>
      <c r="M129">
        <v>23.4</v>
      </c>
      <c r="N129">
        <v>2023</v>
      </c>
      <c r="O129">
        <v>2</v>
      </c>
      <c r="P129" t="s">
        <v>64</v>
      </c>
      <c r="Q129">
        <v>1745.37</v>
      </c>
      <c r="R129" t="s">
        <v>29</v>
      </c>
      <c r="S129">
        <v>3.2771618625277164</v>
      </c>
      <c r="T129" t="s">
        <v>78</v>
      </c>
    </row>
    <row r="130" spans="1:20" x14ac:dyDescent="0.25">
      <c r="A130" s="11">
        <v>45073</v>
      </c>
      <c r="B130" t="s">
        <v>17</v>
      </c>
      <c r="C130" t="s">
        <v>18</v>
      </c>
      <c r="D130" t="s">
        <v>45</v>
      </c>
      <c r="E130" t="s">
        <v>20</v>
      </c>
      <c r="F130">
        <v>853</v>
      </c>
      <c r="G130">
        <v>7.06</v>
      </c>
      <c r="H130">
        <v>6022.18</v>
      </c>
      <c r="I130" t="s">
        <v>57</v>
      </c>
      <c r="J130" t="s">
        <v>27</v>
      </c>
      <c r="K130" t="s">
        <v>41</v>
      </c>
      <c r="L130">
        <v>4280.42</v>
      </c>
      <c r="M130">
        <v>28.9</v>
      </c>
      <c r="N130">
        <v>2023</v>
      </c>
      <c r="O130">
        <v>2</v>
      </c>
      <c r="P130" t="s">
        <v>67</v>
      </c>
      <c r="Q130">
        <v>1741.76</v>
      </c>
      <c r="R130" t="s">
        <v>25</v>
      </c>
      <c r="S130">
        <v>2.4575257211096821</v>
      </c>
      <c r="T130" t="s">
        <v>78</v>
      </c>
    </row>
    <row r="131" spans="1:20" x14ac:dyDescent="0.25">
      <c r="A131" s="11">
        <v>44969</v>
      </c>
      <c r="B131" t="s">
        <v>58</v>
      </c>
      <c r="C131" t="s">
        <v>59</v>
      </c>
      <c r="D131" t="s">
        <v>48</v>
      </c>
      <c r="E131" t="s">
        <v>38</v>
      </c>
      <c r="F131">
        <v>463</v>
      </c>
      <c r="G131">
        <v>10.63</v>
      </c>
      <c r="H131">
        <v>4921.6899999999996</v>
      </c>
      <c r="I131" t="s">
        <v>57</v>
      </c>
      <c r="J131" t="s">
        <v>47</v>
      </c>
      <c r="K131" t="s">
        <v>41</v>
      </c>
      <c r="L131">
        <v>3180.33</v>
      </c>
      <c r="M131">
        <v>35.4</v>
      </c>
      <c r="N131">
        <v>2023</v>
      </c>
      <c r="O131">
        <v>1</v>
      </c>
      <c r="P131" t="s">
        <v>60</v>
      </c>
      <c r="Q131">
        <v>1741.36</v>
      </c>
      <c r="R131" t="s">
        <v>25</v>
      </c>
      <c r="S131">
        <v>1.8263483713878808</v>
      </c>
      <c r="T131" t="s">
        <v>78</v>
      </c>
    </row>
    <row r="132" spans="1:20" x14ac:dyDescent="0.25">
      <c r="A132" s="11">
        <v>45079</v>
      </c>
      <c r="B132" t="s">
        <v>17</v>
      </c>
      <c r="C132" t="s">
        <v>18</v>
      </c>
      <c r="D132" t="s">
        <v>32</v>
      </c>
      <c r="E132" t="s">
        <v>20</v>
      </c>
      <c r="F132">
        <v>693</v>
      </c>
      <c r="G132">
        <v>8.3000000000000007</v>
      </c>
      <c r="H132">
        <v>5751.9</v>
      </c>
      <c r="I132" t="s">
        <v>57</v>
      </c>
      <c r="J132" t="s">
        <v>27</v>
      </c>
      <c r="K132" t="s">
        <v>41</v>
      </c>
      <c r="L132">
        <v>4017.51</v>
      </c>
      <c r="M132">
        <v>30.2</v>
      </c>
      <c r="N132">
        <v>2023</v>
      </c>
      <c r="O132">
        <v>2</v>
      </c>
      <c r="P132" t="s">
        <v>68</v>
      </c>
      <c r="Q132">
        <v>1734.39</v>
      </c>
      <c r="R132" t="s">
        <v>25</v>
      </c>
      <c r="S132">
        <v>2.3163821285869961</v>
      </c>
      <c r="T132" t="s">
        <v>78</v>
      </c>
    </row>
    <row r="133" spans="1:20" x14ac:dyDescent="0.25">
      <c r="A133" s="11">
        <v>45015</v>
      </c>
      <c r="B133" t="s">
        <v>58</v>
      </c>
      <c r="C133" t="s">
        <v>59</v>
      </c>
      <c r="D133" t="s">
        <v>45</v>
      </c>
      <c r="E133" t="s">
        <v>20</v>
      </c>
      <c r="F133">
        <v>827</v>
      </c>
      <c r="G133">
        <v>9.61</v>
      </c>
      <c r="H133">
        <v>7947.47</v>
      </c>
      <c r="I133" t="s">
        <v>33</v>
      </c>
      <c r="J133" t="s">
        <v>47</v>
      </c>
      <c r="K133" t="s">
        <v>41</v>
      </c>
      <c r="L133">
        <v>6214.44</v>
      </c>
      <c r="M133">
        <v>21.8</v>
      </c>
      <c r="N133">
        <v>2023</v>
      </c>
      <c r="O133">
        <v>1</v>
      </c>
      <c r="P133" t="s">
        <v>62</v>
      </c>
      <c r="Q133">
        <v>1733.03</v>
      </c>
      <c r="R133" t="s">
        <v>29</v>
      </c>
      <c r="S133">
        <v>3.58588137539454</v>
      </c>
      <c r="T133" t="s">
        <v>78</v>
      </c>
    </row>
    <row r="134" spans="1:20" x14ac:dyDescent="0.25">
      <c r="A134" s="11">
        <v>45024</v>
      </c>
      <c r="B134" t="s">
        <v>30</v>
      </c>
      <c r="C134" t="s">
        <v>31</v>
      </c>
      <c r="D134" t="s">
        <v>37</v>
      </c>
      <c r="E134" t="s">
        <v>38</v>
      </c>
      <c r="F134">
        <v>582</v>
      </c>
      <c r="G134">
        <v>8.11</v>
      </c>
      <c r="H134">
        <v>4720.0200000000004</v>
      </c>
      <c r="I134" t="s">
        <v>55</v>
      </c>
      <c r="J134" t="s">
        <v>56</v>
      </c>
      <c r="K134" t="s">
        <v>41</v>
      </c>
      <c r="L134">
        <v>2987.99</v>
      </c>
      <c r="M134">
        <v>36.700000000000003</v>
      </c>
      <c r="N134">
        <v>2023</v>
      </c>
      <c r="O134">
        <v>2</v>
      </c>
      <c r="P134" t="s">
        <v>63</v>
      </c>
      <c r="Q134">
        <v>1732.03</v>
      </c>
      <c r="R134" t="s">
        <v>25</v>
      </c>
      <c r="S134">
        <v>1.7251375553541219</v>
      </c>
      <c r="T134" t="s">
        <v>78</v>
      </c>
    </row>
    <row r="135" spans="1:20" x14ac:dyDescent="0.25">
      <c r="A135" s="11">
        <v>45065</v>
      </c>
      <c r="B135" t="s">
        <v>51</v>
      </c>
      <c r="C135" t="s">
        <v>52</v>
      </c>
      <c r="D135" t="s">
        <v>19</v>
      </c>
      <c r="E135" t="s">
        <v>20</v>
      </c>
      <c r="F135">
        <v>502</v>
      </c>
      <c r="G135">
        <v>10.45</v>
      </c>
      <c r="H135">
        <v>5245.9</v>
      </c>
      <c r="I135" t="s">
        <v>55</v>
      </c>
      <c r="J135" t="s">
        <v>40</v>
      </c>
      <c r="K135" t="s">
        <v>23</v>
      </c>
      <c r="L135">
        <v>3527.03</v>
      </c>
      <c r="M135">
        <v>32.799999999999997</v>
      </c>
      <c r="N135">
        <v>2023</v>
      </c>
      <c r="O135">
        <v>2</v>
      </c>
      <c r="P135" t="s">
        <v>65</v>
      </c>
      <c r="Q135">
        <v>1718.87</v>
      </c>
      <c r="R135" t="s">
        <v>25</v>
      </c>
      <c r="S135">
        <v>2.0519469186151369</v>
      </c>
      <c r="T135" t="s">
        <v>78</v>
      </c>
    </row>
    <row r="136" spans="1:20" x14ac:dyDescent="0.25">
      <c r="A136" s="11">
        <v>45050</v>
      </c>
      <c r="B136" t="s">
        <v>58</v>
      </c>
      <c r="C136" t="s">
        <v>59</v>
      </c>
      <c r="D136" t="s">
        <v>45</v>
      </c>
      <c r="E136" t="s">
        <v>20</v>
      </c>
      <c r="F136">
        <v>772</v>
      </c>
      <c r="G136">
        <v>9.81</v>
      </c>
      <c r="H136">
        <v>7573.32</v>
      </c>
      <c r="I136" t="s">
        <v>33</v>
      </c>
      <c r="J136" t="s">
        <v>56</v>
      </c>
      <c r="K136" t="s">
        <v>28</v>
      </c>
      <c r="L136">
        <v>5861.76</v>
      </c>
      <c r="M136">
        <v>22.6</v>
      </c>
      <c r="N136">
        <v>2023</v>
      </c>
      <c r="O136">
        <v>2</v>
      </c>
      <c r="P136" t="s">
        <v>64</v>
      </c>
      <c r="Q136">
        <v>1711.56</v>
      </c>
      <c r="R136" t="s">
        <v>29</v>
      </c>
      <c r="S136">
        <v>3.4248054406506347</v>
      </c>
      <c r="T136" t="s">
        <v>78</v>
      </c>
    </row>
    <row r="137" spans="1:20" x14ac:dyDescent="0.25">
      <c r="A137" s="11">
        <v>45127</v>
      </c>
      <c r="B137" t="s">
        <v>42</v>
      </c>
      <c r="C137" t="s">
        <v>43</v>
      </c>
      <c r="D137" t="s">
        <v>32</v>
      </c>
      <c r="E137" t="s">
        <v>20</v>
      </c>
      <c r="F137">
        <v>899</v>
      </c>
      <c r="G137">
        <v>5.62</v>
      </c>
      <c r="H137">
        <v>5052.38</v>
      </c>
      <c r="I137" t="s">
        <v>39</v>
      </c>
      <c r="J137" t="s">
        <v>34</v>
      </c>
      <c r="K137" t="s">
        <v>41</v>
      </c>
      <c r="L137">
        <v>3342.54</v>
      </c>
      <c r="M137">
        <v>33.799999999999997</v>
      </c>
      <c r="N137">
        <v>2024</v>
      </c>
      <c r="O137">
        <v>3</v>
      </c>
      <c r="P137" t="s">
        <v>70</v>
      </c>
      <c r="Q137">
        <v>1709.84</v>
      </c>
      <c r="R137" t="s">
        <v>25</v>
      </c>
      <c r="S137">
        <v>1.9548846675712348</v>
      </c>
      <c r="T137" t="s">
        <v>78</v>
      </c>
    </row>
    <row r="138" spans="1:20" x14ac:dyDescent="0.25">
      <c r="A138" s="11">
        <v>44994</v>
      </c>
      <c r="B138" t="s">
        <v>35</v>
      </c>
      <c r="C138" t="s">
        <v>36</v>
      </c>
      <c r="D138" t="s">
        <v>48</v>
      </c>
      <c r="E138" t="s">
        <v>38</v>
      </c>
      <c r="F138">
        <v>659</v>
      </c>
      <c r="G138">
        <v>8.86</v>
      </c>
      <c r="H138">
        <v>5838.74</v>
      </c>
      <c r="I138" t="s">
        <v>55</v>
      </c>
      <c r="J138" t="s">
        <v>27</v>
      </c>
      <c r="K138" t="s">
        <v>28</v>
      </c>
      <c r="L138">
        <v>4130.53</v>
      </c>
      <c r="M138">
        <v>29.3</v>
      </c>
      <c r="N138">
        <v>2023</v>
      </c>
      <c r="O138">
        <v>1</v>
      </c>
      <c r="P138" t="s">
        <v>61</v>
      </c>
      <c r="Q138">
        <v>1708.21</v>
      </c>
      <c r="R138" t="s">
        <v>25</v>
      </c>
      <c r="S138">
        <v>2.4180457906229327</v>
      </c>
      <c r="T138" t="s">
        <v>78</v>
      </c>
    </row>
    <row r="139" spans="1:20" x14ac:dyDescent="0.25">
      <c r="A139" s="11">
        <v>45080</v>
      </c>
      <c r="B139" t="s">
        <v>58</v>
      </c>
      <c r="C139" t="s">
        <v>59</v>
      </c>
      <c r="D139" t="s">
        <v>49</v>
      </c>
      <c r="E139" t="s">
        <v>50</v>
      </c>
      <c r="F139">
        <v>356</v>
      </c>
      <c r="G139">
        <v>11.97</v>
      </c>
      <c r="H139">
        <v>4261.32</v>
      </c>
      <c r="I139" t="s">
        <v>33</v>
      </c>
      <c r="J139" t="s">
        <v>22</v>
      </c>
      <c r="K139" t="s">
        <v>28</v>
      </c>
      <c r="L139">
        <v>2559.2399999999998</v>
      </c>
      <c r="M139">
        <v>39.9</v>
      </c>
      <c r="N139">
        <v>2023</v>
      </c>
      <c r="O139">
        <v>2</v>
      </c>
      <c r="P139" t="s">
        <v>68</v>
      </c>
      <c r="Q139">
        <v>1702.08</v>
      </c>
      <c r="R139" t="s">
        <v>25</v>
      </c>
      <c r="S139">
        <v>1.503595600676819</v>
      </c>
      <c r="T139" t="s">
        <v>78</v>
      </c>
    </row>
    <row r="140" spans="1:20" x14ac:dyDescent="0.25">
      <c r="A140" s="11">
        <v>45080</v>
      </c>
      <c r="B140" t="s">
        <v>58</v>
      </c>
      <c r="C140" t="s">
        <v>59</v>
      </c>
      <c r="D140" t="s">
        <v>53</v>
      </c>
      <c r="E140" t="s">
        <v>50</v>
      </c>
      <c r="F140">
        <v>875</v>
      </c>
      <c r="G140">
        <v>5.0599999999999996</v>
      </c>
      <c r="H140">
        <v>4427.5</v>
      </c>
      <c r="I140" t="s">
        <v>54</v>
      </c>
      <c r="J140" t="s">
        <v>34</v>
      </c>
      <c r="K140" t="s">
        <v>41</v>
      </c>
      <c r="L140">
        <v>2726.68</v>
      </c>
      <c r="M140">
        <v>38.4</v>
      </c>
      <c r="N140">
        <v>2023</v>
      </c>
      <c r="O140">
        <v>2</v>
      </c>
      <c r="P140" t="s">
        <v>68</v>
      </c>
      <c r="Q140">
        <v>1700.82</v>
      </c>
      <c r="R140" t="s">
        <v>25</v>
      </c>
      <c r="S140">
        <v>1.6031561246927952</v>
      </c>
      <c r="T140" t="s">
        <v>78</v>
      </c>
    </row>
    <row r="141" spans="1:20" x14ac:dyDescent="0.25">
      <c r="A141" s="11">
        <v>45087</v>
      </c>
      <c r="B141" t="s">
        <v>58</v>
      </c>
      <c r="C141" t="s">
        <v>59</v>
      </c>
      <c r="D141" t="s">
        <v>45</v>
      </c>
      <c r="E141" t="s">
        <v>20</v>
      </c>
      <c r="F141">
        <v>954</v>
      </c>
      <c r="G141">
        <v>8.76</v>
      </c>
      <c r="H141">
        <v>8357.0400000000009</v>
      </c>
      <c r="I141" t="s">
        <v>21</v>
      </c>
      <c r="J141" t="s">
        <v>22</v>
      </c>
      <c r="K141" t="s">
        <v>28</v>
      </c>
      <c r="L141">
        <v>6659.07</v>
      </c>
      <c r="M141">
        <v>20.3</v>
      </c>
      <c r="N141">
        <v>2023</v>
      </c>
      <c r="O141">
        <v>2</v>
      </c>
      <c r="P141" t="s">
        <v>69</v>
      </c>
      <c r="Q141">
        <v>1697.97</v>
      </c>
      <c r="R141" t="s">
        <v>29</v>
      </c>
      <c r="S141">
        <v>3.921783070372268</v>
      </c>
      <c r="T141" t="s">
        <v>78</v>
      </c>
    </row>
    <row r="142" spans="1:20" x14ac:dyDescent="0.25">
      <c r="A142" s="11">
        <v>45099</v>
      </c>
      <c r="B142" t="s">
        <v>35</v>
      </c>
      <c r="C142" t="s">
        <v>36</v>
      </c>
      <c r="D142" t="s">
        <v>32</v>
      </c>
      <c r="E142" t="s">
        <v>20</v>
      </c>
      <c r="F142">
        <v>963</v>
      </c>
      <c r="G142">
        <v>11.55</v>
      </c>
      <c r="H142">
        <v>11122.65</v>
      </c>
      <c r="I142" t="s">
        <v>26</v>
      </c>
      <c r="J142" t="s">
        <v>34</v>
      </c>
      <c r="K142" t="s">
        <v>41</v>
      </c>
      <c r="L142">
        <v>9426.07</v>
      </c>
      <c r="M142">
        <v>15.3</v>
      </c>
      <c r="N142">
        <v>2024</v>
      </c>
      <c r="O142">
        <v>2</v>
      </c>
      <c r="P142" t="s">
        <v>24</v>
      </c>
      <c r="Q142">
        <v>1696.58</v>
      </c>
      <c r="R142" t="s">
        <v>29</v>
      </c>
      <c r="S142">
        <v>5.5559242711808459</v>
      </c>
      <c r="T142" t="s">
        <v>78</v>
      </c>
    </row>
    <row r="143" spans="1:20" x14ac:dyDescent="0.25">
      <c r="A143" s="11">
        <v>45075</v>
      </c>
      <c r="B143" t="s">
        <v>17</v>
      </c>
      <c r="C143" t="s">
        <v>18</v>
      </c>
      <c r="D143" t="s">
        <v>49</v>
      </c>
      <c r="E143" t="s">
        <v>50</v>
      </c>
      <c r="F143">
        <v>988</v>
      </c>
      <c r="G143">
        <v>4.72</v>
      </c>
      <c r="H143">
        <v>4663.3599999999997</v>
      </c>
      <c r="I143" t="s">
        <v>33</v>
      </c>
      <c r="J143" t="s">
        <v>56</v>
      </c>
      <c r="K143" t="s">
        <v>23</v>
      </c>
      <c r="L143">
        <v>2968.71</v>
      </c>
      <c r="M143">
        <v>36.299999999999997</v>
      </c>
      <c r="N143">
        <v>2023</v>
      </c>
      <c r="O143">
        <v>2</v>
      </c>
      <c r="P143" t="s">
        <v>67</v>
      </c>
      <c r="Q143">
        <v>1694.65</v>
      </c>
      <c r="R143" t="s">
        <v>25</v>
      </c>
      <c r="S143">
        <v>1.7518130587436933</v>
      </c>
      <c r="T143" t="s">
        <v>78</v>
      </c>
    </row>
    <row r="144" spans="1:20" x14ac:dyDescent="0.25">
      <c r="A144" s="11">
        <v>45017</v>
      </c>
      <c r="B144" t="s">
        <v>30</v>
      </c>
      <c r="C144" t="s">
        <v>31</v>
      </c>
      <c r="D144" t="s">
        <v>49</v>
      </c>
      <c r="E144" t="s">
        <v>50</v>
      </c>
      <c r="F144">
        <v>454</v>
      </c>
      <c r="G144">
        <v>10.98</v>
      </c>
      <c r="H144">
        <v>4984.92</v>
      </c>
      <c r="I144" t="s">
        <v>33</v>
      </c>
      <c r="J144" t="s">
        <v>27</v>
      </c>
      <c r="K144" t="s">
        <v>23</v>
      </c>
      <c r="L144">
        <v>3295.17</v>
      </c>
      <c r="M144">
        <v>33.9</v>
      </c>
      <c r="N144">
        <v>2023</v>
      </c>
      <c r="O144">
        <v>2</v>
      </c>
      <c r="P144" t="s">
        <v>62</v>
      </c>
      <c r="Q144">
        <v>1689.75</v>
      </c>
      <c r="R144" t="s">
        <v>25</v>
      </c>
      <c r="S144">
        <v>1.9500932090545939</v>
      </c>
      <c r="T144" t="s">
        <v>78</v>
      </c>
    </row>
    <row r="145" spans="1:20" x14ac:dyDescent="0.25">
      <c r="A145" s="11">
        <v>44998</v>
      </c>
      <c r="B145" t="s">
        <v>58</v>
      </c>
      <c r="C145" t="s">
        <v>59</v>
      </c>
      <c r="D145" t="s">
        <v>37</v>
      </c>
      <c r="E145" t="s">
        <v>38</v>
      </c>
      <c r="F145">
        <v>474</v>
      </c>
      <c r="G145">
        <v>10.84</v>
      </c>
      <c r="H145">
        <v>5138.16</v>
      </c>
      <c r="I145" t="s">
        <v>26</v>
      </c>
      <c r="J145" t="s">
        <v>22</v>
      </c>
      <c r="K145" t="s">
        <v>41</v>
      </c>
      <c r="L145">
        <v>3449.32</v>
      </c>
      <c r="M145">
        <v>32.9</v>
      </c>
      <c r="N145">
        <v>2023</v>
      </c>
      <c r="O145">
        <v>1</v>
      </c>
      <c r="P145" t="s">
        <v>61</v>
      </c>
      <c r="Q145">
        <v>1688.84</v>
      </c>
      <c r="R145" t="s">
        <v>25</v>
      </c>
      <c r="S145">
        <v>2.0424196489898394</v>
      </c>
      <c r="T145" t="s">
        <v>78</v>
      </c>
    </row>
    <row r="146" spans="1:20" x14ac:dyDescent="0.25">
      <c r="A146" s="11">
        <v>45096</v>
      </c>
      <c r="B146" t="s">
        <v>58</v>
      </c>
      <c r="C146" t="s">
        <v>59</v>
      </c>
      <c r="D146" t="s">
        <v>44</v>
      </c>
      <c r="E146" t="s">
        <v>38</v>
      </c>
      <c r="F146">
        <v>774</v>
      </c>
      <c r="G146">
        <v>9.91</v>
      </c>
      <c r="H146">
        <v>7670.34</v>
      </c>
      <c r="I146" t="s">
        <v>46</v>
      </c>
      <c r="J146" t="s">
        <v>47</v>
      </c>
      <c r="K146" t="s">
        <v>23</v>
      </c>
      <c r="L146">
        <v>5986.98</v>
      </c>
      <c r="M146">
        <v>21.9</v>
      </c>
      <c r="N146">
        <v>2023</v>
      </c>
      <c r="O146">
        <v>2</v>
      </c>
      <c r="P146" t="s">
        <v>70</v>
      </c>
      <c r="Q146">
        <v>1683.36</v>
      </c>
      <c r="R146" t="s">
        <v>29</v>
      </c>
      <c r="S146">
        <v>3.5565654405474763</v>
      </c>
      <c r="T146" t="s">
        <v>78</v>
      </c>
    </row>
    <row r="147" spans="1:20" x14ac:dyDescent="0.25">
      <c r="A147" s="11">
        <v>45024</v>
      </c>
      <c r="B147" t="s">
        <v>30</v>
      </c>
      <c r="C147" t="s">
        <v>31</v>
      </c>
      <c r="D147" t="s">
        <v>48</v>
      </c>
      <c r="E147" t="s">
        <v>38</v>
      </c>
      <c r="F147">
        <v>874</v>
      </c>
      <c r="G147">
        <v>10.17</v>
      </c>
      <c r="H147">
        <v>8888.58</v>
      </c>
      <c r="I147" t="s">
        <v>21</v>
      </c>
      <c r="J147" t="s">
        <v>34</v>
      </c>
      <c r="K147" t="s">
        <v>28</v>
      </c>
      <c r="L147">
        <v>7206.69</v>
      </c>
      <c r="M147">
        <v>18.899999999999999</v>
      </c>
      <c r="N147">
        <v>2023</v>
      </c>
      <c r="O147">
        <v>2</v>
      </c>
      <c r="P147" t="s">
        <v>63</v>
      </c>
      <c r="Q147">
        <v>1681.89</v>
      </c>
      <c r="R147" t="s">
        <v>29</v>
      </c>
      <c r="S147">
        <v>4.2848759431354004</v>
      </c>
      <c r="T147" t="s">
        <v>78</v>
      </c>
    </row>
    <row r="148" spans="1:20" x14ac:dyDescent="0.25">
      <c r="A148" s="11">
        <v>44958</v>
      </c>
      <c r="B148" t="s">
        <v>30</v>
      </c>
      <c r="C148" t="s">
        <v>31</v>
      </c>
      <c r="D148" t="s">
        <v>45</v>
      </c>
      <c r="E148" t="s">
        <v>20</v>
      </c>
      <c r="F148">
        <v>579</v>
      </c>
      <c r="G148">
        <v>11.4</v>
      </c>
      <c r="H148">
        <v>6600.6</v>
      </c>
      <c r="I148" t="s">
        <v>55</v>
      </c>
      <c r="J148" t="s">
        <v>34</v>
      </c>
      <c r="K148" t="s">
        <v>23</v>
      </c>
      <c r="L148">
        <v>4927</v>
      </c>
      <c r="M148">
        <v>25.4</v>
      </c>
      <c r="N148">
        <v>2023</v>
      </c>
      <c r="O148">
        <v>1</v>
      </c>
      <c r="P148" t="s">
        <v>60</v>
      </c>
      <c r="Q148">
        <v>1673.6</v>
      </c>
      <c r="R148" t="s">
        <v>25</v>
      </c>
      <c r="S148">
        <v>2.9439531548757172</v>
      </c>
      <c r="T148" t="s">
        <v>78</v>
      </c>
    </row>
    <row r="149" spans="1:20" x14ac:dyDescent="0.25">
      <c r="A149" s="11">
        <v>44927</v>
      </c>
      <c r="B149" t="s">
        <v>30</v>
      </c>
      <c r="C149" t="s">
        <v>31</v>
      </c>
      <c r="D149" t="s">
        <v>45</v>
      </c>
      <c r="E149" t="s">
        <v>20</v>
      </c>
      <c r="F149">
        <v>584</v>
      </c>
      <c r="G149">
        <v>7.37</v>
      </c>
      <c r="H149">
        <v>4304.08</v>
      </c>
      <c r="I149" t="s">
        <v>21</v>
      </c>
      <c r="J149" t="s">
        <v>47</v>
      </c>
      <c r="K149" t="s">
        <v>28</v>
      </c>
      <c r="L149">
        <v>2634.87</v>
      </c>
      <c r="M149">
        <v>38.799999999999997</v>
      </c>
      <c r="N149">
        <v>2023</v>
      </c>
      <c r="O149">
        <v>1</v>
      </c>
      <c r="P149" t="s">
        <v>24</v>
      </c>
      <c r="Q149">
        <v>1669.21</v>
      </c>
      <c r="R149" t="s">
        <v>25</v>
      </c>
      <c r="S149">
        <v>1.5785131888737785</v>
      </c>
      <c r="T149" t="s">
        <v>78</v>
      </c>
    </row>
    <row r="150" spans="1:20" x14ac:dyDescent="0.25">
      <c r="A150" s="11">
        <v>44934</v>
      </c>
      <c r="B150" t="s">
        <v>42</v>
      </c>
      <c r="C150" t="s">
        <v>43</v>
      </c>
      <c r="D150" t="s">
        <v>37</v>
      </c>
      <c r="E150" t="s">
        <v>38</v>
      </c>
      <c r="F150">
        <v>571</v>
      </c>
      <c r="G150">
        <v>8.0399999999999991</v>
      </c>
      <c r="H150">
        <v>4590.84</v>
      </c>
      <c r="I150" t="s">
        <v>57</v>
      </c>
      <c r="J150" t="s">
        <v>56</v>
      </c>
      <c r="K150" t="s">
        <v>28</v>
      </c>
      <c r="L150">
        <v>2928.05</v>
      </c>
      <c r="M150">
        <v>36.200000000000003</v>
      </c>
      <c r="N150">
        <v>2023</v>
      </c>
      <c r="O150">
        <v>1</v>
      </c>
      <c r="P150" t="s">
        <v>24</v>
      </c>
      <c r="Q150">
        <v>1662.79</v>
      </c>
      <c r="R150" t="s">
        <v>25</v>
      </c>
      <c r="S150">
        <v>1.7609259136752087</v>
      </c>
      <c r="T150" t="s">
        <v>78</v>
      </c>
    </row>
    <row r="151" spans="1:20" x14ac:dyDescent="0.25">
      <c r="A151" s="11">
        <v>44983</v>
      </c>
      <c r="B151" t="s">
        <v>42</v>
      </c>
      <c r="C151" t="s">
        <v>43</v>
      </c>
      <c r="D151" t="s">
        <v>53</v>
      </c>
      <c r="E151" t="s">
        <v>50</v>
      </c>
      <c r="F151">
        <v>573</v>
      </c>
      <c r="G151">
        <v>10.42</v>
      </c>
      <c r="H151">
        <v>5970.66</v>
      </c>
      <c r="I151" t="s">
        <v>33</v>
      </c>
      <c r="J151" t="s">
        <v>34</v>
      </c>
      <c r="K151" t="s">
        <v>23</v>
      </c>
      <c r="L151">
        <v>4316.99</v>
      </c>
      <c r="M151">
        <v>27.7</v>
      </c>
      <c r="N151">
        <v>2023</v>
      </c>
      <c r="O151">
        <v>1</v>
      </c>
      <c r="P151" t="s">
        <v>61</v>
      </c>
      <c r="Q151">
        <v>1653.67</v>
      </c>
      <c r="R151" t="s">
        <v>25</v>
      </c>
      <c r="S151">
        <v>2.6105510773007912</v>
      </c>
      <c r="T151" t="s">
        <v>78</v>
      </c>
    </row>
    <row r="152" spans="1:20" x14ac:dyDescent="0.25">
      <c r="A152" s="11">
        <v>44966</v>
      </c>
      <c r="B152" t="s">
        <v>17</v>
      </c>
      <c r="C152" t="s">
        <v>18</v>
      </c>
      <c r="D152" t="s">
        <v>44</v>
      </c>
      <c r="E152" t="s">
        <v>38</v>
      </c>
      <c r="F152">
        <v>790</v>
      </c>
      <c r="G152">
        <v>6.92</v>
      </c>
      <c r="H152">
        <v>5466.8</v>
      </c>
      <c r="I152" t="s">
        <v>55</v>
      </c>
      <c r="J152" t="s">
        <v>56</v>
      </c>
      <c r="K152" t="s">
        <v>23</v>
      </c>
      <c r="L152">
        <v>3819.31</v>
      </c>
      <c r="M152">
        <v>30.1</v>
      </c>
      <c r="N152">
        <v>2023</v>
      </c>
      <c r="O152">
        <v>1</v>
      </c>
      <c r="P152" t="s">
        <v>60</v>
      </c>
      <c r="Q152">
        <v>1647.49</v>
      </c>
      <c r="R152" t="s">
        <v>25</v>
      </c>
      <c r="S152">
        <v>2.3182598983908855</v>
      </c>
      <c r="T152" t="s">
        <v>78</v>
      </c>
    </row>
    <row r="153" spans="1:20" x14ac:dyDescent="0.25">
      <c r="A153" s="11">
        <v>44980</v>
      </c>
      <c r="B153" t="s">
        <v>30</v>
      </c>
      <c r="C153" t="s">
        <v>31</v>
      </c>
      <c r="D153" t="s">
        <v>19</v>
      </c>
      <c r="E153" t="s">
        <v>20</v>
      </c>
      <c r="F153">
        <v>510</v>
      </c>
      <c r="G153">
        <v>9.1999999999999993</v>
      </c>
      <c r="H153">
        <v>4692</v>
      </c>
      <c r="I153" t="s">
        <v>21</v>
      </c>
      <c r="J153" t="s">
        <v>56</v>
      </c>
      <c r="K153" t="s">
        <v>28</v>
      </c>
      <c r="L153">
        <v>3045.65</v>
      </c>
      <c r="M153">
        <v>35.1</v>
      </c>
      <c r="N153">
        <v>2023</v>
      </c>
      <c r="O153">
        <v>1</v>
      </c>
      <c r="P153" t="s">
        <v>61</v>
      </c>
      <c r="Q153">
        <v>1646.35</v>
      </c>
      <c r="R153" t="s">
        <v>25</v>
      </c>
      <c r="S153">
        <v>1.8499407780848545</v>
      </c>
      <c r="T153" t="s">
        <v>78</v>
      </c>
    </row>
    <row r="154" spans="1:20" x14ac:dyDescent="0.25">
      <c r="A154" s="11">
        <v>45075</v>
      </c>
      <c r="B154" t="s">
        <v>42</v>
      </c>
      <c r="C154" t="s">
        <v>43</v>
      </c>
      <c r="D154" t="s">
        <v>45</v>
      </c>
      <c r="E154" t="s">
        <v>20</v>
      </c>
      <c r="F154">
        <v>863</v>
      </c>
      <c r="G154">
        <v>9.5500000000000007</v>
      </c>
      <c r="H154">
        <v>8241.65</v>
      </c>
      <c r="I154" t="s">
        <v>46</v>
      </c>
      <c r="J154" t="s">
        <v>47</v>
      </c>
      <c r="K154" t="s">
        <v>41</v>
      </c>
      <c r="L154">
        <v>6600.15</v>
      </c>
      <c r="M154">
        <v>19.899999999999999</v>
      </c>
      <c r="N154">
        <v>2023</v>
      </c>
      <c r="O154">
        <v>2</v>
      </c>
      <c r="P154" t="s">
        <v>67</v>
      </c>
      <c r="Q154">
        <v>1641.5</v>
      </c>
      <c r="R154" t="s">
        <v>29</v>
      </c>
      <c r="S154">
        <v>4.0208041425525431</v>
      </c>
      <c r="T154" t="s">
        <v>78</v>
      </c>
    </row>
    <row r="155" spans="1:20" x14ac:dyDescent="0.25">
      <c r="A155" s="11">
        <v>44929</v>
      </c>
      <c r="B155" t="s">
        <v>30</v>
      </c>
      <c r="C155" t="s">
        <v>31</v>
      </c>
      <c r="D155" t="s">
        <v>37</v>
      </c>
      <c r="E155" t="s">
        <v>38</v>
      </c>
      <c r="F155">
        <v>578</v>
      </c>
      <c r="G155">
        <v>11.54</v>
      </c>
      <c r="H155">
        <v>6670.12</v>
      </c>
      <c r="I155" t="s">
        <v>21</v>
      </c>
      <c r="J155" t="s">
        <v>22</v>
      </c>
      <c r="K155" t="s">
        <v>41</v>
      </c>
      <c r="L155">
        <v>5034.58</v>
      </c>
      <c r="M155">
        <v>24.5</v>
      </c>
      <c r="N155">
        <v>2023</v>
      </c>
      <c r="O155">
        <v>1</v>
      </c>
      <c r="P155" t="s">
        <v>24</v>
      </c>
      <c r="Q155">
        <v>1635.54</v>
      </c>
      <c r="R155" t="s">
        <v>29</v>
      </c>
      <c r="S155">
        <v>3.0782371571468752</v>
      </c>
      <c r="T155" t="s">
        <v>78</v>
      </c>
    </row>
    <row r="156" spans="1:20" x14ac:dyDescent="0.25">
      <c r="A156" s="11">
        <v>45101</v>
      </c>
      <c r="B156" t="s">
        <v>51</v>
      </c>
      <c r="C156" t="s">
        <v>52</v>
      </c>
      <c r="D156" t="s">
        <v>37</v>
      </c>
      <c r="E156" t="s">
        <v>38</v>
      </c>
      <c r="F156">
        <v>588</v>
      </c>
      <c r="G156">
        <v>7.29</v>
      </c>
      <c r="H156">
        <v>4286.5200000000004</v>
      </c>
      <c r="I156" t="s">
        <v>21</v>
      </c>
      <c r="J156" t="s">
        <v>56</v>
      </c>
      <c r="K156" t="s">
        <v>28</v>
      </c>
      <c r="L156">
        <v>2651.01</v>
      </c>
      <c r="M156">
        <v>38.200000000000003</v>
      </c>
      <c r="N156">
        <v>2024</v>
      </c>
      <c r="O156">
        <v>2</v>
      </c>
      <c r="P156" t="s">
        <v>24</v>
      </c>
      <c r="Q156">
        <v>1635.51</v>
      </c>
      <c r="R156" t="s">
        <v>25</v>
      </c>
      <c r="S156">
        <v>1.6209072399435041</v>
      </c>
      <c r="T156" t="s">
        <v>78</v>
      </c>
    </row>
    <row r="157" spans="1:20" x14ac:dyDescent="0.25">
      <c r="A157" s="11">
        <v>45064</v>
      </c>
      <c r="B157" t="s">
        <v>17</v>
      </c>
      <c r="C157" t="s">
        <v>18</v>
      </c>
      <c r="D157" t="s">
        <v>48</v>
      </c>
      <c r="E157" t="s">
        <v>38</v>
      </c>
      <c r="F157">
        <v>709</v>
      </c>
      <c r="G157">
        <v>7.73</v>
      </c>
      <c r="H157">
        <v>5480.57</v>
      </c>
      <c r="I157" t="s">
        <v>55</v>
      </c>
      <c r="J157" t="s">
        <v>34</v>
      </c>
      <c r="K157" t="s">
        <v>23</v>
      </c>
      <c r="L157">
        <v>3854.62</v>
      </c>
      <c r="M157">
        <v>29.7</v>
      </c>
      <c r="N157">
        <v>2023</v>
      </c>
      <c r="O157">
        <v>2</v>
      </c>
      <c r="P157" t="s">
        <v>65</v>
      </c>
      <c r="Q157">
        <v>1625.95</v>
      </c>
      <c r="R157" t="s">
        <v>25</v>
      </c>
      <c r="S157">
        <v>2.3706879055321504</v>
      </c>
      <c r="T157" t="s">
        <v>78</v>
      </c>
    </row>
    <row r="158" spans="1:20" x14ac:dyDescent="0.25">
      <c r="A158" s="11">
        <v>45000</v>
      </c>
      <c r="B158" t="s">
        <v>17</v>
      </c>
      <c r="C158" t="s">
        <v>18</v>
      </c>
      <c r="D158" t="s">
        <v>48</v>
      </c>
      <c r="E158" t="s">
        <v>38</v>
      </c>
      <c r="F158">
        <v>905</v>
      </c>
      <c r="G158">
        <v>7</v>
      </c>
      <c r="H158">
        <v>6335</v>
      </c>
      <c r="I158" t="s">
        <v>39</v>
      </c>
      <c r="J158" t="s">
        <v>34</v>
      </c>
      <c r="K158" t="s">
        <v>23</v>
      </c>
      <c r="L158">
        <v>4727.9799999999996</v>
      </c>
      <c r="M158">
        <v>25.4</v>
      </c>
      <c r="N158">
        <v>2023</v>
      </c>
      <c r="O158">
        <v>1</v>
      </c>
      <c r="P158" t="s">
        <v>61</v>
      </c>
      <c r="Q158">
        <v>1607.02</v>
      </c>
      <c r="R158" t="s">
        <v>25</v>
      </c>
      <c r="S158">
        <v>2.9420791278266605</v>
      </c>
      <c r="T158" t="s">
        <v>78</v>
      </c>
    </row>
    <row r="159" spans="1:20" x14ac:dyDescent="0.25">
      <c r="A159" s="11">
        <v>45097</v>
      </c>
      <c r="B159" t="s">
        <v>30</v>
      </c>
      <c r="C159" t="s">
        <v>31</v>
      </c>
      <c r="D159" t="s">
        <v>32</v>
      </c>
      <c r="E159" t="s">
        <v>20</v>
      </c>
      <c r="F159">
        <v>481</v>
      </c>
      <c r="G159">
        <v>11.99</v>
      </c>
      <c r="H159">
        <v>5767.19</v>
      </c>
      <c r="I159" t="s">
        <v>57</v>
      </c>
      <c r="J159" t="s">
        <v>22</v>
      </c>
      <c r="K159" t="s">
        <v>28</v>
      </c>
      <c r="L159">
        <v>4171.3500000000004</v>
      </c>
      <c r="M159">
        <v>27.7</v>
      </c>
      <c r="N159">
        <v>2023</v>
      </c>
      <c r="O159">
        <v>2</v>
      </c>
      <c r="P159" t="s">
        <v>70</v>
      </c>
      <c r="Q159">
        <v>1595.84</v>
      </c>
      <c r="R159" t="s">
        <v>25</v>
      </c>
      <c r="S159">
        <v>2.6138898636454786</v>
      </c>
      <c r="T159" t="s">
        <v>78</v>
      </c>
    </row>
    <row r="160" spans="1:20" x14ac:dyDescent="0.25">
      <c r="A160" s="11">
        <v>45071</v>
      </c>
      <c r="B160" t="s">
        <v>30</v>
      </c>
      <c r="C160" t="s">
        <v>31</v>
      </c>
      <c r="D160" t="s">
        <v>53</v>
      </c>
      <c r="E160" t="s">
        <v>50</v>
      </c>
      <c r="F160">
        <v>902</v>
      </c>
      <c r="G160">
        <v>10.54</v>
      </c>
      <c r="H160">
        <v>9507.08</v>
      </c>
      <c r="I160" t="s">
        <v>33</v>
      </c>
      <c r="J160" t="s">
        <v>27</v>
      </c>
      <c r="K160" t="s">
        <v>41</v>
      </c>
      <c r="L160">
        <v>7911.77</v>
      </c>
      <c r="M160">
        <v>16.8</v>
      </c>
      <c r="N160">
        <v>2023</v>
      </c>
      <c r="O160">
        <v>2</v>
      </c>
      <c r="P160" t="s">
        <v>66</v>
      </c>
      <c r="Q160">
        <v>1595.31</v>
      </c>
      <c r="R160" t="s">
        <v>29</v>
      </c>
      <c r="S160">
        <v>4.9593934721151376</v>
      </c>
      <c r="T160" t="s">
        <v>78</v>
      </c>
    </row>
    <row r="161" spans="1:20" x14ac:dyDescent="0.25">
      <c r="A161" s="11">
        <v>45118</v>
      </c>
      <c r="B161" t="s">
        <v>35</v>
      </c>
      <c r="C161" t="s">
        <v>36</v>
      </c>
      <c r="D161" t="s">
        <v>45</v>
      </c>
      <c r="E161" t="s">
        <v>20</v>
      </c>
      <c r="F161">
        <v>594</v>
      </c>
      <c r="G161">
        <v>7.46</v>
      </c>
      <c r="H161">
        <v>4431.24</v>
      </c>
      <c r="I161" t="s">
        <v>33</v>
      </c>
      <c r="J161" t="s">
        <v>40</v>
      </c>
      <c r="K161" t="s">
        <v>41</v>
      </c>
      <c r="L161">
        <v>2842.72</v>
      </c>
      <c r="M161">
        <v>35.799999999999997</v>
      </c>
      <c r="N161">
        <v>2024</v>
      </c>
      <c r="O161">
        <v>3</v>
      </c>
      <c r="P161" t="s">
        <v>64</v>
      </c>
      <c r="Q161">
        <v>1588.52</v>
      </c>
      <c r="R161" t="s">
        <v>25</v>
      </c>
      <c r="S161">
        <v>1.7895399491350439</v>
      </c>
      <c r="T161" t="s">
        <v>78</v>
      </c>
    </row>
    <row r="162" spans="1:20" x14ac:dyDescent="0.25">
      <c r="A162" s="11">
        <v>44991</v>
      </c>
      <c r="B162" t="s">
        <v>42</v>
      </c>
      <c r="C162" t="s">
        <v>43</v>
      </c>
      <c r="D162" t="s">
        <v>49</v>
      </c>
      <c r="E162" t="s">
        <v>50</v>
      </c>
      <c r="F162">
        <v>571</v>
      </c>
      <c r="G162">
        <v>11.66</v>
      </c>
      <c r="H162">
        <v>6657.86</v>
      </c>
      <c r="I162" t="s">
        <v>55</v>
      </c>
      <c r="J162" t="s">
        <v>56</v>
      </c>
      <c r="K162" t="s">
        <v>23</v>
      </c>
      <c r="L162">
        <v>5074.34</v>
      </c>
      <c r="M162">
        <v>23.8</v>
      </c>
      <c r="N162">
        <v>2023</v>
      </c>
      <c r="O162">
        <v>1</v>
      </c>
      <c r="P162" t="s">
        <v>61</v>
      </c>
      <c r="Q162">
        <v>1583.52</v>
      </c>
      <c r="R162" t="s">
        <v>29</v>
      </c>
      <c r="S162">
        <v>3.204468525815904</v>
      </c>
      <c r="T162" t="s">
        <v>78</v>
      </c>
    </row>
    <row r="163" spans="1:20" x14ac:dyDescent="0.25">
      <c r="A163" s="11">
        <v>45008</v>
      </c>
      <c r="B163" t="s">
        <v>58</v>
      </c>
      <c r="C163" t="s">
        <v>59</v>
      </c>
      <c r="D163" t="s">
        <v>19</v>
      </c>
      <c r="E163" t="s">
        <v>20</v>
      </c>
      <c r="F163">
        <v>527</v>
      </c>
      <c r="G163">
        <v>9.9499999999999993</v>
      </c>
      <c r="H163">
        <v>5243.65</v>
      </c>
      <c r="I163" t="s">
        <v>55</v>
      </c>
      <c r="J163" t="s">
        <v>27</v>
      </c>
      <c r="K163" t="s">
        <v>41</v>
      </c>
      <c r="L163">
        <v>3663.75</v>
      </c>
      <c r="M163">
        <v>30.1</v>
      </c>
      <c r="N163">
        <v>2023</v>
      </c>
      <c r="O163">
        <v>1</v>
      </c>
      <c r="P163" t="s">
        <v>62</v>
      </c>
      <c r="Q163">
        <v>1579.9</v>
      </c>
      <c r="R163" t="s">
        <v>25</v>
      </c>
      <c r="S163">
        <v>2.3189758845496549</v>
      </c>
      <c r="T163" t="s">
        <v>78</v>
      </c>
    </row>
    <row r="164" spans="1:20" x14ac:dyDescent="0.25">
      <c r="A164" s="11">
        <v>45125</v>
      </c>
      <c r="B164" t="s">
        <v>51</v>
      </c>
      <c r="C164" t="s">
        <v>52</v>
      </c>
      <c r="D164" t="s">
        <v>44</v>
      </c>
      <c r="E164" t="s">
        <v>38</v>
      </c>
      <c r="F164">
        <v>595</v>
      </c>
      <c r="G164">
        <v>7.33</v>
      </c>
      <c r="H164">
        <v>4361.3500000000004</v>
      </c>
      <c r="I164" t="s">
        <v>26</v>
      </c>
      <c r="J164" t="s">
        <v>34</v>
      </c>
      <c r="K164" t="s">
        <v>28</v>
      </c>
      <c r="L164">
        <v>2789.76</v>
      </c>
      <c r="M164">
        <v>36</v>
      </c>
      <c r="N164">
        <v>2024</v>
      </c>
      <c r="O164">
        <v>3</v>
      </c>
      <c r="P164" t="s">
        <v>69</v>
      </c>
      <c r="Q164">
        <v>1571.59</v>
      </c>
      <c r="R164" t="s">
        <v>25</v>
      </c>
      <c r="S164">
        <v>1.7751194650004138</v>
      </c>
      <c r="T164" t="s">
        <v>78</v>
      </c>
    </row>
    <row r="165" spans="1:20" x14ac:dyDescent="0.25">
      <c r="A165" s="11">
        <v>45106</v>
      </c>
      <c r="B165" t="s">
        <v>42</v>
      </c>
      <c r="C165" t="s">
        <v>43</v>
      </c>
      <c r="D165" t="s">
        <v>45</v>
      </c>
      <c r="E165" t="s">
        <v>20</v>
      </c>
      <c r="F165">
        <v>742</v>
      </c>
      <c r="G165">
        <v>6.84</v>
      </c>
      <c r="H165">
        <v>5075.28</v>
      </c>
      <c r="I165" t="s">
        <v>55</v>
      </c>
      <c r="J165" t="s">
        <v>56</v>
      </c>
      <c r="K165" t="s">
        <v>23</v>
      </c>
      <c r="L165">
        <v>3504.44</v>
      </c>
      <c r="M165">
        <v>31</v>
      </c>
      <c r="N165">
        <v>2024</v>
      </c>
      <c r="O165">
        <v>2</v>
      </c>
      <c r="P165" t="s">
        <v>60</v>
      </c>
      <c r="Q165">
        <v>1570.84</v>
      </c>
      <c r="R165" t="s">
        <v>25</v>
      </c>
      <c r="S165">
        <v>2.2309337679203485</v>
      </c>
      <c r="T165" t="s">
        <v>78</v>
      </c>
    </row>
    <row r="166" spans="1:20" x14ac:dyDescent="0.25">
      <c r="A166" s="11">
        <v>45062</v>
      </c>
      <c r="B166" t="s">
        <v>17</v>
      </c>
      <c r="C166" t="s">
        <v>18</v>
      </c>
      <c r="D166" t="s">
        <v>37</v>
      </c>
      <c r="E166" t="s">
        <v>38</v>
      </c>
      <c r="F166">
        <v>528</v>
      </c>
      <c r="G166">
        <v>11.47</v>
      </c>
      <c r="H166">
        <v>6056.16</v>
      </c>
      <c r="I166" t="s">
        <v>46</v>
      </c>
      <c r="J166" t="s">
        <v>27</v>
      </c>
      <c r="K166" t="s">
        <v>41</v>
      </c>
      <c r="L166">
        <v>4490.21</v>
      </c>
      <c r="M166">
        <v>25.9</v>
      </c>
      <c r="N166">
        <v>2023</v>
      </c>
      <c r="O166">
        <v>2</v>
      </c>
      <c r="P166" t="s">
        <v>65</v>
      </c>
      <c r="Q166">
        <v>1565.95</v>
      </c>
      <c r="R166" t="s">
        <v>25</v>
      </c>
      <c r="S166">
        <v>2.8674031737922667</v>
      </c>
      <c r="T166" t="s">
        <v>78</v>
      </c>
    </row>
    <row r="167" spans="1:20" x14ac:dyDescent="0.25">
      <c r="A167" s="11">
        <v>45073</v>
      </c>
      <c r="B167" t="s">
        <v>17</v>
      </c>
      <c r="C167" t="s">
        <v>18</v>
      </c>
      <c r="D167" t="s">
        <v>48</v>
      </c>
      <c r="E167" t="s">
        <v>38</v>
      </c>
      <c r="F167">
        <v>641</v>
      </c>
      <c r="G167">
        <v>8.2200000000000006</v>
      </c>
      <c r="H167">
        <v>5269.02</v>
      </c>
      <c r="I167" t="s">
        <v>21</v>
      </c>
      <c r="J167" t="s">
        <v>22</v>
      </c>
      <c r="K167" t="s">
        <v>41</v>
      </c>
      <c r="L167">
        <v>3704.28</v>
      </c>
      <c r="M167">
        <v>29.7</v>
      </c>
      <c r="N167">
        <v>2023</v>
      </c>
      <c r="O167">
        <v>2</v>
      </c>
      <c r="P167" t="s">
        <v>67</v>
      </c>
      <c r="Q167">
        <v>1564.74</v>
      </c>
      <c r="R167" t="s">
        <v>25</v>
      </c>
      <c r="S167">
        <v>2.3673453736723036</v>
      </c>
      <c r="T167" t="s">
        <v>78</v>
      </c>
    </row>
    <row r="168" spans="1:20" x14ac:dyDescent="0.25">
      <c r="A168" s="11">
        <v>45081</v>
      </c>
      <c r="B168" t="s">
        <v>35</v>
      </c>
      <c r="C168" t="s">
        <v>36</v>
      </c>
      <c r="D168" t="s">
        <v>48</v>
      </c>
      <c r="E168" t="s">
        <v>38</v>
      </c>
      <c r="F168">
        <v>544</v>
      </c>
      <c r="G168">
        <v>9.23</v>
      </c>
      <c r="H168">
        <v>5021.12</v>
      </c>
      <c r="I168" t="s">
        <v>26</v>
      </c>
      <c r="J168" t="s">
        <v>22</v>
      </c>
      <c r="K168" t="s">
        <v>28</v>
      </c>
      <c r="L168">
        <v>3462.32</v>
      </c>
      <c r="M168">
        <v>31</v>
      </c>
      <c r="N168">
        <v>2023</v>
      </c>
      <c r="O168">
        <v>2</v>
      </c>
      <c r="P168" t="s">
        <v>68</v>
      </c>
      <c r="Q168">
        <v>1558.8</v>
      </c>
      <c r="R168" t="s">
        <v>25</v>
      </c>
      <c r="S168">
        <v>2.2211444701052092</v>
      </c>
      <c r="T168" t="s">
        <v>78</v>
      </c>
    </row>
    <row r="169" spans="1:20" x14ac:dyDescent="0.25">
      <c r="A169" s="11">
        <v>45097</v>
      </c>
      <c r="B169" t="s">
        <v>42</v>
      </c>
      <c r="C169" t="s">
        <v>43</v>
      </c>
      <c r="D169" t="s">
        <v>53</v>
      </c>
      <c r="E169" t="s">
        <v>50</v>
      </c>
      <c r="F169">
        <v>875</v>
      </c>
      <c r="G169">
        <v>10.44</v>
      </c>
      <c r="H169">
        <v>9135</v>
      </c>
      <c r="I169" t="s">
        <v>21</v>
      </c>
      <c r="J169" t="s">
        <v>47</v>
      </c>
      <c r="K169" t="s">
        <v>41</v>
      </c>
      <c r="L169">
        <v>7577.16</v>
      </c>
      <c r="M169">
        <v>17.100000000000001</v>
      </c>
      <c r="N169">
        <v>2024</v>
      </c>
      <c r="O169">
        <v>2</v>
      </c>
      <c r="P169" t="s">
        <v>24</v>
      </c>
      <c r="Q169">
        <v>1557.84</v>
      </c>
      <c r="R169" t="s">
        <v>29</v>
      </c>
      <c r="S169">
        <v>4.8638884609459252</v>
      </c>
      <c r="T169" t="s">
        <v>78</v>
      </c>
    </row>
    <row r="170" spans="1:20" x14ac:dyDescent="0.25">
      <c r="A170" s="11">
        <v>45035</v>
      </c>
      <c r="B170" t="s">
        <v>42</v>
      </c>
      <c r="C170" t="s">
        <v>43</v>
      </c>
      <c r="D170" t="s">
        <v>44</v>
      </c>
      <c r="E170" t="s">
        <v>38</v>
      </c>
      <c r="F170">
        <v>437</v>
      </c>
      <c r="G170">
        <v>10.3</v>
      </c>
      <c r="H170">
        <v>4501.1000000000004</v>
      </c>
      <c r="I170" t="s">
        <v>21</v>
      </c>
      <c r="J170" t="s">
        <v>56</v>
      </c>
      <c r="K170" t="s">
        <v>41</v>
      </c>
      <c r="L170">
        <v>2957.98</v>
      </c>
      <c r="M170">
        <v>34.299999999999997</v>
      </c>
      <c r="N170">
        <v>2023</v>
      </c>
      <c r="O170">
        <v>2</v>
      </c>
      <c r="P170" t="s">
        <v>63</v>
      </c>
      <c r="Q170">
        <v>1543.12</v>
      </c>
      <c r="R170" t="s">
        <v>25</v>
      </c>
      <c r="S170">
        <v>1.9168826792472395</v>
      </c>
      <c r="T170" t="s">
        <v>78</v>
      </c>
    </row>
    <row r="171" spans="1:20" x14ac:dyDescent="0.25">
      <c r="A171" s="11">
        <v>45028</v>
      </c>
      <c r="B171" t="s">
        <v>17</v>
      </c>
      <c r="C171" t="s">
        <v>18</v>
      </c>
      <c r="D171" t="s">
        <v>44</v>
      </c>
      <c r="E171" t="s">
        <v>38</v>
      </c>
      <c r="F171">
        <v>475</v>
      </c>
      <c r="G171">
        <v>9.7100000000000009</v>
      </c>
      <c r="H171">
        <v>4612.25</v>
      </c>
      <c r="I171" t="s">
        <v>54</v>
      </c>
      <c r="J171" t="s">
        <v>47</v>
      </c>
      <c r="K171" t="s">
        <v>41</v>
      </c>
      <c r="L171">
        <v>3075.72</v>
      </c>
      <c r="M171">
        <v>33.299999999999997</v>
      </c>
      <c r="N171">
        <v>2023</v>
      </c>
      <c r="O171">
        <v>2</v>
      </c>
      <c r="P171" t="s">
        <v>63</v>
      </c>
      <c r="Q171">
        <v>1536.53</v>
      </c>
      <c r="R171" t="s">
        <v>25</v>
      </c>
      <c r="S171">
        <v>2.0017311734883143</v>
      </c>
      <c r="T171" t="s">
        <v>78</v>
      </c>
    </row>
    <row r="172" spans="1:20" x14ac:dyDescent="0.25">
      <c r="A172" s="11">
        <v>45009</v>
      </c>
      <c r="B172" t="s">
        <v>51</v>
      </c>
      <c r="C172" t="s">
        <v>52</v>
      </c>
      <c r="D172" t="s">
        <v>49</v>
      </c>
      <c r="E172" t="s">
        <v>50</v>
      </c>
      <c r="F172">
        <v>866</v>
      </c>
      <c r="G172">
        <v>5.63</v>
      </c>
      <c r="H172">
        <v>4875.58</v>
      </c>
      <c r="I172" t="s">
        <v>26</v>
      </c>
      <c r="J172" t="s">
        <v>34</v>
      </c>
      <c r="K172" t="s">
        <v>28</v>
      </c>
      <c r="L172">
        <v>3339.76</v>
      </c>
      <c r="M172">
        <v>31.5</v>
      </c>
      <c r="N172">
        <v>2023</v>
      </c>
      <c r="O172">
        <v>1</v>
      </c>
      <c r="P172" t="s">
        <v>62</v>
      </c>
      <c r="Q172">
        <v>1535.82</v>
      </c>
      <c r="R172" t="s">
        <v>25</v>
      </c>
      <c r="S172">
        <v>2.1745777499967445</v>
      </c>
      <c r="T172" t="s">
        <v>78</v>
      </c>
    </row>
    <row r="173" spans="1:20" x14ac:dyDescent="0.25">
      <c r="A173" s="11">
        <v>45012</v>
      </c>
      <c r="B173" t="s">
        <v>30</v>
      </c>
      <c r="C173" t="s">
        <v>31</v>
      </c>
      <c r="D173" t="s">
        <v>32</v>
      </c>
      <c r="E173" t="s">
        <v>20</v>
      </c>
      <c r="F173">
        <v>382</v>
      </c>
      <c r="G173">
        <v>11.36</v>
      </c>
      <c r="H173">
        <v>4339.5200000000004</v>
      </c>
      <c r="I173" t="s">
        <v>55</v>
      </c>
      <c r="J173" t="s">
        <v>27</v>
      </c>
      <c r="K173" t="s">
        <v>23</v>
      </c>
      <c r="L173">
        <v>2809.4</v>
      </c>
      <c r="M173">
        <v>35.299999999999997</v>
      </c>
      <c r="N173">
        <v>2023</v>
      </c>
      <c r="O173">
        <v>1</v>
      </c>
      <c r="P173" t="s">
        <v>62</v>
      </c>
      <c r="Q173">
        <v>1530.12</v>
      </c>
      <c r="R173" t="s">
        <v>25</v>
      </c>
      <c r="S173">
        <v>1.8360651452173689</v>
      </c>
      <c r="T173" t="s">
        <v>78</v>
      </c>
    </row>
    <row r="174" spans="1:20" x14ac:dyDescent="0.25">
      <c r="A174" s="11">
        <v>45001</v>
      </c>
      <c r="B174" t="s">
        <v>17</v>
      </c>
      <c r="C174" t="s">
        <v>18</v>
      </c>
      <c r="D174" t="s">
        <v>45</v>
      </c>
      <c r="E174" t="s">
        <v>20</v>
      </c>
      <c r="F174">
        <v>984</v>
      </c>
      <c r="G174">
        <v>4.8</v>
      </c>
      <c r="H174">
        <v>4723.2</v>
      </c>
      <c r="I174" t="s">
        <v>33</v>
      </c>
      <c r="J174" t="s">
        <v>34</v>
      </c>
      <c r="K174" t="s">
        <v>23</v>
      </c>
      <c r="L174">
        <v>3195.14</v>
      </c>
      <c r="M174">
        <v>32.4</v>
      </c>
      <c r="N174">
        <v>2023</v>
      </c>
      <c r="O174">
        <v>1</v>
      </c>
      <c r="P174" t="s">
        <v>62</v>
      </c>
      <c r="Q174">
        <v>1528.06</v>
      </c>
      <c r="R174" t="s">
        <v>25</v>
      </c>
      <c r="S174">
        <v>2.0909781029540726</v>
      </c>
      <c r="T174" t="s">
        <v>78</v>
      </c>
    </row>
    <row r="175" spans="1:20" x14ac:dyDescent="0.25">
      <c r="A175" s="11">
        <v>45073</v>
      </c>
      <c r="B175" t="s">
        <v>51</v>
      </c>
      <c r="C175" t="s">
        <v>52</v>
      </c>
      <c r="D175" t="s">
        <v>45</v>
      </c>
      <c r="E175" t="s">
        <v>20</v>
      </c>
      <c r="F175">
        <v>474</v>
      </c>
      <c r="G175">
        <v>8.49</v>
      </c>
      <c r="H175">
        <v>4024.26</v>
      </c>
      <c r="I175" t="s">
        <v>57</v>
      </c>
      <c r="J175" t="s">
        <v>40</v>
      </c>
      <c r="K175" t="s">
        <v>41</v>
      </c>
      <c r="L175">
        <v>2500.5100000000002</v>
      </c>
      <c r="M175">
        <v>37.9</v>
      </c>
      <c r="N175">
        <v>2023</v>
      </c>
      <c r="O175">
        <v>2</v>
      </c>
      <c r="P175" t="s">
        <v>67</v>
      </c>
      <c r="Q175">
        <v>1523.75</v>
      </c>
      <c r="R175" t="s">
        <v>25</v>
      </c>
      <c r="S175">
        <v>1.6410237899917968</v>
      </c>
      <c r="T175" t="s">
        <v>78</v>
      </c>
    </row>
    <row r="176" spans="1:20" x14ac:dyDescent="0.25">
      <c r="A176" s="11">
        <v>44966</v>
      </c>
      <c r="B176" t="s">
        <v>17</v>
      </c>
      <c r="C176" t="s">
        <v>18</v>
      </c>
      <c r="D176" t="s">
        <v>49</v>
      </c>
      <c r="E176" t="s">
        <v>50</v>
      </c>
      <c r="F176">
        <v>911</v>
      </c>
      <c r="G176">
        <v>10.81</v>
      </c>
      <c r="H176">
        <v>9847.91</v>
      </c>
      <c r="I176" t="s">
        <v>21</v>
      </c>
      <c r="J176" t="s">
        <v>47</v>
      </c>
      <c r="K176" t="s">
        <v>23</v>
      </c>
      <c r="L176">
        <v>8329.15</v>
      </c>
      <c r="M176">
        <v>15.4</v>
      </c>
      <c r="N176">
        <v>2023</v>
      </c>
      <c r="O176">
        <v>1</v>
      </c>
      <c r="P176" t="s">
        <v>60</v>
      </c>
      <c r="Q176">
        <v>1518.76</v>
      </c>
      <c r="R176" t="s">
        <v>29</v>
      </c>
      <c r="S176">
        <v>5.4841778819563327</v>
      </c>
      <c r="T176" t="s">
        <v>78</v>
      </c>
    </row>
    <row r="177" spans="1:20" x14ac:dyDescent="0.25">
      <c r="A177" s="11">
        <v>45069</v>
      </c>
      <c r="B177" t="s">
        <v>35</v>
      </c>
      <c r="C177" t="s">
        <v>36</v>
      </c>
      <c r="D177" t="s">
        <v>32</v>
      </c>
      <c r="E177" t="s">
        <v>20</v>
      </c>
      <c r="F177">
        <v>725</v>
      </c>
      <c r="G177">
        <v>6.72</v>
      </c>
      <c r="H177">
        <v>4872</v>
      </c>
      <c r="I177" t="s">
        <v>39</v>
      </c>
      <c r="J177" t="s">
        <v>40</v>
      </c>
      <c r="K177" t="s">
        <v>28</v>
      </c>
      <c r="L177">
        <v>3353.89</v>
      </c>
      <c r="M177">
        <v>31.2</v>
      </c>
      <c r="N177">
        <v>2023</v>
      </c>
      <c r="O177">
        <v>2</v>
      </c>
      <c r="P177" t="s">
        <v>66</v>
      </c>
      <c r="Q177">
        <v>1518.11</v>
      </c>
      <c r="R177" t="s">
        <v>25</v>
      </c>
      <c r="S177">
        <v>2.2092536113983834</v>
      </c>
      <c r="T177" t="s">
        <v>78</v>
      </c>
    </row>
    <row r="178" spans="1:20" x14ac:dyDescent="0.25">
      <c r="A178" s="11">
        <v>44954</v>
      </c>
      <c r="B178" t="s">
        <v>58</v>
      </c>
      <c r="C178" t="s">
        <v>59</v>
      </c>
      <c r="D178" t="s">
        <v>45</v>
      </c>
      <c r="E178" t="s">
        <v>20</v>
      </c>
      <c r="F178">
        <v>843</v>
      </c>
      <c r="G178">
        <v>6.96</v>
      </c>
      <c r="H178">
        <v>5867.28</v>
      </c>
      <c r="I178" t="s">
        <v>46</v>
      </c>
      <c r="J178" t="s">
        <v>22</v>
      </c>
      <c r="K178" t="s">
        <v>28</v>
      </c>
      <c r="L178">
        <v>4357.92</v>
      </c>
      <c r="M178">
        <v>25.7</v>
      </c>
      <c r="N178">
        <v>2023</v>
      </c>
      <c r="O178">
        <v>1</v>
      </c>
      <c r="P178" t="s">
        <v>24</v>
      </c>
      <c r="Q178">
        <v>1509.36</v>
      </c>
      <c r="R178" t="s">
        <v>25</v>
      </c>
      <c r="S178">
        <v>2.88726347591032</v>
      </c>
      <c r="T178" t="s">
        <v>78</v>
      </c>
    </row>
    <row r="179" spans="1:20" x14ac:dyDescent="0.25">
      <c r="A179" s="11">
        <v>45055</v>
      </c>
      <c r="B179" t="s">
        <v>30</v>
      </c>
      <c r="C179" t="s">
        <v>31</v>
      </c>
      <c r="D179" t="s">
        <v>49</v>
      </c>
      <c r="E179" t="s">
        <v>50</v>
      </c>
      <c r="F179">
        <v>874</v>
      </c>
      <c r="G179">
        <v>8.7100000000000009</v>
      </c>
      <c r="H179">
        <v>7612.54</v>
      </c>
      <c r="I179" t="s">
        <v>46</v>
      </c>
      <c r="J179" t="s">
        <v>40</v>
      </c>
      <c r="K179" t="s">
        <v>28</v>
      </c>
      <c r="L179">
        <v>6111.95</v>
      </c>
      <c r="M179">
        <v>19.7</v>
      </c>
      <c r="N179">
        <v>2023</v>
      </c>
      <c r="O179">
        <v>2</v>
      </c>
      <c r="P179" t="s">
        <v>65</v>
      </c>
      <c r="Q179">
        <v>1500.59</v>
      </c>
      <c r="R179" t="s">
        <v>29</v>
      </c>
      <c r="S179">
        <v>4.073031274365416</v>
      </c>
      <c r="T179" t="s">
        <v>78</v>
      </c>
    </row>
    <row r="180" spans="1:20" x14ac:dyDescent="0.25">
      <c r="A180" s="11">
        <v>45050</v>
      </c>
      <c r="B180" t="s">
        <v>51</v>
      </c>
      <c r="C180" t="s">
        <v>52</v>
      </c>
      <c r="D180" t="s">
        <v>45</v>
      </c>
      <c r="E180" t="s">
        <v>20</v>
      </c>
      <c r="F180">
        <v>883</v>
      </c>
      <c r="G180">
        <v>10.46</v>
      </c>
      <c r="H180">
        <v>9236.18</v>
      </c>
      <c r="I180" t="s">
        <v>39</v>
      </c>
      <c r="J180" t="s">
        <v>27</v>
      </c>
      <c r="K180" t="s">
        <v>28</v>
      </c>
      <c r="L180">
        <v>7744.36</v>
      </c>
      <c r="M180">
        <v>16.2</v>
      </c>
      <c r="N180">
        <v>2023</v>
      </c>
      <c r="O180">
        <v>2</v>
      </c>
      <c r="P180" t="s">
        <v>64</v>
      </c>
      <c r="Q180">
        <v>1491.82</v>
      </c>
      <c r="R180" t="s">
        <v>29</v>
      </c>
      <c r="S180">
        <v>5.191216098456918</v>
      </c>
      <c r="T180" t="s">
        <v>78</v>
      </c>
    </row>
    <row r="181" spans="1:20" x14ac:dyDescent="0.25">
      <c r="A181" s="11">
        <v>44929</v>
      </c>
      <c r="B181" t="s">
        <v>51</v>
      </c>
      <c r="C181" t="s">
        <v>52</v>
      </c>
      <c r="D181" t="s">
        <v>32</v>
      </c>
      <c r="E181" t="s">
        <v>20</v>
      </c>
      <c r="F181">
        <v>454</v>
      </c>
      <c r="G181">
        <v>11.22</v>
      </c>
      <c r="H181">
        <v>5093.88</v>
      </c>
      <c r="I181" t="s">
        <v>46</v>
      </c>
      <c r="J181" t="s">
        <v>34</v>
      </c>
      <c r="K181" t="s">
        <v>23</v>
      </c>
      <c r="L181">
        <v>3602.94</v>
      </c>
      <c r="M181">
        <v>29.3</v>
      </c>
      <c r="N181">
        <v>2023</v>
      </c>
      <c r="O181">
        <v>1</v>
      </c>
      <c r="P181" t="s">
        <v>24</v>
      </c>
      <c r="Q181">
        <v>1490.94</v>
      </c>
      <c r="R181" t="s">
        <v>25</v>
      </c>
      <c r="S181">
        <v>2.4165559982293048</v>
      </c>
      <c r="T181" t="s">
        <v>78</v>
      </c>
    </row>
    <row r="182" spans="1:20" x14ac:dyDescent="0.25">
      <c r="A182" s="11">
        <v>45129</v>
      </c>
      <c r="B182" t="s">
        <v>30</v>
      </c>
      <c r="C182" t="s">
        <v>31</v>
      </c>
      <c r="D182" t="s">
        <v>19</v>
      </c>
      <c r="E182" t="s">
        <v>20</v>
      </c>
      <c r="F182">
        <v>569</v>
      </c>
      <c r="G182">
        <v>11.87</v>
      </c>
      <c r="H182">
        <v>6754.03</v>
      </c>
      <c r="I182" t="s">
        <v>46</v>
      </c>
      <c r="J182" t="s">
        <v>40</v>
      </c>
      <c r="K182" t="s">
        <v>28</v>
      </c>
      <c r="L182">
        <v>5274.51</v>
      </c>
      <c r="M182">
        <v>21.9</v>
      </c>
      <c r="N182">
        <v>2025</v>
      </c>
      <c r="O182">
        <v>3</v>
      </c>
      <c r="P182" t="s">
        <v>63</v>
      </c>
      <c r="Q182">
        <v>1479.52</v>
      </c>
      <c r="R182" t="s">
        <v>29</v>
      </c>
      <c r="S182">
        <v>3.5650143289715586</v>
      </c>
      <c r="T182" t="s">
        <v>78</v>
      </c>
    </row>
    <row r="183" spans="1:20" x14ac:dyDescent="0.25">
      <c r="A183" s="11">
        <v>45086</v>
      </c>
      <c r="B183" t="s">
        <v>58</v>
      </c>
      <c r="C183" t="s">
        <v>59</v>
      </c>
      <c r="D183" t="s">
        <v>32</v>
      </c>
      <c r="E183" t="s">
        <v>20</v>
      </c>
      <c r="F183">
        <v>630</v>
      </c>
      <c r="G183">
        <v>10.199999999999999</v>
      </c>
      <c r="H183">
        <v>6426</v>
      </c>
      <c r="I183" t="s">
        <v>57</v>
      </c>
      <c r="J183" t="s">
        <v>27</v>
      </c>
      <c r="K183" t="s">
        <v>28</v>
      </c>
      <c r="L183">
        <v>4951.58</v>
      </c>
      <c r="M183">
        <v>22.9</v>
      </c>
      <c r="N183">
        <v>2023</v>
      </c>
      <c r="O183">
        <v>2</v>
      </c>
      <c r="P183" t="s">
        <v>69</v>
      </c>
      <c r="Q183">
        <v>1474.42</v>
      </c>
      <c r="R183" t="s">
        <v>29</v>
      </c>
      <c r="S183">
        <v>3.3583239511129799</v>
      </c>
      <c r="T183" t="s">
        <v>78</v>
      </c>
    </row>
    <row r="184" spans="1:20" x14ac:dyDescent="0.25">
      <c r="A184" s="11">
        <v>44927</v>
      </c>
      <c r="B184" t="s">
        <v>35</v>
      </c>
      <c r="C184" t="s">
        <v>36</v>
      </c>
      <c r="D184" t="s">
        <v>37</v>
      </c>
      <c r="E184" t="s">
        <v>38</v>
      </c>
      <c r="F184">
        <v>630</v>
      </c>
      <c r="G184">
        <v>9.6199999999999992</v>
      </c>
      <c r="H184">
        <v>6060.6</v>
      </c>
      <c r="I184" t="s">
        <v>26</v>
      </c>
      <c r="J184" t="s">
        <v>40</v>
      </c>
      <c r="K184" t="s">
        <v>41</v>
      </c>
      <c r="L184">
        <v>4596.97</v>
      </c>
      <c r="M184">
        <v>24.1</v>
      </c>
      <c r="N184">
        <v>2023</v>
      </c>
      <c r="O184">
        <v>1</v>
      </c>
      <c r="P184" t="s">
        <v>24</v>
      </c>
      <c r="Q184">
        <v>1463.63</v>
      </c>
      <c r="R184" t="s">
        <v>29</v>
      </c>
      <c r="S184">
        <v>3.1408006121765748</v>
      </c>
      <c r="T184" t="s">
        <v>78</v>
      </c>
    </row>
    <row r="185" spans="1:20" x14ac:dyDescent="0.25">
      <c r="A185" s="11">
        <v>45092</v>
      </c>
      <c r="B185" t="s">
        <v>42</v>
      </c>
      <c r="C185" t="s">
        <v>43</v>
      </c>
      <c r="D185" t="s">
        <v>45</v>
      </c>
      <c r="E185" t="s">
        <v>20</v>
      </c>
      <c r="F185">
        <v>722</v>
      </c>
      <c r="G185">
        <v>7.55</v>
      </c>
      <c r="H185">
        <v>5451.1</v>
      </c>
      <c r="I185" t="s">
        <v>54</v>
      </c>
      <c r="J185" t="s">
        <v>34</v>
      </c>
      <c r="K185" t="s">
        <v>23</v>
      </c>
      <c r="L185">
        <v>3988.87</v>
      </c>
      <c r="M185">
        <v>26.8</v>
      </c>
      <c r="N185">
        <v>2023</v>
      </c>
      <c r="O185">
        <v>2</v>
      </c>
      <c r="P185" t="s">
        <v>70</v>
      </c>
      <c r="Q185">
        <v>1462.23</v>
      </c>
      <c r="R185" t="s">
        <v>25</v>
      </c>
      <c r="S185">
        <v>2.7279360976043439</v>
      </c>
      <c r="T185" t="s">
        <v>78</v>
      </c>
    </row>
    <row r="186" spans="1:20" x14ac:dyDescent="0.25">
      <c r="A186" s="11">
        <v>44991</v>
      </c>
      <c r="B186" t="s">
        <v>51</v>
      </c>
      <c r="C186" t="s">
        <v>52</v>
      </c>
      <c r="D186" t="s">
        <v>37</v>
      </c>
      <c r="E186" t="s">
        <v>38</v>
      </c>
      <c r="F186">
        <v>912</v>
      </c>
      <c r="G186">
        <v>5.33</v>
      </c>
      <c r="H186">
        <v>4860.96</v>
      </c>
      <c r="I186" t="s">
        <v>26</v>
      </c>
      <c r="J186" t="s">
        <v>47</v>
      </c>
      <c r="K186" t="s">
        <v>41</v>
      </c>
      <c r="L186">
        <v>3406.22</v>
      </c>
      <c r="M186">
        <v>29.9</v>
      </c>
      <c r="N186">
        <v>2023</v>
      </c>
      <c r="O186">
        <v>1</v>
      </c>
      <c r="P186" t="s">
        <v>61</v>
      </c>
      <c r="Q186">
        <v>1454.74</v>
      </c>
      <c r="R186" t="s">
        <v>25</v>
      </c>
      <c r="S186">
        <v>2.3414630793131419</v>
      </c>
      <c r="T186" t="s">
        <v>78</v>
      </c>
    </row>
    <row r="187" spans="1:20" x14ac:dyDescent="0.25">
      <c r="A187" s="11">
        <v>44943</v>
      </c>
      <c r="B187" t="s">
        <v>42</v>
      </c>
      <c r="C187" t="s">
        <v>43</v>
      </c>
      <c r="D187" t="s">
        <v>19</v>
      </c>
      <c r="E187" t="s">
        <v>20</v>
      </c>
      <c r="F187">
        <v>923</v>
      </c>
      <c r="G187">
        <v>7.49</v>
      </c>
      <c r="H187">
        <v>6913.27</v>
      </c>
      <c r="I187" t="s">
        <v>46</v>
      </c>
      <c r="J187" t="s">
        <v>22</v>
      </c>
      <c r="K187" t="s">
        <v>41</v>
      </c>
      <c r="L187">
        <v>5461.02</v>
      </c>
      <c r="M187">
        <v>21</v>
      </c>
      <c r="N187">
        <v>2023</v>
      </c>
      <c r="O187">
        <v>1</v>
      </c>
      <c r="P187" t="s">
        <v>24</v>
      </c>
      <c r="Q187">
        <v>1452.25</v>
      </c>
      <c r="R187" t="s">
        <v>29</v>
      </c>
      <c r="S187">
        <v>3.760385608538475</v>
      </c>
      <c r="T187" t="s">
        <v>78</v>
      </c>
    </row>
    <row r="188" spans="1:20" x14ac:dyDescent="0.25">
      <c r="A188" s="11">
        <v>45103</v>
      </c>
      <c r="B188" t="s">
        <v>35</v>
      </c>
      <c r="C188" t="s">
        <v>36</v>
      </c>
      <c r="D188" t="s">
        <v>44</v>
      </c>
      <c r="E188" t="s">
        <v>38</v>
      </c>
      <c r="F188">
        <v>870</v>
      </c>
      <c r="G188">
        <v>8.2100000000000009</v>
      </c>
      <c r="H188">
        <v>7142.7</v>
      </c>
      <c r="I188" t="s">
        <v>55</v>
      </c>
      <c r="J188" t="s">
        <v>27</v>
      </c>
      <c r="K188" t="s">
        <v>41</v>
      </c>
      <c r="L188">
        <v>5693.37</v>
      </c>
      <c r="M188">
        <v>20.3</v>
      </c>
      <c r="N188">
        <v>2024</v>
      </c>
      <c r="O188">
        <v>2</v>
      </c>
      <c r="P188" t="s">
        <v>60</v>
      </c>
      <c r="Q188">
        <v>1449.33</v>
      </c>
      <c r="R188" t="s">
        <v>29</v>
      </c>
      <c r="S188">
        <v>3.9282772039494112</v>
      </c>
      <c r="T188" t="s">
        <v>78</v>
      </c>
    </row>
    <row r="189" spans="1:20" x14ac:dyDescent="0.25">
      <c r="A189" s="11">
        <v>45045</v>
      </c>
      <c r="B189" t="s">
        <v>51</v>
      </c>
      <c r="C189" t="s">
        <v>52</v>
      </c>
      <c r="D189" t="s">
        <v>19</v>
      </c>
      <c r="E189" t="s">
        <v>20</v>
      </c>
      <c r="F189">
        <v>376</v>
      </c>
      <c r="G189">
        <v>11.28</v>
      </c>
      <c r="H189">
        <v>4241.28</v>
      </c>
      <c r="I189" t="s">
        <v>54</v>
      </c>
      <c r="J189" t="s">
        <v>34</v>
      </c>
      <c r="K189" t="s">
        <v>41</v>
      </c>
      <c r="L189">
        <v>2798.03</v>
      </c>
      <c r="M189">
        <v>34</v>
      </c>
      <c r="N189">
        <v>2023</v>
      </c>
      <c r="O189">
        <v>2</v>
      </c>
      <c r="P189" t="s">
        <v>64</v>
      </c>
      <c r="Q189">
        <v>1443.25</v>
      </c>
      <c r="R189" t="s">
        <v>25</v>
      </c>
      <c r="S189">
        <v>1.938700848778798</v>
      </c>
      <c r="T189" t="s">
        <v>78</v>
      </c>
    </row>
    <row r="190" spans="1:20" x14ac:dyDescent="0.25">
      <c r="A190" s="11">
        <v>45125</v>
      </c>
      <c r="B190" t="s">
        <v>58</v>
      </c>
      <c r="C190" t="s">
        <v>59</v>
      </c>
      <c r="D190" t="s">
        <v>44</v>
      </c>
      <c r="E190" t="s">
        <v>38</v>
      </c>
      <c r="F190">
        <v>899</v>
      </c>
      <c r="G190">
        <v>5</v>
      </c>
      <c r="H190">
        <v>4495</v>
      </c>
      <c r="I190" t="s">
        <v>21</v>
      </c>
      <c r="J190" t="s">
        <v>22</v>
      </c>
      <c r="K190" t="s">
        <v>41</v>
      </c>
      <c r="L190">
        <v>3056.72</v>
      </c>
      <c r="M190">
        <v>32</v>
      </c>
      <c r="N190">
        <v>2024</v>
      </c>
      <c r="O190">
        <v>3</v>
      </c>
      <c r="P190" t="s">
        <v>69</v>
      </c>
      <c r="Q190">
        <v>1438.28</v>
      </c>
      <c r="R190" t="s">
        <v>25</v>
      </c>
      <c r="S190">
        <v>2.1252607280918876</v>
      </c>
      <c r="T190" t="s">
        <v>78</v>
      </c>
    </row>
    <row r="191" spans="1:20" x14ac:dyDescent="0.25">
      <c r="A191" s="11">
        <v>44932</v>
      </c>
      <c r="B191" t="s">
        <v>17</v>
      </c>
      <c r="C191" t="s">
        <v>18</v>
      </c>
      <c r="D191" t="s">
        <v>19</v>
      </c>
      <c r="E191" t="s">
        <v>20</v>
      </c>
      <c r="F191">
        <v>575</v>
      </c>
      <c r="G191">
        <v>7.42</v>
      </c>
      <c r="H191">
        <v>4266.5</v>
      </c>
      <c r="I191" t="s">
        <v>39</v>
      </c>
      <c r="J191" t="s">
        <v>22</v>
      </c>
      <c r="K191" t="s">
        <v>23</v>
      </c>
      <c r="L191">
        <v>2829.7</v>
      </c>
      <c r="M191">
        <v>33.700000000000003</v>
      </c>
      <c r="N191">
        <v>2023</v>
      </c>
      <c r="O191">
        <v>1</v>
      </c>
      <c r="P191" t="s">
        <v>24</v>
      </c>
      <c r="Q191">
        <v>1436.8</v>
      </c>
      <c r="R191" t="s">
        <v>25</v>
      </c>
      <c r="S191">
        <v>1.969445991091314</v>
      </c>
      <c r="T191" t="s">
        <v>78</v>
      </c>
    </row>
    <row r="192" spans="1:20" x14ac:dyDescent="0.25">
      <c r="A192" s="11">
        <v>44940</v>
      </c>
      <c r="B192" t="s">
        <v>58</v>
      </c>
      <c r="C192" t="s">
        <v>59</v>
      </c>
      <c r="D192" t="s">
        <v>32</v>
      </c>
      <c r="E192" t="s">
        <v>20</v>
      </c>
      <c r="F192">
        <v>701</v>
      </c>
      <c r="G192">
        <v>5.34</v>
      </c>
      <c r="H192">
        <v>3743.34</v>
      </c>
      <c r="I192" t="s">
        <v>57</v>
      </c>
      <c r="J192" t="s">
        <v>40</v>
      </c>
      <c r="K192" t="s">
        <v>41</v>
      </c>
      <c r="L192">
        <v>2314.11</v>
      </c>
      <c r="M192">
        <v>38.200000000000003</v>
      </c>
      <c r="N192">
        <v>2023</v>
      </c>
      <c r="O192">
        <v>1</v>
      </c>
      <c r="P192" t="s">
        <v>24</v>
      </c>
      <c r="Q192">
        <v>1429.23</v>
      </c>
      <c r="R192" t="s">
        <v>25</v>
      </c>
      <c r="S192">
        <v>1.6191305808022503</v>
      </c>
      <c r="T192" t="s">
        <v>78</v>
      </c>
    </row>
    <row r="193" spans="1:20" x14ac:dyDescent="0.25">
      <c r="A193" s="11">
        <v>45061</v>
      </c>
      <c r="B193" t="s">
        <v>35</v>
      </c>
      <c r="C193" t="s">
        <v>36</v>
      </c>
      <c r="D193" t="s">
        <v>19</v>
      </c>
      <c r="E193" t="s">
        <v>20</v>
      </c>
      <c r="F193">
        <v>422</v>
      </c>
      <c r="G193">
        <v>9.07</v>
      </c>
      <c r="H193">
        <v>3827.54</v>
      </c>
      <c r="I193" t="s">
        <v>57</v>
      </c>
      <c r="J193" t="s">
        <v>27</v>
      </c>
      <c r="K193" t="s">
        <v>28</v>
      </c>
      <c r="L193">
        <v>2407.6</v>
      </c>
      <c r="M193">
        <v>37.1</v>
      </c>
      <c r="N193">
        <v>2023</v>
      </c>
      <c r="O193">
        <v>2</v>
      </c>
      <c r="P193" t="s">
        <v>65</v>
      </c>
      <c r="Q193">
        <v>1419.94</v>
      </c>
      <c r="R193" t="s">
        <v>25</v>
      </c>
      <c r="S193">
        <v>1.6955646013211825</v>
      </c>
      <c r="T193" t="s">
        <v>78</v>
      </c>
    </row>
    <row r="194" spans="1:20" x14ac:dyDescent="0.25">
      <c r="A194" s="11">
        <v>44940</v>
      </c>
      <c r="B194" t="s">
        <v>30</v>
      </c>
      <c r="C194" t="s">
        <v>31</v>
      </c>
      <c r="D194" t="s">
        <v>19</v>
      </c>
      <c r="E194" t="s">
        <v>20</v>
      </c>
      <c r="F194">
        <v>944</v>
      </c>
      <c r="G194">
        <v>5.24</v>
      </c>
      <c r="H194">
        <v>4946.5600000000004</v>
      </c>
      <c r="I194" t="s">
        <v>33</v>
      </c>
      <c r="J194" t="s">
        <v>40</v>
      </c>
      <c r="K194" t="s">
        <v>23</v>
      </c>
      <c r="L194">
        <v>3530.4</v>
      </c>
      <c r="M194">
        <v>28.6</v>
      </c>
      <c r="N194">
        <v>2023</v>
      </c>
      <c r="O194">
        <v>1</v>
      </c>
      <c r="P194" t="s">
        <v>24</v>
      </c>
      <c r="Q194">
        <v>1416.16</v>
      </c>
      <c r="R194" t="s">
        <v>25</v>
      </c>
      <c r="S194">
        <v>2.492938650999887</v>
      </c>
      <c r="T194" t="s">
        <v>78</v>
      </c>
    </row>
    <row r="195" spans="1:20" x14ac:dyDescent="0.25">
      <c r="A195" s="11">
        <v>44945</v>
      </c>
      <c r="B195" t="s">
        <v>35</v>
      </c>
      <c r="C195" t="s">
        <v>36</v>
      </c>
      <c r="D195" t="s">
        <v>37</v>
      </c>
      <c r="E195" t="s">
        <v>38</v>
      </c>
      <c r="F195">
        <v>801</v>
      </c>
      <c r="G195">
        <v>9.27</v>
      </c>
      <c r="H195">
        <v>7425.27</v>
      </c>
      <c r="I195" t="s">
        <v>55</v>
      </c>
      <c r="J195" t="s">
        <v>47</v>
      </c>
      <c r="K195" t="s">
        <v>41</v>
      </c>
      <c r="L195">
        <v>6017.7</v>
      </c>
      <c r="M195">
        <v>19</v>
      </c>
      <c r="N195">
        <v>2023</v>
      </c>
      <c r="O195">
        <v>1</v>
      </c>
      <c r="P195" t="s">
        <v>24</v>
      </c>
      <c r="Q195">
        <v>1407.57</v>
      </c>
      <c r="R195" t="s">
        <v>29</v>
      </c>
      <c r="S195">
        <v>4.2752403077644452</v>
      </c>
      <c r="T195" t="s">
        <v>78</v>
      </c>
    </row>
    <row r="196" spans="1:20" x14ac:dyDescent="0.25">
      <c r="A196" s="11">
        <v>44955</v>
      </c>
      <c r="B196" t="s">
        <v>17</v>
      </c>
      <c r="C196" t="s">
        <v>18</v>
      </c>
      <c r="D196" t="s">
        <v>45</v>
      </c>
      <c r="E196" t="s">
        <v>20</v>
      </c>
      <c r="F196">
        <v>892</v>
      </c>
      <c r="G196">
        <v>6.11</v>
      </c>
      <c r="H196">
        <v>5450.12</v>
      </c>
      <c r="I196" t="s">
        <v>55</v>
      </c>
      <c r="J196" t="s">
        <v>47</v>
      </c>
      <c r="K196" t="s">
        <v>28</v>
      </c>
      <c r="L196">
        <v>4045.13</v>
      </c>
      <c r="M196">
        <v>25.8</v>
      </c>
      <c r="N196">
        <v>2023</v>
      </c>
      <c r="O196">
        <v>1</v>
      </c>
      <c r="P196" t="s">
        <v>24</v>
      </c>
      <c r="Q196">
        <v>1404.99</v>
      </c>
      <c r="R196" t="s">
        <v>25</v>
      </c>
      <c r="S196">
        <v>2.8791165773421876</v>
      </c>
      <c r="T196" t="s">
        <v>78</v>
      </c>
    </row>
    <row r="197" spans="1:20" x14ac:dyDescent="0.25">
      <c r="A197" s="11">
        <v>45132</v>
      </c>
      <c r="B197" t="s">
        <v>17</v>
      </c>
      <c r="C197" t="s">
        <v>18</v>
      </c>
      <c r="D197" t="s">
        <v>49</v>
      </c>
      <c r="E197" t="s">
        <v>50</v>
      </c>
      <c r="F197">
        <v>523</v>
      </c>
      <c r="G197">
        <v>8.6</v>
      </c>
      <c r="H197">
        <v>4497.8</v>
      </c>
      <c r="I197" t="s">
        <v>33</v>
      </c>
      <c r="J197" t="s">
        <v>40</v>
      </c>
      <c r="K197" t="s">
        <v>41</v>
      </c>
      <c r="L197">
        <v>3094.23</v>
      </c>
      <c r="M197">
        <v>31.2</v>
      </c>
      <c r="N197">
        <v>2025</v>
      </c>
      <c r="O197">
        <v>3</v>
      </c>
      <c r="P197" t="s">
        <v>66</v>
      </c>
      <c r="Q197">
        <v>1403.57</v>
      </c>
      <c r="R197" t="s">
        <v>25</v>
      </c>
      <c r="S197">
        <v>2.2045427018246331</v>
      </c>
      <c r="T197" t="s">
        <v>78</v>
      </c>
    </row>
    <row r="198" spans="1:20" x14ac:dyDescent="0.25">
      <c r="A198" s="11">
        <v>44989</v>
      </c>
      <c r="B198" t="s">
        <v>58</v>
      </c>
      <c r="C198" t="s">
        <v>59</v>
      </c>
      <c r="D198" t="s">
        <v>44</v>
      </c>
      <c r="E198" t="s">
        <v>38</v>
      </c>
      <c r="F198">
        <v>635</v>
      </c>
      <c r="G198">
        <v>8.93</v>
      </c>
      <c r="H198">
        <v>5670.55</v>
      </c>
      <c r="I198" t="s">
        <v>54</v>
      </c>
      <c r="J198" t="s">
        <v>47</v>
      </c>
      <c r="K198" t="s">
        <v>23</v>
      </c>
      <c r="L198">
        <v>4267.22</v>
      </c>
      <c r="M198">
        <v>24.7</v>
      </c>
      <c r="N198">
        <v>2023</v>
      </c>
      <c r="O198">
        <v>1</v>
      </c>
      <c r="P198" t="s">
        <v>61</v>
      </c>
      <c r="Q198">
        <v>1403.33</v>
      </c>
      <c r="R198" t="s">
        <v>29</v>
      </c>
      <c r="S198">
        <v>3.0407815695524221</v>
      </c>
      <c r="T198" t="s">
        <v>78</v>
      </c>
    </row>
    <row r="199" spans="1:20" x14ac:dyDescent="0.25">
      <c r="A199" s="11">
        <v>45022</v>
      </c>
      <c r="B199" t="s">
        <v>51</v>
      </c>
      <c r="C199" t="s">
        <v>52</v>
      </c>
      <c r="D199" t="s">
        <v>53</v>
      </c>
      <c r="E199" t="s">
        <v>50</v>
      </c>
      <c r="F199">
        <v>658</v>
      </c>
      <c r="G199">
        <v>8.23</v>
      </c>
      <c r="H199">
        <v>5415.34</v>
      </c>
      <c r="I199" t="s">
        <v>39</v>
      </c>
      <c r="J199" t="s">
        <v>34</v>
      </c>
      <c r="K199" t="s">
        <v>28</v>
      </c>
      <c r="L199">
        <v>4022.67</v>
      </c>
      <c r="M199">
        <v>25.7</v>
      </c>
      <c r="N199">
        <v>2023</v>
      </c>
      <c r="O199">
        <v>2</v>
      </c>
      <c r="P199" t="s">
        <v>63</v>
      </c>
      <c r="Q199">
        <v>1392.67</v>
      </c>
      <c r="R199" t="s">
        <v>25</v>
      </c>
      <c r="S199">
        <v>2.8884588596006231</v>
      </c>
      <c r="T199" t="s">
        <v>78</v>
      </c>
    </row>
    <row r="200" spans="1:20" x14ac:dyDescent="0.25">
      <c r="A200" s="11">
        <v>45039</v>
      </c>
      <c r="B200" t="s">
        <v>58</v>
      </c>
      <c r="C200" t="s">
        <v>59</v>
      </c>
      <c r="D200" t="s">
        <v>45</v>
      </c>
      <c r="E200" t="s">
        <v>20</v>
      </c>
      <c r="F200">
        <v>941</v>
      </c>
      <c r="G200">
        <v>7.38</v>
      </c>
      <c r="H200">
        <v>6944.58</v>
      </c>
      <c r="I200" t="s">
        <v>21</v>
      </c>
      <c r="J200" t="s">
        <v>27</v>
      </c>
      <c r="K200" t="s">
        <v>41</v>
      </c>
      <c r="L200">
        <v>5552.88</v>
      </c>
      <c r="M200">
        <v>20</v>
      </c>
      <c r="N200">
        <v>2023</v>
      </c>
      <c r="O200">
        <v>2</v>
      </c>
      <c r="P200" t="s">
        <v>63</v>
      </c>
      <c r="Q200">
        <v>1391.7</v>
      </c>
      <c r="R200" t="s">
        <v>29</v>
      </c>
      <c r="S200">
        <v>3.9899978443630091</v>
      </c>
      <c r="T200" t="s">
        <v>78</v>
      </c>
    </row>
    <row r="201" spans="1:20" x14ac:dyDescent="0.25">
      <c r="A201" s="11">
        <v>44932</v>
      </c>
      <c r="B201" t="s">
        <v>51</v>
      </c>
      <c r="C201" t="s">
        <v>52</v>
      </c>
      <c r="D201" t="s">
        <v>44</v>
      </c>
      <c r="E201" t="s">
        <v>38</v>
      </c>
      <c r="F201">
        <v>552</v>
      </c>
      <c r="G201">
        <v>7.27</v>
      </c>
      <c r="H201">
        <v>4013.04</v>
      </c>
      <c r="I201" t="s">
        <v>21</v>
      </c>
      <c r="J201" t="s">
        <v>40</v>
      </c>
      <c r="K201" t="s">
        <v>23</v>
      </c>
      <c r="L201">
        <v>2623.37</v>
      </c>
      <c r="M201">
        <v>34.6</v>
      </c>
      <c r="N201">
        <v>2023</v>
      </c>
      <c r="O201">
        <v>1</v>
      </c>
      <c r="P201" t="s">
        <v>24</v>
      </c>
      <c r="Q201">
        <v>1389.67</v>
      </c>
      <c r="R201" t="s">
        <v>25</v>
      </c>
      <c r="S201">
        <v>1.8877647211208415</v>
      </c>
      <c r="T201" t="s">
        <v>78</v>
      </c>
    </row>
    <row r="202" spans="1:20" x14ac:dyDescent="0.25">
      <c r="A202" s="11">
        <v>44993</v>
      </c>
      <c r="B202" t="s">
        <v>30</v>
      </c>
      <c r="C202" t="s">
        <v>31</v>
      </c>
      <c r="D202" t="s">
        <v>48</v>
      </c>
      <c r="E202" t="s">
        <v>38</v>
      </c>
      <c r="F202">
        <v>853</v>
      </c>
      <c r="G202">
        <v>6.36</v>
      </c>
      <c r="H202">
        <v>5425.08</v>
      </c>
      <c r="I202" t="s">
        <v>55</v>
      </c>
      <c r="J202" t="s">
        <v>34</v>
      </c>
      <c r="K202" t="s">
        <v>28</v>
      </c>
      <c r="L202">
        <v>4042.86</v>
      </c>
      <c r="M202">
        <v>25.5</v>
      </c>
      <c r="N202">
        <v>2023</v>
      </c>
      <c r="O202">
        <v>1</v>
      </c>
      <c r="P202" t="s">
        <v>61</v>
      </c>
      <c r="Q202">
        <v>1382.22</v>
      </c>
      <c r="R202" t="s">
        <v>25</v>
      </c>
      <c r="S202">
        <v>2.9249034162434344</v>
      </c>
      <c r="T202" t="s">
        <v>78</v>
      </c>
    </row>
    <row r="203" spans="1:20" x14ac:dyDescent="0.25">
      <c r="A203" s="11">
        <v>45000</v>
      </c>
      <c r="B203" t="s">
        <v>17</v>
      </c>
      <c r="C203" t="s">
        <v>18</v>
      </c>
      <c r="D203" t="s">
        <v>49</v>
      </c>
      <c r="E203" t="s">
        <v>50</v>
      </c>
      <c r="F203">
        <v>908</v>
      </c>
      <c r="G203">
        <v>9.6999999999999993</v>
      </c>
      <c r="H203">
        <v>8807.6</v>
      </c>
      <c r="I203" t="s">
        <v>57</v>
      </c>
      <c r="J203" t="s">
        <v>27</v>
      </c>
      <c r="K203" t="s">
        <v>41</v>
      </c>
      <c r="L203">
        <v>7433.41</v>
      </c>
      <c r="M203">
        <v>15.6</v>
      </c>
      <c r="N203">
        <v>2023</v>
      </c>
      <c r="O203">
        <v>1</v>
      </c>
      <c r="P203" t="s">
        <v>61</v>
      </c>
      <c r="Q203">
        <v>1374.19</v>
      </c>
      <c r="R203" t="s">
        <v>29</v>
      </c>
      <c r="S203">
        <v>5.4093029348197845</v>
      </c>
      <c r="T203" t="s">
        <v>78</v>
      </c>
    </row>
    <row r="204" spans="1:20" x14ac:dyDescent="0.25">
      <c r="A204" s="11">
        <v>44937</v>
      </c>
      <c r="B204" t="s">
        <v>42</v>
      </c>
      <c r="C204" t="s">
        <v>43</v>
      </c>
      <c r="D204" t="s">
        <v>37</v>
      </c>
      <c r="E204" t="s">
        <v>38</v>
      </c>
      <c r="F204">
        <v>446</v>
      </c>
      <c r="G204">
        <v>8.8800000000000008</v>
      </c>
      <c r="H204">
        <v>3960.48</v>
      </c>
      <c r="I204" t="s">
        <v>21</v>
      </c>
      <c r="J204" t="s">
        <v>27</v>
      </c>
      <c r="K204" t="s">
        <v>41</v>
      </c>
      <c r="L204">
        <v>2589.58</v>
      </c>
      <c r="M204">
        <v>34.6</v>
      </c>
      <c r="N204">
        <v>2023</v>
      </c>
      <c r="O204">
        <v>1</v>
      </c>
      <c r="P204" t="s">
        <v>24</v>
      </c>
      <c r="Q204">
        <v>1370.9</v>
      </c>
      <c r="R204" t="s">
        <v>25</v>
      </c>
      <c r="S204">
        <v>1.8889634546648186</v>
      </c>
      <c r="T204" t="s">
        <v>78</v>
      </c>
    </row>
    <row r="205" spans="1:20" x14ac:dyDescent="0.25">
      <c r="A205" s="11">
        <v>44989</v>
      </c>
      <c r="B205" t="s">
        <v>17</v>
      </c>
      <c r="C205" t="s">
        <v>18</v>
      </c>
      <c r="D205" t="s">
        <v>49</v>
      </c>
      <c r="E205" t="s">
        <v>50</v>
      </c>
      <c r="F205">
        <v>356</v>
      </c>
      <c r="G205">
        <v>11.6</v>
      </c>
      <c r="H205">
        <v>4129.6000000000004</v>
      </c>
      <c r="I205" t="s">
        <v>54</v>
      </c>
      <c r="J205" t="s">
        <v>47</v>
      </c>
      <c r="K205" t="s">
        <v>28</v>
      </c>
      <c r="L205">
        <v>2763.32</v>
      </c>
      <c r="M205">
        <v>33.1</v>
      </c>
      <c r="N205">
        <v>2023</v>
      </c>
      <c r="O205">
        <v>1</v>
      </c>
      <c r="P205" t="s">
        <v>61</v>
      </c>
      <c r="Q205">
        <v>1366.28</v>
      </c>
      <c r="R205" t="s">
        <v>25</v>
      </c>
      <c r="S205">
        <v>2.0225136867991922</v>
      </c>
      <c r="T205" t="s">
        <v>78</v>
      </c>
    </row>
    <row r="206" spans="1:20" x14ac:dyDescent="0.25">
      <c r="A206" s="11">
        <v>45111</v>
      </c>
      <c r="B206" t="s">
        <v>51</v>
      </c>
      <c r="C206" t="s">
        <v>52</v>
      </c>
      <c r="D206" t="s">
        <v>19</v>
      </c>
      <c r="E206" t="s">
        <v>20</v>
      </c>
      <c r="F206">
        <v>339</v>
      </c>
      <c r="G206">
        <v>10.119999999999999</v>
      </c>
      <c r="H206">
        <v>3430.68</v>
      </c>
      <c r="I206" t="s">
        <v>54</v>
      </c>
      <c r="J206" t="s">
        <v>22</v>
      </c>
      <c r="K206" t="s">
        <v>28</v>
      </c>
      <c r="L206">
        <v>2066.27</v>
      </c>
      <c r="M206">
        <v>39.799999999999997</v>
      </c>
      <c r="N206">
        <v>2024</v>
      </c>
      <c r="O206">
        <v>3</v>
      </c>
      <c r="P206" t="s">
        <v>62</v>
      </c>
      <c r="Q206">
        <v>1364.41</v>
      </c>
      <c r="R206" t="s">
        <v>25</v>
      </c>
      <c r="S206">
        <v>1.5144054939497658</v>
      </c>
      <c r="T206" t="s">
        <v>78</v>
      </c>
    </row>
    <row r="207" spans="1:20" x14ac:dyDescent="0.25">
      <c r="A207" s="11">
        <v>45048</v>
      </c>
      <c r="B207" t="s">
        <v>42</v>
      </c>
      <c r="C207" t="s">
        <v>43</v>
      </c>
      <c r="D207" t="s">
        <v>19</v>
      </c>
      <c r="E207" t="s">
        <v>20</v>
      </c>
      <c r="F207">
        <v>467</v>
      </c>
      <c r="G207">
        <v>7.56</v>
      </c>
      <c r="H207">
        <v>3530.52</v>
      </c>
      <c r="I207" t="s">
        <v>21</v>
      </c>
      <c r="J207" t="s">
        <v>34</v>
      </c>
      <c r="K207" t="s">
        <v>28</v>
      </c>
      <c r="L207">
        <v>2167.0100000000002</v>
      </c>
      <c r="M207">
        <v>38.6</v>
      </c>
      <c r="N207">
        <v>2023</v>
      </c>
      <c r="O207">
        <v>2</v>
      </c>
      <c r="P207" t="s">
        <v>64</v>
      </c>
      <c r="Q207">
        <v>1363.51</v>
      </c>
      <c r="R207" t="s">
        <v>25</v>
      </c>
      <c r="S207">
        <v>1.5892879406825033</v>
      </c>
      <c r="T207" t="s">
        <v>78</v>
      </c>
    </row>
    <row r="208" spans="1:20" x14ac:dyDescent="0.25">
      <c r="A208" s="11">
        <v>44948</v>
      </c>
      <c r="B208" t="s">
        <v>30</v>
      </c>
      <c r="C208" t="s">
        <v>31</v>
      </c>
      <c r="D208" t="s">
        <v>48</v>
      </c>
      <c r="E208" t="s">
        <v>38</v>
      </c>
      <c r="F208">
        <v>343</v>
      </c>
      <c r="G208">
        <v>10.57</v>
      </c>
      <c r="H208">
        <v>3625.51</v>
      </c>
      <c r="I208" t="s">
        <v>57</v>
      </c>
      <c r="J208" t="s">
        <v>34</v>
      </c>
      <c r="K208" t="s">
        <v>41</v>
      </c>
      <c r="L208">
        <v>2270.0300000000002</v>
      </c>
      <c r="M208">
        <v>37.4</v>
      </c>
      <c r="N208">
        <v>2023</v>
      </c>
      <c r="O208">
        <v>1</v>
      </c>
      <c r="P208" t="s">
        <v>24</v>
      </c>
      <c r="Q208">
        <v>1355.48</v>
      </c>
      <c r="R208" t="s">
        <v>25</v>
      </c>
      <c r="S208">
        <v>1.6747056393307169</v>
      </c>
      <c r="T208" t="s">
        <v>78</v>
      </c>
    </row>
    <row r="209" spans="1:20" x14ac:dyDescent="0.25">
      <c r="A209" s="11">
        <v>45025</v>
      </c>
      <c r="B209" t="s">
        <v>51</v>
      </c>
      <c r="C209" t="s">
        <v>52</v>
      </c>
      <c r="D209" t="s">
        <v>45</v>
      </c>
      <c r="E209" t="s">
        <v>20</v>
      </c>
      <c r="F209">
        <v>743</v>
      </c>
      <c r="G209">
        <v>6.22</v>
      </c>
      <c r="H209">
        <v>4621.46</v>
      </c>
      <c r="I209" t="s">
        <v>54</v>
      </c>
      <c r="J209" t="s">
        <v>40</v>
      </c>
      <c r="K209" t="s">
        <v>28</v>
      </c>
      <c r="L209">
        <v>3275.31</v>
      </c>
      <c r="M209">
        <v>29.1</v>
      </c>
      <c r="N209">
        <v>2023</v>
      </c>
      <c r="O209">
        <v>2</v>
      </c>
      <c r="P209" t="s">
        <v>63</v>
      </c>
      <c r="Q209">
        <v>1346.15</v>
      </c>
      <c r="R209" t="s">
        <v>25</v>
      </c>
      <c r="S209">
        <v>2.4330943802696576</v>
      </c>
      <c r="T209" t="s">
        <v>78</v>
      </c>
    </row>
    <row r="210" spans="1:20" x14ac:dyDescent="0.25">
      <c r="A210" s="11">
        <v>44971</v>
      </c>
      <c r="B210" t="s">
        <v>58</v>
      </c>
      <c r="C210" t="s">
        <v>59</v>
      </c>
      <c r="D210" t="s">
        <v>45</v>
      </c>
      <c r="E210" t="s">
        <v>20</v>
      </c>
      <c r="F210">
        <v>947</v>
      </c>
      <c r="G210">
        <v>5.64</v>
      </c>
      <c r="H210">
        <v>5341.08</v>
      </c>
      <c r="I210" t="s">
        <v>33</v>
      </c>
      <c r="J210" t="s">
        <v>47</v>
      </c>
      <c r="K210" t="s">
        <v>28</v>
      </c>
      <c r="L210">
        <v>3998.35</v>
      </c>
      <c r="M210">
        <v>25.1</v>
      </c>
      <c r="N210">
        <v>2023</v>
      </c>
      <c r="O210">
        <v>1</v>
      </c>
      <c r="P210" t="s">
        <v>60</v>
      </c>
      <c r="Q210">
        <v>1342.73</v>
      </c>
      <c r="R210" t="s">
        <v>25</v>
      </c>
      <c r="S210">
        <v>2.9777766192756547</v>
      </c>
      <c r="T210" t="s">
        <v>78</v>
      </c>
    </row>
    <row r="211" spans="1:20" x14ac:dyDescent="0.25">
      <c r="A211" s="11">
        <v>45038</v>
      </c>
      <c r="B211" t="s">
        <v>42</v>
      </c>
      <c r="C211" t="s">
        <v>43</v>
      </c>
      <c r="D211" t="s">
        <v>44</v>
      </c>
      <c r="E211" t="s">
        <v>38</v>
      </c>
      <c r="F211">
        <v>370</v>
      </c>
      <c r="G211">
        <v>11.59</v>
      </c>
      <c r="H211">
        <v>4288.3</v>
      </c>
      <c r="I211" t="s">
        <v>39</v>
      </c>
      <c r="J211" t="s">
        <v>47</v>
      </c>
      <c r="K211" t="s">
        <v>23</v>
      </c>
      <c r="L211">
        <v>2945.61</v>
      </c>
      <c r="M211">
        <v>31.3</v>
      </c>
      <c r="N211">
        <v>2023</v>
      </c>
      <c r="O211">
        <v>2</v>
      </c>
      <c r="P211" t="s">
        <v>63</v>
      </c>
      <c r="Q211">
        <v>1342.69</v>
      </c>
      <c r="R211" t="s">
        <v>25</v>
      </c>
      <c r="S211">
        <v>2.1938124213332935</v>
      </c>
      <c r="T211" t="s">
        <v>78</v>
      </c>
    </row>
    <row r="212" spans="1:20" x14ac:dyDescent="0.25">
      <c r="A212" s="11">
        <v>45073</v>
      </c>
      <c r="B212" t="s">
        <v>35</v>
      </c>
      <c r="C212" t="s">
        <v>36</v>
      </c>
      <c r="D212" t="s">
        <v>37</v>
      </c>
      <c r="E212" t="s">
        <v>38</v>
      </c>
      <c r="F212">
        <v>935</v>
      </c>
      <c r="G212">
        <v>8.16</v>
      </c>
      <c r="H212">
        <v>7629.6</v>
      </c>
      <c r="I212" t="s">
        <v>26</v>
      </c>
      <c r="J212" t="s">
        <v>56</v>
      </c>
      <c r="K212" t="s">
        <v>23</v>
      </c>
      <c r="L212">
        <v>6288.94</v>
      </c>
      <c r="M212">
        <v>17.600000000000001</v>
      </c>
      <c r="N212">
        <v>2023</v>
      </c>
      <c r="O212">
        <v>2</v>
      </c>
      <c r="P212" t="s">
        <v>67</v>
      </c>
      <c r="Q212">
        <v>1340.66</v>
      </c>
      <c r="R212" t="s">
        <v>29</v>
      </c>
      <c r="S212">
        <v>4.6909283487237623</v>
      </c>
      <c r="T212" t="s">
        <v>78</v>
      </c>
    </row>
    <row r="213" spans="1:20" x14ac:dyDescent="0.25">
      <c r="A213" s="11">
        <v>45088</v>
      </c>
      <c r="B213" t="s">
        <v>58</v>
      </c>
      <c r="C213" t="s">
        <v>59</v>
      </c>
      <c r="D213" t="s">
        <v>19</v>
      </c>
      <c r="E213" t="s">
        <v>20</v>
      </c>
      <c r="F213">
        <v>630</v>
      </c>
      <c r="G213">
        <v>11.42</v>
      </c>
      <c r="H213">
        <v>7194.6</v>
      </c>
      <c r="I213" t="s">
        <v>55</v>
      </c>
      <c r="J213" t="s">
        <v>34</v>
      </c>
      <c r="K213" t="s">
        <v>28</v>
      </c>
      <c r="L213">
        <v>5854.62</v>
      </c>
      <c r="M213">
        <v>18.600000000000001</v>
      </c>
      <c r="N213">
        <v>2023</v>
      </c>
      <c r="O213">
        <v>2</v>
      </c>
      <c r="P213" t="s">
        <v>69</v>
      </c>
      <c r="Q213">
        <v>1339.98</v>
      </c>
      <c r="R213" t="s">
        <v>29</v>
      </c>
      <c r="S213">
        <v>4.3691846146957412</v>
      </c>
      <c r="T213" t="s">
        <v>78</v>
      </c>
    </row>
    <row r="214" spans="1:20" x14ac:dyDescent="0.25">
      <c r="A214" s="11">
        <v>45064</v>
      </c>
      <c r="B214" t="s">
        <v>17</v>
      </c>
      <c r="C214" t="s">
        <v>18</v>
      </c>
      <c r="D214" t="s">
        <v>19</v>
      </c>
      <c r="E214" t="s">
        <v>20</v>
      </c>
      <c r="F214">
        <v>568</v>
      </c>
      <c r="G214">
        <v>9.24</v>
      </c>
      <c r="H214">
        <v>5248.32</v>
      </c>
      <c r="I214" t="s">
        <v>55</v>
      </c>
      <c r="J214" t="s">
        <v>22</v>
      </c>
      <c r="K214" t="s">
        <v>28</v>
      </c>
      <c r="L214">
        <v>3917.27</v>
      </c>
      <c r="M214">
        <v>25.4</v>
      </c>
      <c r="N214">
        <v>2023</v>
      </c>
      <c r="O214">
        <v>2</v>
      </c>
      <c r="P214" t="s">
        <v>65</v>
      </c>
      <c r="Q214">
        <v>1331.05</v>
      </c>
      <c r="R214" t="s">
        <v>25</v>
      </c>
      <c r="S214">
        <v>2.9429923744412307</v>
      </c>
      <c r="T214" t="s">
        <v>78</v>
      </c>
    </row>
    <row r="215" spans="1:20" x14ac:dyDescent="0.25">
      <c r="A215" s="11">
        <v>44960</v>
      </c>
      <c r="B215" t="s">
        <v>51</v>
      </c>
      <c r="C215" t="s">
        <v>52</v>
      </c>
      <c r="D215" t="s">
        <v>48</v>
      </c>
      <c r="E215" t="s">
        <v>38</v>
      </c>
      <c r="F215">
        <v>852</v>
      </c>
      <c r="G215">
        <v>8.4700000000000006</v>
      </c>
      <c r="H215">
        <v>7216.44</v>
      </c>
      <c r="I215" t="s">
        <v>26</v>
      </c>
      <c r="J215" t="s">
        <v>34</v>
      </c>
      <c r="K215" t="s">
        <v>28</v>
      </c>
      <c r="L215">
        <v>5887.04</v>
      </c>
      <c r="M215">
        <v>18.399999999999999</v>
      </c>
      <c r="N215">
        <v>2023</v>
      </c>
      <c r="O215">
        <v>1</v>
      </c>
      <c r="P215" t="s">
        <v>60</v>
      </c>
      <c r="Q215">
        <v>1329.4</v>
      </c>
      <c r="R215" t="s">
        <v>29</v>
      </c>
      <c r="S215">
        <v>4.4283436136602976</v>
      </c>
      <c r="T215" t="s">
        <v>78</v>
      </c>
    </row>
    <row r="216" spans="1:20" x14ac:dyDescent="0.25">
      <c r="A216" s="11">
        <v>45044</v>
      </c>
      <c r="B216" t="s">
        <v>51</v>
      </c>
      <c r="C216" t="s">
        <v>52</v>
      </c>
      <c r="D216" t="s">
        <v>19</v>
      </c>
      <c r="E216" t="s">
        <v>20</v>
      </c>
      <c r="F216">
        <v>400</v>
      </c>
      <c r="G216">
        <v>10.039999999999999</v>
      </c>
      <c r="H216">
        <v>4016</v>
      </c>
      <c r="I216" t="s">
        <v>54</v>
      </c>
      <c r="J216" t="s">
        <v>34</v>
      </c>
      <c r="K216" t="s">
        <v>23</v>
      </c>
      <c r="L216">
        <v>2693.77</v>
      </c>
      <c r="M216">
        <v>32.9</v>
      </c>
      <c r="N216">
        <v>2023</v>
      </c>
      <c r="O216">
        <v>2</v>
      </c>
      <c r="P216" t="s">
        <v>64</v>
      </c>
      <c r="Q216">
        <v>1322.23</v>
      </c>
      <c r="R216" t="s">
        <v>25</v>
      </c>
      <c r="S216">
        <v>2.0372930579399955</v>
      </c>
      <c r="T216" t="s">
        <v>78</v>
      </c>
    </row>
    <row r="217" spans="1:20" x14ac:dyDescent="0.25">
      <c r="A217" s="11">
        <v>44994</v>
      </c>
      <c r="B217" t="s">
        <v>42</v>
      </c>
      <c r="C217" t="s">
        <v>43</v>
      </c>
      <c r="D217" t="s">
        <v>48</v>
      </c>
      <c r="E217" t="s">
        <v>38</v>
      </c>
      <c r="F217">
        <v>469</v>
      </c>
      <c r="G217">
        <v>10.33</v>
      </c>
      <c r="H217">
        <v>4844.7700000000004</v>
      </c>
      <c r="I217" t="s">
        <v>26</v>
      </c>
      <c r="J217" t="s">
        <v>22</v>
      </c>
      <c r="K217" t="s">
        <v>28</v>
      </c>
      <c r="L217">
        <v>3522.78</v>
      </c>
      <c r="M217">
        <v>27.3</v>
      </c>
      <c r="N217">
        <v>2023</v>
      </c>
      <c r="O217">
        <v>1</v>
      </c>
      <c r="P217" t="s">
        <v>61</v>
      </c>
      <c r="Q217">
        <v>1321.99</v>
      </c>
      <c r="R217" t="s">
        <v>25</v>
      </c>
      <c r="S217">
        <v>2.6647554066218353</v>
      </c>
      <c r="T217" t="s">
        <v>78</v>
      </c>
    </row>
    <row r="218" spans="1:20" x14ac:dyDescent="0.25">
      <c r="A218" s="11">
        <v>45086</v>
      </c>
      <c r="B218" t="s">
        <v>17</v>
      </c>
      <c r="C218" t="s">
        <v>18</v>
      </c>
      <c r="D218" t="s">
        <v>37</v>
      </c>
      <c r="E218" t="s">
        <v>38</v>
      </c>
      <c r="F218">
        <v>950</v>
      </c>
      <c r="G218">
        <v>5.69</v>
      </c>
      <c r="H218">
        <v>5405.5</v>
      </c>
      <c r="I218" t="s">
        <v>57</v>
      </c>
      <c r="J218" t="s">
        <v>47</v>
      </c>
      <c r="K218" t="s">
        <v>23</v>
      </c>
      <c r="L218">
        <v>4084.2</v>
      </c>
      <c r="M218">
        <v>24.4</v>
      </c>
      <c r="N218">
        <v>2023</v>
      </c>
      <c r="O218">
        <v>2</v>
      </c>
      <c r="P218" t="s">
        <v>69</v>
      </c>
      <c r="Q218">
        <v>1321.3</v>
      </c>
      <c r="R218" t="s">
        <v>29</v>
      </c>
      <c r="S218">
        <v>3.0910466964353289</v>
      </c>
      <c r="T218" t="s">
        <v>78</v>
      </c>
    </row>
    <row r="219" spans="1:20" x14ac:dyDescent="0.25">
      <c r="A219" s="11">
        <v>44937</v>
      </c>
      <c r="B219" t="s">
        <v>51</v>
      </c>
      <c r="C219" t="s">
        <v>52</v>
      </c>
      <c r="D219" t="s">
        <v>32</v>
      </c>
      <c r="E219" t="s">
        <v>20</v>
      </c>
      <c r="F219">
        <v>987</v>
      </c>
      <c r="G219">
        <v>3.58</v>
      </c>
      <c r="H219">
        <v>3533.46</v>
      </c>
      <c r="I219" t="s">
        <v>57</v>
      </c>
      <c r="J219" t="s">
        <v>34</v>
      </c>
      <c r="K219" t="s">
        <v>28</v>
      </c>
      <c r="L219">
        <v>2215.62</v>
      </c>
      <c r="M219">
        <v>37.299999999999997</v>
      </c>
      <c r="N219">
        <v>2023</v>
      </c>
      <c r="O219">
        <v>1</v>
      </c>
      <c r="P219" t="s">
        <v>24</v>
      </c>
      <c r="Q219">
        <v>1317.84</v>
      </c>
      <c r="R219" t="s">
        <v>25</v>
      </c>
      <c r="S219">
        <v>1.6812511382261883</v>
      </c>
      <c r="T219" t="s">
        <v>78</v>
      </c>
    </row>
    <row r="220" spans="1:20" x14ac:dyDescent="0.25">
      <c r="A220" s="11">
        <v>45009</v>
      </c>
      <c r="B220" t="s">
        <v>58</v>
      </c>
      <c r="C220" t="s">
        <v>59</v>
      </c>
      <c r="D220" t="s">
        <v>44</v>
      </c>
      <c r="E220" t="s">
        <v>38</v>
      </c>
      <c r="F220">
        <v>873</v>
      </c>
      <c r="G220">
        <v>3.95</v>
      </c>
      <c r="H220">
        <v>3448.35</v>
      </c>
      <c r="I220" t="s">
        <v>46</v>
      </c>
      <c r="J220" t="s">
        <v>27</v>
      </c>
      <c r="K220" t="s">
        <v>28</v>
      </c>
      <c r="L220">
        <v>2131.6999999999998</v>
      </c>
      <c r="M220">
        <v>38.200000000000003</v>
      </c>
      <c r="N220">
        <v>2023</v>
      </c>
      <c r="O220">
        <v>1</v>
      </c>
      <c r="P220" t="s">
        <v>62</v>
      </c>
      <c r="Q220">
        <v>1316.65</v>
      </c>
      <c r="R220" t="s">
        <v>25</v>
      </c>
      <c r="S220">
        <v>1.6190331523183836</v>
      </c>
      <c r="T220" t="s">
        <v>78</v>
      </c>
    </row>
    <row r="221" spans="1:20" x14ac:dyDescent="0.25">
      <c r="A221" s="11">
        <v>45065</v>
      </c>
      <c r="B221" t="s">
        <v>51</v>
      </c>
      <c r="C221" t="s">
        <v>52</v>
      </c>
      <c r="D221" t="s">
        <v>53</v>
      </c>
      <c r="E221" t="s">
        <v>50</v>
      </c>
      <c r="F221">
        <v>625</v>
      </c>
      <c r="G221">
        <v>6.04</v>
      </c>
      <c r="H221">
        <v>3775</v>
      </c>
      <c r="I221" t="s">
        <v>26</v>
      </c>
      <c r="J221" t="s">
        <v>47</v>
      </c>
      <c r="K221" t="s">
        <v>41</v>
      </c>
      <c r="L221">
        <v>2461.83</v>
      </c>
      <c r="M221">
        <v>34.799999999999997</v>
      </c>
      <c r="N221">
        <v>2023</v>
      </c>
      <c r="O221">
        <v>2</v>
      </c>
      <c r="P221" t="s">
        <v>66</v>
      </c>
      <c r="Q221">
        <v>1313.17</v>
      </c>
      <c r="R221" t="s">
        <v>25</v>
      </c>
      <c r="S221">
        <v>1.8747229985455043</v>
      </c>
      <c r="T221" t="s">
        <v>78</v>
      </c>
    </row>
    <row r="222" spans="1:20" x14ac:dyDescent="0.25">
      <c r="A222" s="11">
        <v>44947</v>
      </c>
      <c r="B222" t="s">
        <v>58</v>
      </c>
      <c r="C222" t="s">
        <v>59</v>
      </c>
      <c r="D222" t="s">
        <v>45</v>
      </c>
      <c r="E222" t="s">
        <v>20</v>
      </c>
      <c r="F222">
        <v>495</v>
      </c>
      <c r="G222">
        <v>7.67</v>
      </c>
      <c r="H222">
        <v>3796.65</v>
      </c>
      <c r="I222" t="s">
        <v>57</v>
      </c>
      <c r="J222" t="s">
        <v>27</v>
      </c>
      <c r="K222" t="s">
        <v>41</v>
      </c>
      <c r="L222">
        <v>2484.5100000000002</v>
      </c>
      <c r="M222">
        <v>34.6</v>
      </c>
      <c r="N222">
        <v>2023</v>
      </c>
      <c r="O222">
        <v>1</v>
      </c>
      <c r="P222" t="s">
        <v>24</v>
      </c>
      <c r="Q222">
        <v>1312.14</v>
      </c>
      <c r="R222" t="s">
        <v>25</v>
      </c>
      <c r="S222">
        <v>1.8934793543371897</v>
      </c>
      <c r="T222" t="s">
        <v>78</v>
      </c>
    </row>
    <row r="223" spans="1:20" x14ac:dyDescent="0.25">
      <c r="A223" s="11">
        <v>45072</v>
      </c>
      <c r="B223" t="s">
        <v>17</v>
      </c>
      <c r="C223" t="s">
        <v>18</v>
      </c>
      <c r="D223" t="s">
        <v>19</v>
      </c>
      <c r="E223" t="s">
        <v>20</v>
      </c>
      <c r="F223">
        <v>551</v>
      </c>
      <c r="G223">
        <v>7.74</v>
      </c>
      <c r="H223">
        <v>4264.74</v>
      </c>
      <c r="I223" t="s">
        <v>46</v>
      </c>
      <c r="J223" t="s">
        <v>47</v>
      </c>
      <c r="K223" t="s">
        <v>41</v>
      </c>
      <c r="L223">
        <v>2955.84</v>
      </c>
      <c r="M223">
        <v>30.7</v>
      </c>
      <c r="N223">
        <v>2023</v>
      </c>
      <c r="O223">
        <v>2</v>
      </c>
      <c r="P223" t="s">
        <v>67</v>
      </c>
      <c r="Q223">
        <v>1308.9000000000001</v>
      </c>
      <c r="R223" t="s">
        <v>25</v>
      </c>
      <c r="S223">
        <v>2.2582626633050653</v>
      </c>
      <c r="T223" t="s">
        <v>78</v>
      </c>
    </row>
    <row r="224" spans="1:20" x14ac:dyDescent="0.25">
      <c r="A224" s="11">
        <v>45085</v>
      </c>
      <c r="B224" t="s">
        <v>35</v>
      </c>
      <c r="C224" t="s">
        <v>36</v>
      </c>
      <c r="D224" t="s">
        <v>19</v>
      </c>
      <c r="E224" t="s">
        <v>20</v>
      </c>
      <c r="F224">
        <v>923</v>
      </c>
      <c r="G224">
        <v>6.05</v>
      </c>
      <c r="H224">
        <v>5584.15</v>
      </c>
      <c r="I224" t="s">
        <v>57</v>
      </c>
      <c r="J224" t="s">
        <v>40</v>
      </c>
      <c r="K224" t="s">
        <v>23</v>
      </c>
      <c r="L224">
        <v>4284.08</v>
      </c>
      <c r="M224">
        <v>23.3</v>
      </c>
      <c r="N224">
        <v>2023</v>
      </c>
      <c r="O224">
        <v>2</v>
      </c>
      <c r="P224" t="s">
        <v>69</v>
      </c>
      <c r="Q224">
        <v>1300.07</v>
      </c>
      <c r="R224" t="s">
        <v>29</v>
      </c>
      <c r="S224">
        <v>3.2952687162998915</v>
      </c>
      <c r="T224" t="s">
        <v>78</v>
      </c>
    </row>
    <row r="225" spans="1:20" x14ac:dyDescent="0.25">
      <c r="A225" s="11">
        <v>44939</v>
      </c>
      <c r="B225" t="s">
        <v>58</v>
      </c>
      <c r="C225" t="s">
        <v>59</v>
      </c>
      <c r="D225" t="s">
        <v>53</v>
      </c>
      <c r="E225" t="s">
        <v>50</v>
      </c>
      <c r="F225">
        <v>496</v>
      </c>
      <c r="G225">
        <v>9.09</v>
      </c>
      <c r="H225">
        <v>4508.6400000000003</v>
      </c>
      <c r="I225" t="s">
        <v>26</v>
      </c>
      <c r="J225" t="s">
        <v>34</v>
      </c>
      <c r="K225" t="s">
        <v>41</v>
      </c>
      <c r="L225">
        <v>3208.86</v>
      </c>
      <c r="M225">
        <v>28.8</v>
      </c>
      <c r="N225">
        <v>2023</v>
      </c>
      <c r="O225">
        <v>1</v>
      </c>
      <c r="P225" t="s">
        <v>24</v>
      </c>
      <c r="Q225">
        <v>1299.78</v>
      </c>
      <c r="R225" t="s">
        <v>25</v>
      </c>
      <c r="S225">
        <v>2.4687716382772469</v>
      </c>
      <c r="T225" t="s">
        <v>78</v>
      </c>
    </row>
    <row r="226" spans="1:20" x14ac:dyDescent="0.25">
      <c r="A226" s="11">
        <v>44959</v>
      </c>
      <c r="B226" t="s">
        <v>17</v>
      </c>
      <c r="C226" t="s">
        <v>18</v>
      </c>
      <c r="D226" t="s">
        <v>53</v>
      </c>
      <c r="E226" t="s">
        <v>50</v>
      </c>
      <c r="F226">
        <v>645</v>
      </c>
      <c r="G226">
        <v>5.87</v>
      </c>
      <c r="H226">
        <v>3786.15</v>
      </c>
      <c r="I226" t="s">
        <v>54</v>
      </c>
      <c r="J226" t="s">
        <v>22</v>
      </c>
      <c r="K226" t="s">
        <v>28</v>
      </c>
      <c r="L226">
        <v>2487.52</v>
      </c>
      <c r="M226">
        <v>34.299999999999997</v>
      </c>
      <c r="N226">
        <v>2023</v>
      </c>
      <c r="O226">
        <v>1</v>
      </c>
      <c r="P226" t="s">
        <v>60</v>
      </c>
      <c r="Q226">
        <v>1298.6300000000001</v>
      </c>
      <c r="R226" t="s">
        <v>25</v>
      </c>
      <c r="S226">
        <v>1.9154955607062827</v>
      </c>
      <c r="T226" t="s">
        <v>78</v>
      </c>
    </row>
    <row r="227" spans="1:20" x14ac:dyDescent="0.25">
      <c r="A227" s="11">
        <v>45115</v>
      </c>
      <c r="B227" t="s">
        <v>51</v>
      </c>
      <c r="C227" t="s">
        <v>52</v>
      </c>
      <c r="D227" t="s">
        <v>19</v>
      </c>
      <c r="E227" t="s">
        <v>20</v>
      </c>
      <c r="F227">
        <v>801</v>
      </c>
      <c r="G227">
        <v>4.5999999999999996</v>
      </c>
      <c r="H227">
        <v>3684.6</v>
      </c>
      <c r="I227" t="s">
        <v>21</v>
      </c>
      <c r="J227" t="s">
        <v>40</v>
      </c>
      <c r="K227" t="s">
        <v>41</v>
      </c>
      <c r="L227">
        <v>2387.54</v>
      </c>
      <c r="M227">
        <v>35.200000000000003</v>
      </c>
      <c r="N227">
        <v>2024</v>
      </c>
      <c r="O227">
        <v>3</v>
      </c>
      <c r="P227" t="s">
        <v>63</v>
      </c>
      <c r="Q227">
        <v>1297.06</v>
      </c>
      <c r="R227" t="s">
        <v>25</v>
      </c>
      <c r="S227">
        <v>1.8407321172497804</v>
      </c>
      <c r="T227" t="s">
        <v>78</v>
      </c>
    </row>
    <row r="228" spans="1:20" x14ac:dyDescent="0.25">
      <c r="A228" s="11">
        <v>45042</v>
      </c>
      <c r="B228" t="s">
        <v>17</v>
      </c>
      <c r="C228" t="s">
        <v>18</v>
      </c>
      <c r="D228" t="s">
        <v>44</v>
      </c>
      <c r="E228" t="s">
        <v>38</v>
      </c>
      <c r="F228">
        <v>453</v>
      </c>
      <c r="G228">
        <v>8.9499999999999993</v>
      </c>
      <c r="H228">
        <v>4054.35</v>
      </c>
      <c r="I228" t="s">
        <v>26</v>
      </c>
      <c r="J228" t="s">
        <v>47</v>
      </c>
      <c r="K228" t="s">
        <v>23</v>
      </c>
      <c r="L228">
        <v>2765.07</v>
      </c>
      <c r="M228">
        <v>31.8</v>
      </c>
      <c r="N228">
        <v>2023</v>
      </c>
      <c r="O228">
        <v>2</v>
      </c>
      <c r="P228" t="s">
        <v>64</v>
      </c>
      <c r="Q228">
        <v>1289.28</v>
      </c>
      <c r="R228" t="s">
        <v>25</v>
      </c>
      <c r="S228">
        <v>2.1446621370067014</v>
      </c>
      <c r="T228" t="s">
        <v>78</v>
      </c>
    </row>
    <row r="229" spans="1:20" x14ac:dyDescent="0.25">
      <c r="A229" s="11">
        <v>44952</v>
      </c>
      <c r="B229" t="s">
        <v>35</v>
      </c>
      <c r="C229" t="s">
        <v>36</v>
      </c>
      <c r="D229" t="s">
        <v>49</v>
      </c>
      <c r="E229" t="s">
        <v>50</v>
      </c>
      <c r="F229">
        <v>401</v>
      </c>
      <c r="G229">
        <v>10.210000000000001</v>
      </c>
      <c r="H229">
        <v>4094.21</v>
      </c>
      <c r="I229" t="s">
        <v>46</v>
      </c>
      <c r="J229" t="s">
        <v>27</v>
      </c>
      <c r="K229" t="s">
        <v>23</v>
      </c>
      <c r="L229">
        <v>2805.92</v>
      </c>
      <c r="M229">
        <v>31.5</v>
      </c>
      <c r="N229">
        <v>2023</v>
      </c>
      <c r="O229">
        <v>1</v>
      </c>
      <c r="P229" t="s">
        <v>24</v>
      </c>
      <c r="Q229">
        <v>1288.29</v>
      </c>
      <c r="R229" t="s">
        <v>25</v>
      </c>
      <c r="S229">
        <v>2.1780189243105204</v>
      </c>
      <c r="T229" t="s">
        <v>78</v>
      </c>
    </row>
    <row r="230" spans="1:20" x14ac:dyDescent="0.25">
      <c r="A230" s="11">
        <v>44975</v>
      </c>
      <c r="B230" t="s">
        <v>17</v>
      </c>
      <c r="C230" t="s">
        <v>18</v>
      </c>
      <c r="D230" t="s">
        <v>44</v>
      </c>
      <c r="E230" t="s">
        <v>38</v>
      </c>
      <c r="F230">
        <v>869</v>
      </c>
      <c r="G230">
        <v>7.98</v>
      </c>
      <c r="H230">
        <v>6934.62</v>
      </c>
      <c r="I230" t="s">
        <v>57</v>
      </c>
      <c r="J230" t="s">
        <v>34</v>
      </c>
      <c r="K230" t="s">
        <v>41</v>
      </c>
      <c r="L230">
        <v>5647.21</v>
      </c>
      <c r="M230">
        <v>18.600000000000001</v>
      </c>
      <c r="N230">
        <v>2023</v>
      </c>
      <c r="O230">
        <v>1</v>
      </c>
      <c r="P230" t="s">
        <v>60</v>
      </c>
      <c r="Q230">
        <v>1287.4100000000001</v>
      </c>
      <c r="R230" t="s">
        <v>29</v>
      </c>
      <c r="S230">
        <v>4.386489152639796</v>
      </c>
      <c r="T230" t="s">
        <v>78</v>
      </c>
    </row>
    <row r="231" spans="1:20" x14ac:dyDescent="0.25">
      <c r="A231" s="11">
        <v>45085</v>
      </c>
      <c r="B231" t="s">
        <v>51</v>
      </c>
      <c r="C231" t="s">
        <v>52</v>
      </c>
      <c r="D231" t="s">
        <v>53</v>
      </c>
      <c r="E231" t="s">
        <v>50</v>
      </c>
      <c r="F231">
        <v>994</v>
      </c>
      <c r="G231">
        <v>9.4600000000000009</v>
      </c>
      <c r="H231">
        <v>9403.24</v>
      </c>
      <c r="I231" t="s">
        <v>57</v>
      </c>
      <c r="J231" t="s">
        <v>56</v>
      </c>
      <c r="K231" t="s">
        <v>23</v>
      </c>
      <c r="L231">
        <v>8118.92</v>
      </c>
      <c r="M231">
        <v>13.7</v>
      </c>
      <c r="N231">
        <v>2023</v>
      </c>
      <c r="O231">
        <v>2</v>
      </c>
      <c r="P231" t="s">
        <v>68</v>
      </c>
      <c r="Q231">
        <v>1284.32</v>
      </c>
      <c r="R231" t="s">
        <v>29</v>
      </c>
      <c r="S231">
        <v>6.3215709480503302</v>
      </c>
      <c r="T231" t="s">
        <v>78</v>
      </c>
    </row>
    <row r="232" spans="1:20" x14ac:dyDescent="0.25">
      <c r="A232" s="11">
        <v>45044</v>
      </c>
      <c r="B232" t="s">
        <v>58</v>
      </c>
      <c r="C232" t="s">
        <v>59</v>
      </c>
      <c r="D232" t="s">
        <v>32</v>
      </c>
      <c r="E232" t="s">
        <v>20</v>
      </c>
      <c r="F232">
        <v>512</v>
      </c>
      <c r="G232">
        <v>8.5</v>
      </c>
      <c r="H232">
        <v>4352</v>
      </c>
      <c r="I232" t="s">
        <v>39</v>
      </c>
      <c r="J232" t="s">
        <v>27</v>
      </c>
      <c r="K232" t="s">
        <v>28</v>
      </c>
      <c r="L232">
        <v>3068.13</v>
      </c>
      <c r="M232">
        <v>29.5</v>
      </c>
      <c r="N232">
        <v>2023</v>
      </c>
      <c r="O232">
        <v>2</v>
      </c>
      <c r="P232" t="s">
        <v>64</v>
      </c>
      <c r="Q232">
        <v>1283.8699999999999</v>
      </c>
      <c r="R232" t="s">
        <v>25</v>
      </c>
      <c r="S232">
        <v>2.389751298807512</v>
      </c>
      <c r="T232" t="s">
        <v>78</v>
      </c>
    </row>
    <row r="233" spans="1:20" x14ac:dyDescent="0.25">
      <c r="A233" s="11">
        <v>45063</v>
      </c>
      <c r="B233" t="s">
        <v>42</v>
      </c>
      <c r="C233" t="s">
        <v>43</v>
      </c>
      <c r="D233" t="s">
        <v>19</v>
      </c>
      <c r="E233" t="s">
        <v>20</v>
      </c>
      <c r="F233">
        <v>513</v>
      </c>
      <c r="G233">
        <v>8.58</v>
      </c>
      <c r="H233">
        <v>4401.54</v>
      </c>
      <c r="I233" t="s">
        <v>54</v>
      </c>
      <c r="J233" t="s">
        <v>22</v>
      </c>
      <c r="K233" t="s">
        <v>28</v>
      </c>
      <c r="L233">
        <v>3117.71</v>
      </c>
      <c r="M233">
        <v>29.2</v>
      </c>
      <c r="N233">
        <v>2023</v>
      </c>
      <c r="O233">
        <v>2</v>
      </c>
      <c r="P233" t="s">
        <v>65</v>
      </c>
      <c r="Q233">
        <v>1283.83</v>
      </c>
      <c r="R233" t="s">
        <v>25</v>
      </c>
      <c r="S233">
        <v>2.4284445759952642</v>
      </c>
      <c r="T233" t="s">
        <v>78</v>
      </c>
    </row>
    <row r="234" spans="1:20" x14ac:dyDescent="0.25">
      <c r="A234" s="11">
        <v>44992</v>
      </c>
      <c r="B234" t="s">
        <v>30</v>
      </c>
      <c r="C234" t="s">
        <v>31</v>
      </c>
      <c r="D234" t="s">
        <v>37</v>
      </c>
      <c r="E234" t="s">
        <v>38</v>
      </c>
      <c r="F234">
        <v>897</v>
      </c>
      <c r="G234">
        <v>7.71</v>
      </c>
      <c r="H234">
        <v>6915.87</v>
      </c>
      <c r="I234" t="s">
        <v>26</v>
      </c>
      <c r="J234" t="s">
        <v>56</v>
      </c>
      <c r="K234" t="s">
        <v>23</v>
      </c>
      <c r="L234">
        <v>5633.59</v>
      </c>
      <c r="M234">
        <v>18.5</v>
      </c>
      <c r="N234">
        <v>2023</v>
      </c>
      <c r="O234">
        <v>1</v>
      </c>
      <c r="P234" t="s">
        <v>61</v>
      </c>
      <c r="Q234">
        <v>1282.28</v>
      </c>
      <c r="R234" t="s">
        <v>29</v>
      </c>
      <c r="S234">
        <v>4.393416414511651</v>
      </c>
      <c r="T234" t="s">
        <v>78</v>
      </c>
    </row>
    <row r="235" spans="1:20" x14ac:dyDescent="0.25">
      <c r="A235" s="11">
        <v>45113</v>
      </c>
      <c r="B235" t="s">
        <v>58</v>
      </c>
      <c r="C235" t="s">
        <v>59</v>
      </c>
      <c r="D235" t="s">
        <v>53</v>
      </c>
      <c r="E235" t="s">
        <v>50</v>
      </c>
      <c r="F235">
        <v>505</v>
      </c>
      <c r="G235">
        <v>10.93</v>
      </c>
      <c r="H235">
        <v>5519.65</v>
      </c>
      <c r="I235" t="s">
        <v>46</v>
      </c>
      <c r="J235" t="s">
        <v>22</v>
      </c>
      <c r="K235" t="s">
        <v>23</v>
      </c>
      <c r="L235">
        <v>4237.6099999999997</v>
      </c>
      <c r="M235">
        <v>23.2</v>
      </c>
      <c r="N235">
        <v>2024</v>
      </c>
      <c r="O235">
        <v>3</v>
      </c>
      <c r="P235" t="s">
        <v>62</v>
      </c>
      <c r="Q235">
        <v>1282.04</v>
      </c>
      <c r="R235" t="s">
        <v>29</v>
      </c>
      <c r="S235">
        <v>3.3053648872110073</v>
      </c>
      <c r="T235" t="s">
        <v>78</v>
      </c>
    </row>
    <row r="236" spans="1:20" x14ac:dyDescent="0.25">
      <c r="A236" s="11">
        <v>45117</v>
      </c>
      <c r="B236" t="s">
        <v>51</v>
      </c>
      <c r="C236" t="s">
        <v>52</v>
      </c>
      <c r="D236" t="s">
        <v>19</v>
      </c>
      <c r="E236" t="s">
        <v>20</v>
      </c>
      <c r="F236">
        <v>571</v>
      </c>
      <c r="G236">
        <v>9.8000000000000007</v>
      </c>
      <c r="H236">
        <v>5595.8</v>
      </c>
      <c r="I236" t="s">
        <v>26</v>
      </c>
      <c r="J236" t="s">
        <v>40</v>
      </c>
      <c r="K236" t="s">
        <v>23</v>
      </c>
      <c r="L236">
        <v>4314.66</v>
      </c>
      <c r="M236">
        <v>22.9</v>
      </c>
      <c r="N236">
        <v>2024</v>
      </c>
      <c r="O236">
        <v>3</v>
      </c>
      <c r="P236" t="s">
        <v>63</v>
      </c>
      <c r="Q236">
        <v>1281.1400000000001</v>
      </c>
      <c r="R236" t="s">
        <v>29</v>
      </c>
      <c r="S236">
        <v>3.367828652606272</v>
      </c>
      <c r="T236" t="s">
        <v>78</v>
      </c>
    </row>
    <row r="237" spans="1:20" x14ac:dyDescent="0.25">
      <c r="A237" s="11">
        <v>45111</v>
      </c>
      <c r="B237" t="s">
        <v>42</v>
      </c>
      <c r="C237" t="s">
        <v>43</v>
      </c>
      <c r="D237" t="s">
        <v>53</v>
      </c>
      <c r="E237" t="s">
        <v>50</v>
      </c>
      <c r="F237">
        <v>703</v>
      </c>
      <c r="G237">
        <v>5.72</v>
      </c>
      <c r="H237">
        <v>4021.16</v>
      </c>
      <c r="I237" t="s">
        <v>21</v>
      </c>
      <c r="J237" t="s">
        <v>22</v>
      </c>
      <c r="K237" t="s">
        <v>41</v>
      </c>
      <c r="L237">
        <v>2741.87</v>
      </c>
      <c r="M237">
        <v>31.8</v>
      </c>
      <c r="N237">
        <v>2024</v>
      </c>
      <c r="O237">
        <v>3</v>
      </c>
      <c r="P237" t="s">
        <v>62</v>
      </c>
      <c r="Q237">
        <v>1279.29</v>
      </c>
      <c r="R237" t="s">
        <v>25</v>
      </c>
      <c r="S237">
        <v>2.1432747852324336</v>
      </c>
      <c r="T237" t="s">
        <v>78</v>
      </c>
    </row>
    <row r="238" spans="1:20" x14ac:dyDescent="0.25">
      <c r="A238" s="11">
        <v>44968</v>
      </c>
      <c r="B238" t="s">
        <v>35</v>
      </c>
      <c r="C238" t="s">
        <v>36</v>
      </c>
      <c r="D238" t="s">
        <v>44</v>
      </c>
      <c r="E238" t="s">
        <v>38</v>
      </c>
      <c r="F238">
        <v>459</v>
      </c>
      <c r="G238">
        <v>10.53</v>
      </c>
      <c r="H238">
        <v>4833.2700000000004</v>
      </c>
      <c r="I238" t="s">
        <v>57</v>
      </c>
      <c r="J238" t="s">
        <v>27</v>
      </c>
      <c r="K238" t="s">
        <v>41</v>
      </c>
      <c r="L238">
        <v>3566.53</v>
      </c>
      <c r="M238">
        <v>26.2</v>
      </c>
      <c r="N238">
        <v>2023</v>
      </c>
      <c r="O238">
        <v>1</v>
      </c>
      <c r="P238" t="s">
        <v>60</v>
      </c>
      <c r="Q238">
        <v>1266.74</v>
      </c>
      <c r="R238" t="s">
        <v>25</v>
      </c>
      <c r="S238">
        <v>2.8155185752403811</v>
      </c>
      <c r="T238" t="s">
        <v>78</v>
      </c>
    </row>
    <row r="239" spans="1:20" x14ac:dyDescent="0.25">
      <c r="A239" s="11">
        <v>44941</v>
      </c>
      <c r="B239" t="s">
        <v>35</v>
      </c>
      <c r="C239" t="s">
        <v>36</v>
      </c>
      <c r="D239" t="s">
        <v>48</v>
      </c>
      <c r="E239" t="s">
        <v>38</v>
      </c>
      <c r="F239">
        <v>569</v>
      </c>
      <c r="G239">
        <v>10.029999999999999</v>
      </c>
      <c r="H239">
        <v>5707.07</v>
      </c>
      <c r="I239" t="s">
        <v>21</v>
      </c>
      <c r="J239" t="s">
        <v>40</v>
      </c>
      <c r="K239" t="s">
        <v>23</v>
      </c>
      <c r="L239">
        <v>4440.55</v>
      </c>
      <c r="M239">
        <v>22.2</v>
      </c>
      <c r="N239">
        <v>2023</v>
      </c>
      <c r="O239">
        <v>1</v>
      </c>
      <c r="P239" t="s">
        <v>24</v>
      </c>
      <c r="Q239">
        <v>1266.52</v>
      </c>
      <c r="R239" t="s">
        <v>29</v>
      </c>
      <c r="S239">
        <v>3.506103338281275</v>
      </c>
      <c r="T239" t="s">
        <v>78</v>
      </c>
    </row>
    <row r="240" spans="1:20" x14ac:dyDescent="0.25">
      <c r="A240" s="11">
        <v>45051</v>
      </c>
      <c r="B240" t="s">
        <v>17</v>
      </c>
      <c r="C240" t="s">
        <v>18</v>
      </c>
      <c r="D240" t="s">
        <v>45</v>
      </c>
      <c r="E240" t="s">
        <v>20</v>
      </c>
      <c r="F240">
        <v>308</v>
      </c>
      <c r="G240">
        <v>10.78</v>
      </c>
      <c r="H240">
        <v>3320.24</v>
      </c>
      <c r="I240" t="s">
        <v>55</v>
      </c>
      <c r="J240" t="s">
        <v>56</v>
      </c>
      <c r="K240" t="s">
        <v>28</v>
      </c>
      <c r="L240">
        <v>2056.2199999999998</v>
      </c>
      <c r="M240">
        <v>38.1</v>
      </c>
      <c r="N240">
        <v>2023</v>
      </c>
      <c r="O240">
        <v>2</v>
      </c>
      <c r="P240" t="s">
        <v>64</v>
      </c>
      <c r="Q240">
        <v>1264.02</v>
      </c>
      <c r="R240" t="s">
        <v>25</v>
      </c>
      <c r="S240">
        <v>1.626730589705859</v>
      </c>
      <c r="T240" t="s">
        <v>78</v>
      </c>
    </row>
    <row r="241" spans="1:20" x14ac:dyDescent="0.25">
      <c r="A241" s="11">
        <v>44938</v>
      </c>
      <c r="B241" t="s">
        <v>30</v>
      </c>
      <c r="C241" t="s">
        <v>31</v>
      </c>
      <c r="D241" t="s">
        <v>53</v>
      </c>
      <c r="E241" t="s">
        <v>50</v>
      </c>
      <c r="F241">
        <v>823</v>
      </c>
      <c r="G241">
        <v>4.83</v>
      </c>
      <c r="H241">
        <v>3975.09</v>
      </c>
      <c r="I241" t="s">
        <v>39</v>
      </c>
      <c r="J241" t="s">
        <v>47</v>
      </c>
      <c r="K241" t="s">
        <v>28</v>
      </c>
      <c r="L241">
        <v>2713.01</v>
      </c>
      <c r="M241">
        <v>31.7</v>
      </c>
      <c r="N241">
        <v>2023</v>
      </c>
      <c r="O241">
        <v>1</v>
      </c>
      <c r="P241" t="s">
        <v>24</v>
      </c>
      <c r="Q241">
        <v>1262.08</v>
      </c>
      <c r="R241" t="s">
        <v>25</v>
      </c>
      <c r="S241">
        <v>2.149633937626775</v>
      </c>
      <c r="T241" t="s">
        <v>78</v>
      </c>
    </row>
    <row r="242" spans="1:20" x14ac:dyDescent="0.25">
      <c r="A242" s="11">
        <v>44951</v>
      </c>
      <c r="B242" t="s">
        <v>30</v>
      </c>
      <c r="C242" t="s">
        <v>31</v>
      </c>
      <c r="D242" t="s">
        <v>53</v>
      </c>
      <c r="E242" t="s">
        <v>50</v>
      </c>
      <c r="F242">
        <v>781</v>
      </c>
      <c r="G242">
        <v>6.4</v>
      </c>
      <c r="H242">
        <v>4998.3999999999996</v>
      </c>
      <c r="I242" t="s">
        <v>21</v>
      </c>
      <c r="J242" t="s">
        <v>22</v>
      </c>
      <c r="K242" t="s">
        <v>23</v>
      </c>
      <c r="L242">
        <v>3737.43</v>
      </c>
      <c r="M242">
        <v>25.2</v>
      </c>
      <c r="N242">
        <v>2023</v>
      </c>
      <c r="O242">
        <v>1</v>
      </c>
      <c r="P242" t="s">
        <v>24</v>
      </c>
      <c r="Q242">
        <v>1260.97</v>
      </c>
      <c r="R242" t="s">
        <v>25</v>
      </c>
      <c r="S242">
        <v>2.9639325281331037</v>
      </c>
      <c r="T242" t="s">
        <v>78</v>
      </c>
    </row>
    <row r="243" spans="1:20" x14ac:dyDescent="0.25">
      <c r="A243" s="11">
        <v>45089</v>
      </c>
      <c r="B243" t="s">
        <v>30</v>
      </c>
      <c r="C243" t="s">
        <v>31</v>
      </c>
      <c r="D243" t="s">
        <v>44</v>
      </c>
      <c r="E243" t="s">
        <v>38</v>
      </c>
      <c r="F243">
        <v>884</v>
      </c>
      <c r="G243">
        <v>10.9</v>
      </c>
      <c r="H243">
        <v>9635.6</v>
      </c>
      <c r="I243" t="s">
        <v>55</v>
      </c>
      <c r="J243" t="s">
        <v>22</v>
      </c>
      <c r="K243" t="s">
        <v>23</v>
      </c>
      <c r="L243">
        <v>8379.32</v>
      </c>
      <c r="M243">
        <v>13</v>
      </c>
      <c r="N243">
        <v>2023</v>
      </c>
      <c r="O243">
        <v>2</v>
      </c>
      <c r="P243" t="s">
        <v>69</v>
      </c>
      <c r="Q243">
        <v>1256.28</v>
      </c>
      <c r="R243" t="s">
        <v>29</v>
      </c>
      <c r="S243">
        <v>6.6699461903397328</v>
      </c>
      <c r="T243" t="s">
        <v>78</v>
      </c>
    </row>
    <row r="244" spans="1:20" x14ac:dyDescent="0.25">
      <c r="A244" s="11">
        <v>45034</v>
      </c>
      <c r="B244" t="s">
        <v>30</v>
      </c>
      <c r="C244" t="s">
        <v>31</v>
      </c>
      <c r="D244" t="s">
        <v>49</v>
      </c>
      <c r="E244" t="s">
        <v>50</v>
      </c>
      <c r="F244">
        <v>623</v>
      </c>
      <c r="G244">
        <v>6.62</v>
      </c>
      <c r="H244">
        <v>4124.26</v>
      </c>
      <c r="I244" t="s">
        <v>55</v>
      </c>
      <c r="J244" t="s">
        <v>40</v>
      </c>
      <c r="K244" t="s">
        <v>23</v>
      </c>
      <c r="L244">
        <v>2871.12</v>
      </c>
      <c r="M244">
        <v>30.4</v>
      </c>
      <c r="N244">
        <v>2023</v>
      </c>
      <c r="O244">
        <v>2</v>
      </c>
      <c r="P244" t="s">
        <v>63</v>
      </c>
      <c r="Q244">
        <v>1253.1400000000001</v>
      </c>
      <c r="R244" t="s">
        <v>25</v>
      </c>
      <c r="S244">
        <v>2.2911406546754551</v>
      </c>
      <c r="T244" t="s">
        <v>78</v>
      </c>
    </row>
    <row r="245" spans="1:20" x14ac:dyDescent="0.25">
      <c r="A245" s="11">
        <v>45049</v>
      </c>
      <c r="B245" t="s">
        <v>17</v>
      </c>
      <c r="C245" t="s">
        <v>18</v>
      </c>
      <c r="D245" t="s">
        <v>44</v>
      </c>
      <c r="E245" t="s">
        <v>38</v>
      </c>
      <c r="F245">
        <v>903</v>
      </c>
      <c r="G245">
        <v>7.96</v>
      </c>
      <c r="H245">
        <v>7187.88</v>
      </c>
      <c r="I245" t="s">
        <v>33</v>
      </c>
      <c r="J245" t="s">
        <v>56</v>
      </c>
      <c r="K245" t="s">
        <v>41</v>
      </c>
      <c r="L245">
        <v>5938.28</v>
      </c>
      <c r="M245">
        <v>17.399999999999999</v>
      </c>
      <c r="N245">
        <v>2023</v>
      </c>
      <c r="O245">
        <v>2</v>
      </c>
      <c r="P245" t="s">
        <v>64</v>
      </c>
      <c r="Q245">
        <v>1249.5999999999999</v>
      </c>
      <c r="R245" t="s">
        <v>29</v>
      </c>
      <c r="S245">
        <v>4.7521446862996157</v>
      </c>
      <c r="T245" t="s">
        <v>78</v>
      </c>
    </row>
    <row r="246" spans="1:20" x14ac:dyDescent="0.25">
      <c r="A246" s="11">
        <v>45063</v>
      </c>
      <c r="B246" t="s">
        <v>51</v>
      </c>
      <c r="C246" t="s">
        <v>52</v>
      </c>
      <c r="D246" t="s">
        <v>44</v>
      </c>
      <c r="E246" t="s">
        <v>38</v>
      </c>
      <c r="F246">
        <v>684</v>
      </c>
      <c r="G246">
        <v>5.26</v>
      </c>
      <c r="H246">
        <v>3597.84</v>
      </c>
      <c r="I246" t="s">
        <v>46</v>
      </c>
      <c r="J246" t="s">
        <v>34</v>
      </c>
      <c r="K246" t="s">
        <v>41</v>
      </c>
      <c r="L246">
        <v>2356.92</v>
      </c>
      <c r="M246">
        <v>34.5</v>
      </c>
      <c r="N246">
        <v>2023</v>
      </c>
      <c r="O246">
        <v>2</v>
      </c>
      <c r="P246" t="s">
        <v>65</v>
      </c>
      <c r="Q246">
        <v>1240.92</v>
      </c>
      <c r="R246" t="s">
        <v>25</v>
      </c>
      <c r="S246">
        <v>1.8993327531186539</v>
      </c>
      <c r="T246" t="s">
        <v>78</v>
      </c>
    </row>
    <row r="247" spans="1:20" x14ac:dyDescent="0.25">
      <c r="A247" s="11">
        <v>44967</v>
      </c>
      <c r="B247" t="s">
        <v>42</v>
      </c>
      <c r="C247" t="s">
        <v>43</v>
      </c>
      <c r="D247" t="s">
        <v>44</v>
      </c>
      <c r="E247" t="s">
        <v>38</v>
      </c>
      <c r="F247">
        <v>953</v>
      </c>
      <c r="G247">
        <v>9.1199999999999992</v>
      </c>
      <c r="H247">
        <v>8691.36</v>
      </c>
      <c r="I247" t="s">
        <v>26</v>
      </c>
      <c r="J247" t="s">
        <v>56</v>
      </c>
      <c r="K247" t="s">
        <v>28</v>
      </c>
      <c r="L247">
        <v>7450.64</v>
      </c>
      <c r="M247">
        <v>14.3</v>
      </c>
      <c r="N247">
        <v>2023</v>
      </c>
      <c r="O247">
        <v>1</v>
      </c>
      <c r="P247" t="s">
        <v>60</v>
      </c>
      <c r="Q247">
        <v>1240.72</v>
      </c>
      <c r="R247" t="s">
        <v>29</v>
      </c>
      <c r="S247">
        <v>6.0050938164936492</v>
      </c>
      <c r="T247" t="s">
        <v>78</v>
      </c>
    </row>
    <row r="248" spans="1:20" x14ac:dyDescent="0.25">
      <c r="A248" s="11">
        <v>44930</v>
      </c>
      <c r="B248" t="s">
        <v>42</v>
      </c>
      <c r="C248" t="s">
        <v>43</v>
      </c>
      <c r="D248" t="s">
        <v>19</v>
      </c>
      <c r="E248" t="s">
        <v>20</v>
      </c>
      <c r="F248">
        <v>889</v>
      </c>
      <c r="G248">
        <v>9.48</v>
      </c>
      <c r="H248">
        <v>8427.7199999999993</v>
      </c>
      <c r="I248" t="s">
        <v>26</v>
      </c>
      <c r="J248" t="s">
        <v>40</v>
      </c>
      <c r="K248" t="s">
        <v>28</v>
      </c>
      <c r="L248">
        <v>7187.3</v>
      </c>
      <c r="M248">
        <v>14.7</v>
      </c>
      <c r="N248">
        <v>2023</v>
      </c>
      <c r="O248">
        <v>1</v>
      </c>
      <c r="P248" t="s">
        <v>24</v>
      </c>
      <c r="Q248">
        <v>1240.42</v>
      </c>
      <c r="R248" t="s">
        <v>29</v>
      </c>
      <c r="S248">
        <v>5.7942471098498896</v>
      </c>
      <c r="T248" t="s">
        <v>78</v>
      </c>
    </row>
    <row r="249" spans="1:20" x14ac:dyDescent="0.25">
      <c r="A249" s="11">
        <v>45037</v>
      </c>
      <c r="B249" t="s">
        <v>51</v>
      </c>
      <c r="C249" t="s">
        <v>52</v>
      </c>
      <c r="D249" t="s">
        <v>48</v>
      </c>
      <c r="E249" t="s">
        <v>38</v>
      </c>
      <c r="F249">
        <v>764</v>
      </c>
      <c r="G249">
        <v>5.97</v>
      </c>
      <c r="H249">
        <v>4561.08</v>
      </c>
      <c r="I249" t="s">
        <v>57</v>
      </c>
      <c r="J249" t="s">
        <v>47</v>
      </c>
      <c r="K249" t="s">
        <v>23</v>
      </c>
      <c r="L249">
        <v>3321.1</v>
      </c>
      <c r="M249">
        <v>27.2</v>
      </c>
      <c r="N249">
        <v>2023</v>
      </c>
      <c r="O249">
        <v>2</v>
      </c>
      <c r="P249" t="s">
        <v>63</v>
      </c>
      <c r="Q249">
        <v>1239.98</v>
      </c>
      <c r="R249" t="s">
        <v>25</v>
      </c>
      <c r="S249">
        <v>2.6783496508008193</v>
      </c>
      <c r="T249" t="s">
        <v>78</v>
      </c>
    </row>
    <row r="250" spans="1:20" x14ac:dyDescent="0.25">
      <c r="A250" s="11">
        <v>45011</v>
      </c>
      <c r="B250" t="s">
        <v>17</v>
      </c>
      <c r="C250" t="s">
        <v>18</v>
      </c>
      <c r="D250" t="s">
        <v>45</v>
      </c>
      <c r="E250" t="s">
        <v>20</v>
      </c>
      <c r="F250">
        <v>966</v>
      </c>
      <c r="G250">
        <v>4.8899999999999997</v>
      </c>
      <c r="H250">
        <v>4723.74</v>
      </c>
      <c r="I250" t="s">
        <v>39</v>
      </c>
      <c r="J250" t="s">
        <v>22</v>
      </c>
      <c r="K250" t="s">
        <v>41</v>
      </c>
      <c r="L250">
        <v>3488.24</v>
      </c>
      <c r="M250">
        <v>26.2</v>
      </c>
      <c r="N250">
        <v>2023</v>
      </c>
      <c r="O250">
        <v>1</v>
      </c>
      <c r="P250" t="s">
        <v>62</v>
      </c>
      <c r="Q250">
        <v>1235.5</v>
      </c>
      <c r="R250" t="s">
        <v>25</v>
      </c>
      <c r="S250">
        <v>2.8233427762039658</v>
      </c>
      <c r="T250" t="s">
        <v>78</v>
      </c>
    </row>
    <row r="251" spans="1:20" x14ac:dyDescent="0.25">
      <c r="A251" s="11">
        <v>44958</v>
      </c>
      <c r="B251" t="s">
        <v>30</v>
      </c>
      <c r="C251" t="s">
        <v>31</v>
      </c>
      <c r="D251" t="s">
        <v>48</v>
      </c>
      <c r="E251" t="s">
        <v>38</v>
      </c>
      <c r="F251">
        <v>978</v>
      </c>
      <c r="G251">
        <v>7.36</v>
      </c>
      <c r="H251">
        <v>7198.08</v>
      </c>
      <c r="I251" t="s">
        <v>21</v>
      </c>
      <c r="J251" t="s">
        <v>47</v>
      </c>
      <c r="K251" t="s">
        <v>41</v>
      </c>
      <c r="L251">
        <v>5962.74</v>
      </c>
      <c r="M251">
        <v>17.2</v>
      </c>
      <c r="N251">
        <v>2023</v>
      </c>
      <c r="O251">
        <v>1</v>
      </c>
      <c r="P251" t="s">
        <v>60</v>
      </c>
      <c r="Q251">
        <v>1235.3399999999999</v>
      </c>
      <c r="R251" t="s">
        <v>29</v>
      </c>
      <c r="S251">
        <v>4.8268007188304436</v>
      </c>
      <c r="T251" t="s">
        <v>78</v>
      </c>
    </row>
    <row r="252" spans="1:20" x14ac:dyDescent="0.25">
      <c r="A252" s="11">
        <v>45101</v>
      </c>
      <c r="B252" t="s">
        <v>58</v>
      </c>
      <c r="C252" t="s">
        <v>59</v>
      </c>
      <c r="D252" t="s">
        <v>45</v>
      </c>
      <c r="E252" t="s">
        <v>20</v>
      </c>
      <c r="F252">
        <v>555</v>
      </c>
      <c r="G252">
        <v>8.24</v>
      </c>
      <c r="H252">
        <v>4573.2</v>
      </c>
      <c r="I252" t="s">
        <v>55</v>
      </c>
      <c r="J252" t="s">
        <v>27</v>
      </c>
      <c r="K252" t="s">
        <v>28</v>
      </c>
      <c r="L252">
        <v>3341.63</v>
      </c>
      <c r="M252">
        <v>26.9</v>
      </c>
      <c r="N252">
        <v>2024</v>
      </c>
      <c r="O252">
        <v>2</v>
      </c>
      <c r="P252" t="s">
        <v>24</v>
      </c>
      <c r="Q252">
        <v>1231.57</v>
      </c>
      <c r="R252" t="s">
        <v>25</v>
      </c>
      <c r="S252">
        <v>2.713309028313454</v>
      </c>
      <c r="T252" t="s">
        <v>78</v>
      </c>
    </row>
    <row r="253" spans="1:20" x14ac:dyDescent="0.25">
      <c r="A253" s="11">
        <v>45120</v>
      </c>
      <c r="B253" t="s">
        <v>58</v>
      </c>
      <c r="C253" t="s">
        <v>59</v>
      </c>
      <c r="D253" t="s">
        <v>48</v>
      </c>
      <c r="E253" t="s">
        <v>38</v>
      </c>
      <c r="F253">
        <v>798</v>
      </c>
      <c r="G253">
        <v>11.52</v>
      </c>
      <c r="H253">
        <v>9192.9599999999991</v>
      </c>
      <c r="I253" t="s">
        <v>54</v>
      </c>
      <c r="J253" t="s">
        <v>47</v>
      </c>
      <c r="K253" t="s">
        <v>41</v>
      </c>
      <c r="L253">
        <v>7961.73</v>
      </c>
      <c r="M253">
        <v>13.4</v>
      </c>
      <c r="N253">
        <v>2024</v>
      </c>
      <c r="O253">
        <v>3</v>
      </c>
      <c r="P253" t="s">
        <v>66</v>
      </c>
      <c r="Q253">
        <v>1231.23</v>
      </c>
      <c r="R253" t="s">
        <v>29</v>
      </c>
      <c r="S253">
        <v>6.466484734777417</v>
      </c>
      <c r="T253" t="s">
        <v>78</v>
      </c>
    </row>
    <row r="254" spans="1:20" x14ac:dyDescent="0.25">
      <c r="A254" s="11">
        <v>44939</v>
      </c>
      <c r="B254" t="s">
        <v>17</v>
      </c>
      <c r="C254" t="s">
        <v>18</v>
      </c>
      <c r="D254" t="s">
        <v>48</v>
      </c>
      <c r="E254" t="s">
        <v>38</v>
      </c>
      <c r="F254">
        <v>356</v>
      </c>
      <c r="G254">
        <v>9.19</v>
      </c>
      <c r="H254">
        <v>3271.64</v>
      </c>
      <c r="I254" t="s">
        <v>54</v>
      </c>
      <c r="J254" t="s">
        <v>34</v>
      </c>
      <c r="K254" t="s">
        <v>23</v>
      </c>
      <c r="L254">
        <v>2041.26</v>
      </c>
      <c r="M254">
        <v>37.6</v>
      </c>
      <c r="N254">
        <v>2023</v>
      </c>
      <c r="O254">
        <v>1</v>
      </c>
      <c r="P254" t="s">
        <v>24</v>
      </c>
      <c r="Q254">
        <v>1230.3800000000001</v>
      </c>
      <c r="R254" t="s">
        <v>25</v>
      </c>
      <c r="S254">
        <v>1.6590484240641101</v>
      </c>
      <c r="T254" t="s">
        <v>78</v>
      </c>
    </row>
    <row r="255" spans="1:20" x14ac:dyDescent="0.25">
      <c r="A255" s="11">
        <v>44972</v>
      </c>
      <c r="B255" t="s">
        <v>17</v>
      </c>
      <c r="C255" t="s">
        <v>18</v>
      </c>
      <c r="D255" t="s">
        <v>19</v>
      </c>
      <c r="E255" t="s">
        <v>20</v>
      </c>
      <c r="F255">
        <v>717</v>
      </c>
      <c r="G255">
        <v>11.01</v>
      </c>
      <c r="H255">
        <v>7894.17</v>
      </c>
      <c r="I255" t="s">
        <v>33</v>
      </c>
      <c r="J255" t="s">
        <v>22</v>
      </c>
      <c r="K255" t="s">
        <v>23</v>
      </c>
      <c r="L255">
        <v>6666.53</v>
      </c>
      <c r="M255">
        <v>15.6</v>
      </c>
      <c r="N255">
        <v>2023</v>
      </c>
      <c r="O255">
        <v>1</v>
      </c>
      <c r="P255" t="s">
        <v>60</v>
      </c>
      <c r="Q255">
        <v>1227.6400000000001</v>
      </c>
      <c r="R255" t="s">
        <v>29</v>
      </c>
      <c r="S255">
        <v>5.4303623212016543</v>
      </c>
      <c r="T255" t="s">
        <v>78</v>
      </c>
    </row>
    <row r="256" spans="1:20" x14ac:dyDescent="0.25">
      <c r="A256" s="11">
        <v>44955</v>
      </c>
      <c r="B256" t="s">
        <v>17</v>
      </c>
      <c r="C256" t="s">
        <v>18</v>
      </c>
      <c r="D256" t="s">
        <v>44</v>
      </c>
      <c r="E256" t="s">
        <v>38</v>
      </c>
      <c r="F256">
        <v>392</v>
      </c>
      <c r="G256">
        <v>8.27</v>
      </c>
      <c r="H256">
        <v>3241.84</v>
      </c>
      <c r="I256" t="s">
        <v>54</v>
      </c>
      <c r="J256" t="s">
        <v>40</v>
      </c>
      <c r="K256" t="s">
        <v>41</v>
      </c>
      <c r="L256">
        <v>2014.4</v>
      </c>
      <c r="M256">
        <v>37.9</v>
      </c>
      <c r="N256">
        <v>2023</v>
      </c>
      <c r="O256">
        <v>1</v>
      </c>
      <c r="P256" t="s">
        <v>60</v>
      </c>
      <c r="Q256">
        <v>1227.44</v>
      </c>
      <c r="R256" t="s">
        <v>25</v>
      </c>
      <c r="S256">
        <v>1.6411392817571531</v>
      </c>
      <c r="T256" t="s">
        <v>78</v>
      </c>
    </row>
    <row r="257" spans="1:20" x14ac:dyDescent="0.25">
      <c r="A257" s="11">
        <v>45113</v>
      </c>
      <c r="B257" t="s">
        <v>42</v>
      </c>
      <c r="C257" t="s">
        <v>43</v>
      </c>
      <c r="D257" t="s">
        <v>48</v>
      </c>
      <c r="E257" t="s">
        <v>38</v>
      </c>
      <c r="F257">
        <v>605</v>
      </c>
      <c r="G257">
        <v>5.73</v>
      </c>
      <c r="H257">
        <v>3466.65</v>
      </c>
      <c r="I257" t="s">
        <v>39</v>
      </c>
      <c r="J257" t="s">
        <v>27</v>
      </c>
      <c r="K257" t="s">
        <v>23</v>
      </c>
      <c r="L257">
        <v>2241.2199999999998</v>
      </c>
      <c r="M257">
        <v>35.299999999999997</v>
      </c>
      <c r="N257">
        <v>2024</v>
      </c>
      <c r="O257">
        <v>3</v>
      </c>
      <c r="P257" t="s">
        <v>62</v>
      </c>
      <c r="Q257">
        <v>1225.43</v>
      </c>
      <c r="R257" t="s">
        <v>25</v>
      </c>
      <c r="S257">
        <v>1.8289253568135264</v>
      </c>
      <c r="T257" t="s">
        <v>78</v>
      </c>
    </row>
    <row r="258" spans="1:20" x14ac:dyDescent="0.25">
      <c r="A258" s="11">
        <v>45065</v>
      </c>
      <c r="B258" t="s">
        <v>35</v>
      </c>
      <c r="C258" t="s">
        <v>36</v>
      </c>
      <c r="D258" t="s">
        <v>48</v>
      </c>
      <c r="E258" t="s">
        <v>38</v>
      </c>
      <c r="F258">
        <v>599</v>
      </c>
      <c r="G258">
        <v>10.89</v>
      </c>
      <c r="H258">
        <v>6523.11</v>
      </c>
      <c r="I258" t="s">
        <v>21</v>
      </c>
      <c r="J258" t="s">
        <v>40</v>
      </c>
      <c r="K258" t="s">
        <v>41</v>
      </c>
      <c r="L258">
        <v>5299.67</v>
      </c>
      <c r="M258">
        <v>18.8</v>
      </c>
      <c r="N258">
        <v>2023</v>
      </c>
      <c r="O258">
        <v>2</v>
      </c>
      <c r="P258" t="s">
        <v>65</v>
      </c>
      <c r="Q258">
        <v>1223.44</v>
      </c>
      <c r="R258" t="s">
        <v>29</v>
      </c>
      <c r="S258">
        <v>4.3317776106715487</v>
      </c>
      <c r="T258" t="s">
        <v>78</v>
      </c>
    </row>
    <row r="259" spans="1:20" x14ac:dyDescent="0.25">
      <c r="A259" s="11">
        <v>45074</v>
      </c>
      <c r="B259" t="s">
        <v>17</v>
      </c>
      <c r="C259" t="s">
        <v>18</v>
      </c>
      <c r="D259" t="s">
        <v>19</v>
      </c>
      <c r="E259" t="s">
        <v>20</v>
      </c>
      <c r="F259">
        <v>996</v>
      </c>
      <c r="G259">
        <v>5.1100000000000003</v>
      </c>
      <c r="H259">
        <v>5089.5600000000004</v>
      </c>
      <c r="I259" t="s">
        <v>39</v>
      </c>
      <c r="J259" t="s">
        <v>56</v>
      </c>
      <c r="K259" t="s">
        <v>28</v>
      </c>
      <c r="L259">
        <v>3867.19</v>
      </c>
      <c r="M259">
        <v>24</v>
      </c>
      <c r="N259">
        <v>2023</v>
      </c>
      <c r="O259">
        <v>2</v>
      </c>
      <c r="P259" t="s">
        <v>67</v>
      </c>
      <c r="Q259">
        <v>1222.3699999999999</v>
      </c>
      <c r="R259" t="s">
        <v>29</v>
      </c>
      <c r="S259">
        <v>3.1636820275366708</v>
      </c>
      <c r="T259" t="s">
        <v>78</v>
      </c>
    </row>
    <row r="260" spans="1:20" x14ac:dyDescent="0.25">
      <c r="A260" s="11">
        <v>45127</v>
      </c>
      <c r="B260" t="s">
        <v>42</v>
      </c>
      <c r="C260" t="s">
        <v>43</v>
      </c>
      <c r="D260" t="s">
        <v>37</v>
      </c>
      <c r="E260" t="s">
        <v>38</v>
      </c>
      <c r="F260">
        <v>587</v>
      </c>
      <c r="G260">
        <v>5.47</v>
      </c>
      <c r="H260">
        <v>3210.89</v>
      </c>
      <c r="I260" t="s">
        <v>57</v>
      </c>
      <c r="J260" t="s">
        <v>34</v>
      </c>
      <c r="K260" t="s">
        <v>28</v>
      </c>
      <c r="L260">
        <v>1988.81</v>
      </c>
      <c r="M260">
        <v>38.1</v>
      </c>
      <c r="N260">
        <v>2024</v>
      </c>
      <c r="O260">
        <v>3</v>
      </c>
      <c r="P260" t="s">
        <v>70</v>
      </c>
      <c r="Q260">
        <v>1222.08</v>
      </c>
      <c r="R260" t="s">
        <v>25</v>
      </c>
      <c r="S260">
        <v>1.6273975517151087</v>
      </c>
      <c r="T260" t="s">
        <v>78</v>
      </c>
    </row>
    <row r="261" spans="1:20" x14ac:dyDescent="0.25">
      <c r="A261" s="11">
        <v>45117</v>
      </c>
      <c r="B261" t="s">
        <v>51</v>
      </c>
      <c r="C261" t="s">
        <v>52</v>
      </c>
      <c r="D261" t="s">
        <v>45</v>
      </c>
      <c r="E261" t="s">
        <v>20</v>
      </c>
      <c r="F261">
        <v>454</v>
      </c>
      <c r="G261">
        <v>8.82</v>
      </c>
      <c r="H261">
        <v>4004.28</v>
      </c>
      <c r="I261" t="s">
        <v>57</v>
      </c>
      <c r="J261" t="s">
        <v>56</v>
      </c>
      <c r="K261" t="s">
        <v>41</v>
      </c>
      <c r="L261">
        <v>2783.02</v>
      </c>
      <c r="M261">
        <v>30.5</v>
      </c>
      <c r="N261">
        <v>2024</v>
      </c>
      <c r="O261">
        <v>3</v>
      </c>
      <c r="P261" t="s">
        <v>63</v>
      </c>
      <c r="Q261">
        <v>1221.26</v>
      </c>
      <c r="R261" t="s">
        <v>25</v>
      </c>
      <c r="S261">
        <v>2.2788104089219332</v>
      </c>
      <c r="T261" t="s">
        <v>78</v>
      </c>
    </row>
    <row r="262" spans="1:20" x14ac:dyDescent="0.25">
      <c r="A262" s="11">
        <v>44938</v>
      </c>
      <c r="B262" t="s">
        <v>17</v>
      </c>
      <c r="C262" t="s">
        <v>18</v>
      </c>
      <c r="D262" t="s">
        <v>45</v>
      </c>
      <c r="E262" t="s">
        <v>20</v>
      </c>
      <c r="F262">
        <v>899</v>
      </c>
      <c r="G262">
        <v>10.92</v>
      </c>
      <c r="H262">
        <v>9817.08</v>
      </c>
      <c r="I262" t="s">
        <v>33</v>
      </c>
      <c r="J262" t="s">
        <v>34</v>
      </c>
      <c r="K262" t="s">
        <v>23</v>
      </c>
      <c r="L262">
        <v>8601.48</v>
      </c>
      <c r="M262">
        <v>12.4</v>
      </c>
      <c r="N262">
        <v>2023</v>
      </c>
      <c r="O262">
        <v>1</v>
      </c>
      <c r="P262" t="s">
        <v>24</v>
      </c>
      <c r="Q262">
        <v>1215.5999999999999</v>
      </c>
      <c r="R262" t="s">
        <v>29</v>
      </c>
      <c r="S262">
        <v>7.0759131293188551</v>
      </c>
      <c r="T262" t="s">
        <v>78</v>
      </c>
    </row>
    <row r="263" spans="1:20" x14ac:dyDescent="0.25">
      <c r="A263" s="11">
        <v>44967</v>
      </c>
      <c r="B263" t="s">
        <v>58</v>
      </c>
      <c r="C263" t="s">
        <v>59</v>
      </c>
      <c r="D263" t="s">
        <v>32</v>
      </c>
      <c r="E263" t="s">
        <v>20</v>
      </c>
      <c r="F263">
        <v>870</v>
      </c>
      <c r="G263">
        <v>8.48</v>
      </c>
      <c r="H263">
        <v>7377.6</v>
      </c>
      <c r="I263" t="s">
        <v>57</v>
      </c>
      <c r="J263" t="s">
        <v>27</v>
      </c>
      <c r="K263" t="s">
        <v>28</v>
      </c>
      <c r="L263">
        <v>6166.59</v>
      </c>
      <c r="M263">
        <v>16.399999999999999</v>
      </c>
      <c r="N263">
        <v>2023</v>
      </c>
      <c r="O263">
        <v>1</v>
      </c>
      <c r="P263" t="s">
        <v>60</v>
      </c>
      <c r="Q263">
        <v>1211.01</v>
      </c>
      <c r="R263" t="s">
        <v>29</v>
      </c>
      <c r="S263">
        <v>5.0921049372011797</v>
      </c>
      <c r="T263" t="s">
        <v>78</v>
      </c>
    </row>
    <row r="264" spans="1:20" x14ac:dyDescent="0.25">
      <c r="A264" s="11">
        <v>44953</v>
      </c>
      <c r="B264" t="s">
        <v>58</v>
      </c>
      <c r="C264" t="s">
        <v>59</v>
      </c>
      <c r="D264" t="s">
        <v>45</v>
      </c>
      <c r="E264" t="s">
        <v>20</v>
      </c>
      <c r="F264">
        <v>865</v>
      </c>
      <c r="G264">
        <v>8.15</v>
      </c>
      <c r="H264">
        <v>7049.75</v>
      </c>
      <c r="I264" t="s">
        <v>46</v>
      </c>
      <c r="J264" t="s">
        <v>22</v>
      </c>
      <c r="K264" t="s">
        <v>23</v>
      </c>
      <c r="L264">
        <v>5840.69</v>
      </c>
      <c r="M264">
        <v>17.2</v>
      </c>
      <c r="N264">
        <v>2023</v>
      </c>
      <c r="O264">
        <v>1</v>
      </c>
      <c r="P264" t="s">
        <v>24</v>
      </c>
      <c r="Q264">
        <v>1209.06</v>
      </c>
      <c r="R264" t="s">
        <v>29</v>
      </c>
      <c r="S264">
        <v>4.8307693580136633</v>
      </c>
      <c r="T264" t="s">
        <v>78</v>
      </c>
    </row>
    <row r="265" spans="1:20" x14ac:dyDescent="0.25">
      <c r="A265" s="11">
        <v>45064</v>
      </c>
      <c r="B265" t="s">
        <v>42</v>
      </c>
      <c r="C265" t="s">
        <v>43</v>
      </c>
      <c r="D265" t="s">
        <v>49</v>
      </c>
      <c r="E265" t="s">
        <v>50</v>
      </c>
      <c r="F265">
        <v>908</v>
      </c>
      <c r="G265">
        <v>5.23</v>
      </c>
      <c r="H265">
        <v>4748.84</v>
      </c>
      <c r="I265" t="s">
        <v>54</v>
      </c>
      <c r="J265" t="s">
        <v>56</v>
      </c>
      <c r="K265" t="s">
        <v>23</v>
      </c>
      <c r="L265">
        <v>3541.77</v>
      </c>
      <c r="M265">
        <v>25.4</v>
      </c>
      <c r="N265">
        <v>2023</v>
      </c>
      <c r="O265">
        <v>2</v>
      </c>
      <c r="P265" t="s">
        <v>65</v>
      </c>
      <c r="Q265">
        <v>1207.07</v>
      </c>
      <c r="R265" t="s">
        <v>25</v>
      </c>
      <c r="S265">
        <v>2.9341877438756661</v>
      </c>
      <c r="T265" t="s">
        <v>78</v>
      </c>
    </row>
    <row r="266" spans="1:20" x14ac:dyDescent="0.25">
      <c r="A266" s="11">
        <v>45001</v>
      </c>
      <c r="B266" t="s">
        <v>58</v>
      </c>
      <c r="C266" t="s">
        <v>59</v>
      </c>
      <c r="D266" t="s">
        <v>44</v>
      </c>
      <c r="E266" t="s">
        <v>38</v>
      </c>
      <c r="F266">
        <v>735</v>
      </c>
      <c r="G266">
        <v>11.74</v>
      </c>
      <c r="H266">
        <v>8628.9</v>
      </c>
      <c r="I266" t="s">
        <v>26</v>
      </c>
      <c r="J266" t="s">
        <v>56</v>
      </c>
      <c r="K266" t="s">
        <v>28</v>
      </c>
      <c r="L266">
        <v>7423.64</v>
      </c>
      <c r="M266">
        <v>14</v>
      </c>
      <c r="N266">
        <v>2023</v>
      </c>
      <c r="O266">
        <v>1</v>
      </c>
      <c r="P266" t="s">
        <v>61</v>
      </c>
      <c r="Q266">
        <v>1205.26</v>
      </c>
      <c r="R266" t="s">
        <v>29</v>
      </c>
      <c r="S266">
        <v>6.1593681031478686</v>
      </c>
      <c r="T266" t="s">
        <v>78</v>
      </c>
    </row>
    <row r="267" spans="1:20" x14ac:dyDescent="0.25">
      <c r="A267" s="11">
        <v>44977</v>
      </c>
      <c r="B267" t="s">
        <v>17</v>
      </c>
      <c r="C267" t="s">
        <v>18</v>
      </c>
      <c r="D267" t="s">
        <v>32</v>
      </c>
      <c r="E267" t="s">
        <v>20</v>
      </c>
      <c r="F267">
        <v>404</v>
      </c>
      <c r="G267">
        <v>9.32</v>
      </c>
      <c r="H267">
        <v>3765.28</v>
      </c>
      <c r="I267" t="s">
        <v>46</v>
      </c>
      <c r="J267" t="s">
        <v>34</v>
      </c>
      <c r="K267" t="s">
        <v>23</v>
      </c>
      <c r="L267">
        <v>2562.14</v>
      </c>
      <c r="M267">
        <v>32</v>
      </c>
      <c r="N267">
        <v>2023</v>
      </c>
      <c r="O267">
        <v>1</v>
      </c>
      <c r="P267" t="s">
        <v>60</v>
      </c>
      <c r="Q267">
        <v>1203.1400000000001</v>
      </c>
      <c r="R267" t="s">
        <v>25</v>
      </c>
      <c r="S267">
        <v>2.1295443589274727</v>
      </c>
      <c r="T267" t="s">
        <v>78</v>
      </c>
    </row>
    <row r="268" spans="1:20" x14ac:dyDescent="0.25">
      <c r="A268" s="11">
        <v>45105</v>
      </c>
      <c r="B268" t="s">
        <v>42</v>
      </c>
      <c r="C268" t="s">
        <v>43</v>
      </c>
      <c r="D268" t="s">
        <v>53</v>
      </c>
      <c r="E268" t="s">
        <v>50</v>
      </c>
      <c r="F268">
        <v>547</v>
      </c>
      <c r="G268">
        <v>5.75</v>
      </c>
      <c r="H268">
        <v>3145.25</v>
      </c>
      <c r="I268" t="s">
        <v>26</v>
      </c>
      <c r="J268" t="s">
        <v>56</v>
      </c>
      <c r="K268" t="s">
        <v>23</v>
      </c>
      <c r="L268">
        <v>1945.52</v>
      </c>
      <c r="M268">
        <v>38.1</v>
      </c>
      <c r="N268">
        <v>2024</v>
      </c>
      <c r="O268">
        <v>2</v>
      </c>
      <c r="P268" t="s">
        <v>60</v>
      </c>
      <c r="Q268">
        <v>1199.73</v>
      </c>
      <c r="R268" t="s">
        <v>25</v>
      </c>
      <c r="S268">
        <v>1.6216315337617631</v>
      </c>
      <c r="T268" t="s">
        <v>78</v>
      </c>
    </row>
    <row r="269" spans="1:20" x14ac:dyDescent="0.25">
      <c r="A269" s="11">
        <v>44942</v>
      </c>
      <c r="B269" t="s">
        <v>42</v>
      </c>
      <c r="C269" t="s">
        <v>43</v>
      </c>
      <c r="D269" t="s">
        <v>49</v>
      </c>
      <c r="E269" t="s">
        <v>50</v>
      </c>
      <c r="F269">
        <v>518</v>
      </c>
      <c r="G269">
        <v>11.45</v>
      </c>
      <c r="H269">
        <v>5931.1</v>
      </c>
      <c r="I269" t="s">
        <v>39</v>
      </c>
      <c r="J269" t="s">
        <v>47</v>
      </c>
      <c r="K269" t="s">
        <v>41</v>
      </c>
      <c r="L269">
        <v>4732.0200000000004</v>
      </c>
      <c r="M269">
        <v>20.2</v>
      </c>
      <c r="N269">
        <v>2023</v>
      </c>
      <c r="O269">
        <v>1</v>
      </c>
      <c r="P269" t="s">
        <v>24</v>
      </c>
      <c r="Q269">
        <v>1199.08</v>
      </c>
      <c r="R269" t="s">
        <v>29</v>
      </c>
      <c r="S269">
        <v>3.9463755545918544</v>
      </c>
      <c r="T269" t="s">
        <v>78</v>
      </c>
    </row>
    <row r="270" spans="1:20" x14ac:dyDescent="0.25">
      <c r="A270" s="11">
        <v>45016</v>
      </c>
      <c r="B270" t="s">
        <v>35</v>
      </c>
      <c r="C270" t="s">
        <v>36</v>
      </c>
      <c r="D270" t="s">
        <v>53</v>
      </c>
      <c r="E270" t="s">
        <v>50</v>
      </c>
      <c r="F270">
        <v>502</v>
      </c>
      <c r="G270">
        <v>7.07</v>
      </c>
      <c r="H270">
        <v>3549.14</v>
      </c>
      <c r="I270" t="s">
        <v>54</v>
      </c>
      <c r="J270" t="s">
        <v>56</v>
      </c>
      <c r="K270" t="s">
        <v>23</v>
      </c>
      <c r="L270">
        <v>2351.58</v>
      </c>
      <c r="M270">
        <v>33.700000000000003</v>
      </c>
      <c r="N270">
        <v>2023</v>
      </c>
      <c r="O270">
        <v>1</v>
      </c>
      <c r="P270" t="s">
        <v>62</v>
      </c>
      <c r="Q270">
        <v>1197.56</v>
      </c>
      <c r="R270" t="s">
        <v>25</v>
      </c>
      <c r="S270">
        <v>1.9636427402384848</v>
      </c>
      <c r="T270" t="s">
        <v>78</v>
      </c>
    </row>
    <row r="271" spans="1:20" x14ac:dyDescent="0.25">
      <c r="A271" s="11">
        <v>45107</v>
      </c>
      <c r="B271" t="s">
        <v>42</v>
      </c>
      <c r="C271" t="s">
        <v>43</v>
      </c>
      <c r="D271" t="s">
        <v>53</v>
      </c>
      <c r="E271" t="s">
        <v>50</v>
      </c>
      <c r="F271">
        <v>978</v>
      </c>
      <c r="G271">
        <v>4.25</v>
      </c>
      <c r="H271">
        <v>4156.5</v>
      </c>
      <c r="I271" t="s">
        <v>57</v>
      </c>
      <c r="J271" t="s">
        <v>22</v>
      </c>
      <c r="K271" t="s">
        <v>23</v>
      </c>
      <c r="L271">
        <v>2960.34</v>
      </c>
      <c r="M271">
        <v>28.8</v>
      </c>
      <c r="N271">
        <v>2024</v>
      </c>
      <c r="O271">
        <v>2</v>
      </c>
      <c r="P271" t="s">
        <v>60</v>
      </c>
      <c r="Q271">
        <v>1196.1600000000001</v>
      </c>
      <c r="R271" t="s">
        <v>25</v>
      </c>
      <c r="S271">
        <v>2.4748695826645264</v>
      </c>
      <c r="T271" t="s">
        <v>78</v>
      </c>
    </row>
    <row r="272" spans="1:20" x14ac:dyDescent="0.25">
      <c r="A272" s="11">
        <v>45055</v>
      </c>
      <c r="B272" t="s">
        <v>51</v>
      </c>
      <c r="C272" t="s">
        <v>52</v>
      </c>
      <c r="D272" t="s">
        <v>49</v>
      </c>
      <c r="E272" t="s">
        <v>50</v>
      </c>
      <c r="F272">
        <v>858</v>
      </c>
      <c r="G272">
        <v>7.13</v>
      </c>
      <c r="H272">
        <v>6117.54</v>
      </c>
      <c r="I272" t="s">
        <v>54</v>
      </c>
      <c r="J272" t="s">
        <v>47</v>
      </c>
      <c r="K272" t="s">
        <v>28</v>
      </c>
      <c r="L272">
        <v>4922.62</v>
      </c>
      <c r="M272">
        <v>19.5</v>
      </c>
      <c r="N272">
        <v>2023</v>
      </c>
      <c r="O272">
        <v>2</v>
      </c>
      <c r="P272" t="s">
        <v>65</v>
      </c>
      <c r="Q272">
        <v>1194.92</v>
      </c>
      <c r="R272" t="s">
        <v>29</v>
      </c>
      <c r="S272">
        <v>4.1196230710005688</v>
      </c>
      <c r="T272" t="s">
        <v>78</v>
      </c>
    </row>
    <row r="273" spans="1:20" x14ac:dyDescent="0.25">
      <c r="A273" s="11">
        <v>44961</v>
      </c>
      <c r="B273" t="s">
        <v>35</v>
      </c>
      <c r="C273" t="s">
        <v>36</v>
      </c>
      <c r="D273" t="s">
        <v>45</v>
      </c>
      <c r="E273" t="s">
        <v>20</v>
      </c>
      <c r="F273">
        <v>451</v>
      </c>
      <c r="G273">
        <v>7.5</v>
      </c>
      <c r="H273">
        <v>3382.5</v>
      </c>
      <c r="I273" t="s">
        <v>46</v>
      </c>
      <c r="J273" t="s">
        <v>34</v>
      </c>
      <c r="K273" t="s">
        <v>28</v>
      </c>
      <c r="L273">
        <v>2189.08</v>
      </c>
      <c r="M273">
        <v>35.299999999999997</v>
      </c>
      <c r="N273">
        <v>2023</v>
      </c>
      <c r="O273">
        <v>1</v>
      </c>
      <c r="P273" t="s">
        <v>60</v>
      </c>
      <c r="Q273">
        <v>1193.42</v>
      </c>
      <c r="R273" t="s">
        <v>25</v>
      </c>
      <c r="S273">
        <v>1.8342913643143233</v>
      </c>
      <c r="T273" t="s">
        <v>78</v>
      </c>
    </row>
    <row r="274" spans="1:20" x14ac:dyDescent="0.25">
      <c r="A274" s="11">
        <v>45042</v>
      </c>
      <c r="B274" t="s">
        <v>42</v>
      </c>
      <c r="C274" t="s">
        <v>43</v>
      </c>
      <c r="D274" t="s">
        <v>32</v>
      </c>
      <c r="E274" t="s">
        <v>20</v>
      </c>
      <c r="F274">
        <v>767</v>
      </c>
      <c r="G274">
        <v>10.59</v>
      </c>
      <c r="H274">
        <v>8122.53</v>
      </c>
      <c r="I274" t="s">
        <v>54</v>
      </c>
      <c r="J274" t="s">
        <v>47</v>
      </c>
      <c r="K274" t="s">
        <v>28</v>
      </c>
      <c r="L274">
        <v>6934.04</v>
      </c>
      <c r="M274">
        <v>14.6</v>
      </c>
      <c r="N274">
        <v>2023</v>
      </c>
      <c r="O274">
        <v>2</v>
      </c>
      <c r="P274" t="s">
        <v>64</v>
      </c>
      <c r="Q274">
        <v>1188.49</v>
      </c>
      <c r="R274" t="s">
        <v>29</v>
      </c>
      <c r="S274">
        <v>5.8343275921547511</v>
      </c>
      <c r="T274" t="s">
        <v>78</v>
      </c>
    </row>
    <row r="275" spans="1:20" x14ac:dyDescent="0.25">
      <c r="A275" s="11">
        <v>44995</v>
      </c>
      <c r="B275" t="s">
        <v>30</v>
      </c>
      <c r="C275" t="s">
        <v>31</v>
      </c>
      <c r="D275" t="s">
        <v>44</v>
      </c>
      <c r="E275" t="s">
        <v>38</v>
      </c>
      <c r="F275">
        <v>707</v>
      </c>
      <c r="G275">
        <v>6.86</v>
      </c>
      <c r="H275">
        <v>4850.0200000000004</v>
      </c>
      <c r="I275" t="s">
        <v>21</v>
      </c>
      <c r="J275" t="s">
        <v>27</v>
      </c>
      <c r="K275" t="s">
        <v>41</v>
      </c>
      <c r="L275">
        <v>3665.32</v>
      </c>
      <c r="M275">
        <v>24.4</v>
      </c>
      <c r="N275">
        <v>2023</v>
      </c>
      <c r="O275">
        <v>1</v>
      </c>
      <c r="P275" t="s">
        <v>61</v>
      </c>
      <c r="Q275">
        <v>1184.7</v>
      </c>
      <c r="R275" t="s">
        <v>29</v>
      </c>
      <c r="S275">
        <v>3.0938803072507808</v>
      </c>
      <c r="T275" t="s">
        <v>78</v>
      </c>
    </row>
    <row r="276" spans="1:20" x14ac:dyDescent="0.25">
      <c r="A276" s="11">
        <v>45054</v>
      </c>
      <c r="B276" t="s">
        <v>30</v>
      </c>
      <c r="C276" t="s">
        <v>31</v>
      </c>
      <c r="D276" t="s">
        <v>44</v>
      </c>
      <c r="E276" t="s">
        <v>38</v>
      </c>
      <c r="F276">
        <v>884</v>
      </c>
      <c r="G276">
        <v>3.73</v>
      </c>
      <c r="H276">
        <v>3297.32</v>
      </c>
      <c r="I276" t="s">
        <v>57</v>
      </c>
      <c r="J276" t="s">
        <v>47</v>
      </c>
      <c r="K276" t="s">
        <v>41</v>
      </c>
      <c r="L276">
        <v>2118.37</v>
      </c>
      <c r="M276">
        <v>35.799999999999997</v>
      </c>
      <c r="N276">
        <v>2023</v>
      </c>
      <c r="O276">
        <v>2</v>
      </c>
      <c r="P276" t="s">
        <v>65</v>
      </c>
      <c r="Q276">
        <v>1178.95</v>
      </c>
      <c r="R276" t="s">
        <v>25</v>
      </c>
      <c r="S276">
        <v>1.7968276856524872</v>
      </c>
      <c r="T276" t="s">
        <v>78</v>
      </c>
    </row>
    <row r="277" spans="1:20" x14ac:dyDescent="0.25">
      <c r="A277" s="11">
        <v>45099</v>
      </c>
      <c r="B277" t="s">
        <v>30</v>
      </c>
      <c r="C277" t="s">
        <v>31</v>
      </c>
      <c r="D277" t="s">
        <v>19</v>
      </c>
      <c r="E277" t="s">
        <v>20</v>
      </c>
      <c r="F277">
        <v>882</v>
      </c>
      <c r="G277">
        <v>8.84</v>
      </c>
      <c r="H277">
        <v>7796.88</v>
      </c>
      <c r="I277" t="s">
        <v>57</v>
      </c>
      <c r="J277" t="s">
        <v>40</v>
      </c>
      <c r="K277" t="s">
        <v>23</v>
      </c>
      <c r="L277">
        <v>6628.89</v>
      </c>
      <c r="M277">
        <v>15</v>
      </c>
      <c r="N277">
        <v>2024</v>
      </c>
      <c r="O277">
        <v>2</v>
      </c>
      <c r="P277" t="s">
        <v>24</v>
      </c>
      <c r="Q277">
        <v>1167.99</v>
      </c>
      <c r="R277" t="s">
        <v>29</v>
      </c>
      <c r="S277">
        <v>5.6754681118845198</v>
      </c>
      <c r="T277" t="s">
        <v>78</v>
      </c>
    </row>
    <row r="278" spans="1:20" x14ac:dyDescent="0.25">
      <c r="A278" s="11">
        <v>45121</v>
      </c>
      <c r="B278" t="s">
        <v>51</v>
      </c>
      <c r="C278" t="s">
        <v>52</v>
      </c>
      <c r="D278" t="s">
        <v>44</v>
      </c>
      <c r="E278" t="s">
        <v>38</v>
      </c>
      <c r="F278">
        <v>642</v>
      </c>
      <c r="G278">
        <v>8.1999999999999993</v>
      </c>
      <c r="H278">
        <v>5264.4</v>
      </c>
      <c r="I278" t="s">
        <v>21</v>
      </c>
      <c r="J278" t="s">
        <v>56</v>
      </c>
      <c r="K278" t="s">
        <v>28</v>
      </c>
      <c r="L278">
        <v>4101.49</v>
      </c>
      <c r="M278">
        <v>22.1</v>
      </c>
      <c r="N278">
        <v>2024</v>
      </c>
      <c r="O278">
        <v>3</v>
      </c>
      <c r="P278" t="s">
        <v>66</v>
      </c>
      <c r="Q278">
        <v>1162.9100000000001</v>
      </c>
      <c r="R278" t="s">
        <v>29</v>
      </c>
      <c r="S278">
        <v>3.5269195380553953</v>
      </c>
      <c r="T278" t="s">
        <v>78</v>
      </c>
    </row>
    <row r="279" spans="1:20" x14ac:dyDescent="0.25">
      <c r="A279" s="11">
        <v>45009</v>
      </c>
      <c r="B279" t="s">
        <v>58</v>
      </c>
      <c r="C279" t="s">
        <v>59</v>
      </c>
      <c r="D279" t="s">
        <v>48</v>
      </c>
      <c r="E279" t="s">
        <v>38</v>
      </c>
      <c r="F279">
        <v>418</v>
      </c>
      <c r="G279">
        <v>9.83</v>
      </c>
      <c r="H279">
        <v>4108.9399999999996</v>
      </c>
      <c r="I279" t="s">
        <v>39</v>
      </c>
      <c r="J279" t="s">
        <v>47</v>
      </c>
      <c r="K279" t="s">
        <v>23</v>
      </c>
      <c r="L279">
        <v>2946.17</v>
      </c>
      <c r="M279">
        <v>28.3</v>
      </c>
      <c r="N279">
        <v>2023</v>
      </c>
      <c r="O279">
        <v>1</v>
      </c>
      <c r="P279" t="s">
        <v>62</v>
      </c>
      <c r="Q279">
        <v>1162.77</v>
      </c>
      <c r="R279" t="s">
        <v>25</v>
      </c>
      <c r="S279">
        <v>2.533751300773154</v>
      </c>
      <c r="T279" t="s">
        <v>78</v>
      </c>
    </row>
    <row r="280" spans="1:20" x14ac:dyDescent="0.25">
      <c r="A280" s="11">
        <v>44960</v>
      </c>
      <c r="B280" t="s">
        <v>51</v>
      </c>
      <c r="C280" t="s">
        <v>52</v>
      </c>
      <c r="D280" t="s">
        <v>19</v>
      </c>
      <c r="E280" t="s">
        <v>20</v>
      </c>
      <c r="F280">
        <v>807</v>
      </c>
      <c r="G280">
        <v>6.57</v>
      </c>
      <c r="H280">
        <v>5301.99</v>
      </c>
      <c r="I280" t="s">
        <v>39</v>
      </c>
      <c r="J280" t="s">
        <v>56</v>
      </c>
      <c r="K280" t="s">
        <v>41</v>
      </c>
      <c r="L280">
        <v>4142.8100000000004</v>
      </c>
      <c r="M280">
        <v>21.9</v>
      </c>
      <c r="N280">
        <v>2023</v>
      </c>
      <c r="O280">
        <v>1</v>
      </c>
      <c r="P280" t="s">
        <v>60</v>
      </c>
      <c r="Q280">
        <v>1159.18</v>
      </c>
      <c r="R280" t="s">
        <v>29</v>
      </c>
      <c r="S280">
        <v>3.5739143187425597</v>
      </c>
      <c r="T280" t="s">
        <v>78</v>
      </c>
    </row>
    <row r="281" spans="1:20" x14ac:dyDescent="0.25">
      <c r="A281" s="11">
        <v>44962</v>
      </c>
      <c r="B281" t="s">
        <v>51</v>
      </c>
      <c r="C281" t="s">
        <v>52</v>
      </c>
      <c r="D281" t="s">
        <v>44</v>
      </c>
      <c r="E281" t="s">
        <v>38</v>
      </c>
      <c r="F281">
        <v>733</v>
      </c>
      <c r="G281">
        <v>6</v>
      </c>
      <c r="H281">
        <v>4398</v>
      </c>
      <c r="I281" t="s">
        <v>21</v>
      </c>
      <c r="J281" t="s">
        <v>22</v>
      </c>
      <c r="K281" t="s">
        <v>28</v>
      </c>
      <c r="L281">
        <v>3241.26</v>
      </c>
      <c r="M281">
        <v>26.3</v>
      </c>
      <c r="N281">
        <v>2023</v>
      </c>
      <c r="O281">
        <v>1</v>
      </c>
      <c r="P281" t="s">
        <v>60</v>
      </c>
      <c r="Q281">
        <v>1156.74</v>
      </c>
      <c r="R281" t="s">
        <v>25</v>
      </c>
      <c r="S281">
        <v>2.8020644224285496</v>
      </c>
      <c r="T281" t="s">
        <v>78</v>
      </c>
    </row>
    <row r="282" spans="1:20" x14ac:dyDescent="0.25">
      <c r="A282" s="11">
        <v>45068</v>
      </c>
      <c r="B282" t="s">
        <v>30</v>
      </c>
      <c r="C282" t="s">
        <v>31</v>
      </c>
      <c r="D282" t="s">
        <v>53</v>
      </c>
      <c r="E282" t="s">
        <v>50</v>
      </c>
      <c r="F282">
        <v>330</v>
      </c>
      <c r="G282">
        <v>10.99</v>
      </c>
      <c r="H282">
        <v>3626.7</v>
      </c>
      <c r="I282" t="s">
        <v>26</v>
      </c>
      <c r="J282" t="s">
        <v>27</v>
      </c>
      <c r="K282" t="s">
        <v>41</v>
      </c>
      <c r="L282">
        <v>2472.34</v>
      </c>
      <c r="M282">
        <v>31.8</v>
      </c>
      <c r="N282">
        <v>2023</v>
      </c>
      <c r="O282">
        <v>2</v>
      </c>
      <c r="P282" t="s">
        <v>66</v>
      </c>
      <c r="Q282">
        <v>1154.3599999999999</v>
      </c>
      <c r="R282" t="s">
        <v>25</v>
      </c>
      <c r="S282">
        <v>2.1417408780623033</v>
      </c>
      <c r="T282" t="s">
        <v>78</v>
      </c>
    </row>
    <row r="283" spans="1:20" x14ac:dyDescent="0.25">
      <c r="A283" s="11">
        <v>45072</v>
      </c>
      <c r="B283" t="s">
        <v>30</v>
      </c>
      <c r="C283" t="s">
        <v>31</v>
      </c>
      <c r="D283" t="s">
        <v>32</v>
      </c>
      <c r="E283" t="s">
        <v>20</v>
      </c>
      <c r="F283">
        <v>297</v>
      </c>
      <c r="G283">
        <v>10.76</v>
      </c>
      <c r="H283">
        <v>3195.72</v>
      </c>
      <c r="I283" t="s">
        <v>39</v>
      </c>
      <c r="J283" t="s">
        <v>27</v>
      </c>
      <c r="K283" t="s">
        <v>23</v>
      </c>
      <c r="L283">
        <v>2041.88</v>
      </c>
      <c r="M283">
        <v>36.1</v>
      </c>
      <c r="N283">
        <v>2023</v>
      </c>
      <c r="O283">
        <v>2</v>
      </c>
      <c r="P283" t="s">
        <v>66</v>
      </c>
      <c r="Q283">
        <v>1153.8399999999999</v>
      </c>
      <c r="R283" t="s">
        <v>25</v>
      </c>
      <c r="S283">
        <v>1.7696387714067812</v>
      </c>
      <c r="T283" t="s">
        <v>78</v>
      </c>
    </row>
    <row r="284" spans="1:20" x14ac:dyDescent="0.25">
      <c r="A284" s="11">
        <v>45039</v>
      </c>
      <c r="B284" t="s">
        <v>35</v>
      </c>
      <c r="C284" t="s">
        <v>36</v>
      </c>
      <c r="D284" t="s">
        <v>32</v>
      </c>
      <c r="E284" t="s">
        <v>20</v>
      </c>
      <c r="F284">
        <v>774</v>
      </c>
      <c r="G284">
        <v>9.16</v>
      </c>
      <c r="H284">
        <v>7089.84</v>
      </c>
      <c r="I284" t="s">
        <v>26</v>
      </c>
      <c r="J284" t="s">
        <v>56</v>
      </c>
      <c r="K284" t="s">
        <v>41</v>
      </c>
      <c r="L284">
        <v>5940.22</v>
      </c>
      <c r="M284">
        <v>16.2</v>
      </c>
      <c r="N284">
        <v>2023</v>
      </c>
      <c r="O284">
        <v>2</v>
      </c>
      <c r="P284" t="s">
        <v>63</v>
      </c>
      <c r="Q284">
        <v>1149.6199999999999</v>
      </c>
      <c r="R284" t="s">
        <v>29</v>
      </c>
      <c r="S284">
        <v>5.1671160905342646</v>
      </c>
      <c r="T284" t="s">
        <v>78</v>
      </c>
    </row>
    <row r="285" spans="1:20" x14ac:dyDescent="0.25">
      <c r="A285" s="11">
        <v>45070</v>
      </c>
      <c r="B285" t="s">
        <v>58</v>
      </c>
      <c r="C285" t="s">
        <v>59</v>
      </c>
      <c r="D285" t="s">
        <v>32</v>
      </c>
      <c r="E285" t="s">
        <v>20</v>
      </c>
      <c r="F285">
        <v>658</v>
      </c>
      <c r="G285">
        <v>7.12</v>
      </c>
      <c r="H285">
        <v>4684.96</v>
      </c>
      <c r="I285" t="s">
        <v>57</v>
      </c>
      <c r="J285" t="s">
        <v>34</v>
      </c>
      <c r="K285" t="s">
        <v>41</v>
      </c>
      <c r="L285">
        <v>3542.12</v>
      </c>
      <c r="M285">
        <v>24.4</v>
      </c>
      <c r="N285">
        <v>2023</v>
      </c>
      <c r="O285">
        <v>2</v>
      </c>
      <c r="P285" t="s">
        <v>66</v>
      </c>
      <c r="Q285">
        <v>1142.8399999999999</v>
      </c>
      <c r="R285" t="s">
        <v>29</v>
      </c>
      <c r="S285">
        <v>3.0994014910223653</v>
      </c>
      <c r="T285" t="s">
        <v>78</v>
      </c>
    </row>
    <row r="286" spans="1:20" x14ac:dyDescent="0.25">
      <c r="A286" s="11">
        <v>44945</v>
      </c>
      <c r="B286" t="s">
        <v>51</v>
      </c>
      <c r="C286" t="s">
        <v>52</v>
      </c>
      <c r="D286" t="s">
        <v>49</v>
      </c>
      <c r="E286" t="s">
        <v>50</v>
      </c>
      <c r="F286">
        <v>710</v>
      </c>
      <c r="G286">
        <v>4.34</v>
      </c>
      <c r="H286">
        <v>3081.4</v>
      </c>
      <c r="I286" t="s">
        <v>55</v>
      </c>
      <c r="J286" t="s">
        <v>56</v>
      </c>
      <c r="K286" t="s">
        <v>41</v>
      </c>
      <c r="L286">
        <v>1939.2</v>
      </c>
      <c r="M286">
        <v>37.1</v>
      </c>
      <c r="N286">
        <v>2023</v>
      </c>
      <c r="O286">
        <v>1</v>
      </c>
      <c r="P286" t="s">
        <v>24</v>
      </c>
      <c r="Q286">
        <v>1142.2</v>
      </c>
      <c r="R286" t="s">
        <v>25</v>
      </c>
      <c r="S286">
        <v>1.6977762213272631</v>
      </c>
      <c r="T286" t="s">
        <v>78</v>
      </c>
    </row>
    <row r="287" spans="1:20" x14ac:dyDescent="0.25">
      <c r="A287" s="11">
        <v>45116</v>
      </c>
      <c r="B287" t="s">
        <v>51</v>
      </c>
      <c r="C287" t="s">
        <v>52</v>
      </c>
      <c r="D287" t="s">
        <v>19</v>
      </c>
      <c r="E287" t="s">
        <v>20</v>
      </c>
      <c r="F287">
        <v>645</v>
      </c>
      <c r="G287">
        <v>6.17</v>
      </c>
      <c r="H287">
        <v>3979.65</v>
      </c>
      <c r="I287" t="s">
        <v>26</v>
      </c>
      <c r="J287" t="s">
        <v>34</v>
      </c>
      <c r="K287" t="s">
        <v>23</v>
      </c>
      <c r="L287">
        <v>2839.94</v>
      </c>
      <c r="M287">
        <v>28.6</v>
      </c>
      <c r="N287">
        <v>2024</v>
      </c>
      <c r="O287">
        <v>3</v>
      </c>
      <c r="P287" t="s">
        <v>63</v>
      </c>
      <c r="Q287">
        <v>1139.71</v>
      </c>
      <c r="R287" t="s">
        <v>25</v>
      </c>
      <c r="S287">
        <v>2.4918093199147151</v>
      </c>
      <c r="T287" t="s">
        <v>78</v>
      </c>
    </row>
    <row r="288" spans="1:20" x14ac:dyDescent="0.25">
      <c r="A288" s="11">
        <v>45021</v>
      </c>
      <c r="B288" t="s">
        <v>35</v>
      </c>
      <c r="C288" t="s">
        <v>36</v>
      </c>
      <c r="D288" t="s">
        <v>53</v>
      </c>
      <c r="E288" t="s">
        <v>50</v>
      </c>
      <c r="F288">
        <v>533</v>
      </c>
      <c r="G288">
        <v>11.13</v>
      </c>
      <c r="H288">
        <v>5932.29</v>
      </c>
      <c r="I288" t="s">
        <v>33</v>
      </c>
      <c r="J288" t="s">
        <v>34</v>
      </c>
      <c r="K288" t="s">
        <v>23</v>
      </c>
      <c r="L288">
        <v>4793.7700000000004</v>
      </c>
      <c r="M288">
        <v>19.2</v>
      </c>
      <c r="N288">
        <v>2023</v>
      </c>
      <c r="O288">
        <v>2</v>
      </c>
      <c r="P288" t="s">
        <v>62</v>
      </c>
      <c r="Q288">
        <v>1138.52</v>
      </c>
      <c r="R288" t="s">
        <v>29</v>
      </c>
      <c r="S288">
        <v>4.2105277026314871</v>
      </c>
      <c r="T288" t="s">
        <v>78</v>
      </c>
    </row>
    <row r="289" spans="1:20" x14ac:dyDescent="0.25">
      <c r="A289" s="11">
        <v>44945</v>
      </c>
      <c r="B289" t="s">
        <v>30</v>
      </c>
      <c r="C289" t="s">
        <v>31</v>
      </c>
      <c r="D289" t="s">
        <v>44</v>
      </c>
      <c r="E289" t="s">
        <v>38</v>
      </c>
      <c r="F289">
        <v>903</v>
      </c>
      <c r="G289">
        <v>3.65</v>
      </c>
      <c r="H289">
        <v>3295.95</v>
      </c>
      <c r="I289" t="s">
        <v>39</v>
      </c>
      <c r="J289" t="s">
        <v>56</v>
      </c>
      <c r="K289" t="s">
        <v>41</v>
      </c>
      <c r="L289">
        <v>2162.9699999999998</v>
      </c>
      <c r="M289">
        <v>34.4</v>
      </c>
      <c r="N289">
        <v>2023</v>
      </c>
      <c r="O289">
        <v>1</v>
      </c>
      <c r="P289" t="s">
        <v>24</v>
      </c>
      <c r="Q289">
        <v>1132.98</v>
      </c>
      <c r="R289" t="s">
        <v>25</v>
      </c>
      <c r="S289">
        <v>1.9090981305936554</v>
      </c>
      <c r="T289" t="s">
        <v>78</v>
      </c>
    </row>
    <row r="290" spans="1:20" x14ac:dyDescent="0.25">
      <c r="A290" s="11">
        <v>45014</v>
      </c>
      <c r="B290" t="s">
        <v>35</v>
      </c>
      <c r="C290" t="s">
        <v>36</v>
      </c>
      <c r="D290" t="s">
        <v>32</v>
      </c>
      <c r="E290" t="s">
        <v>20</v>
      </c>
      <c r="F290">
        <v>629</v>
      </c>
      <c r="G290">
        <v>4.55</v>
      </c>
      <c r="H290">
        <v>2861.95</v>
      </c>
      <c r="I290" t="s">
        <v>54</v>
      </c>
      <c r="J290" t="s">
        <v>40</v>
      </c>
      <c r="K290" t="s">
        <v>41</v>
      </c>
      <c r="L290">
        <v>1729.48</v>
      </c>
      <c r="M290">
        <v>39.6</v>
      </c>
      <c r="N290">
        <v>2023</v>
      </c>
      <c r="O290">
        <v>1</v>
      </c>
      <c r="P290" t="s">
        <v>62</v>
      </c>
      <c r="Q290">
        <v>1132.47</v>
      </c>
      <c r="R290" t="s">
        <v>25</v>
      </c>
      <c r="S290">
        <v>1.5271751128065203</v>
      </c>
      <c r="T290" t="s">
        <v>78</v>
      </c>
    </row>
    <row r="291" spans="1:20" x14ac:dyDescent="0.25">
      <c r="A291" s="11">
        <v>44933</v>
      </c>
      <c r="B291" t="s">
        <v>35</v>
      </c>
      <c r="C291" t="s">
        <v>36</v>
      </c>
      <c r="D291" t="s">
        <v>19</v>
      </c>
      <c r="E291" t="s">
        <v>20</v>
      </c>
      <c r="F291">
        <v>413</v>
      </c>
      <c r="G291">
        <v>8.34</v>
      </c>
      <c r="H291">
        <v>3444.42</v>
      </c>
      <c r="I291" t="s">
        <v>55</v>
      </c>
      <c r="J291" t="s">
        <v>27</v>
      </c>
      <c r="K291" t="s">
        <v>23</v>
      </c>
      <c r="L291">
        <v>2318.25</v>
      </c>
      <c r="M291">
        <v>32.700000000000003</v>
      </c>
      <c r="N291">
        <v>2023</v>
      </c>
      <c r="O291">
        <v>1</v>
      </c>
      <c r="P291" t="s">
        <v>24</v>
      </c>
      <c r="Q291">
        <v>1126.17</v>
      </c>
      <c r="R291" t="s">
        <v>25</v>
      </c>
      <c r="S291">
        <v>2.0585257998348383</v>
      </c>
      <c r="T291" t="s">
        <v>78</v>
      </c>
    </row>
    <row r="292" spans="1:20" x14ac:dyDescent="0.25">
      <c r="A292" s="11">
        <v>45130</v>
      </c>
      <c r="B292" t="s">
        <v>17</v>
      </c>
      <c r="C292" t="s">
        <v>18</v>
      </c>
      <c r="D292" t="s">
        <v>32</v>
      </c>
      <c r="E292" t="s">
        <v>20</v>
      </c>
      <c r="F292">
        <v>699</v>
      </c>
      <c r="G292">
        <v>7.62</v>
      </c>
      <c r="H292">
        <v>5326.38</v>
      </c>
      <c r="I292" t="s">
        <v>57</v>
      </c>
      <c r="J292" t="s">
        <v>27</v>
      </c>
      <c r="K292" t="s">
        <v>41</v>
      </c>
      <c r="L292">
        <v>4203.4399999999996</v>
      </c>
      <c r="M292">
        <v>21.1</v>
      </c>
      <c r="N292">
        <v>2025</v>
      </c>
      <c r="O292">
        <v>3</v>
      </c>
      <c r="P292" t="s">
        <v>63</v>
      </c>
      <c r="Q292">
        <v>1122.94</v>
      </c>
      <c r="R292" t="s">
        <v>29</v>
      </c>
      <c r="S292">
        <v>3.743245409371827</v>
      </c>
      <c r="T292" t="s">
        <v>78</v>
      </c>
    </row>
    <row r="293" spans="1:20" x14ac:dyDescent="0.25">
      <c r="A293" s="11">
        <v>44936</v>
      </c>
      <c r="B293" t="s">
        <v>30</v>
      </c>
      <c r="C293" t="s">
        <v>31</v>
      </c>
      <c r="D293" t="s">
        <v>32</v>
      </c>
      <c r="E293" t="s">
        <v>20</v>
      </c>
      <c r="F293">
        <v>818</v>
      </c>
      <c r="G293">
        <v>3.71</v>
      </c>
      <c r="H293">
        <v>3034.78</v>
      </c>
      <c r="I293" t="s">
        <v>39</v>
      </c>
      <c r="J293" t="s">
        <v>22</v>
      </c>
      <c r="K293" t="s">
        <v>41</v>
      </c>
      <c r="L293">
        <v>1912.3</v>
      </c>
      <c r="M293">
        <v>37</v>
      </c>
      <c r="N293">
        <v>2023</v>
      </c>
      <c r="O293">
        <v>1</v>
      </c>
      <c r="P293" t="s">
        <v>24</v>
      </c>
      <c r="Q293">
        <v>1122.48</v>
      </c>
      <c r="R293" t="s">
        <v>25</v>
      </c>
      <c r="S293">
        <v>1.7036383721758961</v>
      </c>
      <c r="T293" t="s">
        <v>78</v>
      </c>
    </row>
    <row r="294" spans="1:20" x14ac:dyDescent="0.25">
      <c r="A294" s="11">
        <v>44948</v>
      </c>
      <c r="B294" t="s">
        <v>17</v>
      </c>
      <c r="C294" t="s">
        <v>18</v>
      </c>
      <c r="D294" t="s">
        <v>32</v>
      </c>
      <c r="E294" t="s">
        <v>20</v>
      </c>
      <c r="F294">
        <v>706</v>
      </c>
      <c r="G294">
        <v>6.12</v>
      </c>
      <c r="H294">
        <v>4320.72</v>
      </c>
      <c r="I294" t="s">
        <v>57</v>
      </c>
      <c r="J294" t="s">
        <v>27</v>
      </c>
      <c r="K294" t="s">
        <v>23</v>
      </c>
      <c r="L294">
        <v>3199.04</v>
      </c>
      <c r="M294">
        <v>26</v>
      </c>
      <c r="N294">
        <v>2023</v>
      </c>
      <c r="O294">
        <v>1</v>
      </c>
      <c r="P294" t="s">
        <v>24</v>
      </c>
      <c r="Q294">
        <v>1121.68</v>
      </c>
      <c r="R294" t="s">
        <v>25</v>
      </c>
      <c r="S294">
        <v>2.8520077027316169</v>
      </c>
      <c r="T294" t="s">
        <v>78</v>
      </c>
    </row>
    <row r="295" spans="1:20" x14ac:dyDescent="0.25">
      <c r="A295" s="11">
        <v>44980</v>
      </c>
      <c r="B295" t="s">
        <v>30</v>
      </c>
      <c r="C295" t="s">
        <v>31</v>
      </c>
      <c r="D295" t="s">
        <v>32</v>
      </c>
      <c r="E295" t="s">
        <v>20</v>
      </c>
      <c r="F295">
        <v>536</v>
      </c>
      <c r="G295">
        <v>11.08</v>
      </c>
      <c r="H295">
        <v>5938.88</v>
      </c>
      <c r="I295" t="s">
        <v>46</v>
      </c>
      <c r="J295" t="s">
        <v>40</v>
      </c>
      <c r="K295" t="s">
        <v>41</v>
      </c>
      <c r="L295">
        <v>4819.95</v>
      </c>
      <c r="M295">
        <v>18.8</v>
      </c>
      <c r="N295">
        <v>2023</v>
      </c>
      <c r="O295">
        <v>1</v>
      </c>
      <c r="P295" t="s">
        <v>61</v>
      </c>
      <c r="Q295">
        <v>1118.93</v>
      </c>
      <c r="R295" t="s">
        <v>29</v>
      </c>
      <c r="S295">
        <v>4.3076421223847783</v>
      </c>
      <c r="T295" t="s">
        <v>78</v>
      </c>
    </row>
    <row r="296" spans="1:20" x14ac:dyDescent="0.25">
      <c r="A296" s="11">
        <v>44982</v>
      </c>
      <c r="B296" t="s">
        <v>17</v>
      </c>
      <c r="C296" t="s">
        <v>18</v>
      </c>
      <c r="D296" t="s">
        <v>45</v>
      </c>
      <c r="E296" t="s">
        <v>20</v>
      </c>
      <c r="F296">
        <v>570</v>
      </c>
      <c r="G296">
        <v>6.98</v>
      </c>
      <c r="H296">
        <v>3978.6</v>
      </c>
      <c r="I296" t="s">
        <v>57</v>
      </c>
      <c r="J296" t="s">
        <v>56</v>
      </c>
      <c r="K296" t="s">
        <v>28</v>
      </c>
      <c r="L296">
        <v>2864.01</v>
      </c>
      <c r="M296">
        <v>28</v>
      </c>
      <c r="N296">
        <v>2023</v>
      </c>
      <c r="O296">
        <v>1</v>
      </c>
      <c r="P296" t="s">
        <v>61</v>
      </c>
      <c r="Q296">
        <v>1114.5899999999999</v>
      </c>
      <c r="R296" t="s">
        <v>25</v>
      </c>
      <c r="S296">
        <v>2.5695636960676125</v>
      </c>
      <c r="T296" t="s">
        <v>78</v>
      </c>
    </row>
    <row r="297" spans="1:20" x14ac:dyDescent="0.25">
      <c r="A297" s="11">
        <v>45060</v>
      </c>
      <c r="B297" t="s">
        <v>30</v>
      </c>
      <c r="C297" t="s">
        <v>31</v>
      </c>
      <c r="D297" t="s">
        <v>19</v>
      </c>
      <c r="E297" t="s">
        <v>20</v>
      </c>
      <c r="F297">
        <v>675</v>
      </c>
      <c r="G297">
        <v>6.34</v>
      </c>
      <c r="H297">
        <v>4279.5</v>
      </c>
      <c r="I297" t="s">
        <v>46</v>
      </c>
      <c r="J297" t="s">
        <v>56</v>
      </c>
      <c r="K297" t="s">
        <v>28</v>
      </c>
      <c r="L297">
        <v>3167.16</v>
      </c>
      <c r="M297">
        <v>26</v>
      </c>
      <c r="N297">
        <v>2023</v>
      </c>
      <c r="O297">
        <v>2</v>
      </c>
      <c r="P297" t="s">
        <v>65</v>
      </c>
      <c r="Q297">
        <v>1112.3399999999999</v>
      </c>
      <c r="R297" t="s">
        <v>25</v>
      </c>
      <c r="S297">
        <v>2.8472948918496144</v>
      </c>
      <c r="T297" t="s">
        <v>78</v>
      </c>
    </row>
    <row r="298" spans="1:20" x14ac:dyDescent="0.25">
      <c r="A298" s="11">
        <v>44967</v>
      </c>
      <c r="B298" t="s">
        <v>51</v>
      </c>
      <c r="C298" t="s">
        <v>52</v>
      </c>
      <c r="D298" t="s">
        <v>44</v>
      </c>
      <c r="E298" t="s">
        <v>38</v>
      </c>
      <c r="F298">
        <v>769</v>
      </c>
      <c r="G298">
        <v>4.45</v>
      </c>
      <c r="H298">
        <v>3422.05</v>
      </c>
      <c r="I298" t="s">
        <v>46</v>
      </c>
      <c r="J298" t="s">
        <v>27</v>
      </c>
      <c r="K298" t="s">
        <v>41</v>
      </c>
      <c r="L298">
        <v>2310.54</v>
      </c>
      <c r="M298">
        <v>32.5</v>
      </c>
      <c r="N298">
        <v>2023</v>
      </c>
      <c r="O298">
        <v>1</v>
      </c>
      <c r="P298" t="s">
        <v>60</v>
      </c>
      <c r="Q298">
        <v>1111.51</v>
      </c>
      <c r="R298" t="s">
        <v>25</v>
      </c>
      <c r="S298">
        <v>2.0787397324360555</v>
      </c>
      <c r="T298" t="s">
        <v>78</v>
      </c>
    </row>
    <row r="299" spans="1:20" x14ac:dyDescent="0.25">
      <c r="A299" s="11">
        <v>45099</v>
      </c>
      <c r="B299" t="s">
        <v>17</v>
      </c>
      <c r="C299" t="s">
        <v>18</v>
      </c>
      <c r="D299" t="s">
        <v>48</v>
      </c>
      <c r="E299" t="s">
        <v>38</v>
      </c>
      <c r="F299">
        <v>442</v>
      </c>
      <c r="G299">
        <v>11.26</v>
      </c>
      <c r="H299">
        <v>4976.92</v>
      </c>
      <c r="I299" t="s">
        <v>46</v>
      </c>
      <c r="J299" t="s">
        <v>22</v>
      </c>
      <c r="K299" t="s">
        <v>28</v>
      </c>
      <c r="L299">
        <v>3866.2</v>
      </c>
      <c r="M299">
        <v>22.3</v>
      </c>
      <c r="N299">
        <v>2024</v>
      </c>
      <c r="O299">
        <v>2</v>
      </c>
      <c r="P299" t="s">
        <v>24</v>
      </c>
      <c r="Q299">
        <v>1110.72</v>
      </c>
      <c r="R299" t="s">
        <v>29</v>
      </c>
      <c r="S299">
        <v>3.4808052434456926</v>
      </c>
      <c r="T299" t="s">
        <v>78</v>
      </c>
    </row>
    <row r="300" spans="1:20" x14ac:dyDescent="0.25">
      <c r="A300" s="11">
        <v>45075</v>
      </c>
      <c r="B300" t="s">
        <v>35</v>
      </c>
      <c r="C300" t="s">
        <v>36</v>
      </c>
      <c r="D300" t="s">
        <v>37</v>
      </c>
      <c r="E300" t="s">
        <v>38</v>
      </c>
      <c r="F300">
        <v>603</v>
      </c>
      <c r="G300">
        <v>5.22</v>
      </c>
      <c r="H300">
        <v>3147.66</v>
      </c>
      <c r="I300" t="s">
        <v>26</v>
      </c>
      <c r="J300" t="s">
        <v>27</v>
      </c>
      <c r="K300" t="s">
        <v>23</v>
      </c>
      <c r="L300">
        <v>2037.19</v>
      </c>
      <c r="M300">
        <v>35.299999999999997</v>
      </c>
      <c r="N300">
        <v>2023</v>
      </c>
      <c r="O300">
        <v>2</v>
      </c>
      <c r="P300" t="s">
        <v>67</v>
      </c>
      <c r="Q300">
        <v>1110.47</v>
      </c>
      <c r="R300" t="s">
        <v>25</v>
      </c>
      <c r="S300">
        <v>1.8345295235350798</v>
      </c>
      <c r="T300" t="s">
        <v>78</v>
      </c>
    </row>
    <row r="301" spans="1:20" x14ac:dyDescent="0.25">
      <c r="A301" s="11">
        <v>45008</v>
      </c>
      <c r="B301" t="s">
        <v>30</v>
      </c>
      <c r="C301" t="s">
        <v>31</v>
      </c>
      <c r="D301" t="s">
        <v>32</v>
      </c>
      <c r="E301" t="s">
        <v>20</v>
      </c>
      <c r="F301">
        <v>756</v>
      </c>
      <c r="G301">
        <v>5.85</v>
      </c>
      <c r="H301">
        <v>4422.6000000000004</v>
      </c>
      <c r="I301" t="s">
        <v>33</v>
      </c>
      <c r="J301" t="s">
        <v>56</v>
      </c>
      <c r="K301" t="s">
        <v>41</v>
      </c>
      <c r="L301">
        <v>3318.82</v>
      </c>
      <c r="M301">
        <v>25</v>
      </c>
      <c r="N301">
        <v>2023</v>
      </c>
      <c r="O301">
        <v>1</v>
      </c>
      <c r="P301" t="s">
        <v>62</v>
      </c>
      <c r="Q301">
        <v>1103.78</v>
      </c>
      <c r="R301" t="s">
        <v>29</v>
      </c>
      <c r="S301">
        <v>3.0067767127507294</v>
      </c>
      <c r="T301" t="s">
        <v>78</v>
      </c>
    </row>
    <row r="302" spans="1:20" x14ac:dyDescent="0.25">
      <c r="A302" s="11">
        <v>45056</v>
      </c>
      <c r="B302" t="s">
        <v>42</v>
      </c>
      <c r="C302" t="s">
        <v>43</v>
      </c>
      <c r="D302" t="s">
        <v>48</v>
      </c>
      <c r="E302" t="s">
        <v>38</v>
      </c>
      <c r="F302">
        <v>402</v>
      </c>
      <c r="G302">
        <v>7.43</v>
      </c>
      <c r="H302">
        <v>2986.86</v>
      </c>
      <c r="I302" t="s">
        <v>55</v>
      </c>
      <c r="J302" t="s">
        <v>56</v>
      </c>
      <c r="K302" t="s">
        <v>23</v>
      </c>
      <c r="L302">
        <v>1889.58</v>
      </c>
      <c r="M302">
        <v>36.700000000000003</v>
      </c>
      <c r="N302">
        <v>2023</v>
      </c>
      <c r="O302">
        <v>2</v>
      </c>
      <c r="P302" t="s">
        <v>65</v>
      </c>
      <c r="Q302">
        <v>1097.28</v>
      </c>
      <c r="R302" t="s">
        <v>25</v>
      </c>
      <c r="S302">
        <v>1.7220581802274715</v>
      </c>
      <c r="T302" t="s">
        <v>78</v>
      </c>
    </row>
    <row r="303" spans="1:20" x14ac:dyDescent="0.25">
      <c r="A303" s="11">
        <v>45109</v>
      </c>
      <c r="B303" t="s">
        <v>35</v>
      </c>
      <c r="C303" t="s">
        <v>36</v>
      </c>
      <c r="D303" t="s">
        <v>32</v>
      </c>
      <c r="E303" t="s">
        <v>20</v>
      </c>
      <c r="F303">
        <v>742</v>
      </c>
      <c r="G303">
        <v>8.36</v>
      </c>
      <c r="H303">
        <v>6203.12</v>
      </c>
      <c r="I303" t="s">
        <v>39</v>
      </c>
      <c r="J303" t="s">
        <v>56</v>
      </c>
      <c r="K303" t="s">
        <v>28</v>
      </c>
      <c r="L303">
        <v>5105.8500000000004</v>
      </c>
      <c r="M303">
        <v>17.7</v>
      </c>
      <c r="N303">
        <v>2024</v>
      </c>
      <c r="O303">
        <v>3</v>
      </c>
      <c r="P303" t="s">
        <v>61</v>
      </c>
      <c r="Q303">
        <v>1097.27</v>
      </c>
      <c r="R303" t="s">
        <v>29</v>
      </c>
      <c r="S303">
        <v>4.6532302897190307</v>
      </c>
      <c r="T303" t="s">
        <v>78</v>
      </c>
    </row>
    <row r="304" spans="1:20" x14ac:dyDescent="0.25">
      <c r="A304" s="11">
        <v>45108</v>
      </c>
      <c r="B304" t="s">
        <v>58</v>
      </c>
      <c r="C304" t="s">
        <v>59</v>
      </c>
      <c r="D304" t="s">
        <v>45</v>
      </c>
      <c r="E304" t="s">
        <v>20</v>
      </c>
      <c r="F304">
        <v>616</v>
      </c>
      <c r="G304">
        <v>5.52</v>
      </c>
      <c r="H304">
        <v>3400.32</v>
      </c>
      <c r="I304" t="s">
        <v>33</v>
      </c>
      <c r="J304" t="s">
        <v>34</v>
      </c>
      <c r="K304" t="s">
        <v>28</v>
      </c>
      <c r="L304">
        <v>2304.5100000000002</v>
      </c>
      <c r="M304">
        <v>32.200000000000003</v>
      </c>
      <c r="N304">
        <v>2024</v>
      </c>
      <c r="O304">
        <v>3</v>
      </c>
      <c r="P304" t="s">
        <v>61</v>
      </c>
      <c r="Q304">
        <v>1095.81</v>
      </c>
      <c r="R304" t="s">
        <v>25</v>
      </c>
      <c r="S304">
        <v>2.1030196840693187</v>
      </c>
      <c r="T304" t="s">
        <v>78</v>
      </c>
    </row>
    <row r="305" spans="1:20" x14ac:dyDescent="0.25">
      <c r="A305" s="11">
        <v>45128</v>
      </c>
      <c r="B305" t="s">
        <v>42</v>
      </c>
      <c r="C305" t="s">
        <v>43</v>
      </c>
      <c r="D305" t="s">
        <v>48</v>
      </c>
      <c r="E305" t="s">
        <v>38</v>
      </c>
      <c r="F305">
        <v>754</v>
      </c>
      <c r="G305">
        <v>4.24</v>
      </c>
      <c r="H305">
        <v>3196.96</v>
      </c>
      <c r="I305" t="s">
        <v>33</v>
      </c>
      <c r="J305" t="s">
        <v>22</v>
      </c>
      <c r="K305" t="s">
        <v>23</v>
      </c>
      <c r="L305">
        <v>2106.9299999999998</v>
      </c>
      <c r="M305">
        <v>34.1</v>
      </c>
      <c r="N305">
        <v>2025</v>
      </c>
      <c r="O305">
        <v>3</v>
      </c>
      <c r="P305" t="s">
        <v>60</v>
      </c>
      <c r="Q305">
        <v>1090.03</v>
      </c>
      <c r="R305" t="s">
        <v>25</v>
      </c>
      <c r="S305">
        <v>1.9329101033916496</v>
      </c>
      <c r="T305" t="s">
        <v>78</v>
      </c>
    </row>
    <row r="306" spans="1:20" x14ac:dyDescent="0.25">
      <c r="A306" s="11">
        <v>44999</v>
      </c>
      <c r="B306" t="s">
        <v>17</v>
      </c>
      <c r="C306" t="s">
        <v>18</v>
      </c>
      <c r="D306" t="s">
        <v>19</v>
      </c>
      <c r="E306" t="s">
        <v>20</v>
      </c>
      <c r="F306">
        <v>731</v>
      </c>
      <c r="G306">
        <v>11.05</v>
      </c>
      <c r="H306">
        <v>8077.55</v>
      </c>
      <c r="I306" t="s">
        <v>55</v>
      </c>
      <c r="J306" t="s">
        <v>27</v>
      </c>
      <c r="K306" t="s">
        <v>23</v>
      </c>
      <c r="L306">
        <v>6987.53</v>
      </c>
      <c r="M306">
        <v>13.5</v>
      </c>
      <c r="N306">
        <v>2023</v>
      </c>
      <c r="O306">
        <v>1</v>
      </c>
      <c r="P306" t="s">
        <v>61</v>
      </c>
      <c r="Q306">
        <v>1090.02</v>
      </c>
      <c r="R306" t="s">
        <v>29</v>
      </c>
      <c r="S306">
        <v>6.4104603585255315</v>
      </c>
      <c r="T306" t="s">
        <v>78</v>
      </c>
    </row>
    <row r="307" spans="1:20" x14ac:dyDescent="0.25">
      <c r="A307" s="11">
        <v>45049</v>
      </c>
      <c r="B307" t="s">
        <v>58</v>
      </c>
      <c r="C307" t="s">
        <v>59</v>
      </c>
      <c r="D307" t="s">
        <v>44</v>
      </c>
      <c r="E307" t="s">
        <v>38</v>
      </c>
      <c r="F307">
        <v>406</v>
      </c>
      <c r="G307">
        <v>11.72</v>
      </c>
      <c r="H307">
        <v>4758.32</v>
      </c>
      <c r="I307" t="s">
        <v>46</v>
      </c>
      <c r="J307" t="s">
        <v>40</v>
      </c>
      <c r="K307" t="s">
        <v>41</v>
      </c>
      <c r="L307">
        <v>3674.17</v>
      </c>
      <c r="M307">
        <v>22.8</v>
      </c>
      <c r="N307">
        <v>2023</v>
      </c>
      <c r="O307">
        <v>2</v>
      </c>
      <c r="P307" t="s">
        <v>64</v>
      </c>
      <c r="Q307">
        <v>1084.1500000000001</v>
      </c>
      <c r="R307" t="s">
        <v>29</v>
      </c>
      <c r="S307">
        <v>3.3889867638241937</v>
      </c>
      <c r="T307" t="s">
        <v>78</v>
      </c>
    </row>
    <row r="308" spans="1:20" x14ac:dyDescent="0.25">
      <c r="A308" s="11">
        <v>45051</v>
      </c>
      <c r="B308" t="s">
        <v>42</v>
      </c>
      <c r="C308" t="s">
        <v>43</v>
      </c>
      <c r="D308" t="s">
        <v>19</v>
      </c>
      <c r="E308" t="s">
        <v>20</v>
      </c>
      <c r="F308">
        <v>585</v>
      </c>
      <c r="G308">
        <v>7.41</v>
      </c>
      <c r="H308">
        <v>4334.8500000000004</v>
      </c>
      <c r="I308" t="s">
        <v>26</v>
      </c>
      <c r="J308" t="s">
        <v>34</v>
      </c>
      <c r="K308" t="s">
        <v>41</v>
      </c>
      <c r="L308">
        <v>3254.21</v>
      </c>
      <c r="M308">
        <v>24.9</v>
      </c>
      <c r="N308">
        <v>2023</v>
      </c>
      <c r="O308">
        <v>2</v>
      </c>
      <c r="P308" t="s">
        <v>64</v>
      </c>
      <c r="Q308">
        <v>1080.6400000000001</v>
      </c>
      <c r="R308" t="s">
        <v>29</v>
      </c>
      <c r="S308">
        <v>3.0113728901391768</v>
      </c>
      <c r="T308" t="s">
        <v>78</v>
      </c>
    </row>
    <row r="309" spans="1:20" x14ac:dyDescent="0.25">
      <c r="A309" s="11">
        <v>45080</v>
      </c>
      <c r="B309" t="s">
        <v>51</v>
      </c>
      <c r="C309" t="s">
        <v>52</v>
      </c>
      <c r="D309" t="s">
        <v>19</v>
      </c>
      <c r="E309" t="s">
        <v>20</v>
      </c>
      <c r="F309">
        <v>661</v>
      </c>
      <c r="G309">
        <v>10.19</v>
      </c>
      <c r="H309">
        <v>6735.59</v>
      </c>
      <c r="I309" t="s">
        <v>39</v>
      </c>
      <c r="J309" t="s">
        <v>34</v>
      </c>
      <c r="K309" t="s">
        <v>28</v>
      </c>
      <c r="L309">
        <v>5659.92</v>
      </c>
      <c r="M309">
        <v>16</v>
      </c>
      <c r="N309">
        <v>2023</v>
      </c>
      <c r="O309">
        <v>2</v>
      </c>
      <c r="P309" t="s">
        <v>68</v>
      </c>
      <c r="Q309">
        <v>1075.67</v>
      </c>
      <c r="R309" t="s">
        <v>29</v>
      </c>
      <c r="S309">
        <v>5.2617624364349656</v>
      </c>
      <c r="T309" t="s">
        <v>78</v>
      </c>
    </row>
    <row r="310" spans="1:20" x14ac:dyDescent="0.25">
      <c r="A310" s="11">
        <v>45075</v>
      </c>
      <c r="B310" t="s">
        <v>51</v>
      </c>
      <c r="C310" t="s">
        <v>52</v>
      </c>
      <c r="D310" t="s">
        <v>49</v>
      </c>
      <c r="E310" t="s">
        <v>50</v>
      </c>
      <c r="F310">
        <v>891</v>
      </c>
      <c r="G310">
        <v>9.77</v>
      </c>
      <c r="H310">
        <v>8705.07</v>
      </c>
      <c r="I310" t="s">
        <v>54</v>
      </c>
      <c r="J310" t="s">
        <v>22</v>
      </c>
      <c r="K310" t="s">
        <v>28</v>
      </c>
      <c r="L310">
        <v>7633.56</v>
      </c>
      <c r="M310">
        <v>12.3</v>
      </c>
      <c r="N310">
        <v>2023</v>
      </c>
      <c r="O310">
        <v>2</v>
      </c>
      <c r="P310" t="s">
        <v>67</v>
      </c>
      <c r="Q310">
        <v>1071.51</v>
      </c>
      <c r="R310" t="s">
        <v>29</v>
      </c>
      <c r="S310">
        <v>7.1241145672928861</v>
      </c>
      <c r="T310" t="s">
        <v>78</v>
      </c>
    </row>
    <row r="311" spans="1:20" x14ac:dyDescent="0.25">
      <c r="A311" s="11">
        <v>45014</v>
      </c>
      <c r="B311" t="s">
        <v>58</v>
      </c>
      <c r="C311" t="s">
        <v>59</v>
      </c>
      <c r="D311" t="s">
        <v>49</v>
      </c>
      <c r="E311" t="s">
        <v>50</v>
      </c>
      <c r="F311">
        <v>477</v>
      </c>
      <c r="G311">
        <v>5.77</v>
      </c>
      <c r="H311">
        <v>2752.29</v>
      </c>
      <c r="I311" t="s">
        <v>57</v>
      </c>
      <c r="J311" t="s">
        <v>27</v>
      </c>
      <c r="K311" t="s">
        <v>41</v>
      </c>
      <c r="L311">
        <v>1680.8</v>
      </c>
      <c r="M311">
        <v>38.9</v>
      </c>
      <c r="N311">
        <v>2023</v>
      </c>
      <c r="O311">
        <v>1</v>
      </c>
      <c r="P311" t="s">
        <v>62</v>
      </c>
      <c r="Q311">
        <v>1071.49</v>
      </c>
      <c r="R311" t="s">
        <v>25</v>
      </c>
      <c r="S311">
        <v>1.5686567303474601</v>
      </c>
      <c r="T311" t="s">
        <v>78</v>
      </c>
    </row>
    <row r="312" spans="1:20" x14ac:dyDescent="0.25">
      <c r="A312" s="11">
        <v>44990</v>
      </c>
      <c r="B312" t="s">
        <v>58</v>
      </c>
      <c r="C312" t="s">
        <v>59</v>
      </c>
      <c r="D312" t="s">
        <v>32</v>
      </c>
      <c r="E312" t="s">
        <v>20</v>
      </c>
      <c r="F312">
        <v>448</v>
      </c>
      <c r="G312">
        <v>6.81</v>
      </c>
      <c r="H312">
        <v>3050.88</v>
      </c>
      <c r="I312" t="s">
        <v>33</v>
      </c>
      <c r="J312" t="s">
        <v>56</v>
      </c>
      <c r="K312" t="s">
        <v>23</v>
      </c>
      <c r="L312">
        <v>1982.63</v>
      </c>
      <c r="M312">
        <v>35</v>
      </c>
      <c r="N312">
        <v>2023</v>
      </c>
      <c r="O312">
        <v>1</v>
      </c>
      <c r="P312" t="s">
        <v>61</v>
      </c>
      <c r="Q312">
        <v>1068.25</v>
      </c>
      <c r="R312" t="s">
        <v>25</v>
      </c>
      <c r="S312">
        <v>1.8559606833606366</v>
      </c>
      <c r="T312" t="s">
        <v>78</v>
      </c>
    </row>
    <row r="313" spans="1:20" x14ac:dyDescent="0.25">
      <c r="A313" s="11">
        <v>45120</v>
      </c>
      <c r="B313" t="s">
        <v>17</v>
      </c>
      <c r="C313" t="s">
        <v>18</v>
      </c>
      <c r="D313" t="s">
        <v>32</v>
      </c>
      <c r="E313" t="s">
        <v>20</v>
      </c>
      <c r="F313">
        <v>833</v>
      </c>
      <c r="G313">
        <v>5.44</v>
      </c>
      <c r="H313">
        <v>4531.5200000000004</v>
      </c>
      <c r="I313" t="s">
        <v>33</v>
      </c>
      <c r="J313" t="s">
        <v>56</v>
      </c>
      <c r="K313" t="s">
        <v>41</v>
      </c>
      <c r="L313">
        <v>3464.01</v>
      </c>
      <c r="M313">
        <v>23.6</v>
      </c>
      <c r="N313">
        <v>2024</v>
      </c>
      <c r="O313">
        <v>3</v>
      </c>
      <c r="P313" t="s">
        <v>65</v>
      </c>
      <c r="Q313">
        <v>1067.51</v>
      </c>
      <c r="R313" t="s">
        <v>29</v>
      </c>
      <c r="S313">
        <v>3.2449438412754916</v>
      </c>
      <c r="T313" t="s">
        <v>78</v>
      </c>
    </row>
    <row r="314" spans="1:20" x14ac:dyDescent="0.25">
      <c r="A314" s="11">
        <v>45007</v>
      </c>
      <c r="B314" t="s">
        <v>58</v>
      </c>
      <c r="C314" t="s">
        <v>59</v>
      </c>
      <c r="D314" t="s">
        <v>37</v>
      </c>
      <c r="E314" t="s">
        <v>38</v>
      </c>
      <c r="F314">
        <v>588</v>
      </c>
      <c r="G314">
        <v>10.24</v>
      </c>
      <c r="H314">
        <v>6021.12</v>
      </c>
      <c r="I314" t="s">
        <v>21</v>
      </c>
      <c r="J314" t="s">
        <v>27</v>
      </c>
      <c r="K314" t="s">
        <v>28</v>
      </c>
      <c r="L314">
        <v>4956.1499999999996</v>
      </c>
      <c r="M314">
        <v>17.7</v>
      </c>
      <c r="N314">
        <v>2023</v>
      </c>
      <c r="O314">
        <v>1</v>
      </c>
      <c r="P314" t="s">
        <v>62</v>
      </c>
      <c r="Q314">
        <v>1064.97</v>
      </c>
      <c r="R314" t="s">
        <v>29</v>
      </c>
      <c r="S314">
        <v>4.6537930645933683</v>
      </c>
      <c r="T314" t="s">
        <v>78</v>
      </c>
    </row>
    <row r="315" spans="1:20" x14ac:dyDescent="0.25">
      <c r="A315" s="11">
        <v>44956</v>
      </c>
      <c r="B315" t="s">
        <v>35</v>
      </c>
      <c r="C315" t="s">
        <v>36</v>
      </c>
      <c r="D315" t="s">
        <v>37</v>
      </c>
      <c r="E315" t="s">
        <v>38</v>
      </c>
      <c r="F315">
        <v>848</v>
      </c>
      <c r="G315">
        <v>11.73</v>
      </c>
      <c r="H315">
        <v>9947.0400000000009</v>
      </c>
      <c r="I315" t="s">
        <v>54</v>
      </c>
      <c r="J315" t="s">
        <v>27</v>
      </c>
      <c r="K315" t="s">
        <v>41</v>
      </c>
      <c r="L315">
        <v>8883.86</v>
      </c>
      <c r="M315">
        <v>10.7</v>
      </c>
      <c r="N315">
        <v>2023</v>
      </c>
      <c r="O315">
        <v>1</v>
      </c>
      <c r="P315" t="s">
        <v>60</v>
      </c>
      <c r="Q315">
        <v>1063.18</v>
      </c>
      <c r="R315" t="s">
        <v>29</v>
      </c>
      <c r="S315">
        <v>8.3559322033898304</v>
      </c>
      <c r="T315" t="s">
        <v>78</v>
      </c>
    </row>
    <row r="316" spans="1:20" x14ac:dyDescent="0.25">
      <c r="A316" s="11">
        <v>44977</v>
      </c>
      <c r="B316" t="s">
        <v>35</v>
      </c>
      <c r="C316" t="s">
        <v>36</v>
      </c>
      <c r="D316" t="s">
        <v>45</v>
      </c>
      <c r="E316" t="s">
        <v>20</v>
      </c>
      <c r="F316">
        <v>465</v>
      </c>
      <c r="G316">
        <v>9.57</v>
      </c>
      <c r="H316">
        <v>4450.05</v>
      </c>
      <c r="I316" t="s">
        <v>54</v>
      </c>
      <c r="J316" t="s">
        <v>56</v>
      </c>
      <c r="K316" t="s">
        <v>41</v>
      </c>
      <c r="L316">
        <v>3387.72</v>
      </c>
      <c r="M316">
        <v>23.9</v>
      </c>
      <c r="N316">
        <v>2023</v>
      </c>
      <c r="O316">
        <v>1</v>
      </c>
      <c r="P316" t="s">
        <v>60</v>
      </c>
      <c r="Q316">
        <v>1062.33</v>
      </c>
      <c r="R316" t="s">
        <v>29</v>
      </c>
      <c r="S316">
        <v>3.1889525853548331</v>
      </c>
      <c r="T316" t="s">
        <v>78</v>
      </c>
    </row>
    <row r="317" spans="1:20" x14ac:dyDescent="0.25">
      <c r="A317" s="11">
        <v>45097</v>
      </c>
      <c r="B317" t="s">
        <v>17</v>
      </c>
      <c r="C317" t="s">
        <v>18</v>
      </c>
      <c r="D317" t="s">
        <v>19</v>
      </c>
      <c r="E317" t="s">
        <v>20</v>
      </c>
      <c r="F317">
        <v>653</v>
      </c>
      <c r="G317">
        <v>7.08</v>
      </c>
      <c r="H317">
        <v>4623.24</v>
      </c>
      <c r="I317" t="s">
        <v>55</v>
      </c>
      <c r="J317" t="s">
        <v>34</v>
      </c>
      <c r="K317" t="s">
        <v>23</v>
      </c>
      <c r="L317">
        <v>3561.79</v>
      </c>
      <c r="M317">
        <v>23</v>
      </c>
      <c r="N317">
        <v>2024</v>
      </c>
      <c r="O317">
        <v>2</v>
      </c>
      <c r="P317" t="s">
        <v>24</v>
      </c>
      <c r="Q317">
        <v>1061.45</v>
      </c>
      <c r="R317" t="s">
        <v>29</v>
      </c>
      <c r="S317">
        <v>3.355589052710914</v>
      </c>
      <c r="T317" t="s">
        <v>78</v>
      </c>
    </row>
    <row r="318" spans="1:20" x14ac:dyDescent="0.25">
      <c r="A318" s="11">
        <v>45046</v>
      </c>
      <c r="B318" t="s">
        <v>30</v>
      </c>
      <c r="C318" t="s">
        <v>31</v>
      </c>
      <c r="D318" t="s">
        <v>48</v>
      </c>
      <c r="E318" t="s">
        <v>38</v>
      </c>
      <c r="F318">
        <v>528</v>
      </c>
      <c r="G318">
        <v>9.66</v>
      </c>
      <c r="H318">
        <v>5100.4799999999996</v>
      </c>
      <c r="I318" t="s">
        <v>54</v>
      </c>
      <c r="J318" t="s">
        <v>56</v>
      </c>
      <c r="K318" t="s">
        <v>23</v>
      </c>
      <c r="L318">
        <v>4039.08</v>
      </c>
      <c r="M318">
        <v>20.8</v>
      </c>
      <c r="N318">
        <v>2023</v>
      </c>
      <c r="O318">
        <v>2</v>
      </c>
      <c r="P318" t="s">
        <v>64</v>
      </c>
      <c r="Q318">
        <v>1061.4000000000001</v>
      </c>
      <c r="R318" t="s">
        <v>29</v>
      </c>
      <c r="S318">
        <v>3.8054267947993212</v>
      </c>
      <c r="T318" t="s">
        <v>78</v>
      </c>
    </row>
    <row r="319" spans="1:20" x14ac:dyDescent="0.25">
      <c r="A319" s="11">
        <v>45030</v>
      </c>
      <c r="B319" t="s">
        <v>17</v>
      </c>
      <c r="C319" t="s">
        <v>18</v>
      </c>
      <c r="D319" t="s">
        <v>48</v>
      </c>
      <c r="E319" t="s">
        <v>38</v>
      </c>
      <c r="F319">
        <v>733</v>
      </c>
      <c r="G319">
        <v>4.01</v>
      </c>
      <c r="H319">
        <v>2939.33</v>
      </c>
      <c r="I319" t="s">
        <v>26</v>
      </c>
      <c r="J319" t="s">
        <v>40</v>
      </c>
      <c r="K319" t="s">
        <v>41</v>
      </c>
      <c r="L319">
        <v>1878.74</v>
      </c>
      <c r="M319">
        <v>36.1</v>
      </c>
      <c r="N319">
        <v>2023</v>
      </c>
      <c r="O319">
        <v>2</v>
      </c>
      <c r="P319" t="s">
        <v>63</v>
      </c>
      <c r="Q319">
        <v>1060.5899999999999</v>
      </c>
      <c r="R319" t="s">
        <v>25</v>
      </c>
      <c r="S319">
        <v>1.771410252783828</v>
      </c>
      <c r="T319" t="s">
        <v>78</v>
      </c>
    </row>
    <row r="320" spans="1:20" x14ac:dyDescent="0.25">
      <c r="A320" s="11">
        <v>45061</v>
      </c>
      <c r="B320" t="s">
        <v>42</v>
      </c>
      <c r="C320" t="s">
        <v>43</v>
      </c>
      <c r="D320" t="s">
        <v>32</v>
      </c>
      <c r="E320" t="s">
        <v>20</v>
      </c>
      <c r="F320">
        <v>423</v>
      </c>
      <c r="G320">
        <v>7.59</v>
      </c>
      <c r="H320">
        <v>3210.57</v>
      </c>
      <c r="I320" t="s">
        <v>26</v>
      </c>
      <c r="J320" t="s">
        <v>22</v>
      </c>
      <c r="K320" t="s">
        <v>23</v>
      </c>
      <c r="L320">
        <v>2155.37</v>
      </c>
      <c r="M320">
        <v>32.9</v>
      </c>
      <c r="N320">
        <v>2023</v>
      </c>
      <c r="O320">
        <v>2</v>
      </c>
      <c r="P320" t="s">
        <v>65</v>
      </c>
      <c r="Q320">
        <v>1055.2</v>
      </c>
      <c r="R320" t="s">
        <v>25</v>
      </c>
      <c r="S320">
        <v>2.042617513267627</v>
      </c>
      <c r="T320" t="s">
        <v>78</v>
      </c>
    </row>
    <row r="321" spans="1:20" x14ac:dyDescent="0.25">
      <c r="A321" s="11">
        <v>45119</v>
      </c>
      <c r="B321" t="s">
        <v>17</v>
      </c>
      <c r="C321" t="s">
        <v>18</v>
      </c>
      <c r="D321" t="s">
        <v>37</v>
      </c>
      <c r="E321" t="s">
        <v>38</v>
      </c>
      <c r="F321">
        <v>383</v>
      </c>
      <c r="G321">
        <v>10.68</v>
      </c>
      <c r="H321">
        <v>4090.44</v>
      </c>
      <c r="I321" t="s">
        <v>26</v>
      </c>
      <c r="J321" t="s">
        <v>40</v>
      </c>
      <c r="K321" t="s">
        <v>41</v>
      </c>
      <c r="L321">
        <v>3035.26</v>
      </c>
      <c r="M321">
        <v>25.8</v>
      </c>
      <c r="N321">
        <v>2024</v>
      </c>
      <c r="O321">
        <v>3</v>
      </c>
      <c r="P321" t="s">
        <v>65</v>
      </c>
      <c r="Q321">
        <v>1055.18</v>
      </c>
      <c r="R321" t="s">
        <v>25</v>
      </c>
      <c r="S321">
        <v>2.8765329138156521</v>
      </c>
      <c r="T321" t="s">
        <v>78</v>
      </c>
    </row>
    <row r="322" spans="1:20" x14ac:dyDescent="0.25">
      <c r="A322" s="11">
        <v>45080</v>
      </c>
      <c r="B322" t="s">
        <v>42</v>
      </c>
      <c r="C322" t="s">
        <v>43</v>
      </c>
      <c r="D322" t="s">
        <v>49</v>
      </c>
      <c r="E322" t="s">
        <v>50</v>
      </c>
      <c r="F322">
        <v>374</v>
      </c>
      <c r="G322">
        <v>7.64</v>
      </c>
      <c r="H322">
        <v>2857.36</v>
      </c>
      <c r="I322" t="s">
        <v>54</v>
      </c>
      <c r="J322" t="s">
        <v>22</v>
      </c>
      <c r="K322" t="s">
        <v>28</v>
      </c>
      <c r="L322">
        <v>1803.74</v>
      </c>
      <c r="M322">
        <v>36.9</v>
      </c>
      <c r="N322">
        <v>2023</v>
      </c>
      <c r="O322">
        <v>2</v>
      </c>
      <c r="P322" t="s">
        <v>68</v>
      </c>
      <c r="Q322">
        <v>1053.6199999999999</v>
      </c>
      <c r="R322" t="s">
        <v>25</v>
      </c>
      <c r="S322">
        <v>1.7119454831912835</v>
      </c>
      <c r="T322" t="s">
        <v>78</v>
      </c>
    </row>
    <row r="323" spans="1:20" x14ac:dyDescent="0.25">
      <c r="A323" s="11">
        <v>44995</v>
      </c>
      <c r="B323" t="s">
        <v>17</v>
      </c>
      <c r="C323" t="s">
        <v>18</v>
      </c>
      <c r="D323" t="s">
        <v>19</v>
      </c>
      <c r="E323" t="s">
        <v>20</v>
      </c>
      <c r="F323">
        <v>980</v>
      </c>
      <c r="G323">
        <v>3.42</v>
      </c>
      <c r="H323">
        <v>3351.6</v>
      </c>
      <c r="I323" t="s">
        <v>26</v>
      </c>
      <c r="J323" t="s">
        <v>47</v>
      </c>
      <c r="K323" t="s">
        <v>41</v>
      </c>
      <c r="L323">
        <v>2301.19</v>
      </c>
      <c r="M323">
        <v>31.3</v>
      </c>
      <c r="N323">
        <v>2023</v>
      </c>
      <c r="O323">
        <v>1</v>
      </c>
      <c r="P323" t="s">
        <v>61</v>
      </c>
      <c r="Q323">
        <v>1050.4100000000001</v>
      </c>
      <c r="R323" t="s">
        <v>25</v>
      </c>
      <c r="S323">
        <v>2.1907540864995574</v>
      </c>
      <c r="T323" t="s">
        <v>78</v>
      </c>
    </row>
    <row r="324" spans="1:20" x14ac:dyDescent="0.25">
      <c r="A324" s="11">
        <v>45070</v>
      </c>
      <c r="B324" t="s">
        <v>30</v>
      </c>
      <c r="C324" t="s">
        <v>31</v>
      </c>
      <c r="D324" t="s">
        <v>45</v>
      </c>
      <c r="E324" t="s">
        <v>20</v>
      </c>
      <c r="F324">
        <v>956</v>
      </c>
      <c r="G324">
        <v>5.43</v>
      </c>
      <c r="H324">
        <v>5191.08</v>
      </c>
      <c r="I324" t="s">
        <v>21</v>
      </c>
      <c r="J324" t="s">
        <v>40</v>
      </c>
      <c r="K324" t="s">
        <v>41</v>
      </c>
      <c r="L324">
        <v>4143.6400000000003</v>
      </c>
      <c r="M324">
        <v>20.2</v>
      </c>
      <c r="N324">
        <v>2023</v>
      </c>
      <c r="O324">
        <v>2</v>
      </c>
      <c r="P324" t="s">
        <v>66</v>
      </c>
      <c r="Q324">
        <v>1047.44</v>
      </c>
      <c r="R324" t="s">
        <v>29</v>
      </c>
      <c r="S324">
        <v>3.9559688383105476</v>
      </c>
      <c r="T324" t="s">
        <v>78</v>
      </c>
    </row>
    <row r="325" spans="1:20" x14ac:dyDescent="0.25">
      <c r="A325" s="11">
        <v>45067</v>
      </c>
      <c r="B325" t="s">
        <v>51</v>
      </c>
      <c r="C325" t="s">
        <v>52</v>
      </c>
      <c r="D325" t="s">
        <v>45</v>
      </c>
      <c r="E325" t="s">
        <v>20</v>
      </c>
      <c r="F325">
        <v>946</v>
      </c>
      <c r="G325">
        <v>7.23</v>
      </c>
      <c r="H325">
        <v>6839.58</v>
      </c>
      <c r="I325" t="s">
        <v>26</v>
      </c>
      <c r="J325" t="s">
        <v>47</v>
      </c>
      <c r="K325" t="s">
        <v>41</v>
      </c>
      <c r="L325">
        <v>5792.84</v>
      </c>
      <c r="M325">
        <v>15.3</v>
      </c>
      <c r="N325">
        <v>2023</v>
      </c>
      <c r="O325">
        <v>2</v>
      </c>
      <c r="P325" t="s">
        <v>66</v>
      </c>
      <c r="Q325">
        <v>1046.74</v>
      </c>
      <c r="R325" t="s">
        <v>29</v>
      </c>
      <c r="S325">
        <v>5.5341727649655121</v>
      </c>
      <c r="T325" t="s">
        <v>78</v>
      </c>
    </row>
    <row r="326" spans="1:20" x14ac:dyDescent="0.25">
      <c r="A326" s="11">
        <v>45036</v>
      </c>
      <c r="B326" t="s">
        <v>35</v>
      </c>
      <c r="C326" t="s">
        <v>36</v>
      </c>
      <c r="D326" t="s">
        <v>44</v>
      </c>
      <c r="E326" t="s">
        <v>38</v>
      </c>
      <c r="F326">
        <v>886</v>
      </c>
      <c r="G326">
        <v>4.33</v>
      </c>
      <c r="H326">
        <v>3836.38</v>
      </c>
      <c r="I326" t="s">
        <v>33</v>
      </c>
      <c r="J326" t="s">
        <v>27</v>
      </c>
      <c r="K326" t="s">
        <v>41</v>
      </c>
      <c r="L326">
        <v>2789.85</v>
      </c>
      <c r="M326">
        <v>27.3</v>
      </c>
      <c r="N326">
        <v>2023</v>
      </c>
      <c r="O326">
        <v>2</v>
      </c>
      <c r="P326" t="s">
        <v>63</v>
      </c>
      <c r="Q326">
        <v>1046.53</v>
      </c>
      <c r="R326" t="s">
        <v>25</v>
      </c>
      <c r="S326">
        <v>2.665809866893448</v>
      </c>
      <c r="T326" t="s">
        <v>78</v>
      </c>
    </row>
    <row r="327" spans="1:20" x14ac:dyDescent="0.25">
      <c r="A327" s="11">
        <v>45049</v>
      </c>
      <c r="B327" t="s">
        <v>51</v>
      </c>
      <c r="C327" t="s">
        <v>52</v>
      </c>
      <c r="D327" t="s">
        <v>19</v>
      </c>
      <c r="E327" t="s">
        <v>20</v>
      </c>
      <c r="F327">
        <v>739</v>
      </c>
      <c r="G327">
        <v>4.8099999999999996</v>
      </c>
      <c r="H327">
        <v>3554.59</v>
      </c>
      <c r="I327" t="s">
        <v>54</v>
      </c>
      <c r="J327" t="s">
        <v>56</v>
      </c>
      <c r="K327" t="s">
        <v>23</v>
      </c>
      <c r="L327">
        <v>2510.17</v>
      </c>
      <c r="M327">
        <v>29.4</v>
      </c>
      <c r="N327">
        <v>2023</v>
      </c>
      <c r="O327">
        <v>2</v>
      </c>
      <c r="P327" t="s">
        <v>64</v>
      </c>
      <c r="Q327">
        <v>1044.42</v>
      </c>
      <c r="R327" t="s">
        <v>25</v>
      </c>
      <c r="S327">
        <v>2.403410505352253</v>
      </c>
      <c r="T327" t="s">
        <v>78</v>
      </c>
    </row>
    <row r="328" spans="1:20" x14ac:dyDescent="0.25">
      <c r="A328" s="11">
        <v>44979</v>
      </c>
      <c r="B328" t="s">
        <v>30</v>
      </c>
      <c r="C328" t="s">
        <v>31</v>
      </c>
      <c r="D328" t="s">
        <v>48</v>
      </c>
      <c r="E328" t="s">
        <v>38</v>
      </c>
      <c r="F328">
        <v>470</v>
      </c>
      <c r="G328">
        <v>8.5500000000000007</v>
      </c>
      <c r="H328">
        <v>4018.5</v>
      </c>
      <c r="I328" t="s">
        <v>57</v>
      </c>
      <c r="J328" t="s">
        <v>27</v>
      </c>
      <c r="K328" t="s">
        <v>41</v>
      </c>
      <c r="L328">
        <v>2975.53</v>
      </c>
      <c r="M328">
        <v>26</v>
      </c>
      <c r="N328">
        <v>2023</v>
      </c>
      <c r="O328">
        <v>1</v>
      </c>
      <c r="P328" t="s">
        <v>61</v>
      </c>
      <c r="Q328">
        <v>1042.97</v>
      </c>
      <c r="R328" t="s">
        <v>25</v>
      </c>
      <c r="S328">
        <v>2.8529392024698699</v>
      </c>
      <c r="T328" t="s">
        <v>78</v>
      </c>
    </row>
    <row r="329" spans="1:20" x14ac:dyDescent="0.25">
      <c r="A329" s="11">
        <v>45089</v>
      </c>
      <c r="B329" t="s">
        <v>17</v>
      </c>
      <c r="C329" t="s">
        <v>18</v>
      </c>
      <c r="D329" t="s">
        <v>19</v>
      </c>
      <c r="E329" t="s">
        <v>20</v>
      </c>
      <c r="F329">
        <v>446</v>
      </c>
      <c r="G329">
        <v>5.84</v>
      </c>
      <c r="H329">
        <v>2604.64</v>
      </c>
      <c r="I329" t="s">
        <v>33</v>
      </c>
      <c r="J329" t="s">
        <v>47</v>
      </c>
      <c r="K329" t="s">
        <v>23</v>
      </c>
      <c r="L329">
        <v>1564.3</v>
      </c>
      <c r="M329">
        <v>39.9</v>
      </c>
      <c r="N329">
        <v>2023</v>
      </c>
      <c r="O329">
        <v>2</v>
      </c>
      <c r="P329" t="s">
        <v>69</v>
      </c>
      <c r="Q329">
        <v>1040.3399999999999</v>
      </c>
      <c r="R329" t="s">
        <v>25</v>
      </c>
      <c r="S329">
        <v>1.5036430397754581</v>
      </c>
      <c r="T329" t="s">
        <v>78</v>
      </c>
    </row>
    <row r="330" spans="1:20" x14ac:dyDescent="0.25">
      <c r="A330" s="11">
        <v>45079</v>
      </c>
      <c r="B330" t="s">
        <v>51</v>
      </c>
      <c r="C330" t="s">
        <v>52</v>
      </c>
      <c r="D330" t="s">
        <v>37</v>
      </c>
      <c r="E330" t="s">
        <v>38</v>
      </c>
      <c r="F330">
        <v>849</v>
      </c>
      <c r="G330">
        <v>7.8</v>
      </c>
      <c r="H330">
        <v>6622.2</v>
      </c>
      <c r="I330" t="s">
        <v>39</v>
      </c>
      <c r="J330" t="s">
        <v>56</v>
      </c>
      <c r="K330" t="s">
        <v>28</v>
      </c>
      <c r="L330">
        <v>5584.73</v>
      </c>
      <c r="M330">
        <v>15.7</v>
      </c>
      <c r="N330">
        <v>2023</v>
      </c>
      <c r="O330">
        <v>2</v>
      </c>
      <c r="P330" t="s">
        <v>68</v>
      </c>
      <c r="Q330">
        <v>1037.47</v>
      </c>
      <c r="R330" t="s">
        <v>29</v>
      </c>
      <c r="S330">
        <v>5.3830279429766641</v>
      </c>
      <c r="T330" t="s">
        <v>78</v>
      </c>
    </row>
    <row r="331" spans="1:20" x14ac:dyDescent="0.25">
      <c r="A331" s="11">
        <v>45083</v>
      </c>
      <c r="B331" t="s">
        <v>42</v>
      </c>
      <c r="C331" t="s">
        <v>43</v>
      </c>
      <c r="D331" t="s">
        <v>48</v>
      </c>
      <c r="E331" t="s">
        <v>38</v>
      </c>
      <c r="F331">
        <v>707</v>
      </c>
      <c r="G331">
        <v>7.28</v>
      </c>
      <c r="H331">
        <v>5146.96</v>
      </c>
      <c r="I331" t="s">
        <v>55</v>
      </c>
      <c r="J331" t="s">
        <v>47</v>
      </c>
      <c r="K331" t="s">
        <v>41</v>
      </c>
      <c r="L331">
        <v>4110.75</v>
      </c>
      <c r="M331">
        <v>20.100000000000001</v>
      </c>
      <c r="N331">
        <v>2023</v>
      </c>
      <c r="O331">
        <v>2</v>
      </c>
      <c r="P331" t="s">
        <v>68</v>
      </c>
      <c r="Q331">
        <v>1036.21</v>
      </c>
      <c r="R331" t="s">
        <v>29</v>
      </c>
      <c r="S331">
        <v>3.9671012632574478</v>
      </c>
      <c r="T331" t="s">
        <v>78</v>
      </c>
    </row>
    <row r="332" spans="1:20" x14ac:dyDescent="0.25">
      <c r="A332" s="11">
        <v>44977</v>
      </c>
      <c r="B332" t="s">
        <v>42</v>
      </c>
      <c r="C332" t="s">
        <v>43</v>
      </c>
      <c r="D332" t="s">
        <v>32</v>
      </c>
      <c r="E332" t="s">
        <v>20</v>
      </c>
      <c r="F332">
        <v>801</v>
      </c>
      <c r="G332">
        <v>4.1100000000000003</v>
      </c>
      <c r="H332">
        <v>3292.11</v>
      </c>
      <c r="I332" t="s">
        <v>55</v>
      </c>
      <c r="J332" t="s">
        <v>40</v>
      </c>
      <c r="K332" t="s">
        <v>23</v>
      </c>
      <c r="L332">
        <v>2257.8000000000002</v>
      </c>
      <c r="M332">
        <v>31.4</v>
      </c>
      <c r="N332">
        <v>2023</v>
      </c>
      <c r="O332">
        <v>1</v>
      </c>
      <c r="P332" t="s">
        <v>61</v>
      </c>
      <c r="Q332">
        <v>1034.31</v>
      </c>
      <c r="R332" t="s">
        <v>25</v>
      </c>
      <c r="S332">
        <v>2.1829045450590252</v>
      </c>
      <c r="T332" t="s">
        <v>78</v>
      </c>
    </row>
    <row r="333" spans="1:20" x14ac:dyDescent="0.25">
      <c r="A333" s="11">
        <v>44978</v>
      </c>
      <c r="B333" t="s">
        <v>35</v>
      </c>
      <c r="C333" t="s">
        <v>36</v>
      </c>
      <c r="D333" t="s">
        <v>37</v>
      </c>
      <c r="E333" t="s">
        <v>38</v>
      </c>
      <c r="F333">
        <v>759</v>
      </c>
      <c r="G333">
        <v>6.39</v>
      </c>
      <c r="H333">
        <v>4850.01</v>
      </c>
      <c r="I333" t="s">
        <v>54</v>
      </c>
      <c r="J333" t="s">
        <v>40</v>
      </c>
      <c r="K333" t="s">
        <v>41</v>
      </c>
      <c r="L333">
        <v>3818.31</v>
      </c>
      <c r="M333">
        <v>21.3</v>
      </c>
      <c r="N333">
        <v>2023</v>
      </c>
      <c r="O333">
        <v>1</v>
      </c>
      <c r="P333" t="s">
        <v>61</v>
      </c>
      <c r="Q333">
        <v>1031.7</v>
      </c>
      <c r="R333" t="s">
        <v>29</v>
      </c>
      <c r="S333">
        <v>3.7009886594940387</v>
      </c>
      <c r="T333" t="s">
        <v>78</v>
      </c>
    </row>
    <row r="334" spans="1:20" x14ac:dyDescent="0.25">
      <c r="A334" s="11">
        <v>45075</v>
      </c>
      <c r="B334" t="s">
        <v>35</v>
      </c>
      <c r="C334" t="s">
        <v>36</v>
      </c>
      <c r="D334" t="s">
        <v>48</v>
      </c>
      <c r="E334" t="s">
        <v>38</v>
      </c>
      <c r="F334">
        <v>696</v>
      </c>
      <c r="G334">
        <v>7.79</v>
      </c>
      <c r="H334">
        <v>5421.84</v>
      </c>
      <c r="I334" t="s">
        <v>57</v>
      </c>
      <c r="J334" t="s">
        <v>56</v>
      </c>
      <c r="K334" t="s">
        <v>23</v>
      </c>
      <c r="L334">
        <v>4393.6099999999997</v>
      </c>
      <c r="M334">
        <v>19</v>
      </c>
      <c r="N334">
        <v>2023</v>
      </c>
      <c r="O334">
        <v>2</v>
      </c>
      <c r="P334" t="s">
        <v>67</v>
      </c>
      <c r="Q334">
        <v>1028.23</v>
      </c>
      <c r="R334" t="s">
        <v>29</v>
      </c>
      <c r="S334">
        <v>4.2729836709685571</v>
      </c>
      <c r="T334" t="s">
        <v>78</v>
      </c>
    </row>
    <row r="335" spans="1:20" x14ac:dyDescent="0.25">
      <c r="A335" s="11">
        <v>45070</v>
      </c>
      <c r="B335" t="s">
        <v>42</v>
      </c>
      <c r="C335" t="s">
        <v>43</v>
      </c>
      <c r="D335" t="s">
        <v>48</v>
      </c>
      <c r="E335" t="s">
        <v>38</v>
      </c>
      <c r="F335">
        <v>747</v>
      </c>
      <c r="G335">
        <v>5.0199999999999996</v>
      </c>
      <c r="H335">
        <v>3749.94</v>
      </c>
      <c r="I335" t="s">
        <v>39</v>
      </c>
      <c r="J335" t="s">
        <v>56</v>
      </c>
      <c r="K335" t="s">
        <v>23</v>
      </c>
      <c r="L335">
        <v>2721.8</v>
      </c>
      <c r="M335">
        <v>27.4</v>
      </c>
      <c r="N335">
        <v>2023</v>
      </c>
      <c r="O335">
        <v>2</v>
      </c>
      <c r="P335" t="s">
        <v>66</v>
      </c>
      <c r="Q335">
        <v>1028.1400000000001</v>
      </c>
      <c r="R335" t="s">
        <v>25</v>
      </c>
      <c r="S335">
        <v>2.6473048417530687</v>
      </c>
      <c r="T335" t="s">
        <v>78</v>
      </c>
    </row>
    <row r="336" spans="1:20" x14ac:dyDescent="0.25">
      <c r="A336" s="11">
        <v>45091</v>
      </c>
      <c r="B336" t="s">
        <v>51</v>
      </c>
      <c r="C336" t="s">
        <v>52</v>
      </c>
      <c r="D336" t="s">
        <v>53</v>
      </c>
      <c r="E336" t="s">
        <v>50</v>
      </c>
      <c r="F336">
        <v>313</v>
      </c>
      <c r="G336">
        <v>8.33</v>
      </c>
      <c r="H336">
        <v>2607.29</v>
      </c>
      <c r="I336" t="s">
        <v>26</v>
      </c>
      <c r="J336" t="s">
        <v>47</v>
      </c>
      <c r="K336" t="s">
        <v>23</v>
      </c>
      <c r="L336">
        <v>1579.36</v>
      </c>
      <c r="M336">
        <v>39.4</v>
      </c>
      <c r="N336">
        <v>2023</v>
      </c>
      <c r="O336">
        <v>2</v>
      </c>
      <c r="P336" t="s">
        <v>69</v>
      </c>
      <c r="Q336">
        <v>1027.93</v>
      </c>
      <c r="R336" t="s">
        <v>25</v>
      </c>
      <c r="S336">
        <v>1.5364470343311314</v>
      </c>
      <c r="T336" t="s">
        <v>78</v>
      </c>
    </row>
    <row r="337" spans="1:20" x14ac:dyDescent="0.25">
      <c r="A337" s="11">
        <v>45000</v>
      </c>
      <c r="B337" t="s">
        <v>42</v>
      </c>
      <c r="C337" t="s">
        <v>43</v>
      </c>
      <c r="D337" t="s">
        <v>44</v>
      </c>
      <c r="E337" t="s">
        <v>38</v>
      </c>
      <c r="F337">
        <v>834</v>
      </c>
      <c r="G337">
        <v>3.99</v>
      </c>
      <c r="H337">
        <v>3327.66</v>
      </c>
      <c r="I337" t="s">
        <v>39</v>
      </c>
      <c r="J337" t="s">
        <v>27</v>
      </c>
      <c r="K337" t="s">
        <v>41</v>
      </c>
      <c r="L337">
        <v>2308.02</v>
      </c>
      <c r="M337">
        <v>30.6</v>
      </c>
      <c r="N337">
        <v>2023</v>
      </c>
      <c r="O337">
        <v>1</v>
      </c>
      <c r="P337" t="s">
        <v>61</v>
      </c>
      <c r="Q337">
        <v>1019.64</v>
      </c>
      <c r="R337" t="s">
        <v>25</v>
      </c>
      <c r="S337">
        <v>2.2635636106861243</v>
      </c>
      <c r="T337" t="s">
        <v>78</v>
      </c>
    </row>
    <row r="338" spans="1:20" x14ac:dyDescent="0.25">
      <c r="A338" s="11">
        <v>45057</v>
      </c>
      <c r="B338" t="s">
        <v>30</v>
      </c>
      <c r="C338" t="s">
        <v>31</v>
      </c>
      <c r="D338" t="s">
        <v>37</v>
      </c>
      <c r="E338" t="s">
        <v>38</v>
      </c>
      <c r="F338">
        <v>628</v>
      </c>
      <c r="G338">
        <v>11.58</v>
      </c>
      <c r="H338">
        <v>7272.24</v>
      </c>
      <c r="I338" t="s">
        <v>55</v>
      </c>
      <c r="J338" t="s">
        <v>56</v>
      </c>
      <c r="K338" t="s">
        <v>41</v>
      </c>
      <c r="L338">
        <v>6254.21</v>
      </c>
      <c r="M338">
        <v>14</v>
      </c>
      <c r="N338">
        <v>2023</v>
      </c>
      <c r="O338">
        <v>2</v>
      </c>
      <c r="P338" t="s">
        <v>65</v>
      </c>
      <c r="Q338">
        <v>1018.03</v>
      </c>
      <c r="R338" t="s">
        <v>29</v>
      </c>
      <c r="S338">
        <v>6.1434437099103167</v>
      </c>
      <c r="T338" t="s">
        <v>78</v>
      </c>
    </row>
    <row r="339" spans="1:20" x14ac:dyDescent="0.25">
      <c r="A339" s="11">
        <v>45008</v>
      </c>
      <c r="B339" t="s">
        <v>35</v>
      </c>
      <c r="C339" t="s">
        <v>36</v>
      </c>
      <c r="D339" t="s">
        <v>45</v>
      </c>
      <c r="E339" t="s">
        <v>20</v>
      </c>
      <c r="F339">
        <v>975</v>
      </c>
      <c r="G339">
        <v>3.81</v>
      </c>
      <c r="H339">
        <v>3714.75</v>
      </c>
      <c r="I339" t="s">
        <v>21</v>
      </c>
      <c r="J339" t="s">
        <v>22</v>
      </c>
      <c r="K339" t="s">
        <v>28</v>
      </c>
      <c r="L339">
        <v>2701.66</v>
      </c>
      <c r="M339">
        <v>27.3</v>
      </c>
      <c r="N339">
        <v>2023</v>
      </c>
      <c r="O339">
        <v>1</v>
      </c>
      <c r="P339" t="s">
        <v>62</v>
      </c>
      <c r="Q339">
        <v>1013.09</v>
      </c>
      <c r="R339" t="s">
        <v>25</v>
      </c>
      <c r="S339">
        <v>2.6667522135249579</v>
      </c>
      <c r="T339" t="s">
        <v>78</v>
      </c>
    </row>
    <row r="340" spans="1:20" x14ac:dyDescent="0.25">
      <c r="A340" s="11">
        <v>45025</v>
      </c>
      <c r="B340" t="s">
        <v>51</v>
      </c>
      <c r="C340" t="s">
        <v>52</v>
      </c>
      <c r="D340" t="s">
        <v>45</v>
      </c>
      <c r="E340" t="s">
        <v>20</v>
      </c>
      <c r="F340">
        <v>421</v>
      </c>
      <c r="G340">
        <v>7.21</v>
      </c>
      <c r="H340">
        <v>3035.41</v>
      </c>
      <c r="I340" t="s">
        <v>39</v>
      </c>
      <c r="J340" t="s">
        <v>56</v>
      </c>
      <c r="K340" t="s">
        <v>23</v>
      </c>
      <c r="L340">
        <v>2028.45</v>
      </c>
      <c r="M340">
        <v>33.200000000000003</v>
      </c>
      <c r="N340">
        <v>2023</v>
      </c>
      <c r="O340">
        <v>2</v>
      </c>
      <c r="P340" t="s">
        <v>63</v>
      </c>
      <c r="Q340">
        <v>1006.96</v>
      </c>
      <c r="R340" t="s">
        <v>25</v>
      </c>
      <c r="S340">
        <v>2.0144295701914672</v>
      </c>
      <c r="T340" t="s">
        <v>78</v>
      </c>
    </row>
    <row r="341" spans="1:20" x14ac:dyDescent="0.25">
      <c r="A341" s="11">
        <v>45031</v>
      </c>
      <c r="B341" t="s">
        <v>35</v>
      </c>
      <c r="C341" t="s">
        <v>36</v>
      </c>
      <c r="D341" t="s">
        <v>32</v>
      </c>
      <c r="E341" t="s">
        <v>20</v>
      </c>
      <c r="F341">
        <v>558</v>
      </c>
      <c r="G341">
        <v>9.4700000000000006</v>
      </c>
      <c r="H341">
        <v>5284.26</v>
      </c>
      <c r="I341" t="s">
        <v>33</v>
      </c>
      <c r="J341" t="s">
        <v>40</v>
      </c>
      <c r="K341" t="s">
        <v>28</v>
      </c>
      <c r="L341">
        <v>4278</v>
      </c>
      <c r="M341">
        <v>19</v>
      </c>
      <c r="N341">
        <v>2023</v>
      </c>
      <c r="O341">
        <v>2</v>
      </c>
      <c r="P341" t="s">
        <v>63</v>
      </c>
      <c r="Q341">
        <v>1006.26</v>
      </c>
      <c r="R341" t="s">
        <v>29</v>
      </c>
      <c r="S341">
        <v>4.251386321626617</v>
      </c>
      <c r="T341" t="s">
        <v>78</v>
      </c>
    </row>
    <row r="342" spans="1:20" x14ac:dyDescent="0.25">
      <c r="A342" s="11">
        <v>45039</v>
      </c>
      <c r="B342" t="s">
        <v>17</v>
      </c>
      <c r="C342" t="s">
        <v>18</v>
      </c>
      <c r="D342" t="s">
        <v>37</v>
      </c>
      <c r="E342" t="s">
        <v>38</v>
      </c>
      <c r="F342">
        <v>571</v>
      </c>
      <c r="G342">
        <v>6.5</v>
      </c>
      <c r="H342">
        <v>3711.5</v>
      </c>
      <c r="I342" t="s">
        <v>46</v>
      </c>
      <c r="J342" t="s">
        <v>56</v>
      </c>
      <c r="K342" t="s">
        <v>23</v>
      </c>
      <c r="L342">
        <v>2706.17</v>
      </c>
      <c r="M342">
        <v>27.1</v>
      </c>
      <c r="N342">
        <v>2023</v>
      </c>
      <c r="O342">
        <v>2</v>
      </c>
      <c r="P342" t="s">
        <v>63</v>
      </c>
      <c r="Q342">
        <v>1005.33</v>
      </c>
      <c r="R342" t="s">
        <v>25</v>
      </c>
      <c r="S342">
        <v>2.6918225856186524</v>
      </c>
      <c r="T342" t="s">
        <v>78</v>
      </c>
    </row>
    <row r="343" spans="1:20" x14ac:dyDescent="0.25">
      <c r="A343" s="11">
        <v>45118</v>
      </c>
      <c r="B343" t="s">
        <v>51</v>
      </c>
      <c r="C343" t="s">
        <v>52</v>
      </c>
      <c r="D343" t="s">
        <v>37</v>
      </c>
      <c r="E343" t="s">
        <v>38</v>
      </c>
      <c r="F343">
        <v>949</v>
      </c>
      <c r="G343">
        <v>6.58</v>
      </c>
      <c r="H343">
        <v>6244.42</v>
      </c>
      <c r="I343" t="s">
        <v>21</v>
      </c>
      <c r="J343" t="s">
        <v>22</v>
      </c>
      <c r="K343" t="s">
        <v>23</v>
      </c>
      <c r="L343">
        <v>5241.4399999999996</v>
      </c>
      <c r="M343">
        <v>16.100000000000001</v>
      </c>
      <c r="N343">
        <v>2024</v>
      </c>
      <c r="O343">
        <v>3</v>
      </c>
      <c r="P343" t="s">
        <v>64</v>
      </c>
      <c r="Q343">
        <v>1002.98</v>
      </c>
      <c r="R343" t="s">
        <v>29</v>
      </c>
      <c r="S343">
        <v>5.2258669165885658</v>
      </c>
      <c r="T343" t="s">
        <v>78</v>
      </c>
    </row>
    <row r="344" spans="1:20" x14ac:dyDescent="0.25">
      <c r="A344" s="11">
        <v>45118</v>
      </c>
      <c r="B344" t="s">
        <v>30</v>
      </c>
      <c r="C344" t="s">
        <v>31</v>
      </c>
      <c r="D344" t="s">
        <v>49</v>
      </c>
      <c r="E344" t="s">
        <v>50</v>
      </c>
      <c r="F344">
        <v>382</v>
      </c>
      <c r="G344">
        <v>9.89</v>
      </c>
      <c r="H344">
        <v>3777.98</v>
      </c>
      <c r="I344" t="s">
        <v>55</v>
      </c>
      <c r="J344" t="s">
        <v>47</v>
      </c>
      <c r="K344" t="s">
        <v>23</v>
      </c>
      <c r="L344">
        <v>2777.31</v>
      </c>
      <c r="M344">
        <v>26.5</v>
      </c>
      <c r="N344">
        <v>2024</v>
      </c>
      <c r="O344">
        <v>3</v>
      </c>
      <c r="P344" t="s">
        <v>64</v>
      </c>
      <c r="Q344">
        <v>1000.67</v>
      </c>
      <c r="R344" t="s">
        <v>25</v>
      </c>
      <c r="S344">
        <v>2.7754504481997064</v>
      </c>
      <c r="T344" t="s">
        <v>78</v>
      </c>
    </row>
    <row r="345" spans="1:20" x14ac:dyDescent="0.25">
      <c r="A345" s="11">
        <v>45097</v>
      </c>
      <c r="B345" t="s">
        <v>35</v>
      </c>
      <c r="C345" t="s">
        <v>36</v>
      </c>
      <c r="D345" t="s">
        <v>45</v>
      </c>
      <c r="E345" t="s">
        <v>20</v>
      </c>
      <c r="F345">
        <v>753</v>
      </c>
      <c r="G345">
        <v>4.3499999999999996</v>
      </c>
      <c r="H345">
        <v>3275.55</v>
      </c>
      <c r="I345" t="s">
        <v>33</v>
      </c>
      <c r="J345" t="s">
        <v>27</v>
      </c>
      <c r="K345" t="s">
        <v>28</v>
      </c>
      <c r="L345">
        <v>2277.5700000000002</v>
      </c>
      <c r="M345">
        <v>30.5</v>
      </c>
      <c r="N345">
        <v>2023</v>
      </c>
      <c r="O345">
        <v>2</v>
      </c>
      <c r="P345" t="s">
        <v>70</v>
      </c>
      <c r="Q345">
        <v>997.98</v>
      </c>
      <c r="R345" t="s">
        <v>25</v>
      </c>
      <c r="S345">
        <v>2.2821800036072868</v>
      </c>
      <c r="T345" t="s">
        <v>78</v>
      </c>
    </row>
    <row r="346" spans="1:20" x14ac:dyDescent="0.25">
      <c r="A346" s="11">
        <v>44957</v>
      </c>
      <c r="B346" t="s">
        <v>58</v>
      </c>
      <c r="C346" t="s">
        <v>59</v>
      </c>
      <c r="D346" t="s">
        <v>32</v>
      </c>
      <c r="E346" t="s">
        <v>20</v>
      </c>
      <c r="F346">
        <v>504</v>
      </c>
      <c r="G346">
        <v>5.46</v>
      </c>
      <c r="H346">
        <v>2751.84</v>
      </c>
      <c r="I346" t="s">
        <v>57</v>
      </c>
      <c r="J346" t="s">
        <v>27</v>
      </c>
      <c r="K346" t="s">
        <v>23</v>
      </c>
      <c r="L346">
        <v>1755.51</v>
      </c>
      <c r="M346">
        <v>36.200000000000003</v>
      </c>
      <c r="N346">
        <v>2023</v>
      </c>
      <c r="O346">
        <v>1</v>
      </c>
      <c r="P346" t="s">
        <v>60</v>
      </c>
      <c r="Q346">
        <v>996.33</v>
      </c>
      <c r="R346" t="s">
        <v>25</v>
      </c>
      <c r="S346">
        <v>1.7619764535846556</v>
      </c>
      <c r="T346" t="s">
        <v>78</v>
      </c>
    </row>
    <row r="347" spans="1:20" x14ac:dyDescent="0.25">
      <c r="A347" s="11">
        <v>45107</v>
      </c>
      <c r="B347" t="s">
        <v>42</v>
      </c>
      <c r="C347" t="s">
        <v>43</v>
      </c>
      <c r="D347" t="s">
        <v>48</v>
      </c>
      <c r="E347" t="s">
        <v>38</v>
      </c>
      <c r="F347">
        <v>970</v>
      </c>
      <c r="G347">
        <v>9.4499999999999993</v>
      </c>
      <c r="H347">
        <v>9166.5</v>
      </c>
      <c r="I347" t="s">
        <v>26</v>
      </c>
      <c r="J347" t="s">
        <v>47</v>
      </c>
      <c r="K347" t="s">
        <v>41</v>
      </c>
      <c r="L347">
        <v>8172.3</v>
      </c>
      <c r="M347">
        <v>10.8</v>
      </c>
      <c r="N347">
        <v>2024</v>
      </c>
      <c r="O347">
        <v>2</v>
      </c>
      <c r="P347" t="s">
        <v>60</v>
      </c>
      <c r="Q347">
        <v>994.2</v>
      </c>
      <c r="R347" t="s">
        <v>29</v>
      </c>
      <c r="S347">
        <v>8.2199758599879296</v>
      </c>
      <c r="T347" t="s">
        <v>78</v>
      </c>
    </row>
    <row r="348" spans="1:20" x14ac:dyDescent="0.25">
      <c r="A348" s="11">
        <v>44931</v>
      </c>
      <c r="B348" t="s">
        <v>30</v>
      </c>
      <c r="C348" t="s">
        <v>31</v>
      </c>
      <c r="D348" t="s">
        <v>49</v>
      </c>
      <c r="E348" t="s">
        <v>50</v>
      </c>
      <c r="F348">
        <v>596</v>
      </c>
      <c r="G348">
        <v>6.25</v>
      </c>
      <c r="H348">
        <v>3725</v>
      </c>
      <c r="I348" t="s">
        <v>26</v>
      </c>
      <c r="J348" t="s">
        <v>27</v>
      </c>
      <c r="K348" t="s">
        <v>28</v>
      </c>
      <c r="L348">
        <v>2734.89</v>
      </c>
      <c r="M348">
        <v>26.6</v>
      </c>
      <c r="N348">
        <v>2023</v>
      </c>
      <c r="O348">
        <v>1</v>
      </c>
      <c r="P348" t="s">
        <v>24</v>
      </c>
      <c r="Q348">
        <v>990.11</v>
      </c>
      <c r="R348" t="s">
        <v>25</v>
      </c>
      <c r="S348">
        <v>2.7622082394885417</v>
      </c>
      <c r="T348" t="s">
        <v>78</v>
      </c>
    </row>
    <row r="349" spans="1:20" x14ac:dyDescent="0.25">
      <c r="A349" s="11">
        <v>45042</v>
      </c>
      <c r="B349" t="s">
        <v>58</v>
      </c>
      <c r="C349" t="s">
        <v>59</v>
      </c>
      <c r="D349" t="s">
        <v>19</v>
      </c>
      <c r="E349" t="s">
        <v>20</v>
      </c>
      <c r="F349">
        <v>328</v>
      </c>
      <c r="G349">
        <v>8.74</v>
      </c>
      <c r="H349">
        <v>2866.72</v>
      </c>
      <c r="I349" t="s">
        <v>55</v>
      </c>
      <c r="J349" t="s">
        <v>34</v>
      </c>
      <c r="K349" t="s">
        <v>41</v>
      </c>
      <c r="L349">
        <v>1878.03</v>
      </c>
      <c r="M349">
        <v>34.5</v>
      </c>
      <c r="N349">
        <v>2023</v>
      </c>
      <c r="O349">
        <v>2</v>
      </c>
      <c r="P349" t="s">
        <v>64</v>
      </c>
      <c r="Q349">
        <v>988.69</v>
      </c>
      <c r="R349" t="s">
        <v>25</v>
      </c>
      <c r="S349">
        <v>1.8995134976585177</v>
      </c>
      <c r="T349" t="s">
        <v>78</v>
      </c>
    </row>
    <row r="350" spans="1:20" x14ac:dyDescent="0.25">
      <c r="A350" s="11">
        <v>45052</v>
      </c>
      <c r="B350" t="s">
        <v>30</v>
      </c>
      <c r="C350" t="s">
        <v>31</v>
      </c>
      <c r="D350" t="s">
        <v>37</v>
      </c>
      <c r="E350" t="s">
        <v>38</v>
      </c>
      <c r="F350">
        <v>469</v>
      </c>
      <c r="G350">
        <v>10.28</v>
      </c>
      <c r="H350">
        <v>4821.32</v>
      </c>
      <c r="I350" t="s">
        <v>46</v>
      </c>
      <c r="J350" t="s">
        <v>34</v>
      </c>
      <c r="K350" t="s">
        <v>28</v>
      </c>
      <c r="L350">
        <v>3832.87</v>
      </c>
      <c r="M350">
        <v>20.5</v>
      </c>
      <c r="N350">
        <v>2023</v>
      </c>
      <c r="O350">
        <v>2</v>
      </c>
      <c r="P350" t="s">
        <v>64</v>
      </c>
      <c r="Q350">
        <v>988.45</v>
      </c>
      <c r="R350" t="s">
        <v>29</v>
      </c>
      <c r="S350">
        <v>3.8776569376296219</v>
      </c>
      <c r="T350" t="s">
        <v>78</v>
      </c>
    </row>
    <row r="351" spans="1:20" x14ac:dyDescent="0.25">
      <c r="A351" s="11">
        <v>45013</v>
      </c>
      <c r="B351" t="s">
        <v>42</v>
      </c>
      <c r="C351" t="s">
        <v>43</v>
      </c>
      <c r="D351" t="s">
        <v>49</v>
      </c>
      <c r="E351" t="s">
        <v>50</v>
      </c>
      <c r="F351">
        <v>463</v>
      </c>
      <c r="G351">
        <v>5.65</v>
      </c>
      <c r="H351">
        <v>2615.9499999999998</v>
      </c>
      <c r="I351" t="s">
        <v>39</v>
      </c>
      <c r="J351" t="s">
        <v>22</v>
      </c>
      <c r="K351" t="s">
        <v>41</v>
      </c>
      <c r="L351">
        <v>1628.08</v>
      </c>
      <c r="M351">
        <v>37.799999999999997</v>
      </c>
      <c r="N351">
        <v>2023</v>
      </c>
      <c r="O351">
        <v>1</v>
      </c>
      <c r="P351" t="s">
        <v>62</v>
      </c>
      <c r="Q351">
        <v>987.87</v>
      </c>
      <c r="R351" t="s">
        <v>25</v>
      </c>
      <c r="S351">
        <v>1.6480711024729975</v>
      </c>
      <c r="T351" t="s">
        <v>78</v>
      </c>
    </row>
    <row r="352" spans="1:20" x14ac:dyDescent="0.25">
      <c r="A352" s="11">
        <v>44989</v>
      </c>
      <c r="B352" t="s">
        <v>17</v>
      </c>
      <c r="C352" t="s">
        <v>18</v>
      </c>
      <c r="D352" t="s">
        <v>37</v>
      </c>
      <c r="E352" t="s">
        <v>38</v>
      </c>
      <c r="F352">
        <v>426</v>
      </c>
      <c r="G352">
        <v>5.98</v>
      </c>
      <c r="H352">
        <v>2547.48</v>
      </c>
      <c r="I352" t="s">
        <v>55</v>
      </c>
      <c r="J352" t="s">
        <v>22</v>
      </c>
      <c r="K352" t="s">
        <v>41</v>
      </c>
      <c r="L352">
        <v>1562.69</v>
      </c>
      <c r="M352">
        <v>38.700000000000003</v>
      </c>
      <c r="N352">
        <v>2023</v>
      </c>
      <c r="O352">
        <v>1</v>
      </c>
      <c r="P352" t="s">
        <v>61</v>
      </c>
      <c r="Q352">
        <v>984.79</v>
      </c>
      <c r="R352" t="s">
        <v>25</v>
      </c>
      <c r="S352">
        <v>1.5868256176443709</v>
      </c>
      <c r="T352" t="s">
        <v>78</v>
      </c>
    </row>
    <row r="353" spans="1:20" x14ac:dyDescent="0.25">
      <c r="A353" s="11">
        <v>45067</v>
      </c>
      <c r="B353" t="s">
        <v>30</v>
      </c>
      <c r="C353" t="s">
        <v>31</v>
      </c>
      <c r="D353" t="s">
        <v>19</v>
      </c>
      <c r="E353" t="s">
        <v>20</v>
      </c>
      <c r="F353">
        <v>491</v>
      </c>
      <c r="G353">
        <v>6.19</v>
      </c>
      <c r="H353">
        <v>3039.29</v>
      </c>
      <c r="I353" t="s">
        <v>33</v>
      </c>
      <c r="J353" t="s">
        <v>40</v>
      </c>
      <c r="K353" t="s">
        <v>41</v>
      </c>
      <c r="L353">
        <v>2055.62</v>
      </c>
      <c r="M353">
        <v>32.4</v>
      </c>
      <c r="N353">
        <v>2023</v>
      </c>
      <c r="O353">
        <v>2</v>
      </c>
      <c r="P353" t="s">
        <v>66</v>
      </c>
      <c r="Q353">
        <v>983.67</v>
      </c>
      <c r="R353" t="s">
        <v>25</v>
      </c>
      <c r="S353">
        <v>2.0897455447456972</v>
      </c>
      <c r="T353" t="s">
        <v>78</v>
      </c>
    </row>
    <row r="354" spans="1:20" x14ac:dyDescent="0.25">
      <c r="A354" s="11">
        <v>45085</v>
      </c>
      <c r="B354" t="s">
        <v>51</v>
      </c>
      <c r="C354" t="s">
        <v>52</v>
      </c>
      <c r="D354" t="s">
        <v>49</v>
      </c>
      <c r="E354" t="s">
        <v>50</v>
      </c>
      <c r="F354">
        <v>511</v>
      </c>
      <c r="G354">
        <v>11.38</v>
      </c>
      <c r="H354">
        <v>5815.18</v>
      </c>
      <c r="I354" t="s">
        <v>54</v>
      </c>
      <c r="J354" t="s">
        <v>34</v>
      </c>
      <c r="K354" t="s">
        <v>28</v>
      </c>
      <c r="L354">
        <v>4831.82</v>
      </c>
      <c r="M354">
        <v>16.899999999999999</v>
      </c>
      <c r="N354">
        <v>2023</v>
      </c>
      <c r="O354">
        <v>2</v>
      </c>
      <c r="P354" t="s">
        <v>68</v>
      </c>
      <c r="Q354">
        <v>983.36</v>
      </c>
      <c r="R354" t="s">
        <v>29</v>
      </c>
      <c r="S354">
        <v>4.9135820045558081</v>
      </c>
      <c r="T354" t="s">
        <v>78</v>
      </c>
    </row>
    <row r="355" spans="1:20" x14ac:dyDescent="0.25">
      <c r="A355" s="11">
        <v>45098</v>
      </c>
      <c r="B355" t="s">
        <v>42</v>
      </c>
      <c r="C355" t="s">
        <v>43</v>
      </c>
      <c r="D355" t="s">
        <v>37</v>
      </c>
      <c r="E355" t="s">
        <v>38</v>
      </c>
      <c r="F355">
        <v>348</v>
      </c>
      <c r="G355">
        <v>9.26</v>
      </c>
      <c r="H355">
        <v>3222.48</v>
      </c>
      <c r="I355" t="s">
        <v>46</v>
      </c>
      <c r="J355" t="s">
        <v>47</v>
      </c>
      <c r="K355" t="s">
        <v>28</v>
      </c>
      <c r="L355">
        <v>2244.12</v>
      </c>
      <c r="M355">
        <v>30.4</v>
      </c>
      <c r="N355">
        <v>2024</v>
      </c>
      <c r="O355">
        <v>2</v>
      </c>
      <c r="P355" t="s">
        <v>24</v>
      </c>
      <c r="Q355">
        <v>978.36</v>
      </c>
      <c r="R355" t="s">
        <v>25</v>
      </c>
      <c r="S355">
        <v>2.2937568993008708</v>
      </c>
      <c r="T355" t="s">
        <v>78</v>
      </c>
    </row>
    <row r="356" spans="1:20" x14ac:dyDescent="0.25">
      <c r="A356" s="11">
        <v>45067</v>
      </c>
      <c r="B356" t="s">
        <v>58</v>
      </c>
      <c r="C356" t="s">
        <v>59</v>
      </c>
      <c r="D356" t="s">
        <v>48</v>
      </c>
      <c r="E356" t="s">
        <v>38</v>
      </c>
      <c r="F356">
        <v>660</v>
      </c>
      <c r="G356">
        <v>5.28</v>
      </c>
      <c r="H356">
        <v>3484.8</v>
      </c>
      <c r="I356" t="s">
        <v>55</v>
      </c>
      <c r="J356" t="s">
        <v>40</v>
      </c>
      <c r="K356" t="s">
        <v>23</v>
      </c>
      <c r="L356">
        <v>2507.59</v>
      </c>
      <c r="M356">
        <v>28</v>
      </c>
      <c r="N356">
        <v>2023</v>
      </c>
      <c r="O356">
        <v>2</v>
      </c>
      <c r="P356" t="s">
        <v>66</v>
      </c>
      <c r="Q356">
        <v>977.21</v>
      </c>
      <c r="R356" t="s">
        <v>25</v>
      </c>
      <c r="S356">
        <v>2.5660707524482969</v>
      </c>
      <c r="T356" t="s">
        <v>78</v>
      </c>
    </row>
    <row r="357" spans="1:20" x14ac:dyDescent="0.25">
      <c r="A357" s="11">
        <v>45029</v>
      </c>
      <c r="B357" t="s">
        <v>17</v>
      </c>
      <c r="C357" t="s">
        <v>18</v>
      </c>
      <c r="D357" t="s">
        <v>53</v>
      </c>
      <c r="E357" t="s">
        <v>50</v>
      </c>
      <c r="F357">
        <v>372</v>
      </c>
      <c r="G357">
        <v>10.29</v>
      </c>
      <c r="H357">
        <v>3827.88</v>
      </c>
      <c r="I357" t="s">
        <v>55</v>
      </c>
      <c r="J357" t="s">
        <v>27</v>
      </c>
      <c r="K357" t="s">
        <v>41</v>
      </c>
      <c r="L357">
        <v>2851.42</v>
      </c>
      <c r="M357">
        <v>25.5</v>
      </c>
      <c r="N357">
        <v>2023</v>
      </c>
      <c r="O357">
        <v>2</v>
      </c>
      <c r="P357" t="s">
        <v>63</v>
      </c>
      <c r="Q357">
        <v>976.46</v>
      </c>
      <c r="R357" t="s">
        <v>25</v>
      </c>
      <c r="S357">
        <v>2.9201605800544823</v>
      </c>
      <c r="T357" t="s">
        <v>78</v>
      </c>
    </row>
    <row r="358" spans="1:20" x14ac:dyDescent="0.25">
      <c r="A358" s="11">
        <v>45035</v>
      </c>
      <c r="B358" t="s">
        <v>51</v>
      </c>
      <c r="C358" t="s">
        <v>52</v>
      </c>
      <c r="D358" t="s">
        <v>48</v>
      </c>
      <c r="E358" t="s">
        <v>38</v>
      </c>
      <c r="F358">
        <v>600</v>
      </c>
      <c r="G358">
        <v>10.11</v>
      </c>
      <c r="H358">
        <v>6066</v>
      </c>
      <c r="I358" t="s">
        <v>54</v>
      </c>
      <c r="J358" t="s">
        <v>40</v>
      </c>
      <c r="K358" t="s">
        <v>23</v>
      </c>
      <c r="L358">
        <v>5092.08</v>
      </c>
      <c r="M358">
        <v>16.100000000000001</v>
      </c>
      <c r="N358">
        <v>2023</v>
      </c>
      <c r="O358">
        <v>2</v>
      </c>
      <c r="P358" t="s">
        <v>63</v>
      </c>
      <c r="Q358">
        <v>973.92</v>
      </c>
      <c r="R358" t="s">
        <v>29</v>
      </c>
      <c r="S358">
        <v>5.2284376540167568</v>
      </c>
      <c r="T358" t="s">
        <v>78</v>
      </c>
    </row>
    <row r="359" spans="1:20" x14ac:dyDescent="0.25">
      <c r="A359" s="11">
        <v>44941</v>
      </c>
      <c r="B359" t="s">
        <v>30</v>
      </c>
      <c r="C359" t="s">
        <v>31</v>
      </c>
      <c r="D359" t="s">
        <v>48</v>
      </c>
      <c r="E359" t="s">
        <v>38</v>
      </c>
      <c r="F359">
        <v>700</v>
      </c>
      <c r="G359">
        <v>7.18</v>
      </c>
      <c r="H359">
        <v>5026</v>
      </c>
      <c r="I359" t="s">
        <v>33</v>
      </c>
      <c r="J359" t="s">
        <v>27</v>
      </c>
      <c r="K359" t="s">
        <v>41</v>
      </c>
      <c r="L359">
        <v>4053.1</v>
      </c>
      <c r="M359">
        <v>19.399999999999999</v>
      </c>
      <c r="N359">
        <v>2023</v>
      </c>
      <c r="O359">
        <v>1</v>
      </c>
      <c r="P359" t="s">
        <v>24</v>
      </c>
      <c r="Q359">
        <v>972.9</v>
      </c>
      <c r="R359" t="s">
        <v>29</v>
      </c>
      <c r="S359">
        <v>4.1659985610031862</v>
      </c>
      <c r="T359" t="s">
        <v>78</v>
      </c>
    </row>
    <row r="360" spans="1:20" x14ac:dyDescent="0.25">
      <c r="A360" s="11">
        <v>45016</v>
      </c>
      <c r="B360" t="s">
        <v>58</v>
      </c>
      <c r="C360" t="s">
        <v>59</v>
      </c>
      <c r="D360" t="s">
        <v>53</v>
      </c>
      <c r="E360" t="s">
        <v>50</v>
      </c>
      <c r="F360">
        <v>571</v>
      </c>
      <c r="G360">
        <v>4.95</v>
      </c>
      <c r="H360">
        <v>2826.45</v>
      </c>
      <c r="I360" t="s">
        <v>55</v>
      </c>
      <c r="J360" t="s">
        <v>56</v>
      </c>
      <c r="K360" t="s">
        <v>23</v>
      </c>
      <c r="L360">
        <v>1859.88</v>
      </c>
      <c r="M360">
        <v>34.200000000000003</v>
      </c>
      <c r="N360">
        <v>2023</v>
      </c>
      <c r="O360">
        <v>1</v>
      </c>
      <c r="P360" t="s">
        <v>62</v>
      </c>
      <c r="Q360">
        <v>966.57</v>
      </c>
      <c r="R360" t="s">
        <v>25</v>
      </c>
      <c r="S360">
        <v>1.9242062137248208</v>
      </c>
      <c r="T360" t="s">
        <v>78</v>
      </c>
    </row>
    <row r="361" spans="1:20" x14ac:dyDescent="0.25">
      <c r="A361" s="11">
        <v>45022</v>
      </c>
      <c r="B361" t="s">
        <v>42</v>
      </c>
      <c r="C361" t="s">
        <v>43</v>
      </c>
      <c r="D361" t="s">
        <v>49</v>
      </c>
      <c r="E361" t="s">
        <v>50</v>
      </c>
      <c r="F361">
        <v>702</v>
      </c>
      <c r="G361">
        <v>11.79</v>
      </c>
      <c r="H361">
        <v>8276.58</v>
      </c>
      <c r="I361" t="s">
        <v>39</v>
      </c>
      <c r="J361" t="s">
        <v>56</v>
      </c>
      <c r="K361" t="s">
        <v>28</v>
      </c>
      <c r="L361">
        <v>7310.19</v>
      </c>
      <c r="M361">
        <v>11.7</v>
      </c>
      <c r="N361">
        <v>2023</v>
      </c>
      <c r="O361">
        <v>2</v>
      </c>
      <c r="P361" t="s">
        <v>62</v>
      </c>
      <c r="Q361">
        <v>966.39</v>
      </c>
      <c r="R361" t="s">
        <v>29</v>
      </c>
      <c r="S361">
        <v>7.564430509421662</v>
      </c>
      <c r="T361" t="s">
        <v>78</v>
      </c>
    </row>
    <row r="362" spans="1:20" x14ac:dyDescent="0.25">
      <c r="A362" s="11">
        <v>44938</v>
      </c>
      <c r="B362" t="s">
        <v>51</v>
      </c>
      <c r="C362" t="s">
        <v>52</v>
      </c>
      <c r="D362" t="s">
        <v>19</v>
      </c>
      <c r="E362" t="s">
        <v>20</v>
      </c>
      <c r="F362">
        <v>379</v>
      </c>
      <c r="G362">
        <v>8.59</v>
      </c>
      <c r="H362">
        <v>3255.61</v>
      </c>
      <c r="I362" t="s">
        <v>55</v>
      </c>
      <c r="J362" t="s">
        <v>40</v>
      </c>
      <c r="K362" t="s">
        <v>41</v>
      </c>
      <c r="L362">
        <v>2291.33</v>
      </c>
      <c r="M362">
        <v>29.6</v>
      </c>
      <c r="N362">
        <v>2023</v>
      </c>
      <c r="O362">
        <v>1</v>
      </c>
      <c r="P362" t="s">
        <v>24</v>
      </c>
      <c r="Q362">
        <v>964.28</v>
      </c>
      <c r="R362" t="s">
        <v>25</v>
      </c>
      <c r="S362">
        <v>2.3762081553075869</v>
      </c>
      <c r="T362" t="s">
        <v>78</v>
      </c>
    </row>
    <row r="363" spans="1:20" x14ac:dyDescent="0.25">
      <c r="A363" s="11">
        <v>45030</v>
      </c>
      <c r="B363" t="s">
        <v>58</v>
      </c>
      <c r="C363" t="s">
        <v>59</v>
      </c>
      <c r="D363" t="s">
        <v>32</v>
      </c>
      <c r="E363" t="s">
        <v>20</v>
      </c>
      <c r="F363">
        <v>915</v>
      </c>
      <c r="G363">
        <v>5.38</v>
      </c>
      <c r="H363">
        <v>4922.7</v>
      </c>
      <c r="I363" t="s">
        <v>26</v>
      </c>
      <c r="J363" t="s">
        <v>27</v>
      </c>
      <c r="K363" t="s">
        <v>28</v>
      </c>
      <c r="L363">
        <v>3958.78</v>
      </c>
      <c r="M363">
        <v>19.600000000000001</v>
      </c>
      <c r="N363">
        <v>2023</v>
      </c>
      <c r="O363">
        <v>2</v>
      </c>
      <c r="P363" t="s">
        <v>63</v>
      </c>
      <c r="Q363">
        <v>963.92</v>
      </c>
      <c r="R363" t="s">
        <v>29</v>
      </c>
      <c r="S363">
        <v>4.1069590837413896</v>
      </c>
      <c r="T363" t="s">
        <v>78</v>
      </c>
    </row>
    <row r="364" spans="1:20" x14ac:dyDescent="0.25">
      <c r="A364" s="11">
        <v>45063</v>
      </c>
      <c r="B364" t="s">
        <v>35</v>
      </c>
      <c r="C364" t="s">
        <v>36</v>
      </c>
      <c r="D364" t="s">
        <v>53</v>
      </c>
      <c r="E364" t="s">
        <v>50</v>
      </c>
      <c r="F364">
        <v>730</v>
      </c>
      <c r="G364">
        <v>6.28</v>
      </c>
      <c r="H364">
        <v>4584.3999999999996</v>
      </c>
      <c r="I364" t="s">
        <v>33</v>
      </c>
      <c r="J364" t="s">
        <v>22</v>
      </c>
      <c r="K364" t="s">
        <v>28</v>
      </c>
      <c r="L364">
        <v>3622.66</v>
      </c>
      <c r="M364">
        <v>21</v>
      </c>
      <c r="N364">
        <v>2023</v>
      </c>
      <c r="O364">
        <v>2</v>
      </c>
      <c r="P364" t="s">
        <v>65</v>
      </c>
      <c r="Q364">
        <v>961.74</v>
      </c>
      <c r="R364" t="s">
        <v>29</v>
      </c>
      <c r="S364">
        <v>3.7667768835652047</v>
      </c>
      <c r="T364" t="s">
        <v>78</v>
      </c>
    </row>
    <row r="365" spans="1:20" x14ac:dyDescent="0.25">
      <c r="A365" s="11">
        <v>45088</v>
      </c>
      <c r="B365" t="s">
        <v>17</v>
      </c>
      <c r="C365" t="s">
        <v>18</v>
      </c>
      <c r="D365" t="s">
        <v>44</v>
      </c>
      <c r="E365" t="s">
        <v>38</v>
      </c>
      <c r="F365">
        <v>442</v>
      </c>
      <c r="G365">
        <v>8.7899999999999991</v>
      </c>
      <c r="H365">
        <v>3885.18</v>
      </c>
      <c r="I365" t="s">
        <v>54</v>
      </c>
      <c r="J365" t="s">
        <v>34</v>
      </c>
      <c r="K365" t="s">
        <v>23</v>
      </c>
      <c r="L365">
        <v>2928.21</v>
      </c>
      <c r="M365">
        <v>24.6</v>
      </c>
      <c r="N365">
        <v>2023</v>
      </c>
      <c r="O365">
        <v>2</v>
      </c>
      <c r="P365" t="s">
        <v>69</v>
      </c>
      <c r="Q365">
        <v>956.97</v>
      </c>
      <c r="R365" t="s">
        <v>29</v>
      </c>
      <c r="S365">
        <v>3.0598764851562743</v>
      </c>
      <c r="T365" t="s">
        <v>78</v>
      </c>
    </row>
    <row r="366" spans="1:20" x14ac:dyDescent="0.25">
      <c r="A366" s="11">
        <v>44951</v>
      </c>
      <c r="B366" t="s">
        <v>35</v>
      </c>
      <c r="C366" t="s">
        <v>36</v>
      </c>
      <c r="D366" t="s">
        <v>37</v>
      </c>
      <c r="E366" t="s">
        <v>38</v>
      </c>
      <c r="F366">
        <v>850</v>
      </c>
      <c r="G366">
        <v>5.83</v>
      </c>
      <c r="H366">
        <v>4955.5</v>
      </c>
      <c r="I366" t="s">
        <v>21</v>
      </c>
      <c r="J366" t="s">
        <v>40</v>
      </c>
      <c r="K366" t="s">
        <v>23</v>
      </c>
      <c r="L366">
        <v>3999.01</v>
      </c>
      <c r="M366">
        <v>19.3</v>
      </c>
      <c r="N366">
        <v>2023</v>
      </c>
      <c r="O366">
        <v>1</v>
      </c>
      <c r="P366" t="s">
        <v>24</v>
      </c>
      <c r="Q366">
        <v>956.49</v>
      </c>
      <c r="R366" t="s">
        <v>29</v>
      </c>
      <c r="S366">
        <v>4.1809219124089116</v>
      </c>
      <c r="T366" t="s">
        <v>78</v>
      </c>
    </row>
    <row r="367" spans="1:20" x14ac:dyDescent="0.25">
      <c r="A367" s="11">
        <v>44961</v>
      </c>
      <c r="B367" t="s">
        <v>51</v>
      </c>
      <c r="C367" t="s">
        <v>52</v>
      </c>
      <c r="D367" t="s">
        <v>48</v>
      </c>
      <c r="E367" t="s">
        <v>38</v>
      </c>
      <c r="F367">
        <v>671</v>
      </c>
      <c r="G367">
        <v>10.88</v>
      </c>
      <c r="H367">
        <v>7300.48</v>
      </c>
      <c r="I367" t="s">
        <v>57</v>
      </c>
      <c r="J367" t="s">
        <v>47</v>
      </c>
      <c r="K367" t="s">
        <v>23</v>
      </c>
      <c r="L367">
        <v>6347.37</v>
      </c>
      <c r="M367">
        <v>13.1</v>
      </c>
      <c r="N367">
        <v>2023</v>
      </c>
      <c r="O367">
        <v>1</v>
      </c>
      <c r="P367" t="s">
        <v>60</v>
      </c>
      <c r="Q367">
        <v>953.11</v>
      </c>
      <c r="R367" t="s">
        <v>29</v>
      </c>
      <c r="S367">
        <v>6.6596405451626781</v>
      </c>
      <c r="T367" t="s">
        <v>78</v>
      </c>
    </row>
    <row r="368" spans="1:20" x14ac:dyDescent="0.25">
      <c r="A368" s="11">
        <v>44929</v>
      </c>
      <c r="B368" t="s">
        <v>17</v>
      </c>
      <c r="C368" t="s">
        <v>18</v>
      </c>
      <c r="D368" t="s">
        <v>48</v>
      </c>
      <c r="E368" t="s">
        <v>38</v>
      </c>
      <c r="F368">
        <v>889</v>
      </c>
      <c r="G368">
        <v>6.26</v>
      </c>
      <c r="H368">
        <v>5565.14</v>
      </c>
      <c r="I368" t="s">
        <v>33</v>
      </c>
      <c r="J368" t="s">
        <v>22</v>
      </c>
      <c r="K368" t="s">
        <v>23</v>
      </c>
      <c r="L368">
        <v>4612.24</v>
      </c>
      <c r="M368">
        <v>17.100000000000001</v>
      </c>
      <c r="N368">
        <v>2023</v>
      </c>
      <c r="O368">
        <v>1</v>
      </c>
      <c r="P368" t="s">
        <v>24</v>
      </c>
      <c r="Q368">
        <v>952.9</v>
      </c>
      <c r="R368" t="s">
        <v>29</v>
      </c>
      <c r="S368">
        <v>4.8402140833245877</v>
      </c>
      <c r="T368" t="s">
        <v>78</v>
      </c>
    </row>
    <row r="369" spans="1:20" x14ac:dyDescent="0.25">
      <c r="A369" s="11">
        <v>45037</v>
      </c>
      <c r="B369" t="s">
        <v>30</v>
      </c>
      <c r="C369" t="s">
        <v>31</v>
      </c>
      <c r="D369" t="s">
        <v>44</v>
      </c>
      <c r="E369" t="s">
        <v>38</v>
      </c>
      <c r="F369">
        <v>847</v>
      </c>
      <c r="G369">
        <v>3.56</v>
      </c>
      <c r="H369">
        <v>3015.32</v>
      </c>
      <c r="I369" t="s">
        <v>21</v>
      </c>
      <c r="J369" t="s">
        <v>47</v>
      </c>
      <c r="K369" t="s">
        <v>28</v>
      </c>
      <c r="L369">
        <v>2062.65</v>
      </c>
      <c r="M369">
        <v>31.6</v>
      </c>
      <c r="N369">
        <v>2023</v>
      </c>
      <c r="O369">
        <v>2</v>
      </c>
      <c r="P369" t="s">
        <v>63</v>
      </c>
      <c r="Q369">
        <v>952.67</v>
      </c>
      <c r="R369" t="s">
        <v>25</v>
      </c>
      <c r="S369">
        <v>2.1651253844458207</v>
      </c>
      <c r="T369" t="s">
        <v>78</v>
      </c>
    </row>
    <row r="370" spans="1:20" x14ac:dyDescent="0.25">
      <c r="A370" s="11">
        <v>44941</v>
      </c>
      <c r="B370" t="s">
        <v>42</v>
      </c>
      <c r="C370" t="s">
        <v>43</v>
      </c>
      <c r="D370" t="s">
        <v>53</v>
      </c>
      <c r="E370" t="s">
        <v>50</v>
      </c>
      <c r="F370">
        <v>685</v>
      </c>
      <c r="G370">
        <v>6.56</v>
      </c>
      <c r="H370">
        <v>4493.6000000000004</v>
      </c>
      <c r="I370" t="s">
        <v>55</v>
      </c>
      <c r="J370" t="s">
        <v>27</v>
      </c>
      <c r="K370" t="s">
        <v>28</v>
      </c>
      <c r="L370">
        <v>3546.29</v>
      </c>
      <c r="M370">
        <v>21.1</v>
      </c>
      <c r="N370">
        <v>2023</v>
      </c>
      <c r="O370">
        <v>1</v>
      </c>
      <c r="P370" t="s">
        <v>24</v>
      </c>
      <c r="Q370">
        <v>947.31</v>
      </c>
      <c r="R370" t="s">
        <v>29</v>
      </c>
      <c r="S370">
        <v>3.7435369625571355</v>
      </c>
      <c r="T370" t="s">
        <v>78</v>
      </c>
    </row>
    <row r="371" spans="1:20" x14ac:dyDescent="0.25">
      <c r="A371" s="11">
        <v>45016</v>
      </c>
      <c r="B371" t="s">
        <v>51</v>
      </c>
      <c r="C371" t="s">
        <v>52</v>
      </c>
      <c r="D371" t="s">
        <v>32</v>
      </c>
      <c r="E371" t="s">
        <v>20</v>
      </c>
      <c r="F371">
        <v>346</v>
      </c>
      <c r="G371">
        <v>7.58</v>
      </c>
      <c r="H371">
        <v>2622.68</v>
      </c>
      <c r="I371" t="s">
        <v>26</v>
      </c>
      <c r="J371" t="s">
        <v>47</v>
      </c>
      <c r="K371" t="s">
        <v>23</v>
      </c>
      <c r="L371">
        <v>1676.57</v>
      </c>
      <c r="M371">
        <v>36.1</v>
      </c>
      <c r="N371">
        <v>2023</v>
      </c>
      <c r="O371">
        <v>1</v>
      </c>
      <c r="P371" t="s">
        <v>62</v>
      </c>
      <c r="Q371">
        <v>946.11</v>
      </c>
      <c r="R371" t="s">
        <v>25</v>
      </c>
      <c r="S371">
        <v>1.7720666730084238</v>
      </c>
      <c r="T371" t="s">
        <v>78</v>
      </c>
    </row>
    <row r="372" spans="1:20" x14ac:dyDescent="0.25">
      <c r="A372" s="11">
        <v>45090</v>
      </c>
      <c r="B372" t="s">
        <v>58</v>
      </c>
      <c r="C372" t="s">
        <v>59</v>
      </c>
      <c r="D372" t="s">
        <v>48</v>
      </c>
      <c r="E372" t="s">
        <v>38</v>
      </c>
      <c r="F372">
        <v>564</v>
      </c>
      <c r="G372">
        <v>9.3699999999999992</v>
      </c>
      <c r="H372">
        <v>5284.68</v>
      </c>
      <c r="I372" t="s">
        <v>39</v>
      </c>
      <c r="J372" t="s">
        <v>56</v>
      </c>
      <c r="K372" t="s">
        <v>41</v>
      </c>
      <c r="L372">
        <v>4341.97</v>
      </c>
      <c r="M372">
        <v>17.8</v>
      </c>
      <c r="N372">
        <v>2023</v>
      </c>
      <c r="O372">
        <v>2</v>
      </c>
      <c r="P372" t="s">
        <v>69</v>
      </c>
      <c r="Q372">
        <v>942.71</v>
      </c>
      <c r="R372" t="s">
        <v>29</v>
      </c>
      <c r="S372">
        <v>4.6058384869153821</v>
      </c>
      <c r="T372" t="s">
        <v>78</v>
      </c>
    </row>
    <row r="373" spans="1:20" x14ac:dyDescent="0.25">
      <c r="A373" s="11">
        <v>45128</v>
      </c>
      <c r="B373" t="s">
        <v>58</v>
      </c>
      <c r="C373" t="s">
        <v>59</v>
      </c>
      <c r="D373" t="s">
        <v>19</v>
      </c>
      <c r="E373" t="s">
        <v>20</v>
      </c>
      <c r="F373">
        <v>569</v>
      </c>
      <c r="G373">
        <v>6.67</v>
      </c>
      <c r="H373">
        <v>3795.23</v>
      </c>
      <c r="I373" t="s">
        <v>39</v>
      </c>
      <c r="J373" t="s">
        <v>27</v>
      </c>
      <c r="K373" t="s">
        <v>23</v>
      </c>
      <c r="L373">
        <v>2853.9</v>
      </c>
      <c r="M373">
        <v>24.8</v>
      </c>
      <c r="N373">
        <v>2025</v>
      </c>
      <c r="O373">
        <v>3</v>
      </c>
      <c r="P373" t="s">
        <v>60</v>
      </c>
      <c r="Q373">
        <v>941.33</v>
      </c>
      <c r="R373" t="s">
        <v>29</v>
      </c>
      <c r="S373">
        <v>3.0317741918349568</v>
      </c>
      <c r="T373" t="s">
        <v>78</v>
      </c>
    </row>
    <row r="374" spans="1:20" x14ac:dyDescent="0.25">
      <c r="A374" s="11">
        <v>44961</v>
      </c>
      <c r="B374" t="s">
        <v>51</v>
      </c>
      <c r="C374" t="s">
        <v>52</v>
      </c>
      <c r="D374" t="s">
        <v>53</v>
      </c>
      <c r="E374" t="s">
        <v>50</v>
      </c>
      <c r="F374">
        <v>633</v>
      </c>
      <c r="G374">
        <v>4.0999999999999996</v>
      </c>
      <c r="H374">
        <v>2595.3000000000002</v>
      </c>
      <c r="I374" t="s">
        <v>55</v>
      </c>
      <c r="J374" t="s">
        <v>22</v>
      </c>
      <c r="K374" t="s">
        <v>28</v>
      </c>
      <c r="L374">
        <v>1655.82</v>
      </c>
      <c r="M374">
        <v>36.200000000000003</v>
      </c>
      <c r="N374">
        <v>2023</v>
      </c>
      <c r="O374">
        <v>1</v>
      </c>
      <c r="P374" t="s">
        <v>60</v>
      </c>
      <c r="Q374">
        <v>939.48</v>
      </c>
      <c r="R374" t="s">
        <v>25</v>
      </c>
      <c r="S374">
        <v>1.7624856303487035</v>
      </c>
      <c r="T374" t="s">
        <v>78</v>
      </c>
    </row>
    <row r="375" spans="1:20" x14ac:dyDescent="0.25">
      <c r="A375" s="11">
        <v>44951</v>
      </c>
      <c r="B375" t="s">
        <v>17</v>
      </c>
      <c r="C375" t="s">
        <v>18</v>
      </c>
      <c r="D375" t="s">
        <v>32</v>
      </c>
      <c r="E375" t="s">
        <v>20</v>
      </c>
      <c r="F375">
        <v>431</v>
      </c>
      <c r="G375">
        <v>8.06</v>
      </c>
      <c r="H375">
        <v>3473.86</v>
      </c>
      <c r="I375" t="s">
        <v>55</v>
      </c>
      <c r="J375" t="s">
        <v>47</v>
      </c>
      <c r="K375" t="s">
        <v>23</v>
      </c>
      <c r="L375">
        <v>2535.63</v>
      </c>
      <c r="M375">
        <v>27</v>
      </c>
      <c r="N375">
        <v>2023</v>
      </c>
      <c r="O375">
        <v>1</v>
      </c>
      <c r="P375" t="s">
        <v>24</v>
      </c>
      <c r="Q375">
        <v>938.23</v>
      </c>
      <c r="R375" t="s">
        <v>25</v>
      </c>
      <c r="S375">
        <v>2.7025676006949255</v>
      </c>
      <c r="T375" t="s">
        <v>78</v>
      </c>
    </row>
    <row r="376" spans="1:20" x14ac:dyDescent="0.25">
      <c r="A376" s="11">
        <v>45005</v>
      </c>
      <c r="B376" t="s">
        <v>17</v>
      </c>
      <c r="C376" t="s">
        <v>18</v>
      </c>
      <c r="D376" t="s">
        <v>53</v>
      </c>
      <c r="E376" t="s">
        <v>50</v>
      </c>
      <c r="F376">
        <v>659</v>
      </c>
      <c r="G376">
        <v>9.0399999999999991</v>
      </c>
      <c r="H376">
        <v>5957.36</v>
      </c>
      <c r="I376" t="s">
        <v>46</v>
      </c>
      <c r="J376" t="s">
        <v>40</v>
      </c>
      <c r="K376" t="s">
        <v>28</v>
      </c>
      <c r="L376">
        <v>5020.5600000000004</v>
      </c>
      <c r="M376">
        <v>15.7</v>
      </c>
      <c r="N376">
        <v>2023</v>
      </c>
      <c r="O376">
        <v>1</v>
      </c>
      <c r="P376" t="s">
        <v>62</v>
      </c>
      <c r="Q376">
        <v>936.8</v>
      </c>
      <c r="R376" t="s">
        <v>29</v>
      </c>
      <c r="S376">
        <v>5.3592655849701121</v>
      </c>
      <c r="T376" t="s">
        <v>78</v>
      </c>
    </row>
    <row r="377" spans="1:20" x14ac:dyDescent="0.25">
      <c r="A377" s="11">
        <v>45122</v>
      </c>
      <c r="B377" t="s">
        <v>42</v>
      </c>
      <c r="C377" t="s">
        <v>43</v>
      </c>
      <c r="D377" t="s">
        <v>45</v>
      </c>
      <c r="E377" t="s">
        <v>20</v>
      </c>
      <c r="F377">
        <v>563</v>
      </c>
      <c r="G377">
        <v>11.91</v>
      </c>
      <c r="H377">
        <v>6705.33</v>
      </c>
      <c r="I377" t="s">
        <v>26</v>
      </c>
      <c r="J377" t="s">
        <v>34</v>
      </c>
      <c r="K377" t="s">
        <v>28</v>
      </c>
      <c r="L377">
        <v>5772.85</v>
      </c>
      <c r="M377">
        <v>13.9</v>
      </c>
      <c r="N377">
        <v>2024</v>
      </c>
      <c r="O377">
        <v>3</v>
      </c>
      <c r="P377" t="s">
        <v>66</v>
      </c>
      <c r="Q377">
        <v>932.48</v>
      </c>
      <c r="R377" t="s">
        <v>29</v>
      </c>
      <c r="S377">
        <v>6.1908566403568983</v>
      </c>
      <c r="T377" t="s">
        <v>78</v>
      </c>
    </row>
    <row r="378" spans="1:20" x14ac:dyDescent="0.25">
      <c r="A378" s="11">
        <v>45132</v>
      </c>
      <c r="B378" t="s">
        <v>42</v>
      </c>
      <c r="C378" t="s">
        <v>43</v>
      </c>
      <c r="D378" t="s">
        <v>45</v>
      </c>
      <c r="E378" t="s">
        <v>20</v>
      </c>
      <c r="F378">
        <v>278</v>
      </c>
      <c r="G378">
        <v>8.39</v>
      </c>
      <c r="H378">
        <v>2332.42</v>
      </c>
      <c r="I378" t="s">
        <v>57</v>
      </c>
      <c r="J378" t="s">
        <v>34</v>
      </c>
      <c r="K378" t="s">
        <v>41</v>
      </c>
      <c r="L378">
        <v>1400.05</v>
      </c>
      <c r="M378">
        <v>40</v>
      </c>
      <c r="N378">
        <v>2025</v>
      </c>
      <c r="O378">
        <v>3</v>
      </c>
      <c r="P378" t="s">
        <v>68</v>
      </c>
      <c r="Q378">
        <v>932.37</v>
      </c>
      <c r="R378" t="s">
        <v>25</v>
      </c>
      <c r="S378">
        <v>1.501603440694145</v>
      </c>
      <c r="T378" t="s">
        <v>78</v>
      </c>
    </row>
    <row r="379" spans="1:20" x14ac:dyDescent="0.25">
      <c r="A379" s="11">
        <v>45103</v>
      </c>
      <c r="B379" t="s">
        <v>35</v>
      </c>
      <c r="C379" t="s">
        <v>36</v>
      </c>
      <c r="D379" t="s">
        <v>19</v>
      </c>
      <c r="E379" t="s">
        <v>20</v>
      </c>
      <c r="F379">
        <v>390</v>
      </c>
      <c r="G379">
        <v>11.89</v>
      </c>
      <c r="H379">
        <v>4637.1000000000004</v>
      </c>
      <c r="I379" t="s">
        <v>57</v>
      </c>
      <c r="J379" t="s">
        <v>27</v>
      </c>
      <c r="K379" t="s">
        <v>23</v>
      </c>
      <c r="L379">
        <v>3705.14</v>
      </c>
      <c r="M379">
        <v>20.100000000000001</v>
      </c>
      <c r="N379">
        <v>2024</v>
      </c>
      <c r="O379">
        <v>2</v>
      </c>
      <c r="P379" t="s">
        <v>24</v>
      </c>
      <c r="Q379">
        <v>931.96</v>
      </c>
      <c r="R379" t="s">
        <v>29</v>
      </c>
      <c r="S379">
        <v>3.9756427314477012</v>
      </c>
      <c r="T379" t="s">
        <v>78</v>
      </c>
    </row>
    <row r="380" spans="1:20" x14ac:dyDescent="0.25">
      <c r="A380" s="11">
        <v>44976</v>
      </c>
      <c r="B380" t="s">
        <v>17</v>
      </c>
      <c r="C380" t="s">
        <v>18</v>
      </c>
      <c r="D380" t="s">
        <v>44</v>
      </c>
      <c r="E380" t="s">
        <v>38</v>
      </c>
      <c r="F380">
        <v>809</v>
      </c>
      <c r="G380">
        <v>3.62</v>
      </c>
      <c r="H380">
        <v>2928.58</v>
      </c>
      <c r="I380" t="s">
        <v>46</v>
      </c>
      <c r="J380" t="s">
        <v>47</v>
      </c>
      <c r="K380" t="s">
        <v>23</v>
      </c>
      <c r="L380">
        <v>1999.74</v>
      </c>
      <c r="M380">
        <v>31.7</v>
      </c>
      <c r="N380">
        <v>2023</v>
      </c>
      <c r="O380">
        <v>1</v>
      </c>
      <c r="P380" t="s">
        <v>60</v>
      </c>
      <c r="Q380">
        <v>928.84</v>
      </c>
      <c r="R380" t="s">
        <v>25</v>
      </c>
      <c r="S380">
        <v>2.1529434563541621</v>
      </c>
      <c r="T380" t="s">
        <v>78</v>
      </c>
    </row>
    <row r="381" spans="1:20" x14ac:dyDescent="0.25">
      <c r="A381" s="11">
        <v>44967</v>
      </c>
      <c r="B381" t="s">
        <v>17</v>
      </c>
      <c r="C381" t="s">
        <v>18</v>
      </c>
      <c r="D381" t="s">
        <v>37</v>
      </c>
      <c r="E381" t="s">
        <v>38</v>
      </c>
      <c r="F381">
        <v>882</v>
      </c>
      <c r="G381">
        <v>8.81</v>
      </c>
      <c r="H381">
        <v>7770.42</v>
      </c>
      <c r="I381" t="s">
        <v>21</v>
      </c>
      <c r="J381" t="s">
        <v>56</v>
      </c>
      <c r="K381" t="s">
        <v>23</v>
      </c>
      <c r="L381">
        <v>6843.18</v>
      </c>
      <c r="M381">
        <v>11.9</v>
      </c>
      <c r="N381">
        <v>2023</v>
      </c>
      <c r="O381">
        <v>1</v>
      </c>
      <c r="P381" t="s">
        <v>60</v>
      </c>
      <c r="Q381">
        <v>927.24</v>
      </c>
      <c r="R381" t="s">
        <v>29</v>
      </c>
      <c r="S381">
        <v>7.3801604762521036</v>
      </c>
      <c r="T381" t="s">
        <v>78</v>
      </c>
    </row>
    <row r="382" spans="1:20" x14ac:dyDescent="0.25">
      <c r="A382" s="11">
        <v>45052</v>
      </c>
      <c r="B382" t="s">
        <v>30</v>
      </c>
      <c r="C382" t="s">
        <v>31</v>
      </c>
      <c r="D382" t="s">
        <v>45</v>
      </c>
      <c r="E382" t="s">
        <v>20</v>
      </c>
      <c r="F382">
        <v>311</v>
      </c>
      <c r="G382">
        <v>7.94</v>
      </c>
      <c r="H382">
        <v>2469.34</v>
      </c>
      <c r="I382" t="s">
        <v>55</v>
      </c>
      <c r="J382" t="s">
        <v>56</v>
      </c>
      <c r="K382" t="s">
        <v>23</v>
      </c>
      <c r="L382">
        <v>1547.72</v>
      </c>
      <c r="M382">
        <v>37.299999999999997</v>
      </c>
      <c r="N382">
        <v>2023</v>
      </c>
      <c r="O382">
        <v>2</v>
      </c>
      <c r="P382" t="s">
        <v>64</v>
      </c>
      <c r="Q382">
        <v>921.62</v>
      </c>
      <c r="R382" t="s">
        <v>25</v>
      </c>
      <c r="S382">
        <v>1.6793472363880992</v>
      </c>
      <c r="T382" t="s">
        <v>78</v>
      </c>
    </row>
    <row r="383" spans="1:20" x14ac:dyDescent="0.25">
      <c r="A383" s="11">
        <v>45092</v>
      </c>
      <c r="B383" t="s">
        <v>30</v>
      </c>
      <c r="C383" t="s">
        <v>31</v>
      </c>
      <c r="D383" t="s">
        <v>53</v>
      </c>
      <c r="E383" t="s">
        <v>50</v>
      </c>
      <c r="F383">
        <v>474</v>
      </c>
      <c r="G383">
        <v>10.43</v>
      </c>
      <c r="H383">
        <v>4943.82</v>
      </c>
      <c r="I383" t="s">
        <v>26</v>
      </c>
      <c r="J383" t="s">
        <v>27</v>
      </c>
      <c r="K383" t="s">
        <v>41</v>
      </c>
      <c r="L383">
        <v>4023.22</v>
      </c>
      <c r="M383">
        <v>18.600000000000001</v>
      </c>
      <c r="N383">
        <v>2023</v>
      </c>
      <c r="O383">
        <v>2</v>
      </c>
      <c r="P383" t="s">
        <v>70</v>
      </c>
      <c r="Q383">
        <v>920.6</v>
      </c>
      <c r="R383" t="s">
        <v>29</v>
      </c>
      <c r="S383">
        <v>4.370215077123615</v>
      </c>
      <c r="T383" t="s">
        <v>78</v>
      </c>
    </row>
    <row r="384" spans="1:20" x14ac:dyDescent="0.25">
      <c r="A384" s="11">
        <v>44931</v>
      </c>
      <c r="B384" t="s">
        <v>51</v>
      </c>
      <c r="C384" t="s">
        <v>52</v>
      </c>
      <c r="D384" t="s">
        <v>48</v>
      </c>
      <c r="E384" t="s">
        <v>38</v>
      </c>
      <c r="F384">
        <v>942</v>
      </c>
      <c r="G384">
        <v>2.96</v>
      </c>
      <c r="H384">
        <v>2788.32</v>
      </c>
      <c r="I384" t="s">
        <v>57</v>
      </c>
      <c r="J384" t="s">
        <v>22</v>
      </c>
      <c r="K384" t="s">
        <v>28</v>
      </c>
      <c r="L384">
        <v>1872.65</v>
      </c>
      <c r="M384">
        <v>32.799999999999997</v>
      </c>
      <c r="N384">
        <v>2023</v>
      </c>
      <c r="O384">
        <v>1</v>
      </c>
      <c r="P384" t="s">
        <v>24</v>
      </c>
      <c r="Q384">
        <v>915.67</v>
      </c>
      <c r="R384" t="s">
        <v>25</v>
      </c>
      <c r="S384">
        <v>2.0451145063177782</v>
      </c>
      <c r="T384" t="s">
        <v>78</v>
      </c>
    </row>
    <row r="385" spans="1:20" x14ac:dyDescent="0.25">
      <c r="A385" s="11">
        <v>45067</v>
      </c>
      <c r="B385" t="s">
        <v>30</v>
      </c>
      <c r="C385" t="s">
        <v>31</v>
      </c>
      <c r="D385" t="s">
        <v>44</v>
      </c>
      <c r="E385" t="s">
        <v>38</v>
      </c>
      <c r="F385">
        <v>600</v>
      </c>
      <c r="G385">
        <v>7.05</v>
      </c>
      <c r="H385">
        <v>4230</v>
      </c>
      <c r="I385" t="s">
        <v>26</v>
      </c>
      <c r="J385" t="s">
        <v>22</v>
      </c>
      <c r="K385" t="s">
        <v>23</v>
      </c>
      <c r="L385">
        <v>3318.36</v>
      </c>
      <c r="M385">
        <v>21.6</v>
      </c>
      <c r="N385">
        <v>2023</v>
      </c>
      <c r="O385">
        <v>2</v>
      </c>
      <c r="P385" t="s">
        <v>66</v>
      </c>
      <c r="Q385">
        <v>911.64</v>
      </c>
      <c r="R385" t="s">
        <v>29</v>
      </c>
      <c r="S385">
        <v>3.6399894695274453</v>
      </c>
      <c r="T385" t="s">
        <v>78</v>
      </c>
    </row>
    <row r="386" spans="1:20" x14ac:dyDescent="0.25">
      <c r="A386" s="11">
        <v>44936</v>
      </c>
      <c r="B386" t="s">
        <v>58</v>
      </c>
      <c r="C386" t="s">
        <v>59</v>
      </c>
      <c r="D386" t="s">
        <v>45</v>
      </c>
      <c r="E386" t="s">
        <v>20</v>
      </c>
      <c r="F386">
        <v>829</v>
      </c>
      <c r="G386">
        <v>9.42</v>
      </c>
      <c r="H386">
        <v>7809.18</v>
      </c>
      <c r="I386" t="s">
        <v>39</v>
      </c>
      <c r="J386" t="s">
        <v>34</v>
      </c>
      <c r="K386" t="s">
        <v>23</v>
      </c>
      <c r="L386">
        <v>6898.98</v>
      </c>
      <c r="M386">
        <v>11.7</v>
      </c>
      <c r="N386">
        <v>2023</v>
      </c>
      <c r="O386">
        <v>1</v>
      </c>
      <c r="P386" t="s">
        <v>24</v>
      </c>
      <c r="Q386">
        <v>910.2</v>
      </c>
      <c r="R386" t="s">
        <v>29</v>
      </c>
      <c r="S386">
        <v>7.5796308503625571</v>
      </c>
      <c r="T386" t="s">
        <v>78</v>
      </c>
    </row>
    <row r="387" spans="1:20" x14ac:dyDescent="0.25">
      <c r="A387" s="11">
        <v>45003</v>
      </c>
      <c r="B387" t="s">
        <v>42</v>
      </c>
      <c r="C387" t="s">
        <v>43</v>
      </c>
      <c r="D387" t="s">
        <v>48</v>
      </c>
      <c r="E387" t="s">
        <v>38</v>
      </c>
      <c r="F387">
        <v>296</v>
      </c>
      <c r="G387">
        <v>11.71</v>
      </c>
      <c r="H387">
        <v>3466.16</v>
      </c>
      <c r="I387" t="s">
        <v>55</v>
      </c>
      <c r="J387" t="s">
        <v>47</v>
      </c>
      <c r="K387" t="s">
        <v>28</v>
      </c>
      <c r="L387">
        <v>2556.5300000000002</v>
      </c>
      <c r="M387">
        <v>26.2</v>
      </c>
      <c r="N387">
        <v>2023</v>
      </c>
      <c r="O387">
        <v>1</v>
      </c>
      <c r="P387" t="s">
        <v>62</v>
      </c>
      <c r="Q387">
        <v>909.63</v>
      </c>
      <c r="R387" t="s">
        <v>25</v>
      </c>
      <c r="S387">
        <v>2.8105163637962689</v>
      </c>
      <c r="T387" t="s">
        <v>78</v>
      </c>
    </row>
    <row r="388" spans="1:20" x14ac:dyDescent="0.25">
      <c r="A388" s="11">
        <v>44998</v>
      </c>
      <c r="B388" t="s">
        <v>58</v>
      </c>
      <c r="C388" t="s">
        <v>59</v>
      </c>
      <c r="D388" t="s">
        <v>19</v>
      </c>
      <c r="E388" t="s">
        <v>20</v>
      </c>
      <c r="F388">
        <v>256</v>
      </c>
      <c r="G388">
        <v>11.76</v>
      </c>
      <c r="H388">
        <v>3010.56</v>
      </c>
      <c r="I388" t="s">
        <v>54</v>
      </c>
      <c r="J388" t="s">
        <v>47</v>
      </c>
      <c r="K388" t="s">
        <v>41</v>
      </c>
      <c r="L388">
        <v>2102.31</v>
      </c>
      <c r="M388">
        <v>30.2</v>
      </c>
      <c r="N388">
        <v>2023</v>
      </c>
      <c r="O388">
        <v>1</v>
      </c>
      <c r="P388" t="s">
        <v>61</v>
      </c>
      <c r="Q388">
        <v>908.25</v>
      </c>
      <c r="R388" t="s">
        <v>25</v>
      </c>
      <c r="S388">
        <v>2.3146820809248556</v>
      </c>
      <c r="T388" t="s">
        <v>78</v>
      </c>
    </row>
    <row r="389" spans="1:20" x14ac:dyDescent="0.25">
      <c r="A389" s="11">
        <v>45083</v>
      </c>
      <c r="B389" t="s">
        <v>30</v>
      </c>
      <c r="C389" t="s">
        <v>31</v>
      </c>
      <c r="D389" t="s">
        <v>37</v>
      </c>
      <c r="E389" t="s">
        <v>38</v>
      </c>
      <c r="F389">
        <v>623</v>
      </c>
      <c r="G389">
        <v>6.61</v>
      </c>
      <c r="H389">
        <v>4118.03</v>
      </c>
      <c r="I389" t="s">
        <v>55</v>
      </c>
      <c r="J389" t="s">
        <v>34</v>
      </c>
      <c r="K389" t="s">
        <v>23</v>
      </c>
      <c r="L389">
        <v>3213.25</v>
      </c>
      <c r="M389">
        <v>22</v>
      </c>
      <c r="N389">
        <v>2023</v>
      </c>
      <c r="O389">
        <v>2</v>
      </c>
      <c r="P389" t="s">
        <v>68</v>
      </c>
      <c r="Q389">
        <v>904.78</v>
      </c>
      <c r="R389" t="s">
        <v>29</v>
      </c>
      <c r="S389">
        <v>3.5514158137889873</v>
      </c>
      <c r="T389" t="s">
        <v>78</v>
      </c>
    </row>
    <row r="390" spans="1:20" x14ac:dyDescent="0.25">
      <c r="A390" s="11">
        <v>45035</v>
      </c>
      <c r="B390" t="s">
        <v>30</v>
      </c>
      <c r="C390" t="s">
        <v>31</v>
      </c>
      <c r="D390" t="s">
        <v>53</v>
      </c>
      <c r="E390" t="s">
        <v>50</v>
      </c>
      <c r="F390">
        <v>777</v>
      </c>
      <c r="G390">
        <v>4.82</v>
      </c>
      <c r="H390">
        <v>3745.14</v>
      </c>
      <c r="I390" t="s">
        <v>55</v>
      </c>
      <c r="J390" t="s">
        <v>22</v>
      </c>
      <c r="K390" t="s">
        <v>23</v>
      </c>
      <c r="L390">
        <v>2845.24</v>
      </c>
      <c r="M390">
        <v>24</v>
      </c>
      <c r="N390">
        <v>2023</v>
      </c>
      <c r="O390">
        <v>2</v>
      </c>
      <c r="P390" t="s">
        <v>63</v>
      </c>
      <c r="Q390">
        <v>899.9</v>
      </c>
      <c r="R390" t="s">
        <v>29</v>
      </c>
      <c r="S390">
        <v>3.1617290810090006</v>
      </c>
      <c r="T390" t="s">
        <v>78</v>
      </c>
    </row>
    <row r="391" spans="1:20" x14ac:dyDescent="0.25">
      <c r="A391" s="11">
        <v>45047</v>
      </c>
      <c r="B391" t="s">
        <v>35</v>
      </c>
      <c r="C391" t="s">
        <v>36</v>
      </c>
      <c r="D391" t="s">
        <v>19</v>
      </c>
      <c r="E391" t="s">
        <v>20</v>
      </c>
      <c r="F391">
        <v>552</v>
      </c>
      <c r="G391">
        <v>7.14</v>
      </c>
      <c r="H391">
        <v>3941.28</v>
      </c>
      <c r="I391" t="s">
        <v>57</v>
      </c>
      <c r="J391" t="s">
        <v>47</v>
      </c>
      <c r="K391" t="s">
        <v>23</v>
      </c>
      <c r="L391">
        <v>3041.72</v>
      </c>
      <c r="M391">
        <v>22.8</v>
      </c>
      <c r="N391">
        <v>2023</v>
      </c>
      <c r="O391">
        <v>2</v>
      </c>
      <c r="P391" t="s">
        <v>64</v>
      </c>
      <c r="Q391">
        <v>899.56</v>
      </c>
      <c r="R391" t="s">
        <v>29</v>
      </c>
      <c r="S391">
        <v>3.3813419894170482</v>
      </c>
      <c r="T391" t="s">
        <v>78</v>
      </c>
    </row>
    <row r="392" spans="1:20" x14ac:dyDescent="0.25">
      <c r="A392" s="11">
        <v>45002</v>
      </c>
      <c r="B392" t="s">
        <v>42</v>
      </c>
      <c r="C392" t="s">
        <v>43</v>
      </c>
      <c r="D392" t="s">
        <v>19</v>
      </c>
      <c r="E392" t="s">
        <v>20</v>
      </c>
      <c r="F392">
        <v>968</v>
      </c>
      <c r="G392">
        <v>4.9000000000000004</v>
      </c>
      <c r="H392">
        <v>4743.2</v>
      </c>
      <c r="I392" t="s">
        <v>33</v>
      </c>
      <c r="J392" t="s">
        <v>47</v>
      </c>
      <c r="K392" t="s">
        <v>23</v>
      </c>
      <c r="L392">
        <v>3843.8</v>
      </c>
      <c r="M392">
        <v>19</v>
      </c>
      <c r="N392">
        <v>2023</v>
      </c>
      <c r="O392">
        <v>1</v>
      </c>
      <c r="P392" t="s">
        <v>62</v>
      </c>
      <c r="Q392">
        <v>899.4</v>
      </c>
      <c r="R392" t="s">
        <v>29</v>
      </c>
      <c r="S392">
        <v>4.2737380475872806</v>
      </c>
      <c r="T392" t="s">
        <v>78</v>
      </c>
    </row>
    <row r="393" spans="1:20" x14ac:dyDescent="0.25">
      <c r="A393" s="11">
        <v>45122</v>
      </c>
      <c r="B393" t="s">
        <v>51</v>
      </c>
      <c r="C393" t="s">
        <v>52</v>
      </c>
      <c r="D393" t="s">
        <v>44</v>
      </c>
      <c r="E393" t="s">
        <v>38</v>
      </c>
      <c r="F393">
        <v>515</v>
      </c>
      <c r="G393">
        <v>10.5</v>
      </c>
      <c r="H393">
        <v>5407.5</v>
      </c>
      <c r="I393" t="s">
        <v>26</v>
      </c>
      <c r="J393" t="s">
        <v>47</v>
      </c>
      <c r="K393" t="s">
        <v>28</v>
      </c>
      <c r="L393">
        <v>4512.71</v>
      </c>
      <c r="M393">
        <v>16.5</v>
      </c>
      <c r="N393">
        <v>2024</v>
      </c>
      <c r="O393">
        <v>3</v>
      </c>
      <c r="P393" t="s">
        <v>66</v>
      </c>
      <c r="Q393">
        <v>894.79</v>
      </c>
      <c r="R393" t="s">
        <v>29</v>
      </c>
      <c r="S393">
        <v>5.0433174264352534</v>
      </c>
      <c r="T393" t="s">
        <v>78</v>
      </c>
    </row>
    <row r="394" spans="1:20" x14ac:dyDescent="0.25">
      <c r="A394" s="11">
        <v>44984</v>
      </c>
      <c r="B394" t="s">
        <v>30</v>
      </c>
      <c r="C394" t="s">
        <v>31</v>
      </c>
      <c r="D394" t="s">
        <v>32</v>
      </c>
      <c r="E394" t="s">
        <v>20</v>
      </c>
      <c r="F394">
        <v>927</v>
      </c>
      <c r="G394">
        <v>8.42</v>
      </c>
      <c r="H394">
        <v>7805.34</v>
      </c>
      <c r="I394" t="s">
        <v>57</v>
      </c>
      <c r="J394" t="s">
        <v>47</v>
      </c>
      <c r="K394" t="s">
        <v>23</v>
      </c>
      <c r="L394">
        <v>6917.14</v>
      </c>
      <c r="M394">
        <v>11.4</v>
      </c>
      <c r="N394">
        <v>2023</v>
      </c>
      <c r="O394">
        <v>1</v>
      </c>
      <c r="P394" t="s">
        <v>61</v>
      </c>
      <c r="Q394">
        <v>888.2</v>
      </c>
      <c r="R394" t="s">
        <v>29</v>
      </c>
      <c r="S394">
        <v>7.7878180589957218</v>
      </c>
      <c r="T394" t="s">
        <v>78</v>
      </c>
    </row>
    <row r="395" spans="1:20" x14ac:dyDescent="0.25">
      <c r="A395" s="11">
        <v>44932</v>
      </c>
      <c r="B395" t="s">
        <v>17</v>
      </c>
      <c r="C395" t="s">
        <v>18</v>
      </c>
      <c r="D395" t="s">
        <v>37</v>
      </c>
      <c r="E395" t="s">
        <v>38</v>
      </c>
      <c r="F395">
        <v>680</v>
      </c>
      <c r="G395">
        <v>11.34</v>
      </c>
      <c r="H395">
        <v>7711.2</v>
      </c>
      <c r="I395" t="s">
        <v>46</v>
      </c>
      <c r="J395" t="s">
        <v>27</v>
      </c>
      <c r="K395" t="s">
        <v>41</v>
      </c>
      <c r="L395">
        <v>6825.4</v>
      </c>
      <c r="M395">
        <v>11.5</v>
      </c>
      <c r="N395">
        <v>2023</v>
      </c>
      <c r="O395">
        <v>1</v>
      </c>
      <c r="P395" t="s">
        <v>24</v>
      </c>
      <c r="Q395">
        <v>885.8</v>
      </c>
      <c r="R395" t="s">
        <v>29</v>
      </c>
      <c r="S395">
        <v>7.7053510950553168</v>
      </c>
      <c r="T395" t="s">
        <v>78</v>
      </c>
    </row>
    <row r="396" spans="1:20" x14ac:dyDescent="0.25">
      <c r="A396" s="11">
        <v>45074</v>
      </c>
      <c r="B396" t="s">
        <v>35</v>
      </c>
      <c r="C396" t="s">
        <v>36</v>
      </c>
      <c r="D396" t="s">
        <v>49</v>
      </c>
      <c r="E396" t="s">
        <v>50</v>
      </c>
      <c r="F396">
        <v>663</v>
      </c>
      <c r="G396">
        <v>8.7200000000000006</v>
      </c>
      <c r="H396">
        <v>5781.36</v>
      </c>
      <c r="I396" t="s">
        <v>57</v>
      </c>
      <c r="J396" t="s">
        <v>56</v>
      </c>
      <c r="K396" t="s">
        <v>23</v>
      </c>
      <c r="L396">
        <v>4897.1899999999996</v>
      </c>
      <c r="M396">
        <v>15.3</v>
      </c>
      <c r="N396">
        <v>2023</v>
      </c>
      <c r="O396">
        <v>2</v>
      </c>
      <c r="P396" t="s">
        <v>67</v>
      </c>
      <c r="Q396">
        <v>884.17</v>
      </c>
      <c r="R396" t="s">
        <v>29</v>
      </c>
      <c r="S396">
        <v>5.5387425495097098</v>
      </c>
      <c r="T396" t="s">
        <v>78</v>
      </c>
    </row>
    <row r="397" spans="1:20" x14ac:dyDescent="0.25">
      <c r="A397" s="11">
        <v>45114</v>
      </c>
      <c r="B397" t="s">
        <v>35</v>
      </c>
      <c r="C397" t="s">
        <v>36</v>
      </c>
      <c r="D397" t="s">
        <v>37</v>
      </c>
      <c r="E397" t="s">
        <v>38</v>
      </c>
      <c r="F397">
        <v>639</v>
      </c>
      <c r="G397">
        <v>4.17</v>
      </c>
      <c r="H397">
        <v>2664.63</v>
      </c>
      <c r="I397" t="s">
        <v>55</v>
      </c>
      <c r="J397" t="s">
        <v>22</v>
      </c>
      <c r="K397" t="s">
        <v>41</v>
      </c>
      <c r="L397">
        <v>1782.03</v>
      </c>
      <c r="M397">
        <v>33.1</v>
      </c>
      <c r="N397">
        <v>2024</v>
      </c>
      <c r="O397">
        <v>3</v>
      </c>
      <c r="P397" t="s">
        <v>63</v>
      </c>
      <c r="Q397">
        <v>882.6</v>
      </c>
      <c r="R397" t="s">
        <v>25</v>
      </c>
      <c r="S397">
        <v>2.019068660774983</v>
      </c>
      <c r="T397" t="s">
        <v>78</v>
      </c>
    </row>
    <row r="398" spans="1:20" x14ac:dyDescent="0.25">
      <c r="A398" s="11">
        <v>45123</v>
      </c>
      <c r="B398" t="s">
        <v>17</v>
      </c>
      <c r="C398" t="s">
        <v>18</v>
      </c>
      <c r="D398" t="s">
        <v>32</v>
      </c>
      <c r="E398" t="s">
        <v>20</v>
      </c>
      <c r="F398">
        <v>390</v>
      </c>
      <c r="G398">
        <v>7.69</v>
      </c>
      <c r="H398">
        <v>2999.1</v>
      </c>
      <c r="I398" t="s">
        <v>46</v>
      </c>
      <c r="J398" t="s">
        <v>22</v>
      </c>
      <c r="K398" t="s">
        <v>41</v>
      </c>
      <c r="L398">
        <v>2116.5300000000002</v>
      </c>
      <c r="M398">
        <v>29.4</v>
      </c>
      <c r="N398">
        <v>2024</v>
      </c>
      <c r="O398">
        <v>3</v>
      </c>
      <c r="P398" t="s">
        <v>67</v>
      </c>
      <c r="Q398">
        <v>882.57</v>
      </c>
      <c r="R398" t="s">
        <v>25</v>
      </c>
      <c r="S398">
        <v>2.398144056562086</v>
      </c>
      <c r="T398" t="s">
        <v>78</v>
      </c>
    </row>
    <row r="399" spans="1:20" x14ac:dyDescent="0.25">
      <c r="A399" s="11">
        <v>45099</v>
      </c>
      <c r="B399" t="s">
        <v>42</v>
      </c>
      <c r="C399" t="s">
        <v>43</v>
      </c>
      <c r="D399" t="s">
        <v>37</v>
      </c>
      <c r="E399" t="s">
        <v>38</v>
      </c>
      <c r="F399">
        <v>551</v>
      </c>
      <c r="G399">
        <v>6.87</v>
      </c>
      <c r="H399">
        <v>3785.37</v>
      </c>
      <c r="I399" t="s">
        <v>26</v>
      </c>
      <c r="J399" t="s">
        <v>27</v>
      </c>
      <c r="K399" t="s">
        <v>41</v>
      </c>
      <c r="L399">
        <v>2911.45</v>
      </c>
      <c r="M399">
        <v>23.1</v>
      </c>
      <c r="N399">
        <v>2024</v>
      </c>
      <c r="O399">
        <v>2</v>
      </c>
      <c r="P399" t="s">
        <v>24</v>
      </c>
      <c r="Q399">
        <v>873.92</v>
      </c>
      <c r="R399" t="s">
        <v>29</v>
      </c>
      <c r="S399">
        <v>3.3314834309776638</v>
      </c>
      <c r="T399" t="s">
        <v>78</v>
      </c>
    </row>
    <row r="400" spans="1:20" x14ac:dyDescent="0.25">
      <c r="A400" s="11">
        <v>45058</v>
      </c>
      <c r="B400" t="s">
        <v>51</v>
      </c>
      <c r="C400" t="s">
        <v>52</v>
      </c>
      <c r="D400" t="s">
        <v>53</v>
      </c>
      <c r="E400" t="s">
        <v>50</v>
      </c>
      <c r="F400">
        <v>970</v>
      </c>
      <c r="G400">
        <v>2.35</v>
      </c>
      <c r="H400">
        <v>2279.5</v>
      </c>
      <c r="I400" t="s">
        <v>26</v>
      </c>
      <c r="J400" t="s">
        <v>22</v>
      </c>
      <c r="K400" t="s">
        <v>41</v>
      </c>
      <c r="L400">
        <v>1407.46</v>
      </c>
      <c r="M400">
        <v>38.299999999999997</v>
      </c>
      <c r="N400">
        <v>2023</v>
      </c>
      <c r="O400">
        <v>2</v>
      </c>
      <c r="P400" t="s">
        <v>65</v>
      </c>
      <c r="Q400">
        <v>872.04</v>
      </c>
      <c r="R400" t="s">
        <v>25</v>
      </c>
      <c r="S400">
        <v>1.6139855969909638</v>
      </c>
      <c r="T400" t="s">
        <v>78</v>
      </c>
    </row>
    <row r="401" spans="1:20" x14ac:dyDescent="0.25">
      <c r="A401" s="11">
        <v>44936</v>
      </c>
      <c r="B401" t="s">
        <v>17</v>
      </c>
      <c r="C401" t="s">
        <v>18</v>
      </c>
      <c r="D401" t="s">
        <v>48</v>
      </c>
      <c r="E401" t="s">
        <v>38</v>
      </c>
      <c r="F401">
        <v>932</v>
      </c>
      <c r="G401">
        <v>7.99</v>
      </c>
      <c r="H401">
        <v>7446.68</v>
      </c>
      <c r="I401" t="s">
        <v>33</v>
      </c>
      <c r="J401" t="s">
        <v>40</v>
      </c>
      <c r="K401" t="s">
        <v>41</v>
      </c>
      <c r="L401">
        <v>6575.09</v>
      </c>
      <c r="M401">
        <v>11.7</v>
      </c>
      <c r="N401">
        <v>2023</v>
      </c>
      <c r="O401">
        <v>1</v>
      </c>
      <c r="P401" t="s">
        <v>24</v>
      </c>
      <c r="Q401">
        <v>871.59</v>
      </c>
      <c r="R401" t="s">
        <v>29</v>
      </c>
      <c r="S401">
        <v>7.5437877901306809</v>
      </c>
      <c r="T401" t="s">
        <v>78</v>
      </c>
    </row>
    <row r="402" spans="1:20" x14ac:dyDescent="0.25">
      <c r="A402" s="11">
        <v>45095</v>
      </c>
      <c r="B402" t="s">
        <v>58</v>
      </c>
      <c r="C402" t="s">
        <v>59</v>
      </c>
      <c r="D402" t="s">
        <v>45</v>
      </c>
      <c r="E402" t="s">
        <v>20</v>
      </c>
      <c r="F402">
        <v>701</v>
      </c>
      <c r="G402">
        <v>10.35</v>
      </c>
      <c r="H402">
        <v>7255.35</v>
      </c>
      <c r="I402" t="s">
        <v>21</v>
      </c>
      <c r="J402" t="s">
        <v>22</v>
      </c>
      <c r="K402" t="s">
        <v>41</v>
      </c>
      <c r="L402">
        <v>6383.78</v>
      </c>
      <c r="M402">
        <v>12</v>
      </c>
      <c r="N402">
        <v>2023</v>
      </c>
      <c r="O402">
        <v>2</v>
      </c>
      <c r="P402" t="s">
        <v>70</v>
      </c>
      <c r="Q402">
        <v>871.57</v>
      </c>
      <c r="R402" t="s">
        <v>29</v>
      </c>
      <c r="S402">
        <v>7.3244604564177278</v>
      </c>
      <c r="T402" t="s">
        <v>78</v>
      </c>
    </row>
    <row r="403" spans="1:20" x14ac:dyDescent="0.25">
      <c r="A403" s="11">
        <v>45009</v>
      </c>
      <c r="B403" t="s">
        <v>17</v>
      </c>
      <c r="C403" t="s">
        <v>18</v>
      </c>
      <c r="D403" t="s">
        <v>48</v>
      </c>
      <c r="E403" t="s">
        <v>38</v>
      </c>
      <c r="F403">
        <v>747</v>
      </c>
      <c r="G403">
        <v>8.3800000000000008</v>
      </c>
      <c r="H403">
        <v>6259.86</v>
      </c>
      <c r="I403" t="s">
        <v>54</v>
      </c>
      <c r="J403" t="s">
        <v>34</v>
      </c>
      <c r="K403" t="s">
        <v>23</v>
      </c>
      <c r="L403">
        <v>5388.39</v>
      </c>
      <c r="M403">
        <v>13.9</v>
      </c>
      <c r="N403">
        <v>2023</v>
      </c>
      <c r="O403">
        <v>1</v>
      </c>
      <c r="P403" t="s">
        <v>62</v>
      </c>
      <c r="Q403">
        <v>871.47</v>
      </c>
      <c r="R403" t="s">
        <v>29</v>
      </c>
      <c r="S403">
        <v>6.1831044097903547</v>
      </c>
      <c r="T403" t="s">
        <v>78</v>
      </c>
    </row>
    <row r="404" spans="1:20" x14ac:dyDescent="0.25">
      <c r="A404" s="11">
        <v>45119</v>
      </c>
      <c r="B404" t="s">
        <v>35</v>
      </c>
      <c r="C404" t="s">
        <v>36</v>
      </c>
      <c r="D404" t="s">
        <v>48</v>
      </c>
      <c r="E404" t="s">
        <v>38</v>
      </c>
      <c r="F404">
        <v>716</v>
      </c>
      <c r="G404">
        <v>6.8</v>
      </c>
      <c r="H404">
        <v>4868.8</v>
      </c>
      <c r="I404" t="s">
        <v>46</v>
      </c>
      <c r="J404" t="s">
        <v>40</v>
      </c>
      <c r="K404" t="s">
        <v>28</v>
      </c>
      <c r="L404">
        <v>3998.77</v>
      </c>
      <c r="M404">
        <v>17.899999999999999</v>
      </c>
      <c r="N404">
        <v>2024</v>
      </c>
      <c r="O404">
        <v>3</v>
      </c>
      <c r="P404" t="s">
        <v>64</v>
      </c>
      <c r="Q404">
        <v>870.03</v>
      </c>
      <c r="R404" t="s">
        <v>29</v>
      </c>
      <c r="S404">
        <v>4.5961288691194557</v>
      </c>
      <c r="T404" t="s">
        <v>78</v>
      </c>
    </row>
    <row r="405" spans="1:20" x14ac:dyDescent="0.25">
      <c r="A405" s="11">
        <v>44947</v>
      </c>
      <c r="B405" t="s">
        <v>51</v>
      </c>
      <c r="C405" t="s">
        <v>52</v>
      </c>
      <c r="D405" t="s">
        <v>32</v>
      </c>
      <c r="E405" t="s">
        <v>20</v>
      </c>
      <c r="F405">
        <v>605</v>
      </c>
      <c r="G405">
        <v>4.53</v>
      </c>
      <c r="H405">
        <v>2740.65</v>
      </c>
      <c r="I405" t="s">
        <v>26</v>
      </c>
      <c r="J405" t="s">
        <v>27</v>
      </c>
      <c r="K405" t="s">
        <v>23</v>
      </c>
      <c r="L405">
        <v>1871.49</v>
      </c>
      <c r="M405">
        <v>31.7</v>
      </c>
      <c r="N405">
        <v>2023</v>
      </c>
      <c r="O405">
        <v>1</v>
      </c>
      <c r="P405" t="s">
        <v>24</v>
      </c>
      <c r="Q405">
        <v>869.16</v>
      </c>
      <c r="R405" t="s">
        <v>25</v>
      </c>
      <c r="S405">
        <v>2.1532168990749692</v>
      </c>
      <c r="T405" t="s">
        <v>78</v>
      </c>
    </row>
    <row r="406" spans="1:20" x14ac:dyDescent="0.25">
      <c r="A406" s="11">
        <v>45127</v>
      </c>
      <c r="B406" t="s">
        <v>17</v>
      </c>
      <c r="C406" t="s">
        <v>18</v>
      </c>
      <c r="D406" t="s">
        <v>53</v>
      </c>
      <c r="E406" t="s">
        <v>50</v>
      </c>
      <c r="F406">
        <v>911</v>
      </c>
      <c r="G406">
        <v>3.11</v>
      </c>
      <c r="H406">
        <v>2833.21</v>
      </c>
      <c r="I406" t="s">
        <v>57</v>
      </c>
      <c r="J406" t="s">
        <v>56</v>
      </c>
      <c r="K406" t="s">
        <v>28</v>
      </c>
      <c r="L406">
        <v>1965.56</v>
      </c>
      <c r="M406">
        <v>30.6</v>
      </c>
      <c r="N406">
        <v>2025</v>
      </c>
      <c r="O406">
        <v>3</v>
      </c>
      <c r="P406" t="s">
        <v>24</v>
      </c>
      <c r="Q406">
        <v>867.65</v>
      </c>
      <c r="R406" t="s">
        <v>25</v>
      </c>
      <c r="S406">
        <v>2.2653835071745521</v>
      </c>
      <c r="T406" t="s">
        <v>78</v>
      </c>
    </row>
    <row r="407" spans="1:20" x14ac:dyDescent="0.25">
      <c r="A407" s="11">
        <v>45080</v>
      </c>
      <c r="B407" t="s">
        <v>35</v>
      </c>
      <c r="C407" t="s">
        <v>36</v>
      </c>
      <c r="D407" t="s">
        <v>45</v>
      </c>
      <c r="E407" t="s">
        <v>20</v>
      </c>
      <c r="F407">
        <v>433</v>
      </c>
      <c r="G407">
        <v>7.47</v>
      </c>
      <c r="H407">
        <v>3234.51</v>
      </c>
      <c r="I407" t="s">
        <v>39</v>
      </c>
      <c r="J407" t="s">
        <v>34</v>
      </c>
      <c r="K407" t="s">
        <v>28</v>
      </c>
      <c r="L407">
        <v>2367.29</v>
      </c>
      <c r="M407">
        <v>26.8</v>
      </c>
      <c r="N407">
        <v>2023</v>
      </c>
      <c r="O407">
        <v>2</v>
      </c>
      <c r="P407" t="s">
        <v>68</v>
      </c>
      <c r="Q407">
        <v>867.22</v>
      </c>
      <c r="R407" t="s">
        <v>25</v>
      </c>
      <c r="S407">
        <v>2.7297456239477871</v>
      </c>
      <c r="T407" t="s">
        <v>78</v>
      </c>
    </row>
    <row r="408" spans="1:20" x14ac:dyDescent="0.25">
      <c r="A408" s="11">
        <v>45082</v>
      </c>
      <c r="B408" t="s">
        <v>35</v>
      </c>
      <c r="C408" t="s">
        <v>36</v>
      </c>
      <c r="D408" t="s">
        <v>37</v>
      </c>
      <c r="E408" t="s">
        <v>38</v>
      </c>
      <c r="F408">
        <v>590</v>
      </c>
      <c r="G408">
        <v>6.33</v>
      </c>
      <c r="H408">
        <v>3734.7</v>
      </c>
      <c r="I408" t="s">
        <v>39</v>
      </c>
      <c r="J408" t="s">
        <v>34</v>
      </c>
      <c r="K408" t="s">
        <v>23</v>
      </c>
      <c r="L408">
        <v>2868.98</v>
      </c>
      <c r="M408">
        <v>23.2</v>
      </c>
      <c r="N408">
        <v>2023</v>
      </c>
      <c r="O408">
        <v>2</v>
      </c>
      <c r="P408" t="s">
        <v>68</v>
      </c>
      <c r="Q408">
        <v>865.72</v>
      </c>
      <c r="R408" t="s">
        <v>29</v>
      </c>
      <c r="S408">
        <v>3.3139814258651756</v>
      </c>
      <c r="T408" t="s">
        <v>78</v>
      </c>
    </row>
    <row r="409" spans="1:20" x14ac:dyDescent="0.25">
      <c r="A409" s="11">
        <v>45088</v>
      </c>
      <c r="B409" t="s">
        <v>51</v>
      </c>
      <c r="C409" t="s">
        <v>52</v>
      </c>
      <c r="D409" t="s">
        <v>53</v>
      </c>
      <c r="E409" t="s">
        <v>50</v>
      </c>
      <c r="F409">
        <v>360</v>
      </c>
      <c r="G409">
        <v>9.39</v>
      </c>
      <c r="H409">
        <v>3380.4</v>
      </c>
      <c r="I409" t="s">
        <v>26</v>
      </c>
      <c r="J409" t="s">
        <v>56</v>
      </c>
      <c r="K409" t="s">
        <v>28</v>
      </c>
      <c r="L409">
        <v>2518.5300000000002</v>
      </c>
      <c r="M409">
        <v>25.5</v>
      </c>
      <c r="N409">
        <v>2023</v>
      </c>
      <c r="O409">
        <v>2</v>
      </c>
      <c r="P409" t="s">
        <v>69</v>
      </c>
      <c r="Q409">
        <v>861.87</v>
      </c>
      <c r="R409" t="s">
        <v>25</v>
      </c>
      <c r="S409">
        <v>2.9221692366598213</v>
      </c>
      <c r="T409" t="s">
        <v>78</v>
      </c>
    </row>
    <row r="410" spans="1:20" x14ac:dyDescent="0.25">
      <c r="A410" s="11">
        <v>45001</v>
      </c>
      <c r="B410" t="s">
        <v>58</v>
      </c>
      <c r="C410" t="s">
        <v>59</v>
      </c>
      <c r="D410" t="s">
        <v>53</v>
      </c>
      <c r="E410" t="s">
        <v>50</v>
      </c>
      <c r="F410">
        <v>980</v>
      </c>
      <c r="G410">
        <v>5.05</v>
      </c>
      <c r="H410">
        <v>4949</v>
      </c>
      <c r="I410" t="s">
        <v>33</v>
      </c>
      <c r="J410" t="s">
        <v>22</v>
      </c>
      <c r="K410" t="s">
        <v>23</v>
      </c>
      <c r="L410">
        <v>4088.8</v>
      </c>
      <c r="M410">
        <v>17.399999999999999</v>
      </c>
      <c r="N410">
        <v>2023</v>
      </c>
      <c r="O410">
        <v>1</v>
      </c>
      <c r="P410" t="s">
        <v>61</v>
      </c>
      <c r="Q410">
        <v>860.2</v>
      </c>
      <c r="R410" t="s">
        <v>29</v>
      </c>
      <c r="S410">
        <v>4.753313182980702</v>
      </c>
      <c r="T410" t="s">
        <v>78</v>
      </c>
    </row>
    <row r="411" spans="1:20" x14ac:dyDescent="0.25">
      <c r="A411" s="11">
        <v>45059</v>
      </c>
      <c r="B411" t="s">
        <v>42</v>
      </c>
      <c r="C411" t="s">
        <v>43</v>
      </c>
      <c r="D411" t="s">
        <v>49</v>
      </c>
      <c r="E411" t="s">
        <v>50</v>
      </c>
      <c r="F411">
        <v>799</v>
      </c>
      <c r="G411">
        <v>4.6500000000000004</v>
      </c>
      <c r="H411">
        <v>3715.35</v>
      </c>
      <c r="I411" t="s">
        <v>21</v>
      </c>
      <c r="J411" t="s">
        <v>40</v>
      </c>
      <c r="K411" t="s">
        <v>41</v>
      </c>
      <c r="L411">
        <v>2857.91</v>
      </c>
      <c r="M411">
        <v>23.1</v>
      </c>
      <c r="N411">
        <v>2023</v>
      </c>
      <c r="O411">
        <v>2</v>
      </c>
      <c r="P411" t="s">
        <v>65</v>
      </c>
      <c r="Q411">
        <v>857.44</v>
      </c>
      <c r="R411" t="s">
        <v>29</v>
      </c>
      <c r="S411">
        <v>3.3330728680724011</v>
      </c>
      <c r="T411" t="s">
        <v>78</v>
      </c>
    </row>
    <row r="412" spans="1:20" x14ac:dyDescent="0.25">
      <c r="A412" s="11">
        <v>45117</v>
      </c>
      <c r="B412" t="s">
        <v>17</v>
      </c>
      <c r="C412" t="s">
        <v>18</v>
      </c>
      <c r="D412" t="s">
        <v>45</v>
      </c>
      <c r="E412" t="s">
        <v>20</v>
      </c>
      <c r="F412">
        <v>213</v>
      </c>
      <c r="G412">
        <v>10.34</v>
      </c>
      <c r="H412">
        <v>2202.42</v>
      </c>
      <c r="I412" t="s">
        <v>26</v>
      </c>
      <c r="J412" t="s">
        <v>40</v>
      </c>
      <c r="K412" t="s">
        <v>23</v>
      </c>
      <c r="L412">
        <v>1345.27</v>
      </c>
      <c r="M412">
        <v>38.9</v>
      </c>
      <c r="N412">
        <v>2024</v>
      </c>
      <c r="O412">
        <v>3</v>
      </c>
      <c r="P412" t="s">
        <v>64</v>
      </c>
      <c r="Q412">
        <v>857.15</v>
      </c>
      <c r="R412" t="s">
        <v>25</v>
      </c>
      <c r="S412">
        <v>1.5694685877617687</v>
      </c>
      <c r="T412" t="s">
        <v>78</v>
      </c>
    </row>
    <row r="413" spans="1:20" x14ac:dyDescent="0.25">
      <c r="A413" s="11">
        <v>44933</v>
      </c>
      <c r="B413" t="s">
        <v>42</v>
      </c>
      <c r="C413" t="s">
        <v>43</v>
      </c>
      <c r="D413" t="s">
        <v>45</v>
      </c>
      <c r="E413" t="s">
        <v>20</v>
      </c>
      <c r="F413">
        <v>701</v>
      </c>
      <c r="G413">
        <v>10.1</v>
      </c>
      <c r="H413">
        <v>7080.1</v>
      </c>
      <c r="I413" t="s">
        <v>39</v>
      </c>
      <c r="J413" t="s">
        <v>47</v>
      </c>
      <c r="K413" t="s">
        <v>23</v>
      </c>
      <c r="L413">
        <v>6224.04</v>
      </c>
      <c r="M413">
        <v>12.1</v>
      </c>
      <c r="N413">
        <v>2023</v>
      </c>
      <c r="O413">
        <v>1</v>
      </c>
      <c r="P413" t="s">
        <v>24</v>
      </c>
      <c r="Q413">
        <v>856.06</v>
      </c>
      <c r="R413" t="s">
        <v>29</v>
      </c>
      <c r="S413">
        <v>7.2705651473027597</v>
      </c>
      <c r="T413" t="s">
        <v>78</v>
      </c>
    </row>
    <row r="414" spans="1:20" x14ac:dyDescent="0.25">
      <c r="A414" s="11">
        <v>45004</v>
      </c>
      <c r="B414" t="s">
        <v>58</v>
      </c>
      <c r="C414" t="s">
        <v>59</v>
      </c>
      <c r="D414" t="s">
        <v>45</v>
      </c>
      <c r="E414" t="s">
        <v>20</v>
      </c>
      <c r="F414">
        <v>976</v>
      </c>
      <c r="G414">
        <v>2.64</v>
      </c>
      <c r="H414">
        <v>2576.64</v>
      </c>
      <c r="I414" t="s">
        <v>46</v>
      </c>
      <c r="J414" t="s">
        <v>47</v>
      </c>
      <c r="K414" t="s">
        <v>28</v>
      </c>
      <c r="L414">
        <v>1724.63</v>
      </c>
      <c r="M414">
        <v>33.1</v>
      </c>
      <c r="N414">
        <v>2023</v>
      </c>
      <c r="O414">
        <v>1</v>
      </c>
      <c r="P414" t="s">
        <v>62</v>
      </c>
      <c r="Q414">
        <v>852.01</v>
      </c>
      <c r="R414" t="s">
        <v>25</v>
      </c>
      <c r="S414">
        <v>2.0241898569265619</v>
      </c>
      <c r="T414" t="s">
        <v>78</v>
      </c>
    </row>
    <row r="415" spans="1:20" x14ac:dyDescent="0.25">
      <c r="A415" s="11">
        <v>44988</v>
      </c>
      <c r="B415" t="s">
        <v>17</v>
      </c>
      <c r="C415" t="s">
        <v>18</v>
      </c>
      <c r="D415" t="s">
        <v>45</v>
      </c>
      <c r="E415" t="s">
        <v>20</v>
      </c>
      <c r="F415">
        <v>817</v>
      </c>
      <c r="G415">
        <v>3.76</v>
      </c>
      <c r="H415">
        <v>3071.92</v>
      </c>
      <c r="I415" t="s">
        <v>39</v>
      </c>
      <c r="J415" t="s">
        <v>40</v>
      </c>
      <c r="K415" t="s">
        <v>28</v>
      </c>
      <c r="L415">
        <v>2223.79</v>
      </c>
      <c r="M415">
        <v>27.6</v>
      </c>
      <c r="N415">
        <v>2023</v>
      </c>
      <c r="O415">
        <v>1</v>
      </c>
      <c r="P415" t="s">
        <v>61</v>
      </c>
      <c r="Q415">
        <v>848.13</v>
      </c>
      <c r="R415" t="s">
        <v>25</v>
      </c>
      <c r="S415">
        <v>2.6219919116173229</v>
      </c>
      <c r="T415" t="s">
        <v>78</v>
      </c>
    </row>
    <row r="416" spans="1:20" x14ac:dyDescent="0.25">
      <c r="A416" s="11">
        <v>45019</v>
      </c>
      <c r="B416" t="s">
        <v>17</v>
      </c>
      <c r="C416" t="s">
        <v>18</v>
      </c>
      <c r="D416" t="s">
        <v>49</v>
      </c>
      <c r="E416" t="s">
        <v>50</v>
      </c>
      <c r="F416">
        <v>774</v>
      </c>
      <c r="G416">
        <v>9.9700000000000006</v>
      </c>
      <c r="H416">
        <v>7716.78</v>
      </c>
      <c r="I416" t="s">
        <v>55</v>
      </c>
      <c r="J416" t="s">
        <v>22</v>
      </c>
      <c r="K416" t="s">
        <v>41</v>
      </c>
      <c r="L416">
        <v>6869.19</v>
      </c>
      <c r="M416">
        <v>11</v>
      </c>
      <c r="N416">
        <v>2023</v>
      </c>
      <c r="O416">
        <v>2</v>
      </c>
      <c r="P416" t="s">
        <v>62</v>
      </c>
      <c r="Q416">
        <v>847.59</v>
      </c>
      <c r="R416" t="s">
        <v>29</v>
      </c>
      <c r="S416">
        <v>8.1043782961101467</v>
      </c>
      <c r="T416" t="s">
        <v>78</v>
      </c>
    </row>
    <row r="417" spans="1:20" x14ac:dyDescent="0.25">
      <c r="A417" s="11">
        <v>45042</v>
      </c>
      <c r="B417" t="s">
        <v>17</v>
      </c>
      <c r="C417" t="s">
        <v>18</v>
      </c>
      <c r="D417" t="s">
        <v>53</v>
      </c>
      <c r="E417" t="s">
        <v>50</v>
      </c>
      <c r="F417">
        <v>243</v>
      </c>
      <c r="G417">
        <v>8.89</v>
      </c>
      <c r="H417">
        <v>2160.27</v>
      </c>
      <c r="I417" t="s">
        <v>54</v>
      </c>
      <c r="J417" t="s">
        <v>34</v>
      </c>
      <c r="K417" t="s">
        <v>28</v>
      </c>
      <c r="L417">
        <v>1314.4</v>
      </c>
      <c r="M417">
        <v>39.200000000000003</v>
      </c>
      <c r="N417">
        <v>2023</v>
      </c>
      <c r="O417">
        <v>2</v>
      </c>
      <c r="P417" t="s">
        <v>64</v>
      </c>
      <c r="Q417">
        <v>845.87</v>
      </c>
      <c r="R417" t="s">
        <v>25</v>
      </c>
      <c r="S417">
        <v>1.5539030820338824</v>
      </c>
      <c r="T417" t="s">
        <v>78</v>
      </c>
    </row>
    <row r="418" spans="1:20" x14ac:dyDescent="0.25">
      <c r="A418" s="11">
        <v>44991</v>
      </c>
      <c r="B418" t="s">
        <v>42</v>
      </c>
      <c r="C418" t="s">
        <v>43</v>
      </c>
      <c r="D418" t="s">
        <v>32</v>
      </c>
      <c r="E418" t="s">
        <v>20</v>
      </c>
      <c r="F418">
        <v>231</v>
      </c>
      <c r="G418">
        <v>11.49</v>
      </c>
      <c r="H418">
        <v>2654.19</v>
      </c>
      <c r="I418" t="s">
        <v>46</v>
      </c>
      <c r="J418" t="s">
        <v>56</v>
      </c>
      <c r="K418" t="s">
        <v>28</v>
      </c>
      <c r="L418">
        <v>1809.1</v>
      </c>
      <c r="M418">
        <v>31.8</v>
      </c>
      <c r="N418">
        <v>2023</v>
      </c>
      <c r="O418">
        <v>1</v>
      </c>
      <c r="P418" t="s">
        <v>61</v>
      </c>
      <c r="Q418">
        <v>845.09</v>
      </c>
      <c r="R418" t="s">
        <v>25</v>
      </c>
      <c r="S418">
        <v>2.1407187400158563</v>
      </c>
      <c r="T418" t="s">
        <v>78</v>
      </c>
    </row>
    <row r="419" spans="1:20" x14ac:dyDescent="0.25">
      <c r="A419" s="11">
        <v>45058</v>
      </c>
      <c r="B419" t="s">
        <v>35</v>
      </c>
      <c r="C419" t="s">
        <v>36</v>
      </c>
      <c r="D419" t="s">
        <v>19</v>
      </c>
      <c r="E419" t="s">
        <v>20</v>
      </c>
      <c r="F419">
        <v>706</v>
      </c>
      <c r="G419">
        <v>10</v>
      </c>
      <c r="H419">
        <v>7060</v>
      </c>
      <c r="I419" t="s">
        <v>26</v>
      </c>
      <c r="J419" t="s">
        <v>22</v>
      </c>
      <c r="K419" t="s">
        <v>23</v>
      </c>
      <c r="L419">
        <v>6215.9</v>
      </c>
      <c r="M419">
        <v>12</v>
      </c>
      <c r="N419">
        <v>2023</v>
      </c>
      <c r="O419">
        <v>2</v>
      </c>
      <c r="P419" t="s">
        <v>65</v>
      </c>
      <c r="Q419">
        <v>844.1</v>
      </c>
      <c r="R419" t="s">
        <v>29</v>
      </c>
      <c r="S419">
        <v>7.3639379220471506</v>
      </c>
      <c r="T419" t="s">
        <v>78</v>
      </c>
    </row>
    <row r="420" spans="1:20" x14ac:dyDescent="0.25">
      <c r="A420" s="11">
        <v>44929</v>
      </c>
      <c r="B420" t="s">
        <v>51</v>
      </c>
      <c r="C420" t="s">
        <v>52</v>
      </c>
      <c r="D420" t="s">
        <v>44</v>
      </c>
      <c r="E420" t="s">
        <v>38</v>
      </c>
      <c r="F420">
        <v>198</v>
      </c>
      <c r="G420">
        <v>11.86</v>
      </c>
      <c r="H420">
        <v>2348.2800000000002</v>
      </c>
      <c r="I420" t="s">
        <v>46</v>
      </c>
      <c r="J420" t="s">
        <v>34</v>
      </c>
      <c r="K420" t="s">
        <v>41</v>
      </c>
      <c r="L420">
        <v>1504.58</v>
      </c>
      <c r="M420">
        <v>35.9</v>
      </c>
      <c r="N420">
        <v>2023</v>
      </c>
      <c r="O420">
        <v>1</v>
      </c>
      <c r="P420" t="s">
        <v>24</v>
      </c>
      <c r="Q420">
        <v>843.7</v>
      </c>
      <c r="R420" t="s">
        <v>25</v>
      </c>
      <c r="S420">
        <v>1.7833116036505865</v>
      </c>
      <c r="T420" t="s">
        <v>78</v>
      </c>
    </row>
    <row r="421" spans="1:20" x14ac:dyDescent="0.25">
      <c r="A421" s="11">
        <v>44955</v>
      </c>
      <c r="B421" t="s">
        <v>58</v>
      </c>
      <c r="C421" t="s">
        <v>59</v>
      </c>
      <c r="D421" t="s">
        <v>53</v>
      </c>
      <c r="E421" t="s">
        <v>50</v>
      </c>
      <c r="F421">
        <v>840</v>
      </c>
      <c r="G421">
        <v>4.3099999999999996</v>
      </c>
      <c r="H421">
        <v>3620.4</v>
      </c>
      <c r="I421" t="s">
        <v>57</v>
      </c>
      <c r="J421" t="s">
        <v>47</v>
      </c>
      <c r="K421" t="s">
        <v>23</v>
      </c>
      <c r="L421">
        <v>2776.99</v>
      </c>
      <c r="M421">
        <v>23.3</v>
      </c>
      <c r="N421">
        <v>2023</v>
      </c>
      <c r="O421">
        <v>1</v>
      </c>
      <c r="P421" t="s">
        <v>60</v>
      </c>
      <c r="Q421">
        <v>843.41</v>
      </c>
      <c r="R421" t="s">
        <v>29</v>
      </c>
      <c r="S421">
        <v>3.2925741928599375</v>
      </c>
      <c r="T421" t="s">
        <v>78</v>
      </c>
    </row>
    <row r="422" spans="1:20" x14ac:dyDescent="0.25">
      <c r="A422" s="11">
        <v>45018</v>
      </c>
      <c r="B422" t="s">
        <v>30</v>
      </c>
      <c r="C422" t="s">
        <v>31</v>
      </c>
      <c r="D422" t="s">
        <v>53</v>
      </c>
      <c r="E422" t="s">
        <v>50</v>
      </c>
      <c r="F422">
        <v>930</v>
      </c>
      <c r="G422">
        <v>3.26</v>
      </c>
      <c r="H422">
        <v>3031.8</v>
      </c>
      <c r="I422" t="s">
        <v>46</v>
      </c>
      <c r="J422" t="s">
        <v>34</v>
      </c>
      <c r="K422" t="s">
        <v>41</v>
      </c>
      <c r="L422">
        <v>2188.61</v>
      </c>
      <c r="M422">
        <v>27.8</v>
      </c>
      <c r="N422">
        <v>2023</v>
      </c>
      <c r="O422">
        <v>2</v>
      </c>
      <c r="P422" t="s">
        <v>62</v>
      </c>
      <c r="Q422">
        <v>843.19</v>
      </c>
      <c r="R422" t="s">
        <v>25</v>
      </c>
      <c r="S422">
        <v>2.5956308779753079</v>
      </c>
      <c r="T422" t="s">
        <v>78</v>
      </c>
    </row>
    <row r="423" spans="1:20" x14ac:dyDescent="0.25">
      <c r="A423" s="11">
        <v>45005</v>
      </c>
      <c r="B423" t="s">
        <v>58</v>
      </c>
      <c r="C423" t="s">
        <v>59</v>
      </c>
      <c r="D423" t="s">
        <v>48</v>
      </c>
      <c r="E423" t="s">
        <v>38</v>
      </c>
      <c r="F423">
        <v>510</v>
      </c>
      <c r="G423">
        <v>4.5199999999999996</v>
      </c>
      <c r="H423">
        <v>2305.1999999999998</v>
      </c>
      <c r="I423" t="s">
        <v>54</v>
      </c>
      <c r="J423" t="s">
        <v>56</v>
      </c>
      <c r="K423" t="s">
        <v>23</v>
      </c>
      <c r="L423">
        <v>1462.44</v>
      </c>
      <c r="M423">
        <v>36.6</v>
      </c>
      <c r="N423">
        <v>2023</v>
      </c>
      <c r="O423">
        <v>1</v>
      </c>
      <c r="P423" t="s">
        <v>62</v>
      </c>
      <c r="Q423">
        <v>842.76</v>
      </c>
      <c r="R423" t="s">
        <v>25</v>
      </c>
      <c r="S423">
        <v>1.7352983055674214</v>
      </c>
      <c r="T423" t="s">
        <v>78</v>
      </c>
    </row>
    <row r="424" spans="1:20" x14ac:dyDescent="0.25">
      <c r="A424" s="11">
        <v>45072</v>
      </c>
      <c r="B424" t="s">
        <v>35</v>
      </c>
      <c r="C424" t="s">
        <v>36</v>
      </c>
      <c r="D424" t="s">
        <v>49</v>
      </c>
      <c r="E424" t="s">
        <v>50</v>
      </c>
      <c r="F424">
        <v>655</v>
      </c>
      <c r="G424">
        <v>6.82</v>
      </c>
      <c r="H424">
        <v>4467.1000000000004</v>
      </c>
      <c r="I424" t="s">
        <v>54</v>
      </c>
      <c r="J424" t="s">
        <v>40</v>
      </c>
      <c r="K424" t="s">
        <v>23</v>
      </c>
      <c r="L424">
        <v>3629.67</v>
      </c>
      <c r="M424">
        <v>18.7</v>
      </c>
      <c r="N424">
        <v>2023</v>
      </c>
      <c r="O424">
        <v>2</v>
      </c>
      <c r="P424" t="s">
        <v>66</v>
      </c>
      <c r="Q424">
        <v>837.43</v>
      </c>
      <c r="R424" t="s">
        <v>29</v>
      </c>
      <c r="S424">
        <v>4.3342965979246033</v>
      </c>
      <c r="T424" t="s">
        <v>78</v>
      </c>
    </row>
    <row r="425" spans="1:20" x14ac:dyDescent="0.25">
      <c r="A425" s="11">
        <v>45022</v>
      </c>
      <c r="B425" t="s">
        <v>58</v>
      </c>
      <c r="C425" t="s">
        <v>59</v>
      </c>
      <c r="D425" t="s">
        <v>45</v>
      </c>
      <c r="E425" t="s">
        <v>20</v>
      </c>
      <c r="F425">
        <v>270</v>
      </c>
      <c r="G425">
        <v>10.6</v>
      </c>
      <c r="H425">
        <v>2862</v>
      </c>
      <c r="I425" t="s">
        <v>21</v>
      </c>
      <c r="J425" t="s">
        <v>40</v>
      </c>
      <c r="K425" t="s">
        <v>23</v>
      </c>
      <c r="L425">
        <v>2026.53</v>
      </c>
      <c r="M425">
        <v>29.2</v>
      </c>
      <c r="N425">
        <v>2023</v>
      </c>
      <c r="O425">
        <v>2</v>
      </c>
      <c r="P425" t="s">
        <v>63</v>
      </c>
      <c r="Q425">
        <v>835.47</v>
      </c>
      <c r="R425" t="s">
        <v>25</v>
      </c>
      <c r="S425">
        <v>2.4256167187331679</v>
      </c>
      <c r="T425" t="s">
        <v>78</v>
      </c>
    </row>
    <row r="426" spans="1:20" x14ac:dyDescent="0.25">
      <c r="A426" s="11">
        <v>45074</v>
      </c>
      <c r="B426" t="s">
        <v>42</v>
      </c>
      <c r="C426" t="s">
        <v>43</v>
      </c>
      <c r="D426" t="s">
        <v>53</v>
      </c>
      <c r="E426" t="s">
        <v>50</v>
      </c>
      <c r="F426">
        <v>651</v>
      </c>
      <c r="G426">
        <v>9.25</v>
      </c>
      <c r="H426">
        <v>6021.75</v>
      </c>
      <c r="I426" t="s">
        <v>46</v>
      </c>
      <c r="J426" t="s">
        <v>40</v>
      </c>
      <c r="K426" t="s">
        <v>28</v>
      </c>
      <c r="L426">
        <v>5186.8599999999997</v>
      </c>
      <c r="M426">
        <v>13.9</v>
      </c>
      <c r="N426">
        <v>2023</v>
      </c>
      <c r="O426">
        <v>2</v>
      </c>
      <c r="P426" t="s">
        <v>67</v>
      </c>
      <c r="Q426">
        <v>834.89</v>
      </c>
      <c r="R426" t="s">
        <v>29</v>
      </c>
      <c r="S426">
        <v>6.2126268131131042</v>
      </c>
      <c r="T426" t="s">
        <v>78</v>
      </c>
    </row>
    <row r="427" spans="1:20" x14ac:dyDescent="0.25">
      <c r="A427" s="11">
        <v>44984</v>
      </c>
      <c r="B427" t="s">
        <v>51</v>
      </c>
      <c r="C427" t="s">
        <v>52</v>
      </c>
      <c r="D427" t="s">
        <v>48</v>
      </c>
      <c r="E427" t="s">
        <v>38</v>
      </c>
      <c r="F427">
        <v>333</v>
      </c>
      <c r="G427">
        <v>10.26</v>
      </c>
      <c r="H427">
        <v>3416.58</v>
      </c>
      <c r="I427" t="s">
        <v>21</v>
      </c>
      <c r="J427" t="s">
        <v>27</v>
      </c>
      <c r="K427" t="s">
        <v>28</v>
      </c>
      <c r="L427">
        <v>2582.0100000000002</v>
      </c>
      <c r="M427">
        <v>24.4</v>
      </c>
      <c r="N427">
        <v>2023</v>
      </c>
      <c r="O427">
        <v>1</v>
      </c>
      <c r="P427" t="s">
        <v>61</v>
      </c>
      <c r="Q427">
        <v>834.57</v>
      </c>
      <c r="R427" t="s">
        <v>29</v>
      </c>
      <c r="S427">
        <v>3.0938207699773539</v>
      </c>
      <c r="T427" t="s">
        <v>78</v>
      </c>
    </row>
    <row r="428" spans="1:20" x14ac:dyDescent="0.25">
      <c r="A428" s="11">
        <v>45080</v>
      </c>
      <c r="B428" t="s">
        <v>17</v>
      </c>
      <c r="C428" t="s">
        <v>18</v>
      </c>
      <c r="D428" t="s">
        <v>45</v>
      </c>
      <c r="E428" t="s">
        <v>20</v>
      </c>
      <c r="F428">
        <v>741</v>
      </c>
      <c r="G428">
        <v>3.45</v>
      </c>
      <c r="H428">
        <v>2556.4499999999998</v>
      </c>
      <c r="I428" t="s">
        <v>26</v>
      </c>
      <c r="J428" t="s">
        <v>56</v>
      </c>
      <c r="K428" t="s">
        <v>41</v>
      </c>
      <c r="L428">
        <v>1723.56</v>
      </c>
      <c r="M428">
        <v>32.6</v>
      </c>
      <c r="N428">
        <v>2023</v>
      </c>
      <c r="O428">
        <v>2</v>
      </c>
      <c r="P428" t="s">
        <v>68</v>
      </c>
      <c r="Q428">
        <v>832.89</v>
      </c>
      <c r="R428" t="s">
        <v>25</v>
      </c>
      <c r="S428">
        <v>2.0693729063861976</v>
      </c>
      <c r="T428" t="s">
        <v>78</v>
      </c>
    </row>
    <row r="429" spans="1:20" x14ac:dyDescent="0.25">
      <c r="A429" s="11">
        <v>45052</v>
      </c>
      <c r="B429" t="s">
        <v>42</v>
      </c>
      <c r="C429" t="s">
        <v>43</v>
      </c>
      <c r="D429" t="s">
        <v>37</v>
      </c>
      <c r="E429" t="s">
        <v>38</v>
      </c>
      <c r="F429">
        <v>397</v>
      </c>
      <c r="G429">
        <v>5.93</v>
      </c>
      <c r="H429">
        <v>2354.21</v>
      </c>
      <c r="I429" t="s">
        <v>54</v>
      </c>
      <c r="J429" t="s">
        <v>22</v>
      </c>
      <c r="K429" t="s">
        <v>23</v>
      </c>
      <c r="L429">
        <v>1522.74</v>
      </c>
      <c r="M429">
        <v>35.299999999999997</v>
      </c>
      <c r="N429">
        <v>2023</v>
      </c>
      <c r="O429">
        <v>2</v>
      </c>
      <c r="P429" t="s">
        <v>65</v>
      </c>
      <c r="Q429">
        <v>831.47</v>
      </c>
      <c r="R429" t="s">
        <v>25</v>
      </c>
      <c r="S429">
        <v>1.8313829723261212</v>
      </c>
      <c r="T429" t="s">
        <v>78</v>
      </c>
    </row>
    <row r="430" spans="1:20" x14ac:dyDescent="0.25">
      <c r="A430" s="11">
        <v>45083</v>
      </c>
      <c r="B430" t="s">
        <v>17</v>
      </c>
      <c r="C430" t="s">
        <v>18</v>
      </c>
      <c r="D430" t="s">
        <v>53</v>
      </c>
      <c r="E430" t="s">
        <v>50</v>
      </c>
      <c r="F430">
        <v>808</v>
      </c>
      <c r="G430">
        <v>9.02</v>
      </c>
      <c r="H430">
        <v>7288.16</v>
      </c>
      <c r="I430" t="s">
        <v>26</v>
      </c>
      <c r="J430" t="s">
        <v>22</v>
      </c>
      <c r="K430" t="s">
        <v>23</v>
      </c>
      <c r="L430">
        <v>6458.92</v>
      </c>
      <c r="M430">
        <v>11.4</v>
      </c>
      <c r="N430">
        <v>2023</v>
      </c>
      <c r="O430">
        <v>2</v>
      </c>
      <c r="P430" t="s">
        <v>68</v>
      </c>
      <c r="Q430">
        <v>829.24</v>
      </c>
      <c r="R430" t="s">
        <v>29</v>
      </c>
      <c r="S430">
        <v>7.7889633881626548</v>
      </c>
      <c r="T430" t="s">
        <v>78</v>
      </c>
    </row>
    <row r="431" spans="1:20" x14ac:dyDescent="0.25">
      <c r="A431" s="11">
        <v>45100</v>
      </c>
      <c r="B431" t="s">
        <v>17</v>
      </c>
      <c r="C431" t="s">
        <v>18</v>
      </c>
      <c r="D431" t="s">
        <v>32</v>
      </c>
      <c r="E431" t="s">
        <v>20</v>
      </c>
      <c r="F431">
        <v>428</v>
      </c>
      <c r="G431">
        <v>10.15</v>
      </c>
      <c r="H431">
        <v>4344.2</v>
      </c>
      <c r="I431" t="s">
        <v>21</v>
      </c>
      <c r="J431" t="s">
        <v>27</v>
      </c>
      <c r="K431" t="s">
        <v>41</v>
      </c>
      <c r="L431">
        <v>3515.17</v>
      </c>
      <c r="M431">
        <v>19.100000000000001</v>
      </c>
      <c r="N431">
        <v>2024</v>
      </c>
      <c r="O431">
        <v>2</v>
      </c>
      <c r="P431" t="s">
        <v>24</v>
      </c>
      <c r="Q431">
        <v>829.03</v>
      </c>
      <c r="R431" t="s">
        <v>29</v>
      </c>
      <c r="S431">
        <v>4.2400998757584167</v>
      </c>
      <c r="T431" t="s">
        <v>78</v>
      </c>
    </row>
    <row r="432" spans="1:20" x14ac:dyDescent="0.25">
      <c r="A432" s="11">
        <v>45078</v>
      </c>
      <c r="B432" t="s">
        <v>58</v>
      </c>
      <c r="C432" t="s">
        <v>59</v>
      </c>
      <c r="D432" t="s">
        <v>44</v>
      </c>
      <c r="E432" t="s">
        <v>38</v>
      </c>
      <c r="F432">
        <v>765</v>
      </c>
      <c r="G432">
        <v>5.4</v>
      </c>
      <c r="H432">
        <v>4131</v>
      </c>
      <c r="I432" t="s">
        <v>26</v>
      </c>
      <c r="J432" t="s">
        <v>27</v>
      </c>
      <c r="K432" t="s">
        <v>28</v>
      </c>
      <c r="L432">
        <v>3312.61</v>
      </c>
      <c r="M432">
        <v>19.8</v>
      </c>
      <c r="N432">
        <v>2023</v>
      </c>
      <c r="O432">
        <v>2</v>
      </c>
      <c r="P432" t="s">
        <v>67</v>
      </c>
      <c r="Q432">
        <v>818.39</v>
      </c>
      <c r="R432" t="s">
        <v>29</v>
      </c>
      <c r="S432">
        <v>4.0477156367990812</v>
      </c>
      <c r="T432" t="s">
        <v>78</v>
      </c>
    </row>
    <row r="433" spans="1:20" x14ac:dyDescent="0.25">
      <c r="A433" s="11">
        <v>45120</v>
      </c>
      <c r="B433" t="s">
        <v>58</v>
      </c>
      <c r="C433" t="s">
        <v>59</v>
      </c>
      <c r="D433" t="s">
        <v>32</v>
      </c>
      <c r="E433" t="s">
        <v>20</v>
      </c>
      <c r="F433">
        <v>380</v>
      </c>
      <c r="G433">
        <v>8.02</v>
      </c>
      <c r="H433">
        <v>3047.6</v>
      </c>
      <c r="I433" t="s">
        <v>39</v>
      </c>
      <c r="J433" t="s">
        <v>34</v>
      </c>
      <c r="K433" t="s">
        <v>41</v>
      </c>
      <c r="L433">
        <v>2231.7600000000002</v>
      </c>
      <c r="M433">
        <v>26.8</v>
      </c>
      <c r="N433">
        <v>2024</v>
      </c>
      <c r="O433">
        <v>3</v>
      </c>
      <c r="P433" t="s">
        <v>65</v>
      </c>
      <c r="Q433">
        <v>815.84</v>
      </c>
      <c r="R433" t="s">
        <v>25</v>
      </c>
      <c r="S433">
        <v>2.7355363796822907</v>
      </c>
      <c r="T433" t="s">
        <v>78</v>
      </c>
    </row>
    <row r="434" spans="1:20" x14ac:dyDescent="0.25">
      <c r="A434" s="11">
        <v>44953</v>
      </c>
      <c r="B434" t="s">
        <v>30</v>
      </c>
      <c r="C434" t="s">
        <v>31</v>
      </c>
      <c r="D434" t="s">
        <v>44</v>
      </c>
      <c r="E434" t="s">
        <v>38</v>
      </c>
      <c r="F434">
        <v>347</v>
      </c>
      <c r="G434">
        <v>10.32</v>
      </c>
      <c r="H434">
        <v>3581.04</v>
      </c>
      <c r="I434" t="s">
        <v>46</v>
      </c>
      <c r="J434" t="s">
        <v>22</v>
      </c>
      <c r="K434" t="s">
        <v>41</v>
      </c>
      <c r="L434">
        <v>2766.11</v>
      </c>
      <c r="M434">
        <v>22.8</v>
      </c>
      <c r="N434">
        <v>2023</v>
      </c>
      <c r="O434">
        <v>1</v>
      </c>
      <c r="P434" t="s">
        <v>24</v>
      </c>
      <c r="Q434">
        <v>814.93</v>
      </c>
      <c r="R434" t="s">
        <v>29</v>
      </c>
      <c r="S434">
        <v>3.3942915342422051</v>
      </c>
      <c r="T434" t="s">
        <v>78</v>
      </c>
    </row>
    <row r="435" spans="1:20" x14ac:dyDescent="0.25">
      <c r="A435" s="11">
        <v>45005</v>
      </c>
      <c r="B435" t="s">
        <v>30</v>
      </c>
      <c r="C435" t="s">
        <v>31</v>
      </c>
      <c r="D435" t="s">
        <v>53</v>
      </c>
      <c r="E435" t="s">
        <v>50</v>
      </c>
      <c r="F435">
        <v>416</v>
      </c>
      <c r="G435">
        <v>5.21</v>
      </c>
      <c r="H435">
        <v>2167.36</v>
      </c>
      <c r="I435" t="s">
        <v>54</v>
      </c>
      <c r="J435" t="s">
        <v>34</v>
      </c>
      <c r="K435" t="s">
        <v>28</v>
      </c>
      <c r="L435">
        <v>1353.34</v>
      </c>
      <c r="M435">
        <v>37.6</v>
      </c>
      <c r="N435">
        <v>2023</v>
      </c>
      <c r="O435">
        <v>1</v>
      </c>
      <c r="P435" t="s">
        <v>62</v>
      </c>
      <c r="Q435">
        <v>814.02</v>
      </c>
      <c r="R435" t="s">
        <v>25</v>
      </c>
      <c r="S435">
        <v>1.6625390039556767</v>
      </c>
      <c r="T435" t="s">
        <v>78</v>
      </c>
    </row>
    <row r="436" spans="1:20" x14ac:dyDescent="0.25">
      <c r="A436" s="11">
        <v>45009</v>
      </c>
      <c r="B436" t="s">
        <v>17</v>
      </c>
      <c r="C436" t="s">
        <v>18</v>
      </c>
      <c r="D436" t="s">
        <v>48</v>
      </c>
      <c r="E436" t="s">
        <v>38</v>
      </c>
      <c r="F436">
        <v>685</v>
      </c>
      <c r="G436">
        <v>5.76</v>
      </c>
      <c r="H436">
        <v>3945.6</v>
      </c>
      <c r="I436" t="s">
        <v>54</v>
      </c>
      <c r="J436" t="s">
        <v>22</v>
      </c>
      <c r="K436" t="s">
        <v>23</v>
      </c>
      <c r="L436">
        <v>3132.67</v>
      </c>
      <c r="M436">
        <v>20.6</v>
      </c>
      <c r="N436">
        <v>2023</v>
      </c>
      <c r="O436">
        <v>1</v>
      </c>
      <c r="P436" t="s">
        <v>62</v>
      </c>
      <c r="Q436">
        <v>812.93</v>
      </c>
      <c r="R436" t="s">
        <v>29</v>
      </c>
      <c r="S436">
        <v>3.8535544265803945</v>
      </c>
      <c r="T436" t="s">
        <v>78</v>
      </c>
    </row>
    <row r="437" spans="1:20" x14ac:dyDescent="0.25">
      <c r="A437" s="11">
        <v>44962</v>
      </c>
      <c r="B437" t="s">
        <v>35</v>
      </c>
      <c r="C437" t="s">
        <v>36</v>
      </c>
      <c r="D437" t="s">
        <v>32</v>
      </c>
      <c r="E437" t="s">
        <v>20</v>
      </c>
      <c r="F437">
        <v>392</v>
      </c>
      <c r="G437">
        <v>10.02</v>
      </c>
      <c r="H437">
        <v>3927.84</v>
      </c>
      <c r="I437" t="s">
        <v>57</v>
      </c>
      <c r="J437" t="s">
        <v>47</v>
      </c>
      <c r="K437" t="s">
        <v>28</v>
      </c>
      <c r="L437">
        <v>3114.93</v>
      </c>
      <c r="M437">
        <v>20.7</v>
      </c>
      <c r="N437">
        <v>2023</v>
      </c>
      <c r="O437">
        <v>1</v>
      </c>
      <c r="P437" t="s">
        <v>60</v>
      </c>
      <c r="Q437">
        <v>812.91</v>
      </c>
      <c r="R437" t="s">
        <v>29</v>
      </c>
      <c r="S437">
        <v>3.8318264014466545</v>
      </c>
      <c r="T437" t="s">
        <v>78</v>
      </c>
    </row>
    <row r="438" spans="1:20" x14ac:dyDescent="0.25">
      <c r="A438" s="11">
        <v>44936</v>
      </c>
      <c r="B438" t="s">
        <v>17</v>
      </c>
      <c r="C438" t="s">
        <v>18</v>
      </c>
      <c r="D438" t="s">
        <v>45</v>
      </c>
      <c r="E438" t="s">
        <v>20</v>
      </c>
      <c r="F438">
        <v>565</v>
      </c>
      <c r="G438">
        <v>8.6199999999999992</v>
      </c>
      <c r="H438">
        <v>4870.3</v>
      </c>
      <c r="I438" t="s">
        <v>21</v>
      </c>
      <c r="J438" t="s">
        <v>27</v>
      </c>
      <c r="K438" t="s">
        <v>28</v>
      </c>
      <c r="L438">
        <v>4058.41</v>
      </c>
      <c r="M438">
        <v>16.7</v>
      </c>
      <c r="N438">
        <v>2023</v>
      </c>
      <c r="O438">
        <v>1</v>
      </c>
      <c r="P438" t="s">
        <v>24</v>
      </c>
      <c r="Q438">
        <v>811.89</v>
      </c>
      <c r="R438" t="s">
        <v>29</v>
      </c>
      <c r="S438">
        <v>4.9987190382933644</v>
      </c>
      <c r="T438" t="s">
        <v>78</v>
      </c>
    </row>
    <row r="439" spans="1:20" x14ac:dyDescent="0.25">
      <c r="A439" s="11">
        <v>45063</v>
      </c>
      <c r="B439" t="s">
        <v>17</v>
      </c>
      <c r="C439" t="s">
        <v>18</v>
      </c>
      <c r="D439" t="s">
        <v>48</v>
      </c>
      <c r="E439" t="s">
        <v>38</v>
      </c>
      <c r="F439">
        <v>876</v>
      </c>
      <c r="G439">
        <v>4.6399999999999997</v>
      </c>
      <c r="H439">
        <v>4064.64</v>
      </c>
      <c r="I439" t="s">
        <v>55</v>
      </c>
      <c r="J439" t="s">
        <v>56</v>
      </c>
      <c r="K439" t="s">
        <v>23</v>
      </c>
      <c r="L439">
        <v>3253.23</v>
      </c>
      <c r="M439">
        <v>20</v>
      </c>
      <c r="N439">
        <v>2023</v>
      </c>
      <c r="O439">
        <v>2</v>
      </c>
      <c r="P439" t="s">
        <v>65</v>
      </c>
      <c r="Q439">
        <v>811.41</v>
      </c>
      <c r="R439" t="s">
        <v>29</v>
      </c>
      <c r="S439">
        <v>4.0093540873294637</v>
      </c>
      <c r="T439" t="s">
        <v>78</v>
      </c>
    </row>
    <row r="440" spans="1:20" x14ac:dyDescent="0.25">
      <c r="A440" s="11">
        <v>45002</v>
      </c>
      <c r="B440" t="s">
        <v>17</v>
      </c>
      <c r="C440" t="s">
        <v>18</v>
      </c>
      <c r="D440" t="s">
        <v>48</v>
      </c>
      <c r="E440" t="s">
        <v>38</v>
      </c>
      <c r="F440">
        <v>521</v>
      </c>
      <c r="G440">
        <v>9.7799999999999994</v>
      </c>
      <c r="H440">
        <v>5095.38</v>
      </c>
      <c r="I440" t="s">
        <v>21</v>
      </c>
      <c r="J440" t="s">
        <v>34</v>
      </c>
      <c r="K440" t="s">
        <v>41</v>
      </c>
      <c r="L440">
        <v>4285.18</v>
      </c>
      <c r="M440">
        <v>15.9</v>
      </c>
      <c r="N440">
        <v>2023</v>
      </c>
      <c r="O440">
        <v>1</v>
      </c>
      <c r="P440" t="s">
        <v>62</v>
      </c>
      <c r="Q440">
        <v>810.2</v>
      </c>
      <c r="R440" t="s">
        <v>29</v>
      </c>
      <c r="S440">
        <v>5.2890397432732659</v>
      </c>
      <c r="T440" t="s">
        <v>78</v>
      </c>
    </row>
    <row r="441" spans="1:20" x14ac:dyDescent="0.25">
      <c r="A441" s="11">
        <v>45042</v>
      </c>
      <c r="B441" t="s">
        <v>58</v>
      </c>
      <c r="C441" t="s">
        <v>59</v>
      </c>
      <c r="D441" t="s">
        <v>37</v>
      </c>
      <c r="E441" t="s">
        <v>38</v>
      </c>
      <c r="F441">
        <v>284</v>
      </c>
      <c r="G441">
        <v>7.65</v>
      </c>
      <c r="H441">
        <v>2172.6</v>
      </c>
      <c r="I441" t="s">
        <v>26</v>
      </c>
      <c r="J441" t="s">
        <v>56</v>
      </c>
      <c r="K441" t="s">
        <v>41</v>
      </c>
      <c r="L441">
        <v>1364.91</v>
      </c>
      <c r="M441">
        <v>37.200000000000003</v>
      </c>
      <c r="N441">
        <v>2023</v>
      </c>
      <c r="O441">
        <v>2</v>
      </c>
      <c r="P441" t="s">
        <v>64</v>
      </c>
      <c r="Q441">
        <v>807.69</v>
      </c>
      <c r="R441" t="s">
        <v>25</v>
      </c>
      <c r="S441">
        <v>1.6898933996954277</v>
      </c>
      <c r="T441" t="s">
        <v>78</v>
      </c>
    </row>
    <row r="442" spans="1:20" x14ac:dyDescent="0.25">
      <c r="A442" s="11">
        <v>44927</v>
      </c>
      <c r="B442" t="s">
        <v>17</v>
      </c>
      <c r="C442" t="s">
        <v>18</v>
      </c>
      <c r="D442" t="s">
        <v>45</v>
      </c>
      <c r="E442" t="s">
        <v>20</v>
      </c>
      <c r="F442">
        <v>427</v>
      </c>
      <c r="G442">
        <v>7.54</v>
      </c>
      <c r="H442">
        <v>3219.58</v>
      </c>
      <c r="I442" t="s">
        <v>46</v>
      </c>
      <c r="J442" t="s">
        <v>22</v>
      </c>
      <c r="K442" t="s">
        <v>41</v>
      </c>
      <c r="L442">
        <v>2412.17</v>
      </c>
      <c r="M442">
        <v>25.1</v>
      </c>
      <c r="N442">
        <v>2023</v>
      </c>
      <c r="O442">
        <v>1</v>
      </c>
      <c r="P442" t="s">
        <v>24</v>
      </c>
      <c r="Q442">
        <v>807.41</v>
      </c>
      <c r="R442" t="s">
        <v>25</v>
      </c>
      <c r="S442">
        <v>2.9875404069803446</v>
      </c>
      <c r="T442" t="s">
        <v>78</v>
      </c>
    </row>
    <row r="443" spans="1:20" x14ac:dyDescent="0.25">
      <c r="A443" s="11">
        <v>45068</v>
      </c>
      <c r="B443" t="s">
        <v>42</v>
      </c>
      <c r="C443" t="s">
        <v>43</v>
      </c>
      <c r="D443" t="s">
        <v>45</v>
      </c>
      <c r="E443" t="s">
        <v>20</v>
      </c>
      <c r="F443">
        <v>630</v>
      </c>
      <c r="G443">
        <v>11.48</v>
      </c>
      <c r="H443">
        <v>7232.4</v>
      </c>
      <c r="I443" t="s">
        <v>54</v>
      </c>
      <c r="J443" t="s">
        <v>40</v>
      </c>
      <c r="K443" t="s">
        <v>41</v>
      </c>
      <c r="L443">
        <v>6425.25</v>
      </c>
      <c r="M443">
        <v>11.2</v>
      </c>
      <c r="N443">
        <v>2023</v>
      </c>
      <c r="O443">
        <v>2</v>
      </c>
      <c r="P443" t="s">
        <v>66</v>
      </c>
      <c r="Q443">
        <v>807.15</v>
      </c>
      <c r="R443" t="s">
        <v>29</v>
      </c>
      <c r="S443">
        <v>7.9604162795019517</v>
      </c>
      <c r="T443" t="s">
        <v>78</v>
      </c>
    </row>
    <row r="444" spans="1:20" x14ac:dyDescent="0.25">
      <c r="A444" s="11">
        <v>44976</v>
      </c>
      <c r="B444" t="s">
        <v>17</v>
      </c>
      <c r="C444" t="s">
        <v>18</v>
      </c>
      <c r="D444" t="s">
        <v>53</v>
      </c>
      <c r="E444" t="s">
        <v>50</v>
      </c>
      <c r="F444">
        <v>411</v>
      </c>
      <c r="G444">
        <v>8.3699999999999992</v>
      </c>
      <c r="H444">
        <v>3440.07</v>
      </c>
      <c r="I444" t="s">
        <v>21</v>
      </c>
      <c r="J444" t="s">
        <v>47</v>
      </c>
      <c r="K444" t="s">
        <v>23</v>
      </c>
      <c r="L444">
        <v>2638.16</v>
      </c>
      <c r="M444">
        <v>23.3</v>
      </c>
      <c r="N444">
        <v>2023</v>
      </c>
      <c r="O444">
        <v>1</v>
      </c>
      <c r="P444" t="s">
        <v>60</v>
      </c>
      <c r="Q444">
        <v>801.91</v>
      </c>
      <c r="R444" t="s">
        <v>29</v>
      </c>
      <c r="S444">
        <v>3.2898454938833535</v>
      </c>
      <c r="T444" t="s">
        <v>78</v>
      </c>
    </row>
    <row r="445" spans="1:20" x14ac:dyDescent="0.25">
      <c r="A445" s="11">
        <v>44939</v>
      </c>
      <c r="B445" t="s">
        <v>17</v>
      </c>
      <c r="C445" t="s">
        <v>18</v>
      </c>
      <c r="D445" t="s">
        <v>48</v>
      </c>
      <c r="E445" t="s">
        <v>38</v>
      </c>
      <c r="F445">
        <v>316</v>
      </c>
      <c r="G445">
        <v>7.04</v>
      </c>
      <c r="H445">
        <v>2224.64</v>
      </c>
      <c r="I445" t="s">
        <v>21</v>
      </c>
      <c r="J445" t="s">
        <v>22</v>
      </c>
      <c r="K445" t="s">
        <v>23</v>
      </c>
      <c r="L445">
        <v>1426.99</v>
      </c>
      <c r="M445">
        <v>35.9</v>
      </c>
      <c r="N445">
        <v>2023</v>
      </c>
      <c r="O445">
        <v>1</v>
      </c>
      <c r="P445" t="s">
        <v>24</v>
      </c>
      <c r="Q445">
        <v>797.65</v>
      </c>
      <c r="R445" t="s">
        <v>25</v>
      </c>
      <c r="S445">
        <v>1.7889926659562465</v>
      </c>
      <c r="T445" t="s">
        <v>78</v>
      </c>
    </row>
    <row r="446" spans="1:20" x14ac:dyDescent="0.25">
      <c r="A446" s="11">
        <v>45103</v>
      </c>
      <c r="B446" t="s">
        <v>51</v>
      </c>
      <c r="C446" t="s">
        <v>52</v>
      </c>
      <c r="D446" t="s">
        <v>37</v>
      </c>
      <c r="E446" t="s">
        <v>38</v>
      </c>
      <c r="F446">
        <v>682</v>
      </c>
      <c r="G446">
        <v>9.74</v>
      </c>
      <c r="H446">
        <v>6642.68</v>
      </c>
      <c r="I446" t="s">
        <v>46</v>
      </c>
      <c r="J446" t="s">
        <v>34</v>
      </c>
      <c r="K446" t="s">
        <v>41</v>
      </c>
      <c r="L446">
        <v>5845.22</v>
      </c>
      <c r="M446">
        <v>12</v>
      </c>
      <c r="N446">
        <v>2024</v>
      </c>
      <c r="O446">
        <v>2</v>
      </c>
      <c r="P446" t="s">
        <v>24</v>
      </c>
      <c r="Q446">
        <v>797.46</v>
      </c>
      <c r="R446" t="s">
        <v>29</v>
      </c>
      <c r="S446">
        <v>7.3297971058109495</v>
      </c>
      <c r="T446" t="s">
        <v>78</v>
      </c>
    </row>
    <row r="447" spans="1:20" x14ac:dyDescent="0.25">
      <c r="A447" s="11">
        <v>45078</v>
      </c>
      <c r="B447" t="s">
        <v>51</v>
      </c>
      <c r="C447" t="s">
        <v>52</v>
      </c>
      <c r="D447" t="s">
        <v>49</v>
      </c>
      <c r="E447" t="s">
        <v>50</v>
      </c>
      <c r="F447">
        <v>264</v>
      </c>
      <c r="G447">
        <v>10.18</v>
      </c>
      <c r="H447">
        <v>2687.52</v>
      </c>
      <c r="I447" t="s">
        <v>33</v>
      </c>
      <c r="J447" t="s">
        <v>22</v>
      </c>
      <c r="K447" t="s">
        <v>23</v>
      </c>
      <c r="L447">
        <v>1890.3</v>
      </c>
      <c r="M447">
        <v>29.7</v>
      </c>
      <c r="N447">
        <v>2023</v>
      </c>
      <c r="O447">
        <v>2</v>
      </c>
      <c r="P447" t="s">
        <v>67</v>
      </c>
      <c r="Q447">
        <v>797.22</v>
      </c>
      <c r="R447" t="s">
        <v>25</v>
      </c>
      <c r="S447">
        <v>2.3711146233160232</v>
      </c>
      <c r="T447" t="s">
        <v>78</v>
      </c>
    </row>
    <row r="448" spans="1:20" x14ac:dyDescent="0.25">
      <c r="A448" s="11">
        <v>44992</v>
      </c>
      <c r="B448" t="s">
        <v>58</v>
      </c>
      <c r="C448" t="s">
        <v>59</v>
      </c>
      <c r="D448" t="s">
        <v>48</v>
      </c>
      <c r="E448" t="s">
        <v>38</v>
      </c>
      <c r="F448">
        <v>963</v>
      </c>
      <c r="G448">
        <v>6.49</v>
      </c>
      <c r="H448">
        <v>6249.87</v>
      </c>
      <c r="I448" t="s">
        <v>39</v>
      </c>
      <c r="J448" t="s">
        <v>27</v>
      </c>
      <c r="K448" t="s">
        <v>28</v>
      </c>
      <c r="L448">
        <v>5457.48</v>
      </c>
      <c r="M448">
        <v>12.7</v>
      </c>
      <c r="N448">
        <v>2023</v>
      </c>
      <c r="O448">
        <v>1</v>
      </c>
      <c r="P448" t="s">
        <v>61</v>
      </c>
      <c r="Q448">
        <v>792.39</v>
      </c>
      <c r="R448" t="s">
        <v>29</v>
      </c>
      <c r="S448">
        <v>6.8873660697383858</v>
      </c>
      <c r="T448" t="s">
        <v>78</v>
      </c>
    </row>
    <row r="449" spans="1:20" x14ac:dyDescent="0.25">
      <c r="A449" s="11">
        <v>45058</v>
      </c>
      <c r="B449" t="s">
        <v>42</v>
      </c>
      <c r="C449" t="s">
        <v>43</v>
      </c>
      <c r="D449" t="s">
        <v>37</v>
      </c>
      <c r="E449" t="s">
        <v>38</v>
      </c>
      <c r="F449">
        <v>445</v>
      </c>
      <c r="G449">
        <v>6.09</v>
      </c>
      <c r="H449">
        <v>2710.05</v>
      </c>
      <c r="I449" t="s">
        <v>55</v>
      </c>
      <c r="J449" t="s">
        <v>40</v>
      </c>
      <c r="K449" t="s">
        <v>23</v>
      </c>
      <c r="L449">
        <v>1917.84</v>
      </c>
      <c r="M449">
        <v>29.2</v>
      </c>
      <c r="N449">
        <v>2023</v>
      </c>
      <c r="O449">
        <v>2</v>
      </c>
      <c r="P449" t="s">
        <v>65</v>
      </c>
      <c r="Q449">
        <v>792.21</v>
      </c>
      <c r="R449" t="s">
        <v>25</v>
      </c>
      <c r="S449">
        <v>2.4208732533040478</v>
      </c>
      <c r="T449" t="s">
        <v>78</v>
      </c>
    </row>
    <row r="450" spans="1:20" x14ac:dyDescent="0.25">
      <c r="A450" s="11">
        <v>45025</v>
      </c>
      <c r="B450" t="s">
        <v>17</v>
      </c>
      <c r="C450" t="s">
        <v>18</v>
      </c>
      <c r="D450" t="s">
        <v>37</v>
      </c>
      <c r="E450" t="s">
        <v>38</v>
      </c>
      <c r="F450">
        <v>873</v>
      </c>
      <c r="G450">
        <v>2.7</v>
      </c>
      <c r="H450">
        <v>2357.1</v>
      </c>
      <c r="I450" t="s">
        <v>26</v>
      </c>
      <c r="J450" t="s">
        <v>47</v>
      </c>
      <c r="K450" t="s">
        <v>28</v>
      </c>
      <c r="L450">
        <v>1568.41</v>
      </c>
      <c r="M450">
        <v>33.5</v>
      </c>
      <c r="N450">
        <v>2023</v>
      </c>
      <c r="O450">
        <v>2</v>
      </c>
      <c r="P450" t="s">
        <v>63</v>
      </c>
      <c r="Q450">
        <v>788.69</v>
      </c>
      <c r="R450" t="s">
        <v>25</v>
      </c>
      <c r="S450">
        <v>1.9886267101142401</v>
      </c>
      <c r="T450" t="s">
        <v>78</v>
      </c>
    </row>
    <row r="451" spans="1:20" x14ac:dyDescent="0.25">
      <c r="A451" s="11">
        <v>44958</v>
      </c>
      <c r="B451" t="s">
        <v>17</v>
      </c>
      <c r="C451" t="s">
        <v>18</v>
      </c>
      <c r="D451" t="s">
        <v>44</v>
      </c>
      <c r="E451" t="s">
        <v>38</v>
      </c>
      <c r="F451">
        <v>262</v>
      </c>
      <c r="G451">
        <v>10.39</v>
      </c>
      <c r="H451">
        <v>2722.18</v>
      </c>
      <c r="I451" t="s">
        <v>39</v>
      </c>
      <c r="J451" t="s">
        <v>34</v>
      </c>
      <c r="K451" t="s">
        <v>23</v>
      </c>
      <c r="L451">
        <v>1934.44</v>
      </c>
      <c r="M451">
        <v>28.9</v>
      </c>
      <c r="N451">
        <v>2023</v>
      </c>
      <c r="O451">
        <v>1</v>
      </c>
      <c r="P451" t="s">
        <v>60</v>
      </c>
      <c r="Q451">
        <v>787.74</v>
      </c>
      <c r="R451" t="s">
        <v>25</v>
      </c>
      <c r="S451">
        <v>2.4556833472973318</v>
      </c>
      <c r="T451" t="s">
        <v>78</v>
      </c>
    </row>
    <row r="452" spans="1:20" x14ac:dyDescent="0.25">
      <c r="A452" s="11">
        <v>45070</v>
      </c>
      <c r="B452" t="s">
        <v>17</v>
      </c>
      <c r="C452" t="s">
        <v>18</v>
      </c>
      <c r="D452" t="s">
        <v>19</v>
      </c>
      <c r="E452" t="s">
        <v>20</v>
      </c>
      <c r="F452">
        <v>438</v>
      </c>
      <c r="G452">
        <v>9.17</v>
      </c>
      <c r="H452">
        <v>4016.46</v>
      </c>
      <c r="I452" t="s">
        <v>33</v>
      </c>
      <c r="J452" t="s">
        <v>40</v>
      </c>
      <c r="K452" t="s">
        <v>23</v>
      </c>
      <c r="L452">
        <v>3228.75</v>
      </c>
      <c r="M452">
        <v>19.600000000000001</v>
      </c>
      <c r="N452">
        <v>2023</v>
      </c>
      <c r="O452">
        <v>2</v>
      </c>
      <c r="P452" t="s">
        <v>66</v>
      </c>
      <c r="Q452">
        <v>787.71</v>
      </c>
      <c r="R452" t="s">
        <v>29</v>
      </c>
      <c r="S452">
        <v>4.0989069581444948</v>
      </c>
      <c r="T452" t="s">
        <v>78</v>
      </c>
    </row>
    <row r="453" spans="1:20" x14ac:dyDescent="0.25">
      <c r="A453" s="11">
        <v>45017</v>
      </c>
      <c r="B453" t="s">
        <v>30</v>
      </c>
      <c r="C453" t="s">
        <v>31</v>
      </c>
      <c r="D453" t="s">
        <v>32</v>
      </c>
      <c r="E453" t="s">
        <v>20</v>
      </c>
      <c r="F453">
        <v>740</v>
      </c>
      <c r="G453">
        <v>2.98</v>
      </c>
      <c r="H453">
        <v>2205.1999999999998</v>
      </c>
      <c r="I453" t="s">
        <v>33</v>
      </c>
      <c r="J453" t="s">
        <v>47</v>
      </c>
      <c r="K453" t="s">
        <v>41</v>
      </c>
      <c r="L453">
        <v>1420.06</v>
      </c>
      <c r="M453">
        <v>35.6</v>
      </c>
      <c r="N453">
        <v>2023</v>
      </c>
      <c r="O453">
        <v>2</v>
      </c>
      <c r="P453" t="s">
        <v>62</v>
      </c>
      <c r="Q453">
        <v>785.14</v>
      </c>
      <c r="R453" t="s">
        <v>25</v>
      </c>
      <c r="S453">
        <v>1.8086710650329878</v>
      </c>
      <c r="T453" t="s">
        <v>78</v>
      </c>
    </row>
    <row r="454" spans="1:20" x14ac:dyDescent="0.25">
      <c r="A454" s="11">
        <v>45056</v>
      </c>
      <c r="B454" t="s">
        <v>35</v>
      </c>
      <c r="C454" t="s">
        <v>36</v>
      </c>
      <c r="D454" t="s">
        <v>37</v>
      </c>
      <c r="E454" t="s">
        <v>38</v>
      </c>
      <c r="F454">
        <v>233</v>
      </c>
      <c r="G454">
        <v>11.11</v>
      </c>
      <c r="H454">
        <v>2588.63</v>
      </c>
      <c r="I454" t="s">
        <v>26</v>
      </c>
      <c r="J454" t="s">
        <v>22</v>
      </c>
      <c r="K454" t="s">
        <v>23</v>
      </c>
      <c r="L454">
        <v>1804.97</v>
      </c>
      <c r="M454">
        <v>30.3</v>
      </c>
      <c r="N454">
        <v>2023</v>
      </c>
      <c r="O454">
        <v>2</v>
      </c>
      <c r="P454" t="s">
        <v>65</v>
      </c>
      <c r="Q454">
        <v>783.66</v>
      </c>
      <c r="R454" t="s">
        <v>25</v>
      </c>
      <c r="S454">
        <v>2.3032565143046733</v>
      </c>
      <c r="T454" t="s">
        <v>78</v>
      </c>
    </row>
    <row r="455" spans="1:20" x14ac:dyDescent="0.25">
      <c r="A455" s="11">
        <v>44984</v>
      </c>
      <c r="B455" t="s">
        <v>35</v>
      </c>
      <c r="C455" t="s">
        <v>36</v>
      </c>
      <c r="D455" t="s">
        <v>19</v>
      </c>
      <c r="E455" t="s">
        <v>20</v>
      </c>
      <c r="F455">
        <v>531</v>
      </c>
      <c r="G455">
        <v>5.53</v>
      </c>
      <c r="H455">
        <v>2936.43</v>
      </c>
      <c r="I455" t="s">
        <v>33</v>
      </c>
      <c r="J455" t="s">
        <v>34</v>
      </c>
      <c r="K455" t="s">
        <v>41</v>
      </c>
      <c r="L455">
        <v>2159.34</v>
      </c>
      <c r="M455">
        <v>26.5</v>
      </c>
      <c r="N455">
        <v>2023</v>
      </c>
      <c r="O455">
        <v>1</v>
      </c>
      <c r="P455" t="s">
        <v>61</v>
      </c>
      <c r="Q455">
        <v>777.09</v>
      </c>
      <c r="R455" t="s">
        <v>25</v>
      </c>
      <c r="S455">
        <v>2.7787514959657185</v>
      </c>
      <c r="T455" t="s">
        <v>78</v>
      </c>
    </row>
    <row r="456" spans="1:20" x14ac:dyDescent="0.25">
      <c r="A456" s="11">
        <v>44982</v>
      </c>
      <c r="B456" t="s">
        <v>51</v>
      </c>
      <c r="C456" t="s">
        <v>52</v>
      </c>
      <c r="D456" t="s">
        <v>37</v>
      </c>
      <c r="E456" t="s">
        <v>38</v>
      </c>
      <c r="F456">
        <v>406</v>
      </c>
      <c r="G456">
        <v>6.73</v>
      </c>
      <c r="H456">
        <v>2732.38</v>
      </c>
      <c r="I456" t="s">
        <v>39</v>
      </c>
      <c r="J456" t="s">
        <v>47</v>
      </c>
      <c r="K456" t="s">
        <v>41</v>
      </c>
      <c r="L456">
        <v>1958.75</v>
      </c>
      <c r="M456">
        <v>28.3</v>
      </c>
      <c r="N456">
        <v>2023</v>
      </c>
      <c r="O456">
        <v>1</v>
      </c>
      <c r="P456" t="s">
        <v>61</v>
      </c>
      <c r="Q456">
        <v>773.63</v>
      </c>
      <c r="R456" t="s">
        <v>25</v>
      </c>
      <c r="S456">
        <v>2.5318950919690293</v>
      </c>
      <c r="T456" t="s">
        <v>78</v>
      </c>
    </row>
    <row r="457" spans="1:20" x14ac:dyDescent="0.25">
      <c r="A457" s="11">
        <v>45088</v>
      </c>
      <c r="B457" t="s">
        <v>30</v>
      </c>
      <c r="C457" t="s">
        <v>31</v>
      </c>
      <c r="D457" t="s">
        <v>53</v>
      </c>
      <c r="E457" t="s">
        <v>50</v>
      </c>
      <c r="F457">
        <v>724</v>
      </c>
      <c r="G457">
        <v>2.93</v>
      </c>
      <c r="H457">
        <v>2121.3200000000002</v>
      </c>
      <c r="I457" t="s">
        <v>26</v>
      </c>
      <c r="J457" t="s">
        <v>47</v>
      </c>
      <c r="K457" t="s">
        <v>28</v>
      </c>
      <c r="L457">
        <v>1350.14</v>
      </c>
      <c r="M457">
        <v>36.4</v>
      </c>
      <c r="N457">
        <v>2023</v>
      </c>
      <c r="O457">
        <v>2</v>
      </c>
      <c r="P457" t="s">
        <v>69</v>
      </c>
      <c r="Q457">
        <v>771.18</v>
      </c>
      <c r="R457" t="s">
        <v>25</v>
      </c>
      <c r="S457">
        <v>1.7507456106226824</v>
      </c>
      <c r="T457" t="s">
        <v>78</v>
      </c>
    </row>
    <row r="458" spans="1:20" x14ac:dyDescent="0.25">
      <c r="A458" s="11">
        <v>44981</v>
      </c>
      <c r="B458" t="s">
        <v>42</v>
      </c>
      <c r="C458" t="s">
        <v>43</v>
      </c>
      <c r="D458" t="s">
        <v>32</v>
      </c>
      <c r="E458" t="s">
        <v>20</v>
      </c>
      <c r="F458">
        <v>712</v>
      </c>
      <c r="G458">
        <v>8.8699999999999992</v>
      </c>
      <c r="H458">
        <v>6315.44</v>
      </c>
      <c r="I458" t="s">
        <v>55</v>
      </c>
      <c r="J458" t="s">
        <v>34</v>
      </c>
      <c r="K458" t="s">
        <v>23</v>
      </c>
      <c r="L458">
        <v>5551.24</v>
      </c>
      <c r="M458">
        <v>12.1</v>
      </c>
      <c r="N458">
        <v>2023</v>
      </c>
      <c r="O458">
        <v>1</v>
      </c>
      <c r="P458" t="s">
        <v>61</v>
      </c>
      <c r="Q458">
        <v>764.2</v>
      </c>
      <c r="R458" t="s">
        <v>29</v>
      </c>
      <c r="S458">
        <v>7.2641193404867828</v>
      </c>
      <c r="T458" t="s">
        <v>78</v>
      </c>
    </row>
    <row r="459" spans="1:20" x14ac:dyDescent="0.25">
      <c r="A459" s="11">
        <v>44998</v>
      </c>
      <c r="B459" t="s">
        <v>35</v>
      </c>
      <c r="C459" t="s">
        <v>36</v>
      </c>
      <c r="D459" t="s">
        <v>49</v>
      </c>
      <c r="E459" t="s">
        <v>50</v>
      </c>
      <c r="F459">
        <v>483</v>
      </c>
      <c r="G459">
        <v>7.86</v>
      </c>
      <c r="H459">
        <v>3796.38</v>
      </c>
      <c r="I459" t="s">
        <v>39</v>
      </c>
      <c r="J459" t="s">
        <v>22</v>
      </c>
      <c r="K459" t="s">
        <v>28</v>
      </c>
      <c r="L459">
        <v>3032.34</v>
      </c>
      <c r="M459">
        <v>20.100000000000001</v>
      </c>
      <c r="N459">
        <v>2023</v>
      </c>
      <c r="O459">
        <v>1</v>
      </c>
      <c r="P459" t="s">
        <v>61</v>
      </c>
      <c r="Q459">
        <v>764.04</v>
      </c>
      <c r="R459" t="s">
        <v>29</v>
      </c>
      <c r="S459">
        <v>3.9688236217999062</v>
      </c>
      <c r="T459" t="s">
        <v>78</v>
      </c>
    </row>
    <row r="460" spans="1:20" x14ac:dyDescent="0.25">
      <c r="A460" s="11">
        <v>44980</v>
      </c>
      <c r="B460" t="s">
        <v>58</v>
      </c>
      <c r="C460" t="s">
        <v>59</v>
      </c>
      <c r="D460" t="s">
        <v>44</v>
      </c>
      <c r="E460" t="s">
        <v>38</v>
      </c>
      <c r="F460">
        <v>985</v>
      </c>
      <c r="G460">
        <v>3.04</v>
      </c>
      <c r="H460">
        <v>2994.4</v>
      </c>
      <c r="I460" t="s">
        <v>39</v>
      </c>
      <c r="J460" t="s">
        <v>34</v>
      </c>
      <c r="K460" t="s">
        <v>23</v>
      </c>
      <c r="L460">
        <v>2232.35</v>
      </c>
      <c r="M460">
        <v>25.4</v>
      </c>
      <c r="N460">
        <v>2023</v>
      </c>
      <c r="O460">
        <v>1</v>
      </c>
      <c r="P460" t="s">
        <v>61</v>
      </c>
      <c r="Q460">
        <v>762.05</v>
      </c>
      <c r="R460" t="s">
        <v>25</v>
      </c>
      <c r="S460">
        <v>2.9294009579423923</v>
      </c>
      <c r="T460" t="s">
        <v>78</v>
      </c>
    </row>
    <row r="461" spans="1:20" x14ac:dyDescent="0.25">
      <c r="A461" s="11">
        <v>45018</v>
      </c>
      <c r="B461" t="s">
        <v>30</v>
      </c>
      <c r="C461" t="s">
        <v>31</v>
      </c>
      <c r="D461" t="s">
        <v>37</v>
      </c>
      <c r="E461" t="s">
        <v>38</v>
      </c>
      <c r="F461">
        <v>441</v>
      </c>
      <c r="G461">
        <v>5.5</v>
      </c>
      <c r="H461">
        <v>2425.5</v>
      </c>
      <c r="I461" t="s">
        <v>57</v>
      </c>
      <c r="J461" t="s">
        <v>47</v>
      </c>
      <c r="K461" t="s">
        <v>23</v>
      </c>
      <c r="L461">
        <v>1663.55</v>
      </c>
      <c r="M461">
        <v>31.4</v>
      </c>
      <c r="N461">
        <v>2023</v>
      </c>
      <c r="O461">
        <v>2</v>
      </c>
      <c r="P461" t="s">
        <v>62</v>
      </c>
      <c r="Q461">
        <v>761.95</v>
      </c>
      <c r="R461" t="s">
        <v>25</v>
      </c>
      <c r="S461">
        <v>2.183279742765273</v>
      </c>
      <c r="T461" t="s">
        <v>78</v>
      </c>
    </row>
    <row r="462" spans="1:20" x14ac:dyDescent="0.25">
      <c r="A462" s="11">
        <v>44990</v>
      </c>
      <c r="B462" t="s">
        <v>58</v>
      </c>
      <c r="C462" t="s">
        <v>59</v>
      </c>
      <c r="D462" t="s">
        <v>45</v>
      </c>
      <c r="E462" t="s">
        <v>20</v>
      </c>
      <c r="F462">
        <v>270</v>
      </c>
      <c r="G462">
        <v>8.32</v>
      </c>
      <c r="H462">
        <v>2246.4</v>
      </c>
      <c r="I462" t="s">
        <v>33</v>
      </c>
      <c r="J462" t="s">
        <v>56</v>
      </c>
      <c r="K462" t="s">
        <v>28</v>
      </c>
      <c r="L462">
        <v>1485.17</v>
      </c>
      <c r="M462">
        <v>33.9</v>
      </c>
      <c r="N462">
        <v>2023</v>
      </c>
      <c r="O462">
        <v>1</v>
      </c>
      <c r="P462" t="s">
        <v>61</v>
      </c>
      <c r="Q462">
        <v>761.23</v>
      </c>
      <c r="R462" t="s">
        <v>25</v>
      </c>
      <c r="S462">
        <v>1.9510134913232533</v>
      </c>
      <c r="T462" t="s">
        <v>78</v>
      </c>
    </row>
    <row r="463" spans="1:20" x14ac:dyDescent="0.25">
      <c r="A463" s="11">
        <v>44949</v>
      </c>
      <c r="B463" t="s">
        <v>42</v>
      </c>
      <c r="C463" t="s">
        <v>43</v>
      </c>
      <c r="D463" t="s">
        <v>45</v>
      </c>
      <c r="E463" t="s">
        <v>20</v>
      </c>
      <c r="F463">
        <v>761</v>
      </c>
      <c r="G463">
        <v>4</v>
      </c>
      <c r="H463">
        <v>3044</v>
      </c>
      <c r="I463" t="s">
        <v>21</v>
      </c>
      <c r="J463" t="s">
        <v>40</v>
      </c>
      <c r="K463" t="s">
        <v>28</v>
      </c>
      <c r="L463">
        <v>2283.06</v>
      </c>
      <c r="M463">
        <v>25</v>
      </c>
      <c r="N463">
        <v>2023</v>
      </c>
      <c r="O463">
        <v>1</v>
      </c>
      <c r="P463" t="s">
        <v>24</v>
      </c>
      <c r="Q463">
        <v>760.94</v>
      </c>
      <c r="R463" t="s">
        <v>29</v>
      </c>
      <c r="S463">
        <v>3.0003153993744576</v>
      </c>
      <c r="T463" t="s">
        <v>78</v>
      </c>
    </row>
    <row r="464" spans="1:20" x14ac:dyDescent="0.25">
      <c r="A464" s="11">
        <v>44995</v>
      </c>
      <c r="B464" t="s">
        <v>17</v>
      </c>
      <c r="C464" t="s">
        <v>18</v>
      </c>
      <c r="D464" t="s">
        <v>19</v>
      </c>
      <c r="E464" t="s">
        <v>20</v>
      </c>
      <c r="F464">
        <v>358</v>
      </c>
      <c r="G464">
        <v>5.7</v>
      </c>
      <c r="H464">
        <v>2040.6</v>
      </c>
      <c r="I464" t="s">
        <v>39</v>
      </c>
      <c r="J464" t="s">
        <v>47</v>
      </c>
      <c r="K464" t="s">
        <v>23</v>
      </c>
      <c r="L464">
        <v>1280.71</v>
      </c>
      <c r="M464">
        <v>37.200000000000003</v>
      </c>
      <c r="N464">
        <v>2023</v>
      </c>
      <c r="O464">
        <v>1</v>
      </c>
      <c r="P464" t="s">
        <v>61</v>
      </c>
      <c r="Q464">
        <v>759.89</v>
      </c>
      <c r="R464" t="s">
        <v>25</v>
      </c>
      <c r="S464">
        <v>1.685388674676598</v>
      </c>
      <c r="T464" t="s">
        <v>78</v>
      </c>
    </row>
    <row r="465" spans="1:20" x14ac:dyDescent="0.25">
      <c r="A465" s="11">
        <v>45060</v>
      </c>
      <c r="B465" t="s">
        <v>51</v>
      </c>
      <c r="C465" t="s">
        <v>52</v>
      </c>
      <c r="D465" t="s">
        <v>37</v>
      </c>
      <c r="E465" t="s">
        <v>38</v>
      </c>
      <c r="F465">
        <v>633</v>
      </c>
      <c r="G465">
        <v>5.71</v>
      </c>
      <c r="H465">
        <v>3614.43</v>
      </c>
      <c r="I465" t="s">
        <v>55</v>
      </c>
      <c r="J465" t="s">
        <v>40</v>
      </c>
      <c r="K465" t="s">
        <v>41</v>
      </c>
      <c r="L465">
        <v>2856.06</v>
      </c>
      <c r="M465">
        <v>21</v>
      </c>
      <c r="N465">
        <v>2023</v>
      </c>
      <c r="O465">
        <v>2</v>
      </c>
      <c r="P465" t="s">
        <v>65</v>
      </c>
      <c r="Q465">
        <v>758.37</v>
      </c>
      <c r="R465" t="s">
        <v>29</v>
      </c>
      <c r="S465">
        <v>3.7660508722655166</v>
      </c>
      <c r="T465" t="s">
        <v>78</v>
      </c>
    </row>
    <row r="466" spans="1:20" x14ac:dyDescent="0.25">
      <c r="A466" s="11">
        <v>45065</v>
      </c>
      <c r="B466" t="s">
        <v>35</v>
      </c>
      <c r="C466" t="s">
        <v>36</v>
      </c>
      <c r="D466" t="s">
        <v>53</v>
      </c>
      <c r="E466" t="s">
        <v>50</v>
      </c>
      <c r="F466">
        <v>614</v>
      </c>
      <c r="G466">
        <v>10.83</v>
      </c>
      <c r="H466">
        <v>6649.62</v>
      </c>
      <c r="I466" t="s">
        <v>54</v>
      </c>
      <c r="J466" t="s">
        <v>34</v>
      </c>
      <c r="K466" t="s">
        <v>41</v>
      </c>
      <c r="L466">
        <v>5891.42</v>
      </c>
      <c r="M466">
        <v>11.4</v>
      </c>
      <c r="N466">
        <v>2023</v>
      </c>
      <c r="O466">
        <v>2</v>
      </c>
      <c r="P466" t="s">
        <v>65</v>
      </c>
      <c r="Q466">
        <v>758.2</v>
      </c>
      <c r="R466" t="s">
        <v>29</v>
      </c>
      <c r="S466">
        <v>7.7702716961223945</v>
      </c>
      <c r="T466" t="s">
        <v>78</v>
      </c>
    </row>
    <row r="467" spans="1:20" x14ac:dyDescent="0.25">
      <c r="A467" s="11">
        <v>45103</v>
      </c>
      <c r="B467" t="s">
        <v>35</v>
      </c>
      <c r="C467" t="s">
        <v>36</v>
      </c>
      <c r="D467" t="s">
        <v>44</v>
      </c>
      <c r="E467" t="s">
        <v>38</v>
      </c>
      <c r="F467">
        <v>736</v>
      </c>
      <c r="G467">
        <v>8.91</v>
      </c>
      <c r="H467">
        <v>6557.76</v>
      </c>
      <c r="I467" t="s">
        <v>46</v>
      </c>
      <c r="J467" t="s">
        <v>22</v>
      </c>
      <c r="K467" t="s">
        <v>41</v>
      </c>
      <c r="L467">
        <v>5803.75</v>
      </c>
      <c r="M467">
        <v>11.5</v>
      </c>
      <c r="N467">
        <v>2024</v>
      </c>
      <c r="O467">
        <v>2</v>
      </c>
      <c r="P467" t="s">
        <v>60</v>
      </c>
      <c r="Q467">
        <v>754.01</v>
      </c>
      <c r="R467" t="s">
        <v>29</v>
      </c>
      <c r="S467">
        <v>7.6971790825055368</v>
      </c>
      <c r="T467" t="s">
        <v>78</v>
      </c>
    </row>
    <row r="468" spans="1:20" x14ac:dyDescent="0.25">
      <c r="A468" s="11">
        <v>45052</v>
      </c>
      <c r="B468" t="s">
        <v>35</v>
      </c>
      <c r="C468" t="s">
        <v>36</v>
      </c>
      <c r="D468" t="s">
        <v>45</v>
      </c>
      <c r="E468" t="s">
        <v>20</v>
      </c>
      <c r="F468">
        <v>229</v>
      </c>
      <c r="G468">
        <v>11</v>
      </c>
      <c r="H468">
        <v>2519</v>
      </c>
      <c r="I468" t="s">
        <v>55</v>
      </c>
      <c r="J468" t="s">
        <v>27</v>
      </c>
      <c r="K468" t="s">
        <v>28</v>
      </c>
      <c r="L468">
        <v>1766.3</v>
      </c>
      <c r="M468">
        <v>29.9</v>
      </c>
      <c r="N468">
        <v>2023</v>
      </c>
      <c r="O468">
        <v>2</v>
      </c>
      <c r="P468" t="s">
        <v>65</v>
      </c>
      <c r="Q468">
        <v>752.7</v>
      </c>
      <c r="R468" t="s">
        <v>25</v>
      </c>
      <c r="S468">
        <v>2.3466188388468181</v>
      </c>
      <c r="T468" t="s">
        <v>78</v>
      </c>
    </row>
    <row r="469" spans="1:20" x14ac:dyDescent="0.25">
      <c r="A469" s="11">
        <v>45114</v>
      </c>
      <c r="B469" t="s">
        <v>17</v>
      </c>
      <c r="C469" t="s">
        <v>18</v>
      </c>
      <c r="D469" t="s">
        <v>45</v>
      </c>
      <c r="E469" t="s">
        <v>20</v>
      </c>
      <c r="F469">
        <v>865</v>
      </c>
      <c r="G469">
        <v>3.25</v>
      </c>
      <c r="H469">
        <v>2811.25</v>
      </c>
      <c r="I469" t="s">
        <v>33</v>
      </c>
      <c r="J469" t="s">
        <v>56</v>
      </c>
      <c r="K469" t="s">
        <v>23</v>
      </c>
      <c r="L469">
        <v>2058.91</v>
      </c>
      <c r="M469">
        <v>26.8</v>
      </c>
      <c r="N469">
        <v>2024</v>
      </c>
      <c r="O469">
        <v>3</v>
      </c>
      <c r="P469" t="s">
        <v>63</v>
      </c>
      <c r="Q469">
        <v>752.34</v>
      </c>
      <c r="R469" t="s">
        <v>25</v>
      </c>
      <c r="S469">
        <v>2.7366749076215537</v>
      </c>
      <c r="T469" t="s">
        <v>78</v>
      </c>
    </row>
    <row r="470" spans="1:20" x14ac:dyDescent="0.25">
      <c r="A470" s="11">
        <v>45063</v>
      </c>
      <c r="B470" t="s">
        <v>58</v>
      </c>
      <c r="C470" t="s">
        <v>59</v>
      </c>
      <c r="D470" t="s">
        <v>37</v>
      </c>
      <c r="E470" t="s">
        <v>38</v>
      </c>
      <c r="F470">
        <v>737</v>
      </c>
      <c r="G470">
        <v>3.44</v>
      </c>
      <c r="H470">
        <v>2535.2800000000002</v>
      </c>
      <c r="I470" t="s">
        <v>46</v>
      </c>
      <c r="J470" t="s">
        <v>27</v>
      </c>
      <c r="K470" t="s">
        <v>28</v>
      </c>
      <c r="L470">
        <v>1784.1</v>
      </c>
      <c r="M470">
        <v>29.6</v>
      </c>
      <c r="N470">
        <v>2023</v>
      </c>
      <c r="O470">
        <v>2</v>
      </c>
      <c r="P470" t="s">
        <v>65</v>
      </c>
      <c r="Q470">
        <v>751.18</v>
      </c>
      <c r="R470" t="s">
        <v>25</v>
      </c>
      <c r="S470">
        <v>2.3750632338454167</v>
      </c>
      <c r="T470" t="s">
        <v>78</v>
      </c>
    </row>
    <row r="471" spans="1:20" x14ac:dyDescent="0.25">
      <c r="A471" s="11">
        <v>44936</v>
      </c>
      <c r="B471" t="s">
        <v>51</v>
      </c>
      <c r="C471" t="s">
        <v>52</v>
      </c>
      <c r="D471" t="s">
        <v>37</v>
      </c>
      <c r="E471" t="s">
        <v>38</v>
      </c>
      <c r="F471">
        <v>920</v>
      </c>
      <c r="G471">
        <v>5.03</v>
      </c>
      <c r="H471">
        <v>4627.6000000000004</v>
      </c>
      <c r="I471" t="s">
        <v>55</v>
      </c>
      <c r="J471" t="s">
        <v>22</v>
      </c>
      <c r="K471" t="s">
        <v>28</v>
      </c>
      <c r="L471">
        <v>3881.28</v>
      </c>
      <c r="M471">
        <v>16.100000000000001</v>
      </c>
      <c r="N471">
        <v>2023</v>
      </c>
      <c r="O471">
        <v>1</v>
      </c>
      <c r="P471" t="s">
        <v>24</v>
      </c>
      <c r="Q471">
        <v>746.32</v>
      </c>
      <c r="R471" t="s">
        <v>29</v>
      </c>
      <c r="S471">
        <v>5.2005574016507667</v>
      </c>
      <c r="T471" t="s">
        <v>78</v>
      </c>
    </row>
    <row r="472" spans="1:20" x14ac:dyDescent="0.25">
      <c r="A472" s="11">
        <v>45116</v>
      </c>
      <c r="B472" t="s">
        <v>35</v>
      </c>
      <c r="C472" t="s">
        <v>36</v>
      </c>
      <c r="D472" t="s">
        <v>45</v>
      </c>
      <c r="E472" t="s">
        <v>20</v>
      </c>
      <c r="F472">
        <v>493</v>
      </c>
      <c r="G472">
        <v>6.1</v>
      </c>
      <c r="H472">
        <v>3007.3</v>
      </c>
      <c r="I472" t="s">
        <v>26</v>
      </c>
      <c r="J472" t="s">
        <v>34</v>
      </c>
      <c r="K472" t="s">
        <v>41</v>
      </c>
      <c r="L472">
        <v>2261.0700000000002</v>
      </c>
      <c r="M472">
        <v>24.8</v>
      </c>
      <c r="N472">
        <v>2024</v>
      </c>
      <c r="O472">
        <v>3</v>
      </c>
      <c r="P472" t="s">
        <v>63</v>
      </c>
      <c r="Q472">
        <v>746.23</v>
      </c>
      <c r="R472" t="s">
        <v>29</v>
      </c>
      <c r="S472">
        <v>3.0299907535210324</v>
      </c>
      <c r="T472" t="s">
        <v>78</v>
      </c>
    </row>
    <row r="473" spans="1:20" x14ac:dyDescent="0.25">
      <c r="A473" s="11">
        <v>45077</v>
      </c>
      <c r="B473" t="s">
        <v>42</v>
      </c>
      <c r="C473" t="s">
        <v>43</v>
      </c>
      <c r="D473" t="s">
        <v>48</v>
      </c>
      <c r="E473" t="s">
        <v>38</v>
      </c>
      <c r="F473">
        <v>585</v>
      </c>
      <c r="G473">
        <v>10.51</v>
      </c>
      <c r="H473">
        <v>6148.35</v>
      </c>
      <c r="I473" t="s">
        <v>46</v>
      </c>
      <c r="J473" t="s">
        <v>22</v>
      </c>
      <c r="K473" t="s">
        <v>41</v>
      </c>
      <c r="L473">
        <v>5402.17</v>
      </c>
      <c r="M473">
        <v>12.1</v>
      </c>
      <c r="N473">
        <v>2023</v>
      </c>
      <c r="O473">
        <v>2</v>
      </c>
      <c r="P473" t="s">
        <v>67</v>
      </c>
      <c r="Q473">
        <v>746.18</v>
      </c>
      <c r="R473" t="s">
        <v>29</v>
      </c>
      <c r="S473">
        <v>7.23976788442467</v>
      </c>
      <c r="T473" t="s">
        <v>78</v>
      </c>
    </row>
    <row r="474" spans="1:20" x14ac:dyDescent="0.25">
      <c r="A474" s="11">
        <v>45096</v>
      </c>
      <c r="B474" t="s">
        <v>51</v>
      </c>
      <c r="C474" t="s">
        <v>52</v>
      </c>
      <c r="D474" t="s">
        <v>32</v>
      </c>
      <c r="E474" t="s">
        <v>20</v>
      </c>
      <c r="F474">
        <v>550</v>
      </c>
      <c r="G474">
        <v>3.92</v>
      </c>
      <c r="H474">
        <v>2156</v>
      </c>
      <c r="I474" t="s">
        <v>26</v>
      </c>
      <c r="J474" t="s">
        <v>34</v>
      </c>
      <c r="K474" t="s">
        <v>28</v>
      </c>
      <c r="L474">
        <v>1412.37</v>
      </c>
      <c r="M474">
        <v>34.5</v>
      </c>
      <c r="N474">
        <v>2023</v>
      </c>
      <c r="O474">
        <v>2</v>
      </c>
      <c r="P474" t="s">
        <v>70</v>
      </c>
      <c r="Q474">
        <v>743.63</v>
      </c>
      <c r="R474" t="s">
        <v>25</v>
      </c>
      <c r="S474">
        <v>1.8992913142288503</v>
      </c>
      <c r="T474" t="s">
        <v>78</v>
      </c>
    </row>
    <row r="475" spans="1:20" x14ac:dyDescent="0.25">
      <c r="A475" s="11">
        <v>44974</v>
      </c>
      <c r="B475" t="s">
        <v>51</v>
      </c>
      <c r="C475" t="s">
        <v>52</v>
      </c>
      <c r="D475" t="s">
        <v>19</v>
      </c>
      <c r="E475" t="s">
        <v>20</v>
      </c>
      <c r="F475">
        <v>237</v>
      </c>
      <c r="G475">
        <v>8.69</v>
      </c>
      <c r="H475">
        <v>2059.5300000000002</v>
      </c>
      <c r="I475" t="s">
        <v>54</v>
      </c>
      <c r="J475" t="s">
        <v>40</v>
      </c>
      <c r="K475" t="s">
        <v>23</v>
      </c>
      <c r="L475">
        <v>1317.05</v>
      </c>
      <c r="M475">
        <v>36.1</v>
      </c>
      <c r="N475">
        <v>2023</v>
      </c>
      <c r="O475">
        <v>1</v>
      </c>
      <c r="P475" t="s">
        <v>60</v>
      </c>
      <c r="Q475">
        <v>742.48</v>
      </c>
      <c r="R475" t="s">
        <v>25</v>
      </c>
      <c r="S475">
        <v>1.7738524943432818</v>
      </c>
      <c r="T475" t="s">
        <v>78</v>
      </c>
    </row>
    <row r="476" spans="1:20" x14ac:dyDescent="0.25">
      <c r="A476" s="11">
        <v>45005</v>
      </c>
      <c r="B476" t="s">
        <v>35</v>
      </c>
      <c r="C476" t="s">
        <v>36</v>
      </c>
      <c r="D476" t="s">
        <v>19</v>
      </c>
      <c r="E476" t="s">
        <v>20</v>
      </c>
      <c r="F476">
        <v>860</v>
      </c>
      <c r="G476">
        <v>3.2</v>
      </c>
      <c r="H476">
        <v>2752</v>
      </c>
      <c r="I476" t="s">
        <v>57</v>
      </c>
      <c r="J476" t="s">
        <v>40</v>
      </c>
      <c r="K476" t="s">
        <v>23</v>
      </c>
      <c r="L476">
        <v>2011.84</v>
      </c>
      <c r="M476">
        <v>26.9</v>
      </c>
      <c r="N476">
        <v>2023</v>
      </c>
      <c r="O476">
        <v>1</v>
      </c>
      <c r="P476" t="s">
        <v>62</v>
      </c>
      <c r="Q476">
        <v>740.16</v>
      </c>
      <c r="R476" t="s">
        <v>25</v>
      </c>
      <c r="S476">
        <v>2.7181150021616949</v>
      </c>
      <c r="T476" t="s">
        <v>78</v>
      </c>
    </row>
    <row r="477" spans="1:20" x14ac:dyDescent="0.25">
      <c r="A477" s="11">
        <v>45066</v>
      </c>
      <c r="B477" t="s">
        <v>58</v>
      </c>
      <c r="C477" t="s">
        <v>59</v>
      </c>
      <c r="D477" t="s">
        <v>45</v>
      </c>
      <c r="E477" t="s">
        <v>20</v>
      </c>
      <c r="F477">
        <v>686</v>
      </c>
      <c r="G477">
        <v>4.84</v>
      </c>
      <c r="H477">
        <v>3320.24</v>
      </c>
      <c r="I477" t="s">
        <v>26</v>
      </c>
      <c r="J477" t="s">
        <v>27</v>
      </c>
      <c r="K477" t="s">
        <v>41</v>
      </c>
      <c r="L477">
        <v>2581.7600000000002</v>
      </c>
      <c r="M477">
        <v>22.2</v>
      </c>
      <c r="N477">
        <v>2023</v>
      </c>
      <c r="O477">
        <v>2</v>
      </c>
      <c r="P477" t="s">
        <v>66</v>
      </c>
      <c r="Q477">
        <v>738.48</v>
      </c>
      <c r="R477" t="s">
        <v>29</v>
      </c>
      <c r="S477">
        <v>3.4960459321850288</v>
      </c>
      <c r="T477" t="s">
        <v>78</v>
      </c>
    </row>
    <row r="478" spans="1:20" x14ac:dyDescent="0.25">
      <c r="A478" s="11">
        <v>45119</v>
      </c>
      <c r="B478" t="s">
        <v>42</v>
      </c>
      <c r="C478" t="s">
        <v>43</v>
      </c>
      <c r="D478" t="s">
        <v>45</v>
      </c>
      <c r="E478" t="s">
        <v>20</v>
      </c>
      <c r="F478">
        <v>550</v>
      </c>
      <c r="G478">
        <v>6.35</v>
      </c>
      <c r="H478">
        <v>3492.5</v>
      </c>
      <c r="I478" t="s">
        <v>21</v>
      </c>
      <c r="J478" t="s">
        <v>34</v>
      </c>
      <c r="K478" t="s">
        <v>41</v>
      </c>
      <c r="L478">
        <v>2754.1</v>
      </c>
      <c r="M478">
        <v>21.1</v>
      </c>
      <c r="N478">
        <v>2024</v>
      </c>
      <c r="O478">
        <v>3</v>
      </c>
      <c r="P478" t="s">
        <v>65</v>
      </c>
      <c r="Q478">
        <v>738.4</v>
      </c>
      <c r="R478" t="s">
        <v>29</v>
      </c>
      <c r="S478">
        <v>3.7298212351029254</v>
      </c>
      <c r="T478" t="s">
        <v>78</v>
      </c>
    </row>
    <row r="479" spans="1:20" x14ac:dyDescent="0.25">
      <c r="A479" s="11">
        <v>45050</v>
      </c>
      <c r="B479" t="s">
        <v>17</v>
      </c>
      <c r="C479" t="s">
        <v>18</v>
      </c>
      <c r="D479" t="s">
        <v>32</v>
      </c>
      <c r="E479" t="s">
        <v>20</v>
      </c>
      <c r="F479">
        <v>374</v>
      </c>
      <c r="G479">
        <v>8.8000000000000007</v>
      </c>
      <c r="H479">
        <v>3291.2</v>
      </c>
      <c r="I479" t="s">
        <v>26</v>
      </c>
      <c r="J479" t="s">
        <v>47</v>
      </c>
      <c r="K479" t="s">
        <v>23</v>
      </c>
      <c r="L479">
        <v>2560.04</v>
      </c>
      <c r="M479">
        <v>22.2</v>
      </c>
      <c r="N479">
        <v>2023</v>
      </c>
      <c r="O479">
        <v>2</v>
      </c>
      <c r="P479" t="s">
        <v>64</v>
      </c>
      <c r="Q479">
        <v>731.16</v>
      </c>
      <c r="R479" t="s">
        <v>29</v>
      </c>
      <c r="S479">
        <v>3.5013403359045903</v>
      </c>
      <c r="T479" t="s">
        <v>78</v>
      </c>
    </row>
    <row r="480" spans="1:20" x14ac:dyDescent="0.25">
      <c r="A480" s="11">
        <v>45035</v>
      </c>
      <c r="B480" t="s">
        <v>51</v>
      </c>
      <c r="C480" t="s">
        <v>52</v>
      </c>
      <c r="D480" t="s">
        <v>44</v>
      </c>
      <c r="E480" t="s">
        <v>38</v>
      </c>
      <c r="F480">
        <v>713</v>
      </c>
      <c r="G480">
        <v>10.130000000000001</v>
      </c>
      <c r="H480">
        <v>7222.69</v>
      </c>
      <c r="I480" t="s">
        <v>57</v>
      </c>
      <c r="J480" t="s">
        <v>56</v>
      </c>
      <c r="K480" t="s">
        <v>28</v>
      </c>
      <c r="L480">
        <v>6491.57</v>
      </c>
      <c r="M480">
        <v>10.1</v>
      </c>
      <c r="N480">
        <v>2023</v>
      </c>
      <c r="O480">
        <v>2</v>
      </c>
      <c r="P480" t="s">
        <v>63</v>
      </c>
      <c r="Q480">
        <v>731.12</v>
      </c>
      <c r="R480" t="s">
        <v>29</v>
      </c>
      <c r="S480">
        <v>8.8789391618338982</v>
      </c>
      <c r="T480" t="s">
        <v>78</v>
      </c>
    </row>
    <row r="481" spans="1:20" x14ac:dyDescent="0.25">
      <c r="A481" s="11">
        <v>44967</v>
      </c>
      <c r="B481" t="s">
        <v>17</v>
      </c>
      <c r="C481" t="s">
        <v>18</v>
      </c>
      <c r="D481" t="s">
        <v>32</v>
      </c>
      <c r="E481" t="s">
        <v>20</v>
      </c>
      <c r="F481">
        <v>841</v>
      </c>
      <c r="G481">
        <v>3.14</v>
      </c>
      <c r="H481">
        <v>2640.74</v>
      </c>
      <c r="I481" t="s">
        <v>57</v>
      </c>
      <c r="J481" t="s">
        <v>22</v>
      </c>
      <c r="K481" t="s">
        <v>23</v>
      </c>
      <c r="L481">
        <v>1912.05</v>
      </c>
      <c r="M481">
        <v>27.6</v>
      </c>
      <c r="N481">
        <v>2023</v>
      </c>
      <c r="O481">
        <v>1</v>
      </c>
      <c r="P481" t="s">
        <v>60</v>
      </c>
      <c r="Q481">
        <v>728.69</v>
      </c>
      <c r="R481" t="s">
        <v>25</v>
      </c>
      <c r="S481">
        <v>2.6239553170758483</v>
      </c>
      <c r="T481" t="s">
        <v>78</v>
      </c>
    </row>
    <row r="482" spans="1:20" x14ac:dyDescent="0.25">
      <c r="A482" s="11">
        <v>44999</v>
      </c>
      <c r="B482" t="s">
        <v>51</v>
      </c>
      <c r="C482" t="s">
        <v>52</v>
      </c>
      <c r="D482" t="s">
        <v>44</v>
      </c>
      <c r="E482" t="s">
        <v>38</v>
      </c>
      <c r="F482">
        <v>637</v>
      </c>
      <c r="G482">
        <v>3.91</v>
      </c>
      <c r="H482">
        <v>2490.67</v>
      </c>
      <c r="I482" t="s">
        <v>26</v>
      </c>
      <c r="J482" t="s">
        <v>47</v>
      </c>
      <c r="K482" t="s">
        <v>23</v>
      </c>
      <c r="L482">
        <v>1766.14</v>
      </c>
      <c r="M482">
        <v>29.1</v>
      </c>
      <c r="N482">
        <v>2023</v>
      </c>
      <c r="O482">
        <v>1</v>
      </c>
      <c r="P482" t="s">
        <v>61</v>
      </c>
      <c r="Q482">
        <v>724.53</v>
      </c>
      <c r="R482" t="s">
        <v>25</v>
      </c>
      <c r="S482">
        <v>2.4376354326252883</v>
      </c>
      <c r="T482" t="s">
        <v>78</v>
      </c>
    </row>
    <row r="483" spans="1:20" x14ac:dyDescent="0.25">
      <c r="A483" s="11">
        <v>45028</v>
      </c>
      <c r="B483" t="s">
        <v>42</v>
      </c>
      <c r="C483" t="s">
        <v>43</v>
      </c>
      <c r="D483" t="s">
        <v>49</v>
      </c>
      <c r="E483" t="s">
        <v>50</v>
      </c>
      <c r="F483">
        <v>794</v>
      </c>
      <c r="G483">
        <v>8.44</v>
      </c>
      <c r="H483">
        <v>6701.36</v>
      </c>
      <c r="I483" t="s">
        <v>33</v>
      </c>
      <c r="J483" t="s">
        <v>34</v>
      </c>
      <c r="K483" t="s">
        <v>28</v>
      </c>
      <c r="L483">
        <v>5979.2</v>
      </c>
      <c r="M483">
        <v>10.8</v>
      </c>
      <c r="N483">
        <v>2023</v>
      </c>
      <c r="O483">
        <v>2</v>
      </c>
      <c r="P483" t="s">
        <v>63</v>
      </c>
      <c r="Q483">
        <v>722.16</v>
      </c>
      <c r="R483" t="s">
        <v>29</v>
      </c>
      <c r="S483">
        <v>8.2796056275617591</v>
      </c>
      <c r="T483" t="s">
        <v>78</v>
      </c>
    </row>
    <row r="484" spans="1:20" x14ac:dyDescent="0.25">
      <c r="A484" s="11">
        <v>45020</v>
      </c>
      <c r="B484" t="s">
        <v>17</v>
      </c>
      <c r="C484" t="s">
        <v>18</v>
      </c>
      <c r="D484" t="s">
        <v>19</v>
      </c>
      <c r="E484" t="s">
        <v>20</v>
      </c>
      <c r="F484">
        <v>528</v>
      </c>
      <c r="G484">
        <v>9.1</v>
      </c>
      <c r="H484">
        <v>4804.8</v>
      </c>
      <c r="I484" t="s">
        <v>39</v>
      </c>
      <c r="J484" t="s">
        <v>47</v>
      </c>
      <c r="K484" t="s">
        <v>28</v>
      </c>
      <c r="L484">
        <v>4084.35</v>
      </c>
      <c r="M484">
        <v>15</v>
      </c>
      <c r="N484">
        <v>2023</v>
      </c>
      <c r="O484">
        <v>2</v>
      </c>
      <c r="P484" t="s">
        <v>62</v>
      </c>
      <c r="Q484">
        <v>720.45</v>
      </c>
      <c r="R484" t="s">
        <v>29</v>
      </c>
      <c r="S484">
        <v>5.6691651051426186</v>
      </c>
      <c r="T484" t="s">
        <v>78</v>
      </c>
    </row>
    <row r="485" spans="1:20" x14ac:dyDescent="0.25">
      <c r="A485" s="11">
        <v>45071</v>
      </c>
      <c r="B485" t="s">
        <v>30</v>
      </c>
      <c r="C485" t="s">
        <v>31</v>
      </c>
      <c r="D485" t="s">
        <v>44</v>
      </c>
      <c r="E485" t="s">
        <v>38</v>
      </c>
      <c r="F485">
        <v>582</v>
      </c>
      <c r="G485">
        <v>11.2</v>
      </c>
      <c r="H485">
        <v>6518.4</v>
      </c>
      <c r="I485" t="s">
        <v>46</v>
      </c>
      <c r="J485" t="s">
        <v>27</v>
      </c>
      <c r="K485" t="s">
        <v>41</v>
      </c>
      <c r="L485">
        <v>5804.33</v>
      </c>
      <c r="M485">
        <v>11</v>
      </c>
      <c r="N485">
        <v>2023</v>
      </c>
      <c r="O485">
        <v>2</v>
      </c>
      <c r="P485" t="s">
        <v>66</v>
      </c>
      <c r="Q485">
        <v>714.07</v>
      </c>
      <c r="R485" t="s">
        <v>29</v>
      </c>
      <c r="S485">
        <v>8.1285168120772475</v>
      </c>
      <c r="T485" t="s">
        <v>78</v>
      </c>
    </row>
    <row r="486" spans="1:20" x14ac:dyDescent="0.25">
      <c r="A486" s="11">
        <v>45100</v>
      </c>
      <c r="B486" t="s">
        <v>42</v>
      </c>
      <c r="C486" t="s">
        <v>43</v>
      </c>
      <c r="D486" t="s">
        <v>49</v>
      </c>
      <c r="E486" t="s">
        <v>50</v>
      </c>
      <c r="F486">
        <v>411</v>
      </c>
      <c r="G486">
        <v>11.18</v>
      </c>
      <c r="H486">
        <v>4594.9799999999996</v>
      </c>
      <c r="I486" t="s">
        <v>33</v>
      </c>
      <c r="J486" t="s">
        <v>40</v>
      </c>
      <c r="K486" t="s">
        <v>23</v>
      </c>
      <c r="L486">
        <v>3883.36</v>
      </c>
      <c r="M486">
        <v>15.5</v>
      </c>
      <c r="N486">
        <v>2024</v>
      </c>
      <c r="O486">
        <v>2</v>
      </c>
      <c r="P486" t="s">
        <v>24</v>
      </c>
      <c r="Q486">
        <v>711.62</v>
      </c>
      <c r="R486" t="s">
        <v>29</v>
      </c>
      <c r="S486">
        <v>5.4570697844355136</v>
      </c>
      <c r="T486" t="s">
        <v>78</v>
      </c>
    </row>
    <row r="487" spans="1:20" x14ac:dyDescent="0.25">
      <c r="A487" s="11">
        <v>45039</v>
      </c>
      <c r="B487" t="s">
        <v>51</v>
      </c>
      <c r="C487" t="s">
        <v>52</v>
      </c>
      <c r="D487" t="s">
        <v>37</v>
      </c>
      <c r="E487" t="s">
        <v>38</v>
      </c>
      <c r="F487">
        <v>876</v>
      </c>
      <c r="G487">
        <v>6.99</v>
      </c>
      <c r="H487">
        <v>6123.24</v>
      </c>
      <c r="I487" t="s">
        <v>57</v>
      </c>
      <c r="J487" t="s">
        <v>22</v>
      </c>
      <c r="K487" t="s">
        <v>28</v>
      </c>
      <c r="L487">
        <v>5412.74</v>
      </c>
      <c r="M487">
        <v>11.6</v>
      </c>
      <c r="N487">
        <v>2023</v>
      </c>
      <c r="O487">
        <v>2</v>
      </c>
      <c r="P487" t="s">
        <v>63</v>
      </c>
      <c r="Q487">
        <v>710.5</v>
      </c>
      <c r="R487" t="s">
        <v>29</v>
      </c>
      <c r="S487">
        <v>7.6182125263898657</v>
      </c>
      <c r="T487" t="s">
        <v>78</v>
      </c>
    </row>
    <row r="488" spans="1:20" x14ac:dyDescent="0.25">
      <c r="A488" s="11">
        <v>45026</v>
      </c>
      <c r="B488" t="s">
        <v>35</v>
      </c>
      <c r="C488" t="s">
        <v>36</v>
      </c>
      <c r="D488" t="s">
        <v>49</v>
      </c>
      <c r="E488" t="s">
        <v>50</v>
      </c>
      <c r="F488">
        <v>579</v>
      </c>
      <c r="G488">
        <v>5.29</v>
      </c>
      <c r="H488">
        <v>3062.91</v>
      </c>
      <c r="I488" t="s">
        <v>46</v>
      </c>
      <c r="J488" t="s">
        <v>34</v>
      </c>
      <c r="K488" t="s">
        <v>28</v>
      </c>
      <c r="L488">
        <v>2354.59</v>
      </c>
      <c r="M488">
        <v>23.1</v>
      </c>
      <c r="N488">
        <v>2023</v>
      </c>
      <c r="O488">
        <v>2</v>
      </c>
      <c r="P488" t="s">
        <v>63</v>
      </c>
      <c r="Q488">
        <v>708.32</v>
      </c>
      <c r="R488" t="s">
        <v>29</v>
      </c>
      <c r="S488">
        <v>3.3241896318048338</v>
      </c>
      <c r="T488" t="s">
        <v>78</v>
      </c>
    </row>
    <row r="489" spans="1:20" x14ac:dyDescent="0.25">
      <c r="A489" s="11">
        <v>45055</v>
      </c>
      <c r="B489" t="s">
        <v>17</v>
      </c>
      <c r="C489" t="s">
        <v>18</v>
      </c>
      <c r="D489" t="s">
        <v>32</v>
      </c>
      <c r="E489" t="s">
        <v>20</v>
      </c>
      <c r="F489">
        <v>574</v>
      </c>
      <c r="G489">
        <v>11.07</v>
      </c>
      <c r="H489">
        <v>6354.18</v>
      </c>
      <c r="I489" t="s">
        <v>39</v>
      </c>
      <c r="J489" t="s">
        <v>27</v>
      </c>
      <c r="K489" t="s">
        <v>23</v>
      </c>
      <c r="L489">
        <v>5645.93</v>
      </c>
      <c r="M489">
        <v>11.1</v>
      </c>
      <c r="N489">
        <v>2023</v>
      </c>
      <c r="O489">
        <v>2</v>
      </c>
      <c r="P489" t="s">
        <v>65</v>
      </c>
      <c r="Q489">
        <v>708.25</v>
      </c>
      <c r="R489" t="s">
        <v>29</v>
      </c>
      <c r="S489">
        <v>7.9716625485351225</v>
      </c>
      <c r="T489" t="s">
        <v>78</v>
      </c>
    </row>
    <row r="490" spans="1:20" x14ac:dyDescent="0.25">
      <c r="A490" s="11">
        <v>45090</v>
      </c>
      <c r="B490" t="s">
        <v>51</v>
      </c>
      <c r="C490" t="s">
        <v>52</v>
      </c>
      <c r="D490" t="s">
        <v>45</v>
      </c>
      <c r="E490" t="s">
        <v>20</v>
      </c>
      <c r="F490">
        <v>572</v>
      </c>
      <c r="G490">
        <v>6.93</v>
      </c>
      <c r="H490">
        <v>3963.96</v>
      </c>
      <c r="I490" t="s">
        <v>39</v>
      </c>
      <c r="J490" t="s">
        <v>56</v>
      </c>
      <c r="K490" t="s">
        <v>41</v>
      </c>
      <c r="L490">
        <v>3255.8</v>
      </c>
      <c r="M490">
        <v>17.899999999999999</v>
      </c>
      <c r="N490">
        <v>2023</v>
      </c>
      <c r="O490">
        <v>2</v>
      </c>
      <c r="P490" t="s">
        <v>69</v>
      </c>
      <c r="Q490">
        <v>708.16</v>
      </c>
      <c r="R490" t="s">
        <v>29</v>
      </c>
      <c r="S490">
        <v>4.5975485765928612</v>
      </c>
      <c r="T490" t="s">
        <v>78</v>
      </c>
    </row>
    <row r="491" spans="1:20" x14ac:dyDescent="0.25">
      <c r="A491" s="11">
        <v>44982</v>
      </c>
      <c r="B491" t="s">
        <v>58</v>
      </c>
      <c r="C491" t="s">
        <v>59</v>
      </c>
      <c r="D491" t="s">
        <v>37</v>
      </c>
      <c r="E491" t="s">
        <v>38</v>
      </c>
      <c r="F491">
        <v>305</v>
      </c>
      <c r="G491">
        <v>8.18</v>
      </c>
      <c r="H491">
        <v>2494.9</v>
      </c>
      <c r="I491" t="s">
        <v>55</v>
      </c>
      <c r="J491" t="s">
        <v>27</v>
      </c>
      <c r="K491" t="s">
        <v>23</v>
      </c>
      <c r="L491">
        <v>1788.34</v>
      </c>
      <c r="M491">
        <v>28.3</v>
      </c>
      <c r="N491">
        <v>2023</v>
      </c>
      <c r="O491">
        <v>1</v>
      </c>
      <c r="P491" t="s">
        <v>61</v>
      </c>
      <c r="Q491">
        <v>706.56</v>
      </c>
      <c r="R491" t="s">
        <v>25</v>
      </c>
      <c r="S491">
        <v>2.5310518568840581</v>
      </c>
      <c r="T491" t="s">
        <v>78</v>
      </c>
    </row>
    <row r="492" spans="1:20" x14ac:dyDescent="0.25">
      <c r="A492" s="11">
        <v>44999</v>
      </c>
      <c r="B492" t="s">
        <v>35</v>
      </c>
      <c r="C492" t="s">
        <v>36</v>
      </c>
      <c r="D492" t="s">
        <v>44</v>
      </c>
      <c r="E492" t="s">
        <v>38</v>
      </c>
      <c r="F492">
        <v>677</v>
      </c>
      <c r="G492">
        <v>6.41</v>
      </c>
      <c r="H492">
        <v>4339.57</v>
      </c>
      <c r="I492" t="s">
        <v>57</v>
      </c>
      <c r="J492" t="s">
        <v>47</v>
      </c>
      <c r="K492" t="s">
        <v>41</v>
      </c>
      <c r="L492">
        <v>3634.69</v>
      </c>
      <c r="M492">
        <v>16.2</v>
      </c>
      <c r="N492">
        <v>2023</v>
      </c>
      <c r="O492">
        <v>1</v>
      </c>
      <c r="P492" t="s">
        <v>61</v>
      </c>
      <c r="Q492">
        <v>704.88</v>
      </c>
      <c r="R492" t="s">
        <v>29</v>
      </c>
      <c r="S492">
        <v>5.1564663488820797</v>
      </c>
      <c r="T492" t="s">
        <v>78</v>
      </c>
    </row>
    <row r="493" spans="1:20" x14ac:dyDescent="0.25">
      <c r="A493" s="11">
        <v>45065</v>
      </c>
      <c r="B493" t="s">
        <v>42</v>
      </c>
      <c r="C493" t="s">
        <v>43</v>
      </c>
      <c r="D493" t="s">
        <v>49</v>
      </c>
      <c r="E493" t="s">
        <v>50</v>
      </c>
      <c r="F493">
        <v>203</v>
      </c>
      <c r="G493">
        <v>9.5399999999999991</v>
      </c>
      <c r="H493">
        <v>1936.62</v>
      </c>
      <c r="I493" t="s">
        <v>39</v>
      </c>
      <c r="J493" t="s">
        <v>47</v>
      </c>
      <c r="K493" t="s">
        <v>23</v>
      </c>
      <c r="L493">
        <v>1231.81</v>
      </c>
      <c r="M493">
        <v>36.4</v>
      </c>
      <c r="N493">
        <v>2023</v>
      </c>
      <c r="O493">
        <v>2</v>
      </c>
      <c r="P493" t="s">
        <v>65</v>
      </c>
      <c r="Q493">
        <v>704.81</v>
      </c>
      <c r="R493" t="s">
        <v>25</v>
      </c>
      <c r="S493">
        <v>1.7477192434840596</v>
      </c>
      <c r="T493" t="s">
        <v>78</v>
      </c>
    </row>
    <row r="494" spans="1:20" x14ac:dyDescent="0.25">
      <c r="A494" s="11">
        <v>44945</v>
      </c>
      <c r="B494" t="s">
        <v>35</v>
      </c>
      <c r="C494" t="s">
        <v>36</v>
      </c>
      <c r="D494" t="s">
        <v>48</v>
      </c>
      <c r="E494" t="s">
        <v>38</v>
      </c>
      <c r="F494">
        <v>904</v>
      </c>
      <c r="G494">
        <v>3.07</v>
      </c>
      <c r="H494">
        <v>2775.28</v>
      </c>
      <c r="I494" t="s">
        <v>55</v>
      </c>
      <c r="J494" t="s">
        <v>27</v>
      </c>
      <c r="K494" t="s">
        <v>41</v>
      </c>
      <c r="L494">
        <v>2071.0300000000002</v>
      </c>
      <c r="M494">
        <v>25.4</v>
      </c>
      <c r="N494">
        <v>2023</v>
      </c>
      <c r="O494">
        <v>1</v>
      </c>
      <c r="P494" t="s">
        <v>24</v>
      </c>
      <c r="Q494">
        <v>704.25</v>
      </c>
      <c r="R494" t="s">
        <v>25</v>
      </c>
      <c r="S494">
        <v>2.940759673411431</v>
      </c>
      <c r="T494" t="s">
        <v>78</v>
      </c>
    </row>
    <row r="495" spans="1:20" x14ac:dyDescent="0.25">
      <c r="A495" s="11">
        <v>45080</v>
      </c>
      <c r="B495" t="s">
        <v>51</v>
      </c>
      <c r="C495" t="s">
        <v>52</v>
      </c>
      <c r="D495" t="s">
        <v>32</v>
      </c>
      <c r="E495" t="s">
        <v>20</v>
      </c>
      <c r="F495">
        <v>563</v>
      </c>
      <c r="G495">
        <v>3.32</v>
      </c>
      <c r="H495">
        <v>1869.16</v>
      </c>
      <c r="I495" t="s">
        <v>21</v>
      </c>
      <c r="J495" t="s">
        <v>34</v>
      </c>
      <c r="K495" t="s">
        <v>28</v>
      </c>
      <c r="L495">
        <v>1166.83</v>
      </c>
      <c r="M495">
        <v>37.6</v>
      </c>
      <c r="N495">
        <v>2023</v>
      </c>
      <c r="O495">
        <v>2</v>
      </c>
      <c r="P495" t="s">
        <v>68</v>
      </c>
      <c r="Q495">
        <v>702.33</v>
      </c>
      <c r="R495" t="s">
        <v>25</v>
      </c>
      <c r="S495">
        <v>1.6613700112482734</v>
      </c>
      <c r="T495" t="s">
        <v>78</v>
      </c>
    </row>
    <row r="496" spans="1:20" x14ac:dyDescent="0.25">
      <c r="A496" s="11">
        <v>45131</v>
      </c>
      <c r="B496" t="s">
        <v>17</v>
      </c>
      <c r="C496" t="s">
        <v>18</v>
      </c>
      <c r="D496" t="s">
        <v>19</v>
      </c>
      <c r="E496" t="s">
        <v>20</v>
      </c>
      <c r="F496">
        <v>459</v>
      </c>
      <c r="G496">
        <v>6.66</v>
      </c>
      <c r="H496">
        <v>3056.94</v>
      </c>
      <c r="I496" t="s">
        <v>57</v>
      </c>
      <c r="J496" t="s">
        <v>56</v>
      </c>
      <c r="K496" t="s">
        <v>41</v>
      </c>
      <c r="L496">
        <v>2355.52</v>
      </c>
      <c r="M496">
        <v>22.9</v>
      </c>
      <c r="N496">
        <v>2025</v>
      </c>
      <c r="O496">
        <v>3</v>
      </c>
      <c r="P496" t="s">
        <v>64</v>
      </c>
      <c r="Q496">
        <v>701.42</v>
      </c>
      <c r="R496" t="s">
        <v>29</v>
      </c>
      <c r="S496">
        <v>3.358216190014542</v>
      </c>
      <c r="T496" t="s">
        <v>78</v>
      </c>
    </row>
    <row r="497" spans="1:20" x14ac:dyDescent="0.25">
      <c r="A497" s="11">
        <v>45062</v>
      </c>
      <c r="B497" t="s">
        <v>17</v>
      </c>
      <c r="C497" t="s">
        <v>18</v>
      </c>
      <c r="D497" t="s">
        <v>45</v>
      </c>
      <c r="E497" t="s">
        <v>20</v>
      </c>
      <c r="F497">
        <v>731</v>
      </c>
      <c r="G497">
        <v>2.6</v>
      </c>
      <c r="H497">
        <v>1900.6</v>
      </c>
      <c r="I497" t="s">
        <v>54</v>
      </c>
      <c r="J497" t="s">
        <v>27</v>
      </c>
      <c r="K497" t="s">
        <v>23</v>
      </c>
      <c r="L497">
        <v>1199.3900000000001</v>
      </c>
      <c r="M497">
        <v>36.9</v>
      </c>
      <c r="N497">
        <v>2023</v>
      </c>
      <c r="O497">
        <v>2</v>
      </c>
      <c r="P497" t="s">
        <v>65</v>
      </c>
      <c r="Q497">
        <v>701.21</v>
      </c>
      <c r="R497" t="s">
        <v>25</v>
      </c>
      <c r="S497">
        <v>1.7104576375123002</v>
      </c>
      <c r="T497" t="s">
        <v>78</v>
      </c>
    </row>
    <row r="498" spans="1:20" x14ac:dyDescent="0.25">
      <c r="A498" s="11">
        <v>45127</v>
      </c>
      <c r="B498" t="s">
        <v>42</v>
      </c>
      <c r="C498" t="s">
        <v>43</v>
      </c>
      <c r="D498" t="s">
        <v>48</v>
      </c>
      <c r="E498" t="s">
        <v>38</v>
      </c>
      <c r="F498">
        <v>187</v>
      </c>
      <c r="G498">
        <v>11.9</v>
      </c>
      <c r="H498">
        <v>2225.3000000000002</v>
      </c>
      <c r="I498" t="s">
        <v>46</v>
      </c>
      <c r="J498" t="s">
        <v>56</v>
      </c>
      <c r="K498" t="s">
        <v>23</v>
      </c>
      <c r="L498">
        <v>1524.5</v>
      </c>
      <c r="M498">
        <v>31.5</v>
      </c>
      <c r="N498">
        <v>2024</v>
      </c>
      <c r="O498">
        <v>3</v>
      </c>
      <c r="P498" t="s">
        <v>70</v>
      </c>
      <c r="Q498">
        <v>700.8</v>
      </c>
      <c r="R498" t="s">
        <v>25</v>
      </c>
      <c r="S498">
        <v>2.1753710045662102</v>
      </c>
      <c r="T498" t="s">
        <v>78</v>
      </c>
    </row>
    <row r="499" spans="1:20" x14ac:dyDescent="0.25">
      <c r="A499" s="11">
        <v>44959</v>
      </c>
      <c r="B499" t="s">
        <v>51</v>
      </c>
      <c r="C499" t="s">
        <v>52</v>
      </c>
      <c r="D499" t="s">
        <v>45</v>
      </c>
      <c r="E499" t="s">
        <v>20</v>
      </c>
      <c r="F499">
        <v>275</v>
      </c>
      <c r="G499">
        <v>8.5399999999999991</v>
      </c>
      <c r="H499">
        <v>2348.5</v>
      </c>
      <c r="I499" t="s">
        <v>26</v>
      </c>
      <c r="J499" t="s">
        <v>47</v>
      </c>
      <c r="K499" t="s">
        <v>23</v>
      </c>
      <c r="L499">
        <v>1648.96</v>
      </c>
      <c r="M499">
        <v>29.8</v>
      </c>
      <c r="N499">
        <v>2023</v>
      </c>
      <c r="O499">
        <v>1</v>
      </c>
      <c r="P499" t="s">
        <v>60</v>
      </c>
      <c r="Q499">
        <v>699.54</v>
      </c>
      <c r="R499" t="s">
        <v>25</v>
      </c>
      <c r="S499">
        <v>2.3572061640506621</v>
      </c>
      <c r="T499" t="s">
        <v>78</v>
      </c>
    </row>
    <row r="500" spans="1:20" x14ac:dyDescent="0.25">
      <c r="A500" s="11">
        <v>44943</v>
      </c>
      <c r="B500" t="s">
        <v>30</v>
      </c>
      <c r="C500" t="s">
        <v>31</v>
      </c>
      <c r="D500" t="s">
        <v>53</v>
      </c>
      <c r="E500" t="s">
        <v>50</v>
      </c>
      <c r="F500">
        <v>853</v>
      </c>
      <c r="G500">
        <v>2.2400000000000002</v>
      </c>
      <c r="H500">
        <v>1910.72</v>
      </c>
      <c r="I500" t="s">
        <v>46</v>
      </c>
      <c r="J500" t="s">
        <v>40</v>
      </c>
      <c r="K500" t="s">
        <v>23</v>
      </c>
      <c r="L500">
        <v>1213.22</v>
      </c>
      <c r="M500">
        <v>36.5</v>
      </c>
      <c r="N500">
        <v>2023</v>
      </c>
      <c r="O500">
        <v>1</v>
      </c>
      <c r="P500" t="s">
        <v>24</v>
      </c>
      <c r="Q500">
        <v>697.5</v>
      </c>
      <c r="R500" t="s">
        <v>25</v>
      </c>
      <c r="S500">
        <v>1.7393835125448029</v>
      </c>
      <c r="T500" t="s">
        <v>78</v>
      </c>
    </row>
    <row r="501" spans="1:20" x14ac:dyDescent="0.25">
      <c r="A501" s="11">
        <v>45032</v>
      </c>
      <c r="B501" t="s">
        <v>51</v>
      </c>
      <c r="C501" t="s">
        <v>52</v>
      </c>
      <c r="D501" t="s">
        <v>53</v>
      </c>
      <c r="E501" t="s">
        <v>50</v>
      </c>
      <c r="F501">
        <v>752</v>
      </c>
      <c r="G501">
        <v>2.65</v>
      </c>
      <c r="H501">
        <v>1992.8</v>
      </c>
      <c r="I501" t="s">
        <v>46</v>
      </c>
      <c r="J501" t="s">
        <v>40</v>
      </c>
      <c r="K501" t="s">
        <v>23</v>
      </c>
      <c r="L501">
        <v>1295.5999999999999</v>
      </c>
      <c r="M501">
        <v>35</v>
      </c>
      <c r="N501">
        <v>2023</v>
      </c>
      <c r="O501">
        <v>2</v>
      </c>
      <c r="P501" t="s">
        <v>63</v>
      </c>
      <c r="Q501">
        <v>697.2</v>
      </c>
      <c r="R501" t="s">
        <v>25</v>
      </c>
      <c r="S501">
        <v>1.8582903040734364</v>
      </c>
      <c r="T501" t="s">
        <v>78</v>
      </c>
    </row>
    <row r="502" spans="1:20" x14ac:dyDescent="0.25">
      <c r="A502" s="11">
        <v>45021</v>
      </c>
      <c r="B502" t="s">
        <v>51</v>
      </c>
      <c r="C502" t="s">
        <v>52</v>
      </c>
      <c r="D502" t="s">
        <v>49</v>
      </c>
      <c r="E502" t="s">
        <v>50</v>
      </c>
      <c r="F502">
        <v>355</v>
      </c>
      <c r="G502">
        <v>9.98</v>
      </c>
      <c r="H502">
        <v>3542.9</v>
      </c>
      <c r="I502" t="s">
        <v>46</v>
      </c>
      <c r="J502" t="s">
        <v>56</v>
      </c>
      <c r="K502" t="s">
        <v>28</v>
      </c>
      <c r="L502">
        <v>2846.29</v>
      </c>
      <c r="M502">
        <v>19.7</v>
      </c>
      <c r="N502">
        <v>2023</v>
      </c>
      <c r="O502">
        <v>2</v>
      </c>
      <c r="P502" t="s">
        <v>62</v>
      </c>
      <c r="Q502">
        <v>696.61</v>
      </c>
      <c r="R502" t="s">
        <v>29</v>
      </c>
      <c r="S502">
        <v>4.0859160792983156</v>
      </c>
      <c r="T502" t="s">
        <v>78</v>
      </c>
    </row>
    <row r="503" spans="1:20" x14ac:dyDescent="0.25">
      <c r="A503" s="11">
        <v>44947</v>
      </c>
      <c r="B503" t="s">
        <v>35</v>
      </c>
      <c r="C503" t="s">
        <v>36</v>
      </c>
      <c r="D503" t="s">
        <v>49</v>
      </c>
      <c r="E503" t="s">
        <v>50</v>
      </c>
      <c r="F503">
        <v>424</v>
      </c>
      <c r="G503">
        <v>11.06</v>
      </c>
      <c r="H503">
        <v>4689.4399999999996</v>
      </c>
      <c r="I503" t="s">
        <v>39</v>
      </c>
      <c r="J503" t="s">
        <v>47</v>
      </c>
      <c r="K503" t="s">
        <v>23</v>
      </c>
      <c r="L503">
        <v>3993.34</v>
      </c>
      <c r="M503">
        <v>14.8</v>
      </c>
      <c r="N503">
        <v>2023</v>
      </c>
      <c r="O503">
        <v>1</v>
      </c>
      <c r="P503" t="s">
        <v>24</v>
      </c>
      <c r="Q503">
        <v>696.1</v>
      </c>
      <c r="R503" t="s">
        <v>29</v>
      </c>
      <c r="S503">
        <v>5.7367332279844847</v>
      </c>
      <c r="T503" t="s">
        <v>78</v>
      </c>
    </row>
    <row r="504" spans="1:20" x14ac:dyDescent="0.25">
      <c r="A504" s="11">
        <v>44928</v>
      </c>
      <c r="B504" t="s">
        <v>51</v>
      </c>
      <c r="C504" t="s">
        <v>52</v>
      </c>
      <c r="D504" t="s">
        <v>19</v>
      </c>
      <c r="E504" t="s">
        <v>20</v>
      </c>
      <c r="F504">
        <v>436</v>
      </c>
      <c r="G504">
        <v>6.47</v>
      </c>
      <c r="H504">
        <v>2820.92</v>
      </c>
      <c r="I504" t="s">
        <v>33</v>
      </c>
      <c r="J504" t="s">
        <v>47</v>
      </c>
      <c r="K504" t="s">
        <v>23</v>
      </c>
      <c r="L504">
        <v>2126.98</v>
      </c>
      <c r="M504">
        <v>24.6</v>
      </c>
      <c r="N504">
        <v>2023</v>
      </c>
      <c r="O504">
        <v>1</v>
      </c>
      <c r="P504" t="s">
        <v>24</v>
      </c>
      <c r="Q504">
        <v>693.94</v>
      </c>
      <c r="R504" t="s">
        <v>29</v>
      </c>
      <c r="S504">
        <v>3.0650776724212467</v>
      </c>
      <c r="T504" t="s">
        <v>78</v>
      </c>
    </row>
    <row r="505" spans="1:20" x14ac:dyDescent="0.25">
      <c r="A505" s="11">
        <v>45103</v>
      </c>
      <c r="B505" t="s">
        <v>42</v>
      </c>
      <c r="C505" t="s">
        <v>43</v>
      </c>
      <c r="D505" t="s">
        <v>19</v>
      </c>
      <c r="E505" t="s">
        <v>20</v>
      </c>
      <c r="F505">
        <v>503</v>
      </c>
      <c r="G505">
        <v>3.87</v>
      </c>
      <c r="H505">
        <v>1946.61</v>
      </c>
      <c r="I505" t="s">
        <v>39</v>
      </c>
      <c r="J505" t="s">
        <v>27</v>
      </c>
      <c r="K505" t="s">
        <v>41</v>
      </c>
      <c r="L505">
        <v>1255.74</v>
      </c>
      <c r="M505">
        <v>35.5</v>
      </c>
      <c r="N505">
        <v>2024</v>
      </c>
      <c r="O505">
        <v>2</v>
      </c>
      <c r="P505" t="s">
        <v>24</v>
      </c>
      <c r="Q505">
        <v>690.87</v>
      </c>
      <c r="R505" t="s">
        <v>25</v>
      </c>
      <c r="S505">
        <v>1.8176212601502453</v>
      </c>
      <c r="T505" t="s">
        <v>78</v>
      </c>
    </row>
    <row r="506" spans="1:20" x14ac:dyDescent="0.25">
      <c r="A506" s="11">
        <v>45129</v>
      </c>
      <c r="B506" t="s">
        <v>35</v>
      </c>
      <c r="C506" t="s">
        <v>36</v>
      </c>
      <c r="D506" t="s">
        <v>49</v>
      </c>
      <c r="E506" t="s">
        <v>50</v>
      </c>
      <c r="F506">
        <v>827</v>
      </c>
      <c r="G506">
        <v>4.76</v>
      </c>
      <c r="H506">
        <v>3936.52</v>
      </c>
      <c r="I506" t="s">
        <v>57</v>
      </c>
      <c r="J506" t="s">
        <v>47</v>
      </c>
      <c r="K506" t="s">
        <v>23</v>
      </c>
      <c r="L506">
        <v>3247.26</v>
      </c>
      <c r="M506">
        <v>17.5</v>
      </c>
      <c r="N506">
        <v>2025</v>
      </c>
      <c r="O506">
        <v>3</v>
      </c>
      <c r="P506" t="s">
        <v>61</v>
      </c>
      <c r="Q506">
        <v>689.26</v>
      </c>
      <c r="R506" t="s">
        <v>29</v>
      </c>
      <c r="S506">
        <v>4.7112265328032965</v>
      </c>
      <c r="T506" t="s">
        <v>78</v>
      </c>
    </row>
    <row r="507" spans="1:20" x14ac:dyDescent="0.25">
      <c r="A507" s="11">
        <v>44969</v>
      </c>
      <c r="B507" t="s">
        <v>51</v>
      </c>
      <c r="C507" t="s">
        <v>52</v>
      </c>
      <c r="D507" t="s">
        <v>49</v>
      </c>
      <c r="E507" t="s">
        <v>50</v>
      </c>
      <c r="F507">
        <v>231</v>
      </c>
      <c r="G507">
        <v>9.73</v>
      </c>
      <c r="H507">
        <v>2247.63</v>
      </c>
      <c r="I507" t="s">
        <v>21</v>
      </c>
      <c r="J507" t="s">
        <v>27</v>
      </c>
      <c r="K507" t="s">
        <v>28</v>
      </c>
      <c r="L507">
        <v>1561.5</v>
      </c>
      <c r="M507">
        <v>30.5</v>
      </c>
      <c r="N507">
        <v>2023</v>
      </c>
      <c r="O507">
        <v>1</v>
      </c>
      <c r="P507" t="s">
        <v>60</v>
      </c>
      <c r="Q507">
        <v>686.13</v>
      </c>
      <c r="R507" t="s">
        <v>25</v>
      </c>
      <c r="S507">
        <v>2.275807791526387</v>
      </c>
      <c r="T507" t="s">
        <v>78</v>
      </c>
    </row>
    <row r="508" spans="1:20" x14ac:dyDescent="0.25">
      <c r="A508" s="11">
        <v>45098</v>
      </c>
      <c r="B508" t="s">
        <v>58</v>
      </c>
      <c r="C508" t="s">
        <v>59</v>
      </c>
      <c r="D508" t="s">
        <v>48</v>
      </c>
      <c r="E508" t="s">
        <v>38</v>
      </c>
      <c r="F508">
        <v>400</v>
      </c>
      <c r="G508">
        <v>4.97</v>
      </c>
      <c r="H508">
        <v>1988</v>
      </c>
      <c r="I508" t="s">
        <v>33</v>
      </c>
      <c r="J508" t="s">
        <v>47</v>
      </c>
      <c r="K508" t="s">
        <v>28</v>
      </c>
      <c r="L508">
        <v>1303.0899999999999</v>
      </c>
      <c r="M508">
        <v>34.5</v>
      </c>
      <c r="N508">
        <v>2024</v>
      </c>
      <c r="O508">
        <v>2</v>
      </c>
      <c r="P508" t="s">
        <v>24</v>
      </c>
      <c r="Q508">
        <v>684.91</v>
      </c>
      <c r="R508" t="s">
        <v>25</v>
      </c>
      <c r="S508">
        <v>1.9025711407338191</v>
      </c>
      <c r="T508" t="s">
        <v>78</v>
      </c>
    </row>
    <row r="509" spans="1:20" x14ac:dyDescent="0.25">
      <c r="A509" s="11">
        <v>44948</v>
      </c>
      <c r="B509" t="s">
        <v>58</v>
      </c>
      <c r="C509" t="s">
        <v>59</v>
      </c>
      <c r="D509" t="s">
        <v>19</v>
      </c>
      <c r="E509" t="s">
        <v>20</v>
      </c>
      <c r="F509">
        <v>439</v>
      </c>
      <c r="G509">
        <v>5.81</v>
      </c>
      <c r="H509">
        <v>2550.59</v>
      </c>
      <c r="I509" t="s">
        <v>21</v>
      </c>
      <c r="J509" t="s">
        <v>27</v>
      </c>
      <c r="K509" t="s">
        <v>28</v>
      </c>
      <c r="L509">
        <v>1866.21</v>
      </c>
      <c r="M509">
        <v>26.8</v>
      </c>
      <c r="N509">
        <v>2023</v>
      </c>
      <c r="O509">
        <v>1</v>
      </c>
      <c r="P509" t="s">
        <v>24</v>
      </c>
      <c r="Q509">
        <v>684.38</v>
      </c>
      <c r="R509" t="s">
        <v>25</v>
      </c>
      <c r="S509">
        <v>2.7268622694994011</v>
      </c>
      <c r="T509" t="s">
        <v>78</v>
      </c>
    </row>
    <row r="510" spans="1:20" x14ac:dyDescent="0.25">
      <c r="A510" s="11">
        <v>45120</v>
      </c>
      <c r="B510" t="s">
        <v>35</v>
      </c>
      <c r="C510" t="s">
        <v>36</v>
      </c>
      <c r="D510" t="s">
        <v>19</v>
      </c>
      <c r="E510" t="s">
        <v>20</v>
      </c>
      <c r="F510">
        <v>289</v>
      </c>
      <c r="G510">
        <v>9.6</v>
      </c>
      <c r="H510">
        <v>2774.4</v>
      </c>
      <c r="I510" t="s">
        <v>54</v>
      </c>
      <c r="J510" t="s">
        <v>27</v>
      </c>
      <c r="K510" t="s">
        <v>41</v>
      </c>
      <c r="L510">
        <v>2092.89</v>
      </c>
      <c r="M510">
        <v>24.6</v>
      </c>
      <c r="N510">
        <v>2024</v>
      </c>
      <c r="O510">
        <v>3</v>
      </c>
      <c r="P510" t="s">
        <v>65</v>
      </c>
      <c r="Q510">
        <v>681.51</v>
      </c>
      <c r="R510" t="s">
        <v>29</v>
      </c>
      <c r="S510">
        <v>3.0709600739534268</v>
      </c>
      <c r="T510" t="s">
        <v>78</v>
      </c>
    </row>
    <row r="511" spans="1:20" x14ac:dyDescent="0.25">
      <c r="A511" s="11">
        <v>44944</v>
      </c>
      <c r="B511" t="s">
        <v>58</v>
      </c>
      <c r="C511" t="s">
        <v>59</v>
      </c>
      <c r="D511" t="s">
        <v>44</v>
      </c>
      <c r="E511" t="s">
        <v>38</v>
      </c>
      <c r="F511">
        <v>302</v>
      </c>
      <c r="G511">
        <v>6.29</v>
      </c>
      <c r="H511">
        <v>1899.58</v>
      </c>
      <c r="I511" t="s">
        <v>33</v>
      </c>
      <c r="J511" t="s">
        <v>40</v>
      </c>
      <c r="K511" t="s">
        <v>41</v>
      </c>
      <c r="L511">
        <v>1220.92</v>
      </c>
      <c r="M511">
        <v>35.700000000000003</v>
      </c>
      <c r="N511">
        <v>2023</v>
      </c>
      <c r="O511">
        <v>1</v>
      </c>
      <c r="P511" t="s">
        <v>24</v>
      </c>
      <c r="Q511">
        <v>678.66</v>
      </c>
      <c r="R511" t="s">
        <v>25</v>
      </c>
      <c r="S511">
        <v>1.7990157074234523</v>
      </c>
      <c r="T511" t="s">
        <v>78</v>
      </c>
    </row>
    <row r="512" spans="1:20" x14ac:dyDescent="0.25">
      <c r="A512" s="11">
        <v>44984</v>
      </c>
      <c r="B512" t="s">
        <v>42</v>
      </c>
      <c r="C512" t="s">
        <v>43</v>
      </c>
      <c r="D512" t="s">
        <v>37</v>
      </c>
      <c r="E512" t="s">
        <v>38</v>
      </c>
      <c r="F512">
        <v>246</v>
      </c>
      <c r="G512">
        <v>10.06</v>
      </c>
      <c r="H512">
        <v>2474.7600000000002</v>
      </c>
      <c r="I512" t="s">
        <v>54</v>
      </c>
      <c r="J512" t="s">
        <v>56</v>
      </c>
      <c r="K512" t="s">
        <v>41</v>
      </c>
      <c r="L512">
        <v>1798.61</v>
      </c>
      <c r="M512">
        <v>27.3</v>
      </c>
      <c r="N512">
        <v>2023</v>
      </c>
      <c r="O512">
        <v>1</v>
      </c>
      <c r="P512" t="s">
        <v>61</v>
      </c>
      <c r="Q512">
        <v>676.15</v>
      </c>
      <c r="R512" t="s">
        <v>25</v>
      </c>
      <c r="S512">
        <v>2.6600754270502107</v>
      </c>
      <c r="T512" t="s">
        <v>78</v>
      </c>
    </row>
    <row r="513" spans="1:20" x14ac:dyDescent="0.25">
      <c r="A513" s="11">
        <v>45010</v>
      </c>
      <c r="B513" t="s">
        <v>30</v>
      </c>
      <c r="C513" t="s">
        <v>31</v>
      </c>
      <c r="D513" t="s">
        <v>45</v>
      </c>
      <c r="E513" t="s">
        <v>20</v>
      </c>
      <c r="F513">
        <v>717</v>
      </c>
      <c r="G513">
        <v>3.53</v>
      </c>
      <c r="H513">
        <v>2531.0100000000002</v>
      </c>
      <c r="I513" t="s">
        <v>55</v>
      </c>
      <c r="J513" t="s">
        <v>56</v>
      </c>
      <c r="K513" t="s">
        <v>23</v>
      </c>
      <c r="L513">
        <v>1860.84</v>
      </c>
      <c r="M513">
        <v>26.5</v>
      </c>
      <c r="N513">
        <v>2023</v>
      </c>
      <c r="O513">
        <v>1</v>
      </c>
      <c r="P513" t="s">
        <v>62</v>
      </c>
      <c r="Q513">
        <v>670.17</v>
      </c>
      <c r="R513" t="s">
        <v>25</v>
      </c>
      <c r="S513">
        <v>2.7766686064729846</v>
      </c>
      <c r="T513" t="s">
        <v>78</v>
      </c>
    </row>
    <row r="514" spans="1:20" x14ac:dyDescent="0.25">
      <c r="A514" s="11">
        <v>45115</v>
      </c>
      <c r="B514" t="s">
        <v>51</v>
      </c>
      <c r="C514" t="s">
        <v>52</v>
      </c>
      <c r="D514" t="s">
        <v>45</v>
      </c>
      <c r="E514" t="s">
        <v>20</v>
      </c>
      <c r="F514">
        <v>918</v>
      </c>
      <c r="G514">
        <v>3.52</v>
      </c>
      <c r="H514">
        <v>3231.36</v>
      </c>
      <c r="I514" t="s">
        <v>33</v>
      </c>
      <c r="J514" t="s">
        <v>22</v>
      </c>
      <c r="K514" t="s">
        <v>41</v>
      </c>
      <c r="L514">
        <v>2564.34</v>
      </c>
      <c r="M514">
        <v>20.6</v>
      </c>
      <c r="N514">
        <v>2024</v>
      </c>
      <c r="O514">
        <v>3</v>
      </c>
      <c r="P514" t="s">
        <v>63</v>
      </c>
      <c r="Q514">
        <v>667.02</v>
      </c>
      <c r="R514" t="s">
        <v>29</v>
      </c>
      <c r="S514">
        <v>3.8444724296123058</v>
      </c>
      <c r="T514" t="s">
        <v>78</v>
      </c>
    </row>
    <row r="515" spans="1:20" x14ac:dyDescent="0.25">
      <c r="A515" s="11">
        <v>45113</v>
      </c>
      <c r="B515" t="s">
        <v>58</v>
      </c>
      <c r="C515" t="s">
        <v>59</v>
      </c>
      <c r="D515" t="s">
        <v>48</v>
      </c>
      <c r="E515" t="s">
        <v>38</v>
      </c>
      <c r="F515">
        <v>286</v>
      </c>
      <c r="G515">
        <v>12</v>
      </c>
      <c r="H515">
        <v>3432</v>
      </c>
      <c r="I515" t="s">
        <v>33</v>
      </c>
      <c r="J515" t="s">
        <v>56</v>
      </c>
      <c r="K515" t="s">
        <v>28</v>
      </c>
      <c r="L515">
        <v>2765.1</v>
      </c>
      <c r="M515">
        <v>19.399999999999999</v>
      </c>
      <c r="N515">
        <v>2024</v>
      </c>
      <c r="O515">
        <v>3</v>
      </c>
      <c r="P515" t="s">
        <v>62</v>
      </c>
      <c r="Q515">
        <v>666.9</v>
      </c>
      <c r="R515" t="s">
        <v>29</v>
      </c>
      <c r="S515">
        <v>4.1461988304093564</v>
      </c>
      <c r="T515" t="s">
        <v>78</v>
      </c>
    </row>
    <row r="516" spans="1:20" x14ac:dyDescent="0.25">
      <c r="A516" s="11">
        <v>44958</v>
      </c>
      <c r="B516" t="s">
        <v>35</v>
      </c>
      <c r="C516" t="s">
        <v>36</v>
      </c>
      <c r="D516" t="s">
        <v>19</v>
      </c>
      <c r="E516" t="s">
        <v>20</v>
      </c>
      <c r="F516">
        <v>278</v>
      </c>
      <c r="G516">
        <v>7.44</v>
      </c>
      <c r="H516">
        <v>2068.3200000000002</v>
      </c>
      <c r="I516" t="s">
        <v>21</v>
      </c>
      <c r="J516" t="s">
        <v>22</v>
      </c>
      <c r="K516" t="s">
        <v>28</v>
      </c>
      <c r="L516">
        <v>1404.03</v>
      </c>
      <c r="M516">
        <v>32.1</v>
      </c>
      <c r="N516">
        <v>2023</v>
      </c>
      <c r="O516">
        <v>1</v>
      </c>
      <c r="P516" t="s">
        <v>60</v>
      </c>
      <c r="Q516">
        <v>664.29</v>
      </c>
      <c r="R516" t="s">
        <v>25</v>
      </c>
      <c r="S516">
        <v>2.113579912387662</v>
      </c>
      <c r="T516" t="s">
        <v>78</v>
      </c>
    </row>
    <row r="517" spans="1:20" x14ac:dyDescent="0.25">
      <c r="A517" s="11">
        <v>44975</v>
      </c>
      <c r="B517" t="s">
        <v>30</v>
      </c>
      <c r="C517" t="s">
        <v>31</v>
      </c>
      <c r="D517" t="s">
        <v>45</v>
      </c>
      <c r="E517" t="s">
        <v>20</v>
      </c>
      <c r="F517">
        <v>508</v>
      </c>
      <c r="G517">
        <v>3.29</v>
      </c>
      <c r="H517">
        <v>1671.32</v>
      </c>
      <c r="I517" t="s">
        <v>21</v>
      </c>
      <c r="J517" t="s">
        <v>47</v>
      </c>
      <c r="K517" t="s">
        <v>23</v>
      </c>
      <c r="L517">
        <v>1007.94</v>
      </c>
      <c r="M517">
        <v>39.700000000000003</v>
      </c>
      <c r="N517">
        <v>2023</v>
      </c>
      <c r="O517">
        <v>1</v>
      </c>
      <c r="P517" t="s">
        <v>60</v>
      </c>
      <c r="Q517">
        <v>663.38</v>
      </c>
      <c r="R517" t="s">
        <v>25</v>
      </c>
      <c r="S517">
        <v>1.5194006451807411</v>
      </c>
      <c r="T517" t="s">
        <v>78</v>
      </c>
    </row>
    <row r="518" spans="1:20" x14ac:dyDescent="0.25">
      <c r="A518" s="11">
        <v>44965</v>
      </c>
      <c r="B518" t="s">
        <v>51</v>
      </c>
      <c r="C518" t="s">
        <v>52</v>
      </c>
      <c r="D518" t="s">
        <v>53</v>
      </c>
      <c r="E518" t="s">
        <v>50</v>
      </c>
      <c r="F518">
        <v>213</v>
      </c>
      <c r="G518">
        <v>10.85</v>
      </c>
      <c r="H518">
        <v>2311.0500000000002</v>
      </c>
      <c r="I518" t="s">
        <v>39</v>
      </c>
      <c r="J518" t="s">
        <v>27</v>
      </c>
      <c r="K518" t="s">
        <v>28</v>
      </c>
      <c r="L518">
        <v>1649.21</v>
      </c>
      <c r="M518">
        <v>28.6</v>
      </c>
      <c r="N518">
        <v>2023</v>
      </c>
      <c r="O518">
        <v>1</v>
      </c>
      <c r="P518" t="s">
        <v>60</v>
      </c>
      <c r="Q518">
        <v>661.84</v>
      </c>
      <c r="R518" t="s">
        <v>25</v>
      </c>
      <c r="S518">
        <v>2.4918560377130423</v>
      </c>
      <c r="T518" t="s">
        <v>78</v>
      </c>
    </row>
    <row r="519" spans="1:20" x14ac:dyDescent="0.25">
      <c r="A519" s="11">
        <v>44949</v>
      </c>
      <c r="B519" t="s">
        <v>51</v>
      </c>
      <c r="C519" t="s">
        <v>52</v>
      </c>
      <c r="D519" t="s">
        <v>37</v>
      </c>
      <c r="E519" t="s">
        <v>38</v>
      </c>
      <c r="F519">
        <v>966</v>
      </c>
      <c r="G519">
        <v>6.13</v>
      </c>
      <c r="H519">
        <v>5921.58</v>
      </c>
      <c r="I519" t="s">
        <v>54</v>
      </c>
      <c r="J519" t="s">
        <v>56</v>
      </c>
      <c r="K519" t="s">
        <v>41</v>
      </c>
      <c r="L519">
        <v>5260.66</v>
      </c>
      <c r="M519">
        <v>11.2</v>
      </c>
      <c r="N519">
        <v>2023</v>
      </c>
      <c r="O519">
        <v>1</v>
      </c>
      <c r="P519" t="s">
        <v>24</v>
      </c>
      <c r="Q519">
        <v>660.92</v>
      </c>
      <c r="R519" t="s">
        <v>29</v>
      </c>
      <c r="S519">
        <v>7.9596017672335533</v>
      </c>
      <c r="T519" t="s">
        <v>78</v>
      </c>
    </row>
    <row r="520" spans="1:20" x14ac:dyDescent="0.25">
      <c r="A520" s="11">
        <v>44997</v>
      </c>
      <c r="B520" t="s">
        <v>42</v>
      </c>
      <c r="C520" t="s">
        <v>43</v>
      </c>
      <c r="D520" t="s">
        <v>19</v>
      </c>
      <c r="E520" t="s">
        <v>20</v>
      </c>
      <c r="F520">
        <v>154</v>
      </c>
      <c r="G520">
        <v>11.51</v>
      </c>
      <c r="H520">
        <v>1772.54</v>
      </c>
      <c r="I520" t="s">
        <v>33</v>
      </c>
      <c r="J520" t="s">
        <v>27</v>
      </c>
      <c r="K520" t="s">
        <v>23</v>
      </c>
      <c r="L520">
        <v>1115.67</v>
      </c>
      <c r="M520">
        <v>37.1</v>
      </c>
      <c r="N520">
        <v>2023</v>
      </c>
      <c r="O520">
        <v>1</v>
      </c>
      <c r="P520" t="s">
        <v>61</v>
      </c>
      <c r="Q520">
        <v>656.87</v>
      </c>
      <c r="R520" t="s">
        <v>25</v>
      </c>
      <c r="S520">
        <v>1.6984639274133391</v>
      </c>
      <c r="T520" t="s">
        <v>78</v>
      </c>
    </row>
    <row r="521" spans="1:20" x14ac:dyDescent="0.25">
      <c r="A521" s="11">
        <v>45114</v>
      </c>
      <c r="B521" t="s">
        <v>58</v>
      </c>
      <c r="C521" t="s">
        <v>59</v>
      </c>
      <c r="D521" t="s">
        <v>32</v>
      </c>
      <c r="E521" t="s">
        <v>20</v>
      </c>
      <c r="F521">
        <v>923</v>
      </c>
      <c r="G521">
        <v>5.25</v>
      </c>
      <c r="H521">
        <v>4845.75</v>
      </c>
      <c r="I521" t="s">
        <v>55</v>
      </c>
      <c r="J521" t="s">
        <v>27</v>
      </c>
      <c r="K521" t="s">
        <v>28</v>
      </c>
      <c r="L521">
        <v>4191.05</v>
      </c>
      <c r="M521">
        <v>13.5</v>
      </c>
      <c r="N521">
        <v>2024</v>
      </c>
      <c r="O521">
        <v>3</v>
      </c>
      <c r="P521" t="s">
        <v>62</v>
      </c>
      <c r="Q521">
        <v>654.70000000000005</v>
      </c>
      <c r="R521" t="s">
        <v>29</v>
      </c>
      <c r="S521">
        <v>6.4014815946234913</v>
      </c>
      <c r="T521" t="s">
        <v>78</v>
      </c>
    </row>
    <row r="522" spans="1:20" x14ac:dyDescent="0.25">
      <c r="A522" s="11">
        <v>45072</v>
      </c>
      <c r="B522" t="s">
        <v>42</v>
      </c>
      <c r="C522" t="s">
        <v>43</v>
      </c>
      <c r="D522" t="s">
        <v>37</v>
      </c>
      <c r="E522" t="s">
        <v>38</v>
      </c>
      <c r="F522">
        <v>320</v>
      </c>
      <c r="G522">
        <v>8.9</v>
      </c>
      <c r="H522">
        <v>2848</v>
      </c>
      <c r="I522" t="s">
        <v>54</v>
      </c>
      <c r="J522" t="s">
        <v>40</v>
      </c>
      <c r="K522" t="s">
        <v>23</v>
      </c>
      <c r="L522">
        <v>2197.7800000000002</v>
      </c>
      <c r="M522">
        <v>22.8</v>
      </c>
      <c r="N522">
        <v>2023</v>
      </c>
      <c r="O522">
        <v>2</v>
      </c>
      <c r="P522" t="s">
        <v>66</v>
      </c>
      <c r="Q522">
        <v>650.22</v>
      </c>
      <c r="R522" t="s">
        <v>29</v>
      </c>
      <c r="S522">
        <v>3.3800559810525668</v>
      </c>
      <c r="T522" t="s">
        <v>78</v>
      </c>
    </row>
    <row r="523" spans="1:20" x14ac:dyDescent="0.25">
      <c r="A523" s="11">
        <v>45023</v>
      </c>
      <c r="B523" t="s">
        <v>42</v>
      </c>
      <c r="C523" t="s">
        <v>43</v>
      </c>
      <c r="D523" t="s">
        <v>37</v>
      </c>
      <c r="E523" t="s">
        <v>38</v>
      </c>
      <c r="F523">
        <v>669</v>
      </c>
      <c r="G523">
        <v>2.86</v>
      </c>
      <c r="H523">
        <v>1913.34</v>
      </c>
      <c r="I523" t="s">
        <v>21</v>
      </c>
      <c r="J523" t="s">
        <v>47</v>
      </c>
      <c r="K523" t="s">
        <v>28</v>
      </c>
      <c r="L523">
        <v>1263.95</v>
      </c>
      <c r="M523">
        <v>33.9</v>
      </c>
      <c r="N523">
        <v>2023</v>
      </c>
      <c r="O523">
        <v>2</v>
      </c>
      <c r="P523" t="s">
        <v>63</v>
      </c>
      <c r="Q523">
        <v>649.39</v>
      </c>
      <c r="R523" t="s">
        <v>25</v>
      </c>
      <c r="S523">
        <v>1.9463650502779533</v>
      </c>
      <c r="T523" t="s">
        <v>78</v>
      </c>
    </row>
    <row r="524" spans="1:20" x14ac:dyDescent="0.25">
      <c r="A524" s="11">
        <v>45082</v>
      </c>
      <c r="B524" t="s">
        <v>17</v>
      </c>
      <c r="C524" t="s">
        <v>18</v>
      </c>
      <c r="D524" t="s">
        <v>53</v>
      </c>
      <c r="E524" t="s">
        <v>50</v>
      </c>
      <c r="F524">
        <v>346</v>
      </c>
      <c r="G524">
        <v>5.31</v>
      </c>
      <c r="H524">
        <v>1837.26</v>
      </c>
      <c r="I524" t="s">
        <v>55</v>
      </c>
      <c r="J524" t="s">
        <v>40</v>
      </c>
      <c r="K524" t="s">
        <v>23</v>
      </c>
      <c r="L524">
        <v>1188.2</v>
      </c>
      <c r="M524">
        <v>35.299999999999997</v>
      </c>
      <c r="N524">
        <v>2023</v>
      </c>
      <c r="O524">
        <v>2</v>
      </c>
      <c r="P524" t="s">
        <v>68</v>
      </c>
      <c r="Q524">
        <v>649.05999999999995</v>
      </c>
      <c r="R524" t="s">
        <v>25</v>
      </c>
      <c r="S524">
        <v>1.8306473977752444</v>
      </c>
      <c r="T524" t="s">
        <v>78</v>
      </c>
    </row>
    <row r="525" spans="1:20" x14ac:dyDescent="0.25">
      <c r="A525" s="11">
        <v>45044</v>
      </c>
      <c r="B525" t="s">
        <v>51</v>
      </c>
      <c r="C525" t="s">
        <v>52</v>
      </c>
      <c r="D525" t="s">
        <v>45</v>
      </c>
      <c r="E525" t="s">
        <v>20</v>
      </c>
      <c r="F525">
        <v>957</v>
      </c>
      <c r="G525">
        <v>6.44</v>
      </c>
      <c r="H525">
        <v>6163.08</v>
      </c>
      <c r="I525" t="s">
        <v>26</v>
      </c>
      <c r="J525" t="s">
        <v>40</v>
      </c>
      <c r="K525" t="s">
        <v>28</v>
      </c>
      <c r="L525">
        <v>5515.04</v>
      </c>
      <c r="M525">
        <v>10.5</v>
      </c>
      <c r="N525">
        <v>2023</v>
      </c>
      <c r="O525">
        <v>2</v>
      </c>
      <c r="P525" t="s">
        <v>64</v>
      </c>
      <c r="Q525">
        <v>648.04</v>
      </c>
      <c r="R525" t="s">
        <v>29</v>
      </c>
      <c r="S525">
        <v>8.5103388679711127</v>
      </c>
      <c r="T525" t="s">
        <v>78</v>
      </c>
    </row>
    <row r="526" spans="1:20" x14ac:dyDescent="0.25">
      <c r="A526" s="11">
        <v>44961</v>
      </c>
      <c r="B526" t="s">
        <v>35</v>
      </c>
      <c r="C526" t="s">
        <v>36</v>
      </c>
      <c r="D526" t="s">
        <v>19</v>
      </c>
      <c r="E526" t="s">
        <v>20</v>
      </c>
      <c r="F526">
        <v>815</v>
      </c>
      <c r="G526">
        <v>3.05</v>
      </c>
      <c r="H526">
        <v>2485.75</v>
      </c>
      <c r="I526" t="s">
        <v>46</v>
      </c>
      <c r="J526" t="s">
        <v>22</v>
      </c>
      <c r="K526" t="s">
        <v>28</v>
      </c>
      <c r="L526">
        <v>1838.29</v>
      </c>
      <c r="M526">
        <v>26</v>
      </c>
      <c r="N526">
        <v>2023</v>
      </c>
      <c r="O526">
        <v>1</v>
      </c>
      <c r="P526" t="s">
        <v>60</v>
      </c>
      <c r="Q526">
        <v>647.46</v>
      </c>
      <c r="R526" t="s">
        <v>25</v>
      </c>
      <c r="S526">
        <v>2.8392333117103759</v>
      </c>
      <c r="T526" t="s">
        <v>78</v>
      </c>
    </row>
    <row r="527" spans="1:20" x14ac:dyDescent="0.25">
      <c r="A527" s="11">
        <v>44997</v>
      </c>
      <c r="B527" t="s">
        <v>30</v>
      </c>
      <c r="C527" t="s">
        <v>31</v>
      </c>
      <c r="D527" t="s">
        <v>19</v>
      </c>
      <c r="E527" t="s">
        <v>20</v>
      </c>
      <c r="F527">
        <v>682</v>
      </c>
      <c r="G527">
        <v>8.83</v>
      </c>
      <c r="H527">
        <v>6022.06</v>
      </c>
      <c r="I527" t="s">
        <v>54</v>
      </c>
      <c r="J527" t="s">
        <v>47</v>
      </c>
      <c r="K527" t="s">
        <v>28</v>
      </c>
      <c r="L527">
        <v>5376.82</v>
      </c>
      <c r="M527">
        <v>10.7</v>
      </c>
      <c r="N527">
        <v>2023</v>
      </c>
      <c r="O527">
        <v>1</v>
      </c>
      <c r="P527" t="s">
        <v>61</v>
      </c>
      <c r="Q527">
        <v>645.24</v>
      </c>
      <c r="R527" t="s">
        <v>29</v>
      </c>
      <c r="S527">
        <v>8.3330543673671809</v>
      </c>
      <c r="T527" t="s">
        <v>78</v>
      </c>
    </row>
    <row r="528" spans="1:20" x14ac:dyDescent="0.25">
      <c r="A528" s="11">
        <v>45111</v>
      </c>
      <c r="B528" t="s">
        <v>30</v>
      </c>
      <c r="C528" t="s">
        <v>31</v>
      </c>
      <c r="D528" t="s">
        <v>19</v>
      </c>
      <c r="E528" t="s">
        <v>20</v>
      </c>
      <c r="F528">
        <v>332</v>
      </c>
      <c r="G528">
        <v>8.73</v>
      </c>
      <c r="H528">
        <v>2898.36</v>
      </c>
      <c r="I528" t="s">
        <v>26</v>
      </c>
      <c r="J528" t="s">
        <v>47</v>
      </c>
      <c r="K528" t="s">
        <v>28</v>
      </c>
      <c r="L528">
        <v>2255.4699999999998</v>
      </c>
      <c r="M528">
        <v>22.2</v>
      </c>
      <c r="N528">
        <v>2024</v>
      </c>
      <c r="O528">
        <v>3</v>
      </c>
      <c r="P528" t="s">
        <v>62</v>
      </c>
      <c r="Q528">
        <v>642.89</v>
      </c>
      <c r="R528" t="s">
        <v>29</v>
      </c>
      <c r="S528">
        <v>3.5083295742662037</v>
      </c>
      <c r="T528" t="s">
        <v>78</v>
      </c>
    </row>
    <row r="529" spans="1:20" x14ac:dyDescent="0.25">
      <c r="A529" s="11">
        <v>45054</v>
      </c>
      <c r="B529" t="s">
        <v>42</v>
      </c>
      <c r="C529" t="s">
        <v>43</v>
      </c>
      <c r="D529" t="s">
        <v>37</v>
      </c>
      <c r="E529" t="s">
        <v>38</v>
      </c>
      <c r="F529">
        <v>630</v>
      </c>
      <c r="G529">
        <v>4.22</v>
      </c>
      <c r="H529">
        <v>2658.6</v>
      </c>
      <c r="I529" t="s">
        <v>55</v>
      </c>
      <c r="J529" t="s">
        <v>34</v>
      </c>
      <c r="K529" t="s">
        <v>28</v>
      </c>
      <c r="L529">
        <v>2015.79</v>
      </c>
      <c r="M529">
        <v>24.2</v>
      </c>
      <c r="N529">
        <v>2023</v>
      </c>
      <c r="O529">
        <v>2</v>
      </c>
      <c r="P529" t="s">
        <v>65</v>
      </c>
      <c r="Q529">
        <v>642.80999999999995</v>
      </c>
      <c r="R529" t="s">
        <v>29</v>
      </c>
      <c r="S529">
        <v>3.1359032995753022</v>
      </c>
      <c r="T529" t="s">
        <v>78</v>
      </c>
    </row>
    <row r="530" spans="1:20" x14ac:dyDescent="0.25">
      <c r="A530" s="11">
        <v>45055</v>
      </c>
      <c r="B530" t="s">
        <v>58</v>
      </c>
      <c r="C530" t="s">
        <v>59</v>
      </c>
      <c r="D530" t="s">
        <v>44</v>
      </c>
      <c r="E530" t="s">
        <v>38</v>
      </c>
      <c r="F530">
        <v>664</v>
      </c>
      <c r="G530">
        <v>6.7</v>
      </c>
      <c r="H530">
        <v>4448.8</v>
      </c>
      <c r="I530" t="s">
        <v>46</v>
      </c>
      <c r="J530" t="s">
        <v>27</v>
      </c>
      <c r="K530" t="s">
        <v>41</v>
      </c>
      <c r="L530">
        <v>3806.69</v>
      </c>
      <c r="M530">
        <v>14.4</v>
      </c>
      <c r="N530">
        <v>2023</v>
      </c>
      <c r="O530">
        <v>2</v>
      </c>
      <c r="P530" t="s">
        <v>65</v>
      </c>
      <c r="Q530">
        <v>642.11</v>
      </c>
      <c r="R530" t="s">
        <v>29</v>
      </c>
      <c r="S530">
        <v>5.9284079051875844</v>
      </c>
      <c r="T530" t="s">
        <v>78</v>
      </c>
    </row>
    <row r="531" spans="1:20" x14ac:dyDescent="0.25">
      <c r="A531" s="11">
        <v>44960</v>
      </c>
      <c r="B531" t="s">
        <v>17</v>
      </c>
      <c r="C531" t="s">
        <v>18</v>
      </c>
      <c r="D531" t="s">
        <v>45</v>
      </c>
      <c r="E531" t="s">
        <v>20</v>
      </c>
      <c r="F531">
        <v>931</v>
      </c>
      <c r="G531">
        <v>2.54</v>
      </c>
      <c r="H531">
        <v>2364.7399999999998</v>
      </c>
      <c r="I531" t="s">
        <v>57</v>
      </c>
      <c r="J531" t="s">
        <v>47</v>
      </c>
      <c r="K531" t="s">
        <v>23</v>
      </c>
      <c r="L531">
        <v>1733.38</v>
      </c>
      <c r="M531">
        <v>26.7</v>
      </c>
      <c r="N531">
        <v>2023</v>
      </c>
      <c r="O531">
        <v>1</v>
      </c>
      <c r="P531" t="s">
        <v>60</v>
      </c>
      <c r="Q531">
        <v>631.36</v>
      </c>
      <c r="R531" t="s">
        <v>25</v>
      </c>
      <c r="S531">
        <v>2.7454700963000507</v>
      </c>
      <c r="T531" t="s">
        <v>78</v>
      </c>
    </row>
    <row r="532" spans="1:20" x14ac:dyDescent="0.25">
      <c r="A532" s="11">
        <v>45063</v>
      </c>
      <c r="B532" t="s">
        <v>30</v>
      </c>
      <c r="C532" t="s">
        <v>31</v>
      </c>
      <c r="D532" t="s">
        <v>45</v>
      </c>
      <c r="E532" t="s">
        <v>20</v>
      </c>
      <c r="F532">
        <v>563</v>
      </c>
      <c r="G532">
        <v>2.87</v>
      </c>
      <c r="H532">
        <v>1615.81</v>
      </c>
      <c r="I532" t="s">
        <v>46</v>
      </c>
      <c r="J532" t="s">
        <v>22</v>
      </c>
      <c r="K532" t="s">
        <v>41</v>
      </c>
      <c r="L532">
        <v>987.47</v>
      </c>
      <c r="M532">
        <v>38.9</v>
      </c>
      <c r="N532">
        <v>2023</v>
      </c>
      <c r="O532">
        <v>2</v>
      </c>
      <c r="P532" t="s">
        <v>65</v>
      </c>
      <c r="Q532">
        <v>628.34</v>
      </c>
      <c r="R532" t="s">
        <v>25</v>
      </c>
      <c r="S532">
        <v>1.5715536174682496</v>
      </c>
      <c r="T532" t="s">
        <v>78</v>
      </c>
    </row>
    <row r="533" spans="1:20" x14ac:dyDescent="0.25">
      <c r="A533" s="11">
        <v>45092</v>
      </c>
      <c r="B533" t="s">
        <v>51</v>
      </c>
      <c r="C533" t="s">
        <v>52</v>
      </c>
      <c r="D533" t="s">
        <v>48</v>
      </c>
      <c r="E533" t="s">
        <v>38</v>
      </c>
      <c r="F533">
        <v>978</v>
      </c>
      <c r="G533">
        <v>4.08</v>
      </c>
      <c r="H533">
        <v>3990.24</v>
      </c>
      <c r="I533" t="s">
        <v>46</v>
      </c>
      <c r="J533" t="s">
        <v>40</v>
      </c>
      <c r="K533" t="s">
        <v>41</v>
      </c>
      <c r="L533">
        <v>3363.78</v>
      </c>
      <c r="M533">
        <v>15.7</v>
      </c>
      <c r="N533">
        <v>2023</v>
      </c>
      <c r="O533">
        <v>2</v>
      </c>
      <c r="P533" t="s">
        <v>70</v>
      </c>
      <c r="Q533">
        <v>626.46</v>
      </c>
      <c r="R533" t="s">
        <v>29</v>
      </c>
      <c r="S533">
        <v>5.3695048367014655</v>
      </c>
      <c r="T533" t="s">
        <v>78</v>
      </c>
    </row>
    <row r="534" spans="1:20" x14ac:dyDescent="0.25">
      <c r="A534" s="11">
        <v>44965</v>
      </c>
      <c r="B534" t="s">
        <v>30</v>
      </c>
      <c r="C534" t="s">
        <v>31</v>
      </c>
      <c r="D534" t="s">
        <v>44</v>
      </c>
      <c r="E534" t="s">
        <v>38</v>
      </c>
      <c r="F534">
        <v>650</v>
      </c>
      <c r="G534">
        <v>2.44</v>
      </c>
      <c r="H534">
        <v>1586</v>
      </c>
      <c r="I534" t="s">
        <v>46</v>
      </c>
      <c r="J534" t="s">
        <v>47</v>
      </c>
      <c r="K534" t="s">
        <v>28</v>
      </c>
      <c r="L534">
        <v>961</v>
      </c>
      <c r="M534">
        <v>39.4</v>
      </c>
      <c r="N534">
        <v>2023</v>
      </c>
      <c r="O534">
        <v>1</v>
      </c>
      <c r="P534" t="s">
        <v>60</v>
      </c>
      <c r="Q534">
        <v>625</v>
      </c>
      <c r="R534" t="s">
        <v>25</v>
      </c>
      <c r="S534">
        <v>1.5376000000000001</v>
      </c>
      <c r="T534" t="s">
        <v>78</v>
      </c>
    </row>
    <row r="535" spans="1:20" x14ac:dyDescent="0.25">
      <c r="A535" s="11">
        <v>45030</v>
      </c>
      <c r="B535" t="s">
        <v>51</v>
      </c>
      <c r="C535" t="s">
        <v>52</v>
      </c>
      <c r="D535" t="s">
        <v>44</v>
      </c>
      <c r="E535" t="s">
        <v>38</v>
      </c>
      <c r="F535">
        <v>417</v>
      </c>
      <c r="G535">
        <v>7.09</v>
      </c>
      <c r="H535">
        <v>2956.53</v>
      </c>
      <c r="I535" t="s">
        <v>26</v>
      </c>
      <c r="J535" t="s">
        <v>47</v>
      </c>
      <c r="K535" t="s">
        <v>28</v>
      </c>
      <c r="L535">
        <v>2331.65</v>
      </c>
      <c r="M535">
        <v>21.1</v>
      </c>
      <c r="N535">
        <v>2023</v>
      </c>
      <c r="O535">
        <v>2</v>
      </c>
      <c r="P535" t="s">
        <v>63</v>
      </c>
      <c r="Q535">
        <v>624.88</v>
      </c>
      <c r="R535" t="s">
        <v>29</v>
      </c>
      <c r="S535">
        <v>3.7313564204327232</v>
      </c>
      <c r="T535" t="s">
        <v>78</v>
      </c>
    </row>
    <row r="536" spans="1:20" x14ac:dyDescent="0.25">
      <c r="A536" s="11">
        <v>45072</v>
      </c>
      <c r="B536" t="s">
        <v>30</v>
      </c>
      <c r="C536" t="s">
        <v>31</v>
      </c>
      <c r="D536" t="s">
        <v>37</v>
      </c>
      <c r="E536" t="s">
        <v>38</v>
      </c>
      <c r="F536">
        <v>837</v>
      </c>
      <c r="G536">
        <v>2.19</v>
      </c>
      <c r="H536">
        <v>1833.03</v>
      </c>
      <c r="I536" t="s">
        <v>55</v>
      </c>
      <c r="J536" t="s">
        <v>22</v>
      </c>
      <c r="K536" t="s">
        <v>23</v>
      </c>
      <c r="L536">
        <v>1209.6400000000001</v>
      </c>
      <c r="M536">
        <v>34</v>
      </c>
      <c r="N536">
        <v>2023</v>
      </c>
      <c r="O536">
        <v>2</v>
      </c>
      <c r="P536" t="s">
        <v>66</v>
      </c>
      <c r="Q536">
        <v>623.39</v>
      </c>
      <c r="R536" t="s">
        <v>25</v>
      </c>
      <c r="S536">
        <v>1.9404225284332441</v>
      </c>
      <c r="T536" t="s">
        <v>78</v>
      </c>
    </row>
    <row r="537" spans="1:20" x14ac:dyDescent="0.25">
      <c r="A537" s="11">
        <v>44970</v>
      </c>
      <c r="B537" t="s">
        <v>17</v>
      </c>
      <c r="C537" t="s">
        <v>18</v>
      </c>
      <c r="D537" t="s">
        <v>45</v>
      </c>
      <c r="E537" t="s">
        <v>20</v>
      </c>
      <c r="F537">
        <v>299</v>
      </c>
      <c r="G537">
        <v>7.85</v>
      </c>
      <c r="H537">
        <v>2347.15</v>
      </c>
      <c r="I537" t="s">
        <v>21</v>
      </c>
      <c r="J537" t="s">
        <v>47</v>
      </c>
      <c r="K537" t="s">
        <v>28</v>
      </c>
      <c r="L537">
        <v>1724.48</v>
      </c>
      <c r="M537">
        <v>26.5</v>
      </c>
      <c r="N537">
        <v>2023</v>
      </c>
      <c r="O537">
        <v>1</v>
      </c>
      <c r="P537" t="s">
        <v>60</v>
      </c>
      <c r="Q537">
        <v>622.66999999999996</v>
      </c>
      <c r="R537" t="s">
        <v>25</v>
      </c>
      <c r="S537">
        <v>2.7694926686687973</v>
      </c>
      <c r="T537" t="s">
        <v>78</v>
      </c>
    </row>
    <row r="538" spans="1:20" x14ac:dyDescent="0.25">
      <c r="A538" s="11">
        <v>45011</v>
      </c>
      <c r="B538" t="s">
        <v>42</v>
      </c>
      <c r="C538" t="s">
        <v>43</v>
      </c>
      <c r="D538" t="s">
        <v>32</v>
      </c>
      <c r="E538" t="s">
        <v>20</v>
      </c>
      <c r="F538">
        <v>214</v>
      </c>
      <c r="G538">
        <v>11.96</v>
      </c>
      <c r="H538">
        <v>2559.44</v>
      </c>
      <c r="I538" t="s">
        <v>39</v>
      </c>
      <c r="J538" t="s">
        <v>47</v>
      </c>
      <c r="K538" t="s">
        <v>41</v>
      </c>
      <c r="L538">
        <v>1938.98</v>
      </c>
      <c r="M538">
        <v>24.2</v>
      </c>
      <c r="N538">
        <v>2023</v>
      </c>
      <c r="O538">
        <v>1</v>
      </c>
      <c r="P538" t="s">
        <v>62</v>
      </c>
      <c r="Q538">
        <v>620.46</v>
      </c>
      <c r="R538" t="s">
        <v>29</v>
      </c>
      <c r="S538">
        <v>3.1250684975663217</v>
      </c>
      <c r="T538" t="s">
        <v>78</v>
      </c>
    </row>
    <row r="539" spans="1:20" x14ac:dyDescent="0.25">
      <c r="A539" s="11">
        <v>44956</v>
      </c>
      <c r="B539" t="s">
        <v>58</v>
      </c>
      <c r="C539" t="s">
        <v>59</v>
      </c>
      <c r="D539" t="s">
        <v>19</v>
      </c>
      <c r="E539" t="s">
        <v>20</v>
      </c>
      <c r="F539">
        <v>526</v>
      </c>
      <c r="G539">
        <v>5.16</v>
      </c>
      <c r="H539">
        <v>2714.16</v>
      </c>
      <c r="I539" t="s">
        <v>55</v>
      </c>
      <c r="J539" t="s">
        <v>27</v>
      </c>
      <c r="K539" t="s">
        <v>23</v>
      </c>
      <c r="L539">
        <v>2097.3200000000002</v>
      </c>
      <c r="M539">
        <v>22.7</v>
      </c>
      <c r="N539">
        <v>2023</v>
      </c>
      <c r="O539">
        <v>1</v>
      </c>
      <c r="P539" t="s">
        <v>60</v>
      </c>
      <c r="Q539">
        <v>616.84</v>
      </c>
      <c r="R539" t="s">
        <v>29</v>
      </c>
      <c r="S539">
        <v>3.4001037546203232</v>
      </c>
      <c r="T539" t="s">
        <v>78</v>
      </c>
    </row>
    <row r="540" spans="1:20" x14ac:dyDescent="0.25">
      <c r="A540" s="11">
        <v>44995</v>
      </c>
      <c r="B540" t="s">
        <v>58</v>
      </c>
      <c r="C540" t="s">
        <v>59</v>
      </c>
      <c r="D540" t="s">
        <v>32</v>
      </c>
      <c r="E540" t="s">
        <v>20</v>
      </c>
      <c r="F540">
        <v>559</v>
      </c>
      <c r="G540">
        <v>4.1399999999999997</v>
      </c>
      <c r="H540">
        <v>2314.2600000000002</v>
      </c>
      <c r="I540" t="s">
        <v>26</v>
      </c>
      <c r="J540" t="s">
        <v>56</v>
      </c>
      <c r="K540" t="s">
        <v>41</v>
      </c>
      <c r="L540">
        <v>1698.18</v>
      </c>
      <c r="M540">
        <v>26.6</v>
      </c>
      <c r="N540">
        <v>2023</v>
      </c>
      <c r="O540">
        <v>1</v>
      </c>
      <c r="P540" t="s">
        <v>61</v>
      </c>
      <c r="Q540">
        <v>616.08000000000004</v>
      </c>
      <c r="R540" t="s">
        <v>25</v>
      </c>
      <c r="S540">
        <v>2.7564277366575767</v>
      </c>
      <c r="T540" t="s">
        <v>78</v>
      </c>
    </row>
    <row r="541" spans="1:20" x14ac:dyDescent="0.25">
      <c r="A541" s="11">
        <v>44969</v>
      </c>
      <c r="B541" t="s">
        <v>35</v>
      </c>
      <c r="C541" t="s">
        <v>36</v>
      </c>
      <c r="D541" t="s">
        <v>53</v>
      </c>
      <c r="E541" t="s">
        <v>50</v>
      </c>
      <c r="F541">
        <v>308</v>
      </c>
      <c r="G541">
        <v>7.97</v>
      </c>
      <c r="H541">
        <v>2454.7600000000002</v>
      </c>
      <c r="I541" t="s">
        <v>46</v>
      </c>
      <c r="J541" t="s">
        <v>27</v>
      </c>
      <c r="K541" t="s">
        <v>28</v>
      </c>
      <c r="L541">
        <v>1839.79</v>
      </c>
      <c r="M541">
        <v>25.1</v>
      </c>
      <c r="N541">
        <v>2023</v>
      </c>
      <c r="O541">
        <v>1</v>
      </c>
      <c r="P541" t="s">
        <v>60</v>
      </c>
      <c r="Q541">
        <v>614.97</v>
      </c>
      <c r="R541" t="s">
        <v>25</v>
      </c>
      <c r="S541">
        <v>2.9916743906206804</v>
      </c>
      <c r="T541" t="s">
        <v>78</v>
      </c>
    </row>
    <row r="542" spans="1:20" x14ac:dyDescent="0.25">
      <c r="A542" s="11">
        <v>45052</v>
      </c>
      <c r="B542" t="s">
        <v>58</v>
      </c>
      <c r="C542" t="s">
        <v>59</v>
      </c>
      <c r="D542" t="s">
        <v>53</v>
      </c>
      <c r="E542" t="s">
        <v>50</v>
      </c>
      <c r="F542">
        <v>819</v>
      </c>
      <c r="G542">
        <v>6.85</v>
      </c>
      <c r="H542">
        <v>5610.15</v>
      </c>
      <c r="I542" t="s">
        <v>26</v>
      </c>
      <c r="J542" t="s">
        <v>40</v>
      </c>
      <c r="K542" t="s">
        <v>41</v>
      </c>
      <c r="L542">
        <v>4997.42</v>
      </c>
      <c r="M542">
        <v>10.9</v>
      </c>
      <c r="N542">
        <v>2023</v>
      </c>
      <c r="O542">
        <v>2</v>
      </c>
      <c r="P542" t="s">
        <v>65</v>
      </c>
      <c r="Q542">
        <v>612.73</v>
      </c>
      <c r="R542" t="s">
        <v>29</v>
      </c>
      <c r="S542">
        <v>8.1559904036035444</v>
      </c>
      <c r="T542" t="s">
        <v>78</v>
      </c>
    </row>
    <row r="543" spans="1:20" x14ac:dyDescent="0.25">
      <c r="A543" s="11">
        <v>44965</v>
      </c>
      <c r="B543" t="s">
        <v>30</v>
      </c>
      <c r="C543" t="s">
        <v>31</v>
      </c>
      <c r="D543" t="s">
        <v>44</v>
      </c>
      <c r="E543" t="s">
        <v>38</v>
      </c>
      <c r="F543">
        <v>210</v>
      </c>
      <c r="G543">
        <v>7.77</v>
      </c>
      <c r="H543">
        <v>1631.7</v>
      </c>
      <c r="I543" t="s">
        <v>39</v>
      </c>
      <c r="J543" t="s">
        <v>27</v>
      </c>
      <c r="K543" t="s">
        <v>23</v>
      </c>
      <c r="L543">
        <v>1021.01</v>
      </c>
      <c r="M543">
        <v>37.4</v>
      </c>
      <c r="N543">
        <v>2023</v>
      </c>
      <c r="O543">
        <v>1</v>
      </c>
      <c r="P543" t="s">
        <v>60</v>
      </c>
      <c r="Q543">
        <v>610.69000000000005</v>
      </c>
      <c r="R543" t="s">
        <v>25</v>
      </c>
      <c r="S543">
        <v>1.6718957245083428</v>
      </c>
      <c r="T543" t="s">
        <v>78</v>
      </c>
    </row>
    <row r="544" spans="1:20" x14ac:dyDescent="0.25">
      <c r="A544" s="11">
        <v>45074</v>
      </c>
      <c r="B544" t="s">
        <v>42</v>
      </c>
      <c r="C544" t="s">
        <v>43</v>
      </c>
      <c r="D544" t="s">
        <v>44</v>
      </c>
      <c r="E544" t="s">
        <v>38</v>
      </c>
      <c r="F544">
        <v>560</v>
      </c>
      <c r="G544">
        <v>5.2</v>
      </c>
      <c r="H544">
        <v>2912</v>
      </c>
      <c r="I544" t="s">
        <v>33</v>
      </c>
      <c r="J544" t="s">
        <v>40</v>
      </c>
      <c r="K544" t="s">
        <v>28</v>
      </c>
      <c r="L544">
        <v>2303.2399999999998</v>
      </c>
      <c r="M544">
        <v>20.9</v>
      </c>
      <c r="N544">
        <v>2023</v>
      </c>
      <c r="O544">
        <v>2</v>
      </c>
      <c r="P544" t="s">
        <v>67</v>
      </c>
      <c r="Q544">
        <v>608.76</v>
      </c>
      <c r="R544" t="s">
        <v>29</v>
      </c>
      <c r="S544">
        <v>3.783494316315132</v>
      </c>
      <c r="T544" t="s">
        <v>78</v>
      </c>
    </row>
    <row r="545" spans="1:20" x14ac:dyDescent="0.25">
      <c r="A545" s="11">
        <v>45013</v>
      </c>
      <c r="B545" t="s">
        <v>42</v>
      </c>
      <c r="C545" t="s">
        <v>43</v>
      </c>
      <c r="D545" t="s">
        <v>32</v>
      </c>
      <c r="E545" t="s">
        <v>20</v>
      </c>
      <c r="F545">
        <v>452</v>
      </c>
      <c r="G545">
        <v>7.2</v>
      </c>
      <c r="H545">
        <v>3254.4</v>
      </c>
      <c r="I545" t="s">
        <v>54</v>
      </c>
      <c r="J545" t="s">
        <v>34</v>
      </c>
      <c r="K545" t="s">
        <v>41</v>
      </c>
      <c r="L545">
        <v>2649.17</v>
      </c>
      <c r="M545">
        <v>18.600000000000001</v>
      </c>
      <c r="N545">
        <v>2023</v>
      </c>
      <c r="O545">
        <v>1</v>
      </c>
      <c r="P545" t="s">
        <v>62</v>
      </c>
      <c r="Q545">
        <v>605.23</v>
      </c>
      <c r="R545" t="s">
        <v>29</v>
      </c>
      <c r="S545">
        <v>4.3771293557820989</v>
      </c>
      <c r="T545" t="s">
        <v>78</v>
      </c>
    </row>
    <row r="546" spans="1:20" x14ac:dyDescent="0.25">
      <c r="A546" s="11">
        <v>45048</v>
      </c>
      <c r="B546" t="s">
        <v>58</v>
      </c>
      <c r="C546" t="s">
        <v>59</v>
      </c>
      <c r="D546" t="s">
        <v>45</v>
      </c>
      <c r="E546" t="s">
        <v>20</v>
      </c>
      <c r="F546">
        <v>535</v>
      </c>
      <c r="G546">
        <v>6.69</v>
      </c>
      <c r="H546">
        <v>3579.15</v>
      </c>
      <c r="I546" t="s">
        <v>57</v>
      </c>
      <c r="J546" t="s">
        <v>22</v>
      </c>
      <c r="K546" t="s">
        <v>41</v>
      </c>
      <c r="L546">
        <v>2974.37</v>
      </c>
      <c r="M546">
        <v>16.899999999999999</v>
      </c>
      <c r="N546">
        <v>2023</v>
      </c>
      <c r="O546">
        <v>2</v>
      </c>
      <c r="P546" t="s">
        <v>64</v>
      </c>
      <c r="Q546">
        <v>604.78</v>
      </c>
      <c r="R546" t="s">
        <v>29</v>
      </c>
      <c r="S546">
        <v>4.9181024504778597</v>
      </c>
      <c r="T546" t="s">
        <v>78</v>
      </c>
    </row>
    <row r="547" spans="1:20" x14ac:dyDescent="0.25">
      <c r="A547" s="11">
        <v>44939</v>
      </c>
      <c r="B547" t="s">
        <v>17</v>
      </c>
      <c r="C547" t="s">
        <v>18</v>
      </c>
      <c r="D547" t="s">
        <v>48</v>
      </c>
      <c r="E547" t="s">
        <v>38</v>
      </c>
      <c r="F547">
        <v>686</v>
      </c>
      <c r="G547">
        <v>3.03</v>
      </c>
      <c r="H547">
        <v>2078.58</v>
      </c>
      <c r="I547" t="s">
        <v>26</v>
      </c>
      <c r="J547" t="s">
        <v>47</v>
      </c>
      <c r="K547" t="s">
        <v>41</v>
      </c>
      <c r="L547">
        <v>1477.79</v>
      </c>
      <c r="M547">
        <v>28.9</v>
      </c>
      <c r="N547">
        <v>2023</v>
      </c>
      <c r="O547">
        <v>1</v>
      </c>
      <c r="P547" t="s">
        <v>24</v>
      </c>
      <c r="Q547">
        <v>600.79</v>
      </c>
      <c r="R547" t="s">
        <v>25</v>
      </c>
      <c r="S547">
        <v>2.4597446695184675</v>
      </c>
      <c r="T547" t="s">
        <v>78</v>
      </c>
    </row>
    <row r="548" spans="1:20" x14ac:dyDescent="0.25">
      <c r="A548" s="11">
        <v>45040</v>
      </c>
      <c r="B548" t="s">
        <v>17</v>
      </c>
      <c r="C548" t="s">
        <v>18</v>
      </c>
      <c r="D548" t="s">
        <v>45</v>
      </c>
      <c r="E548" t="s">
        <v>20</v>
      </c>
      <c r="F548">
        <v>211</v>
      </c>
      <c r="G548">
        <v>7.72</v>
      </c>
      <c r="H548">
        <v>1628.92</v>
      </c>
      <c r="I548" t="s">
        <v>26</v>
      </c>
      <c r="J548" t="s">
        <v>56</v>
      </c>
      <c r="K548" t="s">
        <v>23</v>
      </c>
      <c r="L548">
        <v>1031.04</v>
      </c>
      <c r="M548">
        <v>36.700000000000003</v>
      </c>
      <c r="N548">
        <v>2023</v>
      </c>
      <c r="O548">
        <v>2</v>
      </c>
      <c r="P548" t="s">
        <v>64</v>
      </c>
      <c r="Q548">
        <v>597.88</v>
      </c>
      <c r="R548" t="s">
        <v>25</v>
      </c>
      <c r="S548">
        <v>1.7244932093396668</v>
      </c>
      <c r="T548" t="s">
        <v>78</v>
      </c>
    </row>
    <row r="549" spans="1:20" x14ac:dyDescent="0.25">
      <c r="A549" s="11">
        <v>45109</v>
      </c>
      <c r="B549" t="s">
        <v>51</v>
      </c>
      <c r="C549" t="s">
        <v>52</v>
      </c>
      <c r="D549" t="s">
        <v>44</v>
      </c>
      <c r="E549" t="s">
        <v>38</v>
      </c>
      <c r="F549">
        <v>320</v>
      </c>
      <c r="G549">
        <v>7.02</v>
      </c>
      <c r="H549">
        <v>2246.4</v>
      </c>
      <c r="I549" t="s">
        <v>55</v>
      </c>
      <c r="J549" t="s">
        <v>40</v>
      </c>
      <c r="K549" t="s">
        <v>41</v>
      </c>
      <c r="L549">
        <v>1648.8</v>
      </c>
      <c r="M549">
        <v>26.6</v>
      </c>
      <c r="N549">
        <v>2024</v>
      </c>
      <c r="O549">
        <v>3</v>
      </c>
      <c r="P549" t="s">
        <v>61</v>
      </c>
      <c r="Q549">
        <v>597.6</v>
      </c>
      <c r="R549" t="s">
        <v>25</v>
      </c>
      <c r="S549">
        <v>2.7590361445783129</v>
      </c>
      <c r="T549" t="s">
        <v>78</v>
      </c>
    </row>
    <row r="550" spans="1:20" x14ac:dyDescent="0.25">
      <c r="A550" s="11">
        <v>44952</v>
      </c>
      <c r="B550" t="s">
        <v>35</v>
      </c>
      <c r="C550" t="s">
        <v>36</v>
      </c>
      <c r="D550" t="s">
        <v>45</v>
      </c>
      <c r="E550" t="s">
        <v>20</v>
      </c>
      <c r="F550">
        <v>805</v>
      </c>
      <c r="G550">
        <v>6.65</v>
      </c>
      <c r="H550">
        <v>5353.25</v>
      </c>
      <c r="I550" t="s">
        <v>57</v>
      </c>
      <c r="J550" t="s">
        <v>34</v>
      </c>
      <c r="K550" t="s">
        <v>28</v>
      </c>
      <c r="L550">
        <v>4756.49</v>
      </c>
      <c r="M550">
        <v>11.1</v>
      </c>
      <c r="N550">
        <v>2023</v>
      </c>
      <c r="O550">
        <v>1</v>
      </c>
      <c r="P550" t="s">
        <v>24</v>
      </c>
      <c r="Q550">
        <v>596.76</v>
      </c>
      <c r="R550" t="s">
        <v>29</v>
      </c>
      <c r="S550">
        <v>7.9705241638179496</v>
      </c>
      <c r="T550" t="s">
        <v>78</v>
      </c>
    </row>
    <row r="551" spans="1:20" x14ac:dyDescent="0.25">
      <c r="A551" s="11">
        <v>45113</v>
      </c>
      <c r="B551" t="s">
        <v>17</v>
      </c>
      <c r="C551" t="s">
        <v>18</v>
      </c>
      <c r="D551" t="s">
        <v>48</v>
      </c>
      <c r="E551" t="s">
        <v>38</v>
      </c>
      <c r="F551">
        <v>511</v>
      </c>
      <c r="G551">
        <v>3.66</v>
      </c>
      <c r="H551">
        <v>1870.26</v>
      </c>
      <c r="I551" t="s">
        <v>21</v>
      </c>
      <c r="J551" t="s">
        <v>27</v>
      </c>
      <c r="K551" t="s">
        <v>28</v>
      </c>
      <c r="L551">
        <v>1276.3</v>
      </c>
      <c r="M551">
        <v>31.8</v>
      </c>
      <c r="N551">
        <v>2024</v>
      </c>
      <c r="O551">
        <v>3</v>
      </c>
      <c r="P551" t="s">
        <v>62</v>
      </c>
      <c r="Q551">
        <v>593.96</v>
      </c>
      <c r="R551" t="s">
        <v>25</v>
      </c>
      <c r="S551">
        <v>2.1487978988484069</v>
      </c>
      <c r="T551" t="s">
        <v>78</v>
      </c>
    </row>
    <row r="552" spans="1:20" x14ac:dyDescent="0.25">
      <c r="A552" s="11">
        <v>45077</v>
      </c>
      <c r="B552" t="s">
        <v>17</v>
      </c>
      <c r="C552" t="s">
        <v>18</v>
      </c>
      <c r="D552" t="s">
        <v>48</v>
      </c>
      <c r="E552" t="s">
        <v>38</v>
      </c>
      <c r="F552">
        <v>292</v>
      </c>
      <c r="G552">
        <v>7.92</v>
      </c>
      <c r="H552">
        <v>2312.64</v>
      </c>
      <c r="I552" t="s">
        <v>39</v>
      </c>
      <c r="J552" t="s">
        <v>22</v>
      </c>
      <c r="K552" t="s">
        <v>23</v>
      </c>
      <c r="L552">
        <v>1720.86</v>
      </c>
      <c r="M552">
        <v>25.6</v>
      </c>
      <c r="N552">
        <v>2023</v>
      </c>
      <c r="O552">
        <v>2</v>
      </c>
      <c r="P552" t="s">
        <v>67</v>
      </c>
      <c r="Q552">
        <v>591.78</v>
      </c>
      <c r="R552" t="s">
        <v>25</v>
      </c>
      <c r="S552">
        <v>2.907938761026057</v>
      </c>
      <c r="T552" t="s">
        <v>78</v>
      </c>
    </row>
    <row r="553" spans="1:20" x14ac:dyDescent="0.25">
      <c r="A553" s="11">
        <v>44965</v>
      </c>
      <c r="B553" t="s">
        <v>17</v>
      </c>
      <c r="C553" t="s">
        <v>18</v>
      </c>
      <c r="D553" t="s">
        <v>37</v>
      </c>
      <c r="E553" t="s">
        <v>38</v>
      </c>
      <c r="F553">
        <v>992</v>
      </c>
      <c r="G553">
        <v>4.21</v>
      </c>
      <c r="H553">
        <v>4176.32</v>
      </c>
      <c r="I553" t="s">
        <v>33</v>
      </c>
      <c r="J553" t="s">
        <v>47</v>
      </c>
      <c r="K553" t="s">
        <v>23</v>
      </c>
      <c r="L553">
        <v>3584.93</v>
      </c>
      <c r="M553">
        <v>14.2</v>
      </c>
      <c r="N553">
        <v>2023</v>
      </c>
      <c r="O553">
        <v>1</v>
      </c>
      <c r="P553" t="s">
        <v>60</v>
      </c>
      <c r="Q553">
        <v>591.39</v>
      </c>
      <c r="R553" t="s">
        <v>29</v>
      </c>
      <c r="S553">
        <v>6.0618711848357263</v>
      </c>
      <c r="T553" t="s">
        <v>78</v>
      </c>
    </row>
    <row r="554" spans="1:20" x14ac:dyDescent="0.25">
      <c r="A554" s="11">
        <v>44986</v>
      </c>
      <c r="B554" t="s">
        <v>42</v>
      </c>
      <c r="C554" t="s">
        <v>43</v>
      </c>
      <c r="D554" t="s">
        <v>19</v>
      </c>
      <c r="E554" t="s">
        <v>20</v>
      </c>
      <c r="F554">
        <v>414</v>
      </c>
      <c r="G554">
        <v>4.71</v>
      </c>
      <c r="H554">
        <v>1949.94</v>
      </c>
      <c r="I554" t="s">
        <v>55</v>
      </c>
      <c r="J554" t="s">
        <v>22</v>
      </c>
      <c r="K554" t="s">
        <v>41</v>
      </c>
      <c r="L554">
        <v>1358.72</v>
      </c>
      <c r="M554">
        <v>30.3</v>
      </c>
      <c r="N554">
        <v>2023</v>
      </c>
      <c r="O554">
        <v>1</v>
      </c>
      <c r="P554" t="s">
        <v>61</v>
      </c>
      <c r="Q554">
        <v>591.22</v>
      </c>
      <c r="R554" t="s">
        <v>25</v>
      </c>
      <c r="S554">
        <v>2.2981631203274584</v>
      </c>
      <c r="T554" t="s">
        <v>78</v>
      </c>
    </row>
    <row r="555" spans="1:20" x14ac:dyDescent="0.25">
      <c r="A555" s="11">
        <v>44935</v>
      </c>
      <c r="B555" t="s">
        <v>42</v>
      </c>
      <c r="C555" t="s">
        <v>43</v>
      </c>
      <c r="D555" t="s">
        <v>45</v>
      </c>
      <c r="E555" t="s">
        <v>20</v>
      </c>
      <c r="F555">
        <v>784</v>
      </c>
      <c r="G555">
        <v>6.63</v>
      </c>
      <c r="H555">
        <v>5197.92</v>
      </c>
      <c r="I555" t="s">
        <v>54</v>
      </c>
      <c r="J555" t="s">
        <v>34</v>
      </c>
      <c r="K555" t="s">
        <v>28</v>
      </c>
      <c r="L555">
        <v>4609.59</v>
      </c>
      <c r="M555">
        <v>11.3</v>
      </c>
      <c r="N555">
        <v>2023</v>
      </c>
      <c r="O555">
        <v>1</v>
      </c>
      <c r="P555" t="s">
        <v>24</v>
      </c>
      <c r="Q555">
        <v>588.33000000000004</v>
      </c>
      <c r="R555" t="s">
        <v>29</v>
      </c>
      <c r="S555">
        <v>7.8350415583091122</v>
      </c>
      <c r="T555" t="s">
        <v>78</v>
      </c>
    </row>
    <row r="556" spans="1:20" x14ac:dyDescent="0.25">
      <c r="A556" s="11">
        <v>45131</v>
      </c>
      <c r="B556" t="s">
        <v>35</v>
      </c>
      <c r="C556" t="s">
        <v>36</v>
      </c>
      <c r="D556" t="s">
        <v>45</v>
      </c>
      <c r="E556" t="s">
        <v>20</v>
      </c>
      <c r="F556">
        <v>188</v>
      </c>
      <c r="G556">
        <v>8.75</v>
      </c>
      <c r="H556">
        <v>1645</v>
      </c>
      <c r="I556" t="s">
        <v>57</v>
      </c>
      <c r="J556" t="s">
        <v>34</v>
      </c>
      <c r="K556" t="s">
        <v>23</v>
      </c>
      <c r="L556">
        <v>1059.5</v>
      </c>
      <c r="M556">
        <v>35.6</v>
      </c>
      <c r="N556">
        <v>2025</v>
      </c>
      <c r="O556">
        <v>3</v>
      </c>
      <c r="P556" t="s">
        <v>63</v>
      </c>
      <c r="Q556">
        <v>585.5</v>
      </c>
      <c r="R556" t="s">
        <v>25</v>
      </c>
      <c r="S556">
        <v>1.8095644748078565</v>
      </c>
      <c r="T556" t="s">
        <v>78</v>
      </c>
    </row>
    <row r="557" spans="1:20" x14ac:dyDescent="0.25">
      <c r="A557" s="11">
        <v>45044</v>
      </c>
      <c r="B557" t="s">
        <v>17</v>
      </c>
      <c r="C557" t="s">
        <v>18</v>
      </c>
      <c r="D557" t="s">
        <v>49</v>
      </c>
      <c r="E557" t="s">
        <v>50</v>
      </c>
      <c r="F557">
        <v>635</v>
      </c>
      <c r="G557">
        <v>2.85</v>
      </c>
      <c r="H557">
        <v>1809.75</v>
      </c>
      <c r="I557" t="s">
        <v>46</v>
      </c>
      <c r="J557" t="s">
        <v>27</v>
      </c>
      <c r="K557" t="s">
        <v>28</v>
      </c>
      <c r="L557">
        <v>1224.3800000000001</v>
      </c>
      <c r="M557">
        <v>32.299999999999997</v>
      </c>
      <c r="N557">
        <v>2023</v>
      </c>
      <c r="O557">
        <v>2</v>
      </c>
      <c r="P557" t="s">
        <v>64</v>
      </c>
      <c r="Q557">
        <v>585.37</v>
      </c>
      <c r="R557" t="s">
        <v>25</v>
      </c>
      <c r="S557">
        <v>2.0916343509233477</v>
      </c>
      <c r="T557" t="s">
        <v>78</v>
      </c>
    </row>
    <row r="558" spans="1:20" x14ac:dyDescent="0.25">
      <c r="A558" s="11">
        <v>45088</v>
      </c>
      <c r="B558" t="s">
        <v>58</v>
      </c>
      <c r="C558" t="s">
        <v>59</v>
      </c>
      <c r="D558" t="s">
        <v>37</v>
      </c>
      <c r="E558" t="s">
        <v>38</v>
      </c>
      <c r="F558">
        <v>494</v>
      </c>
      <c r="G558">
        <v>11.46</v>
      </c>
      <c r="H558">
        <v>5661.24</v>
      </c>
      <c r="I558" t="s">
        <v>55</v>
      </c>
      <c r="J558" t="s">
        <v>22</v>
      </c>
      <c r="K558" t="s">
        <v>28</v>
      </c>
      <c r="L558">
        <v>5076.58</v>
      </c>
      <c r="M558">
        <v>10.3</v>
      </c>
      <c r="N558">
        <v>2023</v>
      </c>
      <c r="O558">
        <v>2</v>
      </c>
      <c r="P558" t="s">
        <v>69</v>
      </c>
      <c r="Q558">
        <v>584.66</v>
      </c>
      <c r="R558" t="s">
        <v>29</v>
      </c>
      <c r="S558">
        <v>8.682961037184004</v>
      </c>
      <c r="T558" t="s">
        <v>78</v>
      </c>
    </row>
    <row r="559" spans="1:20" x14ac:dyDescent="0.25">
      <c r="A559" s="11">
        <v>44954</v>
      </c>
      <c r="B559" t="s">
        <v>35</v>
      </c>
      <c r="C559" t="s">
        <v>36</v>
      </c>
      <c r="D559" t="s">
        <v>48</v>
      </c>
      <c r="E559" t="s">
        <v>38</v>
      </c>
      <c r="F559">
        <v>795</v>
      </c>
      <c r="G559">
        <v>4.96</v>
      </c>
      <c r="H559">
        <v>3943.2</v>
      </c>
      <c r="I559" t="s">
        <v>57</v>
      </c>
      <c r="J559" t="s">
        <v>47</v>
      </c>
      <c r="K559" t="s">
        <v>23</v>
      </c>
      <c r="L559">
        <v>3358.7</v>
      </c>
      <c r="M559">
        <v>14.8</v>
      </c>
      <c r="N559">
        <v>2023</v>
      </c>
      <c r="O559">
        <v>1</v>
      </c>
      <c r="P559" t="s">
        <v>24</v>
      </c>
      <c r="Q559">
        <v>584.5</v>
      </c>
      <c r="R559" t="s">
        <v>29</v>
      </c>
      <c r="S559">
        <v>5.7462788708297685</v>
      </c>
      <c r="T559" t="s">
        <v>78</v>
      </c>
    </row>
    <row r="560" spans="1:20" x14ac:dyDescent="0.25">
      <c r="A560" s="11">
        <v>45118</v>
      </c>
      <c r="B560" t="s">
        <v>30</v>
      </c>
      <c r="C560" t="s">
        <v>31</v>
      </c>
      <c r="D560" t="s">
        <v>48</v>
      </c>
      <c r="E560" t="s">
        <v>38</v>
      </c>
      <c r="F560">
        <v>412</v>
      </c>
      <c r="G560">
        <v>4.67</v>
      </c>
      <c r="H560">
        <v>1924.04</v>
      </c>
      <c r="I560" t="s">
        <v>55</v>
      </c>
      <c r="J560" t="s">
        <v>40</v>
      </c>
      <c r="K560" t="s">
        <v>23</v>
      </c>
      <c r="L560">
        <v>1339.79</v>
      </c>
      <c r="M560">
        <v>30.4</v>
      </c>
      <c r="N560">
        <v>2024</v>
      </c>
      <c r="O560">
        <v>3</v>
      </c>
      <c r="P560" t="s">
        <v>64</v>
      </c>
      <c r="Q560">
        <v>584.25</v>
      </c>
      <c r="R560" t="s">
        <v>25</v>
      </c>
      <c r="S560">
        <v>2.2931792896876337</v>
      </c>
      <c r="T560" t="s">
        <v>78</v>
      </c>
    </row>
    <row r="561" spans="1:20" x14ac:dyDescent="0.25">
      <c r="A561" s="11">
        <v>45109</v>
      </c>
      <c r="B561" t="s">
        <v>51</v>
      </c>
      <c r="C561" t="s">
        <v>52</v>
      </c>
      <c r="D561" t="s">
        <v>37</v>
      </c>
      <c r="E561" t="s">
        <v>38</v>
      </c>
      <c r="F561">
        <v>516</v>
      </c>
      <c r="G561">
        <v>3.47</v>
      </c>
      <c r="H561">
        <v>1790.52</v>
      </c>
      <c r="I561" t="s">
        <v>57</v>
      </c>
      <c r="J561" t="s">
        <v>56</v>
      </c>
      <c r="K561" t="s">
        <v>23</v>
      </c>
      <c r="L561">
        <v>1211.3800000000001</v>
      </c>
      <c r="M561">
        <v>32.299999999999997</v>
      </c>
      <c r="N561">
        <v>2024</v>
      </c>
      <c r="O561">
        <v>3</v>
      </c>
      <c r="P561" t="s">
        <v>61</v>
      </c>
      <c r="Q561">
        <v>579.14</v>
      </c>
      <c r="R561" t="s">
        <v>25</v>
      </c>
      <c r="S561">
        <v>2.0916876748281936</v>
      </c>
      <c r="T561" t="s">
        <v>78</v>
      </c>
    </row>
    <row r="562" spans="1:20" x14ac:dyDescent="0.25">
      <c r="A562" s="11">
        <v>45127</v>
      </c>
      <c r="B562" t="s">
        <v>58</v>
      </c>
      <c r="C562" t="s">
        <v>59</v>
      </c>
      <c r="D562" t="s">
        <v>37</v>
      </c>
      <c r="E562" t="s">
        <v>38</v>
      </c>
      <c r="F562">
        <v>445</v>
      </c>
      <c r="G562">
        <v>8.08</v>
      </c>
      <c r="H562">
        <v>3595.6</v>
      </c>
      <c r="I562" t="s">
        <v>21</v>
      </c>
      <c r="J562" t="s">
        <v>27</v>
      </c>
      <c r="K562" t="s">
        <v>23</v>
      </c>
      <c r="L562">
        <v>3017.63</v>
      </c>
      <c r="M562">
        <v>16.100000000000001</v>
      </c>
      <c r="N562">
        <v>2024</v>
      </c>
      <c r="O562">
        <v>3</v>
      </c>
      <c r="P562" t="s">
        <v>70</v>
      </c>
      <c r="Q562">
        <v>577.97</v>
      </c>
      <c r="R562" t="s">
        <v>29</v>
      </c>
      <c r="S562">
        <v>5.221084139315189</v>
      </c>
      <c r="T562" t="s">
        <v>78</v>
      </c>
    </row>
    <row r="563" spans="1:20" x14ac:dyDescent="0.25">
      <c r="A563" s="11">
        <v>45113</v>
      </c>
      <c r="B563" t="s">
        <v>35</v>
      </c>
      <c r="C563" t="s">
        <v>36</v>
      </c>
      <c r="D563" t="s">
        <v>45</v>
      </c>
      <c r="E563" t="s">
        <v>20</v>
      </c>
      <c r="F563">
        <v>667</v>
      </c>
      <c r="G563">
        <v>2.92</v>
      </c>
      <c r="H563">
        <v>1947.64</v>
      </c>
      <c r="I563" t="s">
        <v>46</v>
      </c>
      <c r="J563" t="s">
        <v>47</v>
      </c>
      <c r="K563" t="s">
        <v>41</v>
      </c>
      <c r="L563">
        <v>1370.58</v>
      </c>
      <c r="M563">
        <v>29.6</v>
      </c>
      <c r="N563">
        <v>2024</v>
      </c>
      <c r="O563">
        <v>3</v>
      </c>
      <c r="P563" t="s">
        <v>62</v>
      </c>
      <c r="Q563">
        <v>577.05999999999995</v>
      </c>
      <c r="R563" t="s">
        <v>25</v>
      </c>
      <c r="S563">
        <v>2.3751083076283228</v>
      </c>
      <c r="T563" t="s">
        <v>78</v>
      </c>
    </row>
    <row r="564" spans="1:20" x14ac:dyDescent="0.25">
      <c r="A564" s="11">
        <v>45051</v>
      </c>
      <c r="B564" t="s">
        <v>35</v>
      </c>
      <c r="C564" t="s">
        <v>36</v>
      </c>
      <c r="D564" t="s">
        <v>19</v>
      </c>
      <c r="E564" t="s">
        <v>20</v>
      </c>
      <c r="F564">
        <v>532</v>
      </c>
      <c r="G564">
        <v>6.71</v>
      </c>
      <c r="H564">
        <v>3569.72</v>
      </c>
      <c r="I564" t="s">
        <v>55</v>
      </c>
      <c r="J564" t="s">
        <v>47</v>
      </c>
      <c r="K564" t="s">
        <v>41</v>
      </c>
      <c r="L564">
        <v>2994.51</v>
      </c>
      <c r="M564">
        <v>16.100000000000001</v>
      </c>
      <c r="N564">
        <v>2023</v>
      </c>
      <c r="O564">
        <v>2</v>
      </c>
      <c r="P564" t="s">
        <v>64</v>
      </c>
      <c r="Q564">
        <v>575.21</v>
      </c>
      <c r="R564" t="s">
        <v>29</v>
      </c>
      <c r="S564">
        <v>5.2059421776394705</v>
      </c>
      <c r="T564" t="s">
        <v>78</v>
      </c>
    </row>
    <row r="565" spans="1:20" x14ac:dyDescent="0.25">
      <c r="A565" s="11">
        <v>44965</v>
      </c>
      <c r="B565" t="s">
        <v>30</v>
      </c>
      <c r="C565" t="s">
        <v>31</v>
      </c>
      <c r="D565" t="s">
        <v>32</v>
      </c>
      <c r="E565" t="s">
        <v>20</v>
      </c>
      <c r="F565">
        <v>574</v>
      </c>
      <c r="G565">
        <v>4.6900000000000004</v>
      </c>
      <c r="H565">
        <v>2692.06</v>
      </c>
      <c r="I565" t="s">
        <v>39</v>
      </c>
      <c r="J565" t="s">
        <v>47</v>
      </c>
      <c r="K565" t="s">
        <v>41</v>
      </c>
      <c r="L565">
        <v>2117.3000000000002</v>
      </c>
      <c r="M565">
        <v>21.4</v>
      </c>
      <c r="N565">
        <v>2023</v>
      </c>
      <c r="O565">
        <v>1</v>
      </c>
      <c r="P565" t="s">
        <v>60</v>
      </c>
      <c r="Q565">
        <v>574.76</v>
      </c>
      <c r="R565" t="s">
        <v>29</v>
      </c>
      <c r="S565">
        <v>3.6837984550073077</v>
      </c>
      <c r="T565" t="s">
        <v>78</v>
      </c>
    </row>
    <row r="566" spans="1:20" x14ac:dyDescent="0.25">
      <c r="A566" s="11">
        <v>44976</v>
      </c>
      <c r="B566" t="s">
        <v>51</v>
      </c>
      <c r="C566" t="s">
        <v>52</v>
      </c>
      <c r="D566" t="s">
        <v>53</v>
      </c>
      <c r="E566" t="s">
        <v>50</v>
      </c>
      <c r="F566">
        <v>415</v>
      </c>
      <c r="G566">
        <v>6.2</v>
      </c>
      <c r="H566">
        <v>2573</v>
      </c>
      <c r="I566" t="s">
        <v>54</v>
      </c>
      <c r="J566" t="s">
        <v>22</v>
      </c>
      <c r="K566" t="s">
        <v>23</v>
      </c>
      <c r="L566">
        <v>1999.13</v>
      </c>
      <c r="M566">
        <v>22.3</v>
      </c>
      <c r="N566">
        <v>2023</v>
      </c>
      <c r="O566">
        <v>1</v>
      </c>
      <c r="P566" t="s">
        <v>60</v>
      </c>
      <c r="Q566">
        <v>573.87</v>
      </c>
      <c r="R566" t="s">
        <v>29</v>
      </c>
      <c r="S566">
        <v>3.4835938452959732</v>
      </c>
      <c r="T566" t="s">
        <v>78</v>
      </c>
    </row>
    <row r="567" spans="1:20" x14ac:dyDescent="0.25">
      <c r="A567" s="11">
        <v>45117</v>
      </c>
      <c r="B567" t="s">
        <v>51</v>
      </c>
      <c r="C567" t="s">
        <v>52</v>
      </c>
      <c r="D567" t="s">
        <v>45</v>
      </c>
      <c r="E567" t="s">
        <v>20</v>
      </c>
      <c r="F567">
        <v>738</v>
      </c>
      <c r="G567">
        <v>2.5299999999999998</v>
      </c>
      <c r="H567">
        <v>1867.14</v>
      </c>
      <c r="I567" t="s">
        <v>57</v>
      </c>
      <c r="J567" t="s">
        <v>56</v>
      </c>
      <c r="K567" t="s">
        <v>28</v>
      </c>
      <c r="L567">
        <v>1293.73</v>
      </c>
      <c r="M567">
        <v>30.7</v>
      </c>
      <c r="N567">
        <v>2024</v>
      </c>
      <c r="O567">
        <v>3</v>
      </c>
      <c r="P567" t="s">
        <v>64</v>
      </c>
      <c r="Q567">
        <v>573.41</v>
      </c>
      <c r="R567" t="s">
        <v>25</v>
      </c>
      <c r="S567">
        <v>2.256204112240805</v>
      </c>
      <c r="T567" t="s">
        <v>78</v>
      </c>
    </row>
    <row r="568" spans="1:20" x14ac:dyDescent="0.25">
      <c r="A568" s="11">
        <v>45039</v>
      </c>
      <c r="B568" t="s">
        <v>35</v>
      </c>
      <c r="C568" t="s">
        <v>36</v>
      </c>
      <c r="D568" t="s">
        <v>53</v>
      </c>
      <c r="E568" t="s">
        <v>50</v>
      </c>
      <c r="F568">
        <v>929</v>
      </c>
      <c r="G568">
        <v>2.04</v>
      </c>
      <c r="H568">
        <v>1895.16</v>
      </c>
      <c r="I568" t="s">
        <v>46</v>
      </c>
      <c r="J568" t="s">
        <v>34</v>
      </c>
      <c r="K568" t="s">
        <v>23</v>
      </c>
      <c r="L568">
        <v>1322.03</v>
      </c>
      <c r="M568">
        <v>30.2</v>
      </c>
      <c r="N568">
        <v>2023</v>
      </c>
      <c r="O568">
        <v>2</v>
      </c>
      <c r="P568" t="s">
        <v>63</v>
      </c>
      <c r="Q568">
        <v>573.13</v>
      </c>
      <c r="R568" t="s">
        <v>25</v>
      </c>
      <c r="S568">
        <v>2.3066843473557483</v>
      </c>
      <c r="T568" t="s">
        <v>78</v>
      </c>
    </row>
    <row r="569" spans="1:20" x14ac:dyDescent="0.25">
      <c r="A569" s="11">
        <v>45039</v>
      </c>
      <c r="B569" t="s">
        <v>30</v>
      </c>
      <c r="C569" t="s">
        <v>31</v>
      </c>
      <c r="D569" t="s">
        <v>48</v>
      </c>
      <c r="E569" t="s">
        <v>38</v>
      </c>
      <c r="F569">
        <v>428</v>
      </c>
      <c r="G569">
        <v>11.57</v>
      </c>
      <c r="H569">
        <v>4951.96</v>
      </c>
      <c r="I569" t="s">
        <v>26</v>
      </c>
      <c r="J569" t="s">
        <v>47</v>
      </c>
      <c r="K569" t="s">
        <v>41</v>
      </c>
      <c r="L569">
        <v>4379.59</v>
      </c>
      <c r="M569">
        <v>11.6</v>
      </c>
      <c r="N569">
        <v>2023</v>
      </c>
      <c r="O569">
        <v>2</v>
      </c>
      <c r="P569" t="s">
        <v>63</v>
      </c>
      <c r="Q569">
        <v>572.37</v>
      </c>
      <c r="R569" t="s">
        <v>29</v>
      </c>
      <c r="S569">
        <v>7.6516763631916422</v>
      </c>
      <c r="T569" t="s">
        <v>78</v>
      </c>
    </row>
    <row r="570" spans="1:20" x14ac:dyDescent="0.25">
      <c r="A570" s="11">
        <v>44952</v>
      </c>
      <c r="B570" t="s">
        <v>51</v>
      </c>
      <c r="C570" t="s">
        <v>52</v>
      </c>
      <c r="D570" t="s">
        <v>48</v>
      </c>
      <c r="E570" t="s">
        <v>38</v>
      </c>
      <c r="F570">
        <v>874</v>
      </c>
      <c r="G570">
        <v>2.67</v>
      </c>
      <c r="H570">
        <v>2333.58</v>
      </c>
      <c r="I570" t="s">
        <v>21</v>
      </c>
      <c r="J570" t="s">
        <v>47</v>
      </c>
      <c r="K570" t="s">
        <v>23</v>
      </c>
      <c r="L570">
        <v>1764.71</v>
      </c>
      <c r="M570">
        <v>24.4</v>
      </c>
      <c r="N570">
        <v>2023</v>
      </c>
      <c r="O570">
        <v>1</v>
      </c>
      <c r="P570" t="s">
        <v>24</v>
      </c>
      <c r="Q570">
        <v>568.87</v>
      </c>
      <c r="R570" t="s">
        <v>29</v>
      </c>
      <c r="S570">
        <v>3.102132297361436</v>
      </c>
      <c r="T570" t="s">
        <v>78</v>
      </c>
    </row>
    <row r="571" spans="1:20" x14ac:dyDescent="0.25">
      <c r="A571" s="11">
        <v>45124</v>
      </c>
      <c r="B571" t="s">
        <v>35</v>
      </c>
      <c r="C571" t="s">
        <v>36</v>
      </c>
      <c r="D571" t="s">
        <v>48</v>
      </c>
      <c r="E571" t="s">
        <v>38</v>
      </c>
      <c r="F571">
        <v>425</v>
      </c>
      <c r="G571">
        <v>8.31</v>
      </c>
      <c r="H571">
        <v>3531.75</v>
      </c>
      <c r="I571" t="s">
        <v>26</v>
      </c>
      <c r="J571" t="s">
        <v>56</v>
      </c>
      <c r="K571" t="s">
        <v>41</v>
      </c>
      <c r="L571">
        <v>2964.57</v>
      </c>
      <c r="M571">
        <v>16.100000000000001</v>
      </c>
      <c r="N571">
        <v>2024</v>
      </c>
      <c r="O571">
        <v>3</v>
      </c>
      <c r="P571" t="s">
        <v>68</v>
      </c>
      <c r="Q571">
        <v>567.17999999999995</v>
      </c>
      <c r="R571" t="s">
        <v>29</v>
      </c>
      <c r="S571">
        <v>5.2268591981381576</v>
      </c>
      <c r="T571" t="s">
        <v>78</v>
      </c>
    </row>
    <row r="572" spans="1:20" x14ac:dyDescent="0.25">
      <c r="A572" s="11">
        <v>45109</v>
      </c>
      <c r="B572" t="s">
        <v>35</v>
      </c>
      <c r="C572" t="s">
        <v>36</v>
      </c>
      <c r="D572" t="s">
        <v>49</v>
      </c>
      <c r="E572" t="s">
        <v>50</v>
      </c>
      <c r="F572">
        <v>889</v>
      </c>
      <c r="G572">
        <v>4.43</v>
      </c>
      <c r="H572">
        <v>3938.27</v>
      </c>
      <c r="I572" t="s">
        <v>46</v>
      </c>
      <c r="J572" t="s">
        <v>40</v>
      </c>
      <c r="K572" t="s">
        <v>41</v>
      </c>
      <c r="L572">
        <v>3373.24</v>
      </c>
      <c r="M572">
        <v>14.3</v>
      </c>
      <c r="N572">
        <v>2024</v>
      </c>
      <c r="O572">
        <v>3</v>
      </c>
      <c r="P572" t="s">
        <v>61</v>
      </c>
      <c r="Q572">
        <v>565.03</v>
      </c>
      <c r="R572" t="s">
        <v>29</v>
      </c>
      <c r="S572">
        <v>5.9700192910110967</v>
      </c>
      <c r="T572" t="s">
        <v>78</v>
      </c>
    </row>
    <row r="573" spans="1:20" x14ac:dyDescent="0.25">
      <c r="A573" s="11">
        <v>45027</v>
      </c>
      <c r="B573" t="s">
        <v>58</v>
      </c>
      <c r="C573" t="s">
        <v>59</v>
      </c>
      <c r="D573" t="s">
        <v>19</v>
      </c>
      <c r="E573" t="s">
        <v>20</v>
      </c>
      <c r="F573">
        <v>654</v>
      </c>
      <c r="G573">
        <v>2.1800000000000002</v>
      </c>
      <c r="H573">
        <v>1425.72</v>
      </c>
      <c r="I573" t="s">
        <v>54</v>
      </c>
      <c r="J573" t="s">
        <v>47</v>
      </c>
      <c r="K573" t="s">
        <v>23</v>
      </c>
      <c r="L573">
        <v>862.11</v>
      </c>
      <c r="M573">
        <v>39.5</v>
      </c>
      <c r="N573">
        <v>2023</v>
      </c>
      <c r="O573">
        <v>2</v>
      </c>
      <c r="P573" t="s">
        <v>63</v>
      </c>
      <c r="Q573">
        <v>563.61</v>
      </c>
      <c r="R573" t="s">
        <v>25</v>
      </c>
      <c r="S573">
        <v>1.5296215468142864</v>
      </c>
      <c r="T573" t="s">
        <v>78</v>
      </c>
    </row>
    <row r="574" spans="1:20" x14ac:dyDescent="0.25">
      <c r="A574" s="11">
        <v>44986</v>
      </c>
      <c r="B574" t="s">
        <v>51</v>
      </c>
      <c r="C574" t="s">
        <v>52</v>
      </c>
      <c r="D574" t="s">
        <v>19</v>
      </c>
      <c r="E574" t="s">
        <v>20</v>
      </c>
      <c r="F574">
        <v>124</v>
      </c>
      <c r="G574">
        <v>11.8</v>
      </c>
      <c r="H574">
        <v>1463.2</v>
      </c>
      <c r="I574" t="s">
        <v>21</v>
      </c>
      <c r="J574" t="s">
        <v>22</v>
      </c>
      <c r="K574" t="s">
        <v>28</v>
      </c>
      <c r="L574">
        <v>901.38</v>
      </c>
      <c r="M574">
        <v>38.4</v>
      </c>
      <c r="N574">
        <v>2023</v>
      </c>
      <c r="O574">
        <v>1</v>
      </c>
      <c r="P574" t="s">
        <v>61</v>
      </c>
      <c r="Q574">
        <v>561.82000000000005</v>
      </c>
      <c r="R574" t="s">
        <v>25</v>
      </c>
      <c r="S574">
        <v>1.6043928660425046</v>
      </c>
      <c r="T574" t="s">
        <v>78</v>
      </c>
    </row>
    <row r="575" spans="1:20" x14ac:dyDescent="0.25">
      <c r="A575" s="11">
        <v>44933</v>
      </c>
      <c r="B575" t="s">
        <v>51</v>
      </c>
      <c r="C575" t="s">
        <v>52</v>
      </c>
      <c r="D575" t="s">
        <v>45</v>
      </c>
      <c r="E575" t="s">
        <v>20</v>
      </c>
      <c r="F575">
        <v>855</v>
      </c>
      <c r="G575">
        <v>2.88</v>
      </c>
      <c r="H575">
        <v>2462.4</v>
      </c>
      <c r="I575" t="s">
        <v>54</v>
      </c>
      <c r="J575" t="s">
        <v>47</v>
      </c>
      <c r="K575" t="s">
        <v>28</v>
      </c>
      <c r="L575">
        <v>1901.38</v>
      </c>
      <c r="M575">
        <v>22.8</v>
      </c>
      <c r="N575">
        <v>2023</v>
      </c>
      <c r="O575">
        <v>1</v>
      </c>
      <c r="P575" t="s">
        <v>24</v>
      </c>
      <c r="Q575">
        <v>561.02</v>
      </c>
      <c r="R575" t="s">
        <v>29</v>
      </c>
      <c r="S575">
        <v>3.3891483369576845</v>
      </c>
      <c r="T575" t="s">
        <v>78</v>
      </c>
    </row>
    <row r="576" spans="1:20" x14ac:dyDescent="0.25">
      <c r="A576" s="11">
        <v>44981</v>
      </c>
      <c r="B576" t="s">
        <v>51</v>
      </c>
      <c r="C576" t="s">
        <v>52</v>
      </c>
      <c r="D576" t="s">
        <v>53</v>
      </c>
      <c r="E576" t="s">
        <v>50</v>
      </c>
      <c r="F576">
        <v>720</v>
      </c>
      <c r="G576">
        <v>2.4</v>
      </c>
      <c r="H576">
        <v>1728</v>
      </c>
      <c r="I576" t="s">
        <v>55</v>
      </c>
      <c r="J576" t="s">
        <v>47</v>
      </c>
      <c r="K576" t="s">
        <v>41</v>
      </c>
      <c r="L576">
        <v>1167.08</v>
      </c>
      <c r="M576">
        <v>32.5</v>
      </c>
      <c r="N576">
        <v>2023</v>
      </c>
      <c r="O576">
        <v>1</v>
      </c>
      <c r="P576" t="s">
        <v>61</v>
      </c>
      <c r="Q576">
        <v>560.91999999999996</v>
      </c>
      <c r="R576" t="s">
        <v>25</v>
      </c>
      <c r="S576">
        <v>2.080653212579334</v>
      </c>
      <c r="T576" t="s">
        <v>78</v>
      </c>
    </row>
    <row r="577" spans="1:20" x14ac:dyDescent="0.25">
      <c r="A577" s="11">
        <v>44987</v>
      </c>
      <c r="B577" t="s">
        <v>42</v>
      </c>
      <c r="C577" t="s">
        <v>43</v>
      </c>
      <c r="D577" t="s">
        <v>44</v>
      </c>
      <c r="E577" t="s">
        <v>38</v>
      </c>
      <c r="F577">
        <v>594</v>
      </c>
      <c r="G577">
        <v>3.01</v>
      </c>
      <c r="H577">
        <v>1787.94</v>
      </c>
      <c r="I577" t="s">
        <v>26</v>
      </c>
      <c r="J577" t="s">
        <v>47</v>
      </c>
      <c r="K577" t="s">
        <v>23</v>
      </c>
      <c r="L577">
        <v>1227.8900000000001</v>
      </c>
      <c r="M577">
        <v>31.3</v>
      </c>
      <c r="N577">
        <v>2023</v>
      </c>
      <c r="O577">
        <v>1</v>
      </c>
      <c r="P577" t="s">
        <v>61</v>
      </c>
      <c r="Q577">
        <v>560.04999999999995</v>
      </c>
      <c r="R577" t="s">
        <v>25</v>
      </c>
      <c r="S577">
        <v>2.19246495848585</v>
      </c>
      <c r="T577" t="s">
        <v>78</v>
      </c>
    </row>
    <row r="578" spans="1:20" x14ac:dyDescent="0.25">
      <c r="A578" s="11">
        <v>45079</v>
      </c>
      <c r="B578" t="s">
        <v>30</v>
      </c>
      <c r="C578" t="s">
        <v>31</v>
      </c>
      <c r="D578" t="s">
        <v>49</v>
      </c>
      <c r="E578" t="s">
        <v>50</v>
      </c>
      <c r="F578">
        <v>678</v>
      </c>
      <c r="G578">
        <v>7.78</v>
      </c>
      <c r="H578">
        <v>5274.84</v>
      </c>
      <c r="I578" t="s">
        <v>55</v>
      </c>
      <c r="J578" t="s">
        <v>56</v>
      </c>
      <c r="K578" t="s">
        <v>28</v>
      </c>
      <c r="L578">
        <v>4716.5600000000004</v>
      </c>
      <c r="M578">
        <v>10.6</v>
      </c>
      <c r="N578">
        <v>2023</v>
      </c>
      <c r="O578">
        <v>2</v>
      </c>
      <c r="P578" t="s">
        <v>68</v>
      </c>
      <c r="Q578">
        <v>558.28</v>
      </c>
      <c r="R578" t="s">
        <v>29</v>
      </c>
      <c r="S578">
        <v>8.4483771584151341</v>
      </c>
      <c r="T578" t="s">
        <v>78</v>
      </c>
    </row>
    <row r="579" spans="1:20" x14ac:dyDescent="0.25">
      <c r="A579" s="11">
        <v>45052</v>
      </c>
      <c r="B579" t="s">
        <v>51</v>
      </c>
      <c r="C579" t="s">
        <v>52</v>
      </c>
      <c r="D579" t="s">
        <v>53</v>
      </c>
      <c r="E579" t="s">
        <v>50</v>
      </c>
      <c r="F579">
        <v>404</v>
      </c>
      <c r="G579">
        <v>8.56</v>
      </c>
      <c r="H579">
        <v>3458.24</v>
      </c>
      <c r="I579" t="s">
        <v>33</v>
      </c>
      <c r="J579" t="s">
        <v>56</v>
      </c>
      <c r="K579" t="s">
        <v>28</v>
      </c>
      <c r="L579">
        <v>2900.35</v>
      </c>
      <c r="M579">
        <v>16.100000000000001</v>
      </c>
      <c r="N579">
        <v>2023</v>
      </c>
      <c r="O579">
        <v>2</v>
      </c>
      <c r="P579" t="s">
        <v>65</v>
      </c>
      <c r="Q579">
        <v>557.89</v>
      </c>
      <c r="R579" t="s">
        <v>29</v>
      </c>
      <c r="S579">
        <v>5.1987847066626038</v>
      </c>
      <c r="T579" t="s">
        <v>78</v>
      </c>
    </row>
    <row r="580" spans="1:20" x14ac:dyDescent="0.25">
      <c r="A580" s="11">
        <v>44973</v>
      </c>
      <c r="B580" t="s">
        <v>42</v>
      </c>
      <c r="C580" t="s">
        <v>43</v>
      </c>
      <c r="D580" t="s">
        <v>49</v>
      </c>
      <c r="E580" t="s">
        <v>50</v>
      </c>
      <c r="F580">
        <v>331</v>
      </c>
      <c r="G580">
        <v>4.79</v>
      </c>
      <c r="H580">
        <v>1585.49</v>
      </c>
      <c r="I580" t="s">
        <v>54</v>
      </c>
      <c r="J580" t="s">
        <v>47</v>
      </c>
      <c r="K580" t="s">
        <v>23</v>
      </c>
      <c r="L580">
        <v>1027.9000000000001</v>
      </c>
      <c r="M580">
        <v>35.200000000000003</v>
      </c>
      <c r="N580">
        <v>2023</v>
      </c>
      <c r="O580">
        <v>1</v>
      </c>
      <c r="P580" t="s">
        <v>60</v>
      </c>
      <c r="Q580">
        <v>557.59</v>
      </c>
      <c r="R580" t="s">
        <v>25</v>
      </c>
      <c r="S580">
        <v>1.8434692157319894</v>
      </c>
      <c r="T580" t="s">
        <v>78</v>
      </c>
    </row>
    <row r="581" spans="1:20" x14ac:dyDescent="0.25">
      <c r="A581" s="11">
        <v>44955</v>
      </c>
      <c r="B581" t="s">
        <v>42</v>
      </c>
      <c r="C581" t="s">
        <v>43</v>
      </c>
      <c r="D581" t="s">
        <v>49</v>
      </c>
      <c r="E581" t="s">
        <v>50</v>
      </c>
      <c r="F581">
        <v>943</v>
      </c>
      <c r="G581">
        <v>2.09</v>
      </c>
      <c r="H581">
        <v>1970.87</v>
      </c>
      <c r="I581" t="s">
        <v>57</v>
      </c>
      <c r="J581" t="s">
        <v>22</v>
      </c>
      <c r="K581" t="s">
        <v>41</v>
      </c>
      <c r="L581">
        <v>1413.35</v>
      </c>
      <c r="M581">
        <v>28.3</v>
      </c>
      <c r="N581">
        <v>2023</v>
      </c>
      <c r="O581">
        <v>1</v>
      </c>
      <c r="P581" t="s">
        <v>60</v>
      </c>
      <c r="Q581">
        <v>557.52</v>
      </c>
      <c r="R581" t="s">
        <v>25</v>
      </c>
      <c r="S581">
        <v>2.5350660066006601</v>
      </c>
      <c r="T581" t="s">
        <v>78</v>
      </c>
    </row>
    <row r="582" spans="1:20" x14ac:dyDescent="0.25">
      <c r="A582" s="11">
        <v>45053</v>
      </c>
      <c r="B582" t="s">
        <v>51</v>
      </c>
      <c r="C582" t="s">
        <v>52</v>
      </c>
      <c r="D582" t="s">
        <v>45</v>
      </c>
      <c r="E582" t="s">
        <v>20</v>
      </c>
      <c r="F582">
        <v>488</v>
      </c>
      <c r="G582">
        <v>8.7799999999999994</v>
      </c>
      <c r="H582">
        <v>4284.6400000000003</v>
      </c>
      <c r="I582" t="s">
        <v>21</v>
      </c>
      <c r="J582" t="s">
        <v>27</v>
      </c>
      <c r="K582" t="s">
        <v>28</v>
      </c>
      <c r="L582">
        <v>3728.79</v>
      </c>
      <c r="M582">
        <v>13</v>
      </c>
      <c r="N582">
        <v>2023</v>
      </c>
      <c r="O582">
        <v>2</v>
      </c>
      <c r="P582" t="s">
        <v>65</v>
      </c>
      <c r="Q582">
        <v>555.85</v>
      </c>
      <c r="R582" t="s">
        <v>29</v>
      </c>
      <c r="S582">
        <v>6.7082666186920932</v>
      </c>
      <c r="T582" t="s">
        <v>78</v>
      </c>
    </row>
    <row r="583" spans="1:20" x14ac:dyDescent="0.25">
      <c r="A583" s="11">
        <v>44953</v>
      </c>
      <c r="B583" t="s">
        <v>35</v>
      </c>
      <c r="C583" t="s">
        <v>36</v>
      </c>
      <c r="D583" t="s">
        <v>53</v>
      </c>
      <c r="E583" t="s">
        <v>50</v>
      </c>
      <c r="F583">
        <v>635</v>
      </c>
      <c r="G583">
        <v>3.18</v>
      </c>
      <c r="H583">
        <v>2019.3</v>
      </c>
      <c r="I583" t="s">
        <v>57</v>
      </c>
      <c r="J583" t="s">
        <v>22</v>
      </c>
      <c r="K583" t="s">
        <v>41</v>
      </c>
      <c r="L583">
        <v>1464.69</v>
      </c>
      <c r="M583">
        <v>27.5</v>
      </c>
      <c r="N583">
        <v>2023</v>
      </c>
      <c r="O583">
        <v>1</v>
      </c>
      <c r="P583" t="s">
        <v>24</v>
      </c>
      <c r="Q583">
        <v>554.61</v>
      </c>
      <c r="R583" t="s">
        <v>25</v>
      </c>
      <c r="S583">
        <v>2.6409368745605022</v>
      </c>
      <c r="T583" t="s">
        <v>78</v>
      </c>
    </row>
    <row r="584" spans="1:20" x14ac:dyDescent="0.25">
      <c r="A584" s="11">
        <v>44940</v>
      </c>
      <c r="B584" t="s">
        <v>17</v>
      </c>
      <c r="C584" t="s">
        <v>18</v>
      </c>
      <c r="D584" t="s">
        <v>19</v>
      </c>
      <c r="E584" t="s">
        <v>20</v>
      </c>
      <c r="F584">
        <v>890</v>
      </c>
      <c r="G584">
        <v>2.2599999999999998</v>
      </c>
      <c r="H584">
        <v>2011.4</v>
      </c>
      <c r="I584" t="s">
        <v>21</v>
      </c>
      <c r="J584" t="s">
        <v>47</v>
      </c>
      <c r="K584" t="s">
        <v>41</v>
      </c>
      <c r="L584">
        <v>1459.07</v>
      </c>
      <c r="M584">
        <v>27.5</v>
      </c>
      <c r="N584">
        <v>2023</v>
      </c>
      <c r="O584">
        <v>1</v>
      </c>
      <c r="P584" t="s">
        <v>24</v>
      </c>
      <c r="Q584">
        <v>552.33000000000004</v>
      </c>
      <c r="R584" t="s">
        <v>25</v>
      </c>
      <c r="S584">
        <v>2.6416634982709608</v>
      </c>
      <c r="T584" t="s">
        <v>78</v>
      </c>
    </row>
    <row r="585" spans="1:20" x14ac:dyDescent="0.25">
      <c r="A585" s="11">
        <v>44947</v>
      </c>
      <c r="B585" t="s">
        <v>30</v>
      </c>
      <c r="C585" t="s">
        <v>31</v>
      </c>
      <c r="D585" t="s">
        <v>45</v>
      </c>
      <c r="E585" t="s">
        <v>20</v>
      </c>
      <c r="F585">
        <v>750</v>
      </c>
      <c r="G585">
        <v>6.32</v>
      </c>
      <c r="H585">
        <v>4740</v>
      </c>
      <c r="I585" t="s">
        <v>26</v>
      </c>
      <c r="J585" t="s">
        <v>56</v>
      </c>
      <c r="K585" t="s">
        <v>23</v>
      </c>
      <c r="L585">
        <v>4190.1400000000003</v>
      </c>
      <c r="M585">
        <v>11.6</v>
      </c>
      <c r="N585">
        <v>2023</v>
      </c>
      <c r="O585">
        <v>1</v>
      </c>
      <c r="P585" t="s">
        <v>24</v>
      </c>
      <c r="Q585">
        <v>549.86</v>
      </c>
      <c r="R585" t="s">
        <v>29</v>
      </c>
      <c r="S585">
        <v>7.6203760957334596</v>
      </c>
      <c r="T585" t="s">
        <v>78</v>
      </c>
    </row>
    <row r="586" spans="1:20" x14ac:dyDescent="0.25">
      <c r="A586" s="11">
        <v>45031</v>
      </c>
      <c r="B586" t="s">
        <v>17</v>
      </c>
      <c r="C586" t="s">
        <v>18</v>
      </c>
      <c r="D586" t="s">
        <v>19</v>
      </c>
      <c r="E586" t="s">
        <v>20</v>
      </c>
      <c r="F586">
        <v>546</v>
      </c>
      <c r="G586">
        <v>8.0500000000000007</v>
      </c>
      <c r="H586">
        <v>4395.3</v>
      </c>
      <c r="I586" t="s">
        <v>21</v>
      </c>
      <c r="J586" t="s">
        <v>47</v>
      </c>
      <c r="K586" t="s">
        <v>28</v>
      </c>
      <c r="L586">
        <v>3846.36</v>
      </c>
      <c r="M586">
        <v>12.5</v>
      </c>
      <c r="N586">
        <v>2023</v>
      </c>
      <c r="O586">
        <v>2</v>
      </c>
      <c r="P586" t="s">
        <v>63</v>
      </c>
      <c r="Q586">
        <v>548.94000000000005</v>
      </c>
      <c r="R586" t="s">
        <v>29</v>
      </c>
      <c r="S586">
        <v>7.0068859984697776</v>
      </c>
      <c r="T586" t="s">
        <v>78</v>
      </c>
    </row>
    <row r="587" spans="1:20" x14ac:dyDescent="0.25">
      <c r="A587" s="11">
        <v>45105</v>
      </c>
      <c r="B587" t="s">
        <v>17</v>
      </c>
      <c r="C587" t="s">
        <v>18</v>
      </c>
      <c r="D587" t="s">
        <v>45</v>
      </c>
      <c r="E587" t="s">
        <v>20</v>
      </c>
      <c r="F587">
        <v>329</v>
      </c>
      <c r="G587">
        <v>9</v>
      </c>
      <c r="H587">
        <v>2961</v>
      </c>
      <c r="I587" t="s">
        <v>33</v>
      </c>
      <c r="J587" t="s">
        <v>22</v>
      </c>
      <c r="K587" t="s">
        <v>23</v>
      </c>
      <c r="L587">
        <v>2413.8200000000002</v>
      </c>
      <c r="M587">
        <v>18.5</v>
      </c>
      <c r="N587">
        <v>2024</v>
      </c>
      <c r="O587">
        <v>2</v>
      </c>
      <c r="P587" t="s">
        <v>60</v>
      </c>
      <c r="Q587">
        <v>547.17999999999995</v>
      </c>
      <c r="R587" t="s">
        <v>29</v>
      </c>
      <c r="S587">
        <v>4.4113819949559563</v>
      </c>
      <c r="T587" t="s">
        <v>78</v>
      </c>
    </row>
    <row r="588" spans="1:20" x14ac:dyDescent="0.25">
      <c r="A588" s="11">
        <v>44943</v>
      </c>
      <c r="B588" t="s">
        <v>42</v>
      </c>
      <c r="C588" t="s">
        <v>43</v>
      </c>
      <c r="D588" t="s">
        <v>32</v>
      </c>
      <c r="E588" t="s">
        <v>20</v>
      </c>
      <c r="F588">
        <v>526</v>
      </c>
      <c r="G588">
        <v>7.81</v>
      </c>
      <c r="H588">
        <v>4108.0600000000004</v>
      </c>
      <c r="I588" t="s">
        <v>26</v>
      </c>
      <c r="J588" t="s">
        <v>56</v>
      </c>
      <c r="K588" t="s">
        <v>28</v>
      </c>
      <c r="L588">
        <v>3561.21</v>
      </c>
      <c r="M588">
        <v>13.3</v>
      </c>
      <c r="N588">
        <v>2023</v>
      </c>
      <c r="O588">
        <v>1</v>
      </c>
      <c r="P588" t="s">
        <v>24</v>
      </c>
      <c r="Q588">
        <v>546.85</v>
      </c>
      <c r="R588" t="s">
        <v>29</v>
      </c>
      <c r="S588">
        <v>6.5122245588369756</v>
      </c>
      <c r="T588" t="s">
        <v>78</v>
      </c>
    </row>
    <row r="589" spans="1:20" x14ac:dyDescent="0.25">
      <c r="A589" s="11">
        <v>45042</v>
      </c>
      <c r="B589" t="s">
        <v>58</v>
      </c>
      <c r="C589" t="s">
        <v>59</v>
      </c>
      <c r="D589" t="s">
        <v>48</v>
      </c>
      <c r="E589" t="s">
        <v>38</v>
      </c>
      <c r="F589">
        <v>461</v>
      </c>
      <c r="G589">
        <v>6.16</v>
      </c>
      <c r="H589">
        <v>2839.76</v>
      </c>
      <c r="I589" t="s">
        <v>33</v>
      </c>
      <c r="J589" t="s">
        <v>34</v>
      </c>
      <c r="K589" t="s">
        <v>41</v>
      </c>
      <c r="L589">
        <v>2293.4899999999998</v>
      </c>
      <c r="M589">
        <v>19.2</v>
      </c>
      <c r="N589">
        <v>2023</v>
      </c>
      <c r="O589">
        <v>2</v>
      </c>
      <c r="P589" t="s">
        <v>64</v>
      </c>
      <c r="Q589">
        <v>546.27</v>
      </c>
      <c r="R589" t="s">
        <v>29</v>
      </c>
      <c r="S589">
        <v>4.1984549764768335</v>
      </c>
      <c r="T589" t="s">
        <v>78</v>
      </c>
    </row>
    <row r="590" spans="1:20" x14ac:dyDescent="0.25">
      <c r="A590" s="11">
        <v>44945</v>
      </c>
      <c r="B590" t="s">
        <v>35</v>
      </c>
      <c r="C590" t="s">
        <v>36</v>
      </c>
      <c r="D590" t="s">
        <v>45</v>
      </c>
      <c r="E590" t="s">
        <v>20</v>
      </c>
      <c r="F590">
        <v>527</v>
      </c>
      <c r="G590">
        <v>3.23</v>
      </c>
      <c r="H590">
        <v>1702.21</v>
      </c>
      <c r="I590" t="s">
        <v>55</v>
      </c>
      <c r="J590" t="s">
        <v>22</v>
      </c>
      <c r="K590" t="s">
        <v>23</v>
      </c>
      <c r="L590">
        <v>1157.21</v>
      </c>
      <c r="M590">
        <v>32</v>
      </c>
      <c r="N590">
        <v>2023</v>
      </c>
      <c r="O590">
        <v>1</v>
      </c>
      <c r="P590" t="s">
        <v>24</v>
      </c>
      <c r="Q590">
        <v>545</v>
      </c>
      <c r="R590" t="s">
        <v>25</v>
      </c>
      <c r="S590">
        <v>2.1233211009174311</v>
      </c>
      <c r="T590" t="s">
        <v>78</v>
      </c>
    </row>
    <row r="591" spans="1:20" x14ac:dyDescent="0.25">
      <c r="A591" s="11">
        <v>45125</v>
      </c>
      <c r="B591" t="s">
        <v>35</v>
      </c>
      <c r="C591" t="s">
        <v>36</v>
      </c>
      <c r="D591" t="s">
        <v>53</v>
      </c>
      <c r="E591" t="s">
        <v>50</v>
      </c>
      <c r="F591">
        <v>619</v>
      </c>
      <c r="G591">
        <v>2.77</v>
      </c>
      <c r="H591">
        <v>1714.63</v>
      </c>
      <c r="I591" t="s">
        <v>26</v>
      </c>
      <c r="J591" t="s">
        <v>47</v>
      </c>
      <c r="K591" t="s">
        <v>41</v>
      </c>
      <c r="L591">
        <v>1169.94</v>
      </c>
      <c r="M591">
        <v>31.8</v>
      </c>
      <c r="N591">
        <v>2024</v>
      </c>
      <c r="O591">
        <v>3</v>
      </c>
      <c r="P591" t="s">
        <v>69</v>
      </c>
      <c r="Q591">
        <v>544.69000000000005</v>
      </c>
      <c r="R591" t="s">
        <v>25</v>
      </c>
      <c r="S591">
        <v>2.1479006407314252</v>
      </c>
      <c r="T591" t="s">
        <v>78</v>
      </c>
    </row>
    <row r="592" spans="1:20" x14ac:dyDescent="0.25">
      <c r="A592" s="11">
        <v>45038</v>
      </c>
      <c r="B592" t="s">
        <v>30</v>
      </c>
      <c r="C592" t="s">
        <v>31</v>
      </c>
      <c r="D592" t="s">
        <v>44</v>
      </c>
      <c r="E592" t="s">
        <v>38</v>
      </c>
      <c r="F592">
        <v>314</v>
      </c>
      <c r="G592">
        <v>7.15</v>
      </c>
      <c r="H592">
        <v>2245.1</v>
      </c>
      <c r="I592" t="s">
        <v>21</v>
      </c>
      <c r="J592" t="s">
        <v>47</v>
      </c>
      <c r="K592" t="s">
        <v>28</v>
      </c>
      <c r="L592">
        <v>1700.7</v>
      </c>
      <c r="M592">
        <v>24.2</v>
      </c>
      <c r="N592">
        <v>2023</v>
      </c>
      <c r="O592">
        <v>2</v>
      </c>
      <c r="P592" t="s">
        <v>63</v>
      </c>
      <c r="Q592">
        <v>544.4</v>
      </c>
      <c r="R592" t="s">
        <v>29</v>
      </c>
      <c r="S592">
        <v>3.123989713445996</v>
      </c>
      <c r="T592" t="s">
        <v>78</v>
      </c>
    </row>
    <row r="593" spans="1:20" x14ac:dyDescent="0.25">
      <c r="A593" s="11">
        <v>45081</v>
      </c>
      <c r="B593" t="s">
        <v>35</v>
      </c>
      <c r="C593" t="s">
        <v>36</v>
      </c>
      <c r="D593" t="s">
        <v>32</v>
      </c>
      <c r="E593" t="s">
        <v>20</v>
      </c>
      <c r="F593">
        <v>996</v>
      </c>
      <c r="G593">
        <v>4.05</v>
      </c>
      <c r="H593">
        <v>4033.8</v>
      </c>
      <c r="I593" t="s">
        <v>26</v>
      </c>
      <c r="J593" t="s">
        <v>40</v>
      </c>
      <c r="K593" t="s">
        <v>23</v>
      </c>
      <c r="L593">
        <v>3489.86</v>
      </c>
      <c r="M593">
        <v>13.5</v>
      </c>
      <c r="N593">
        <v>2023</v>
      </c>
      <c r="O593">
        <v>2</v>
      </c>
      <c r="P593" t="s">
        <v>68</v>
      </c>
      <c r="Q593">
        <v>543.94000000000005</v>
      </c>
      <c r="R593" t="s">
        <v>29</v>
      </c>
      <c r="S593">
        <v>6.415891458616759</v>
      </c>
      <c r="T593" t="s">
        <v>78</v>
      </c>
    </row>
    <row r="594" spans="1:20" x14ac:dyDescent="0.25">
      <c r="A594" s="11">
        <v>45102</v>
      </c>
      <c r="B594" t="s">
        <v>30</v>
      </c>
      <c r="C594" t="s">
        <v>31</v>
      </c>
      <c r="D594" t="s">
        <v>37</v>
      </c>
      <c r="E594" t="s">
        <v>38</v>
      </c>
      <c r="F594">
        <v>990</v>
      </c>
      <c r="G594">
        <v>2.94</v>
      </c>
      <c r="H594">
        <v>2910.6</v>
      </c>
      <c r="I594" t="s">
        <v>54</v>
      </c>
      <c r="J594" t="s">
        <v>40</v>
      </c>
      <c r="K594" t="s">
        <v>41</v>
      </c>
      <c r="L594">
        <v>2367.73</v>
      </c>
      <c r="M594">
        <v>18.7</v>
      </c>
      <c r="N594">
        <v>2024</v>
      </c>
      <c r="O594">
        <v>2</v>
      </c>
      <c r="P594" t="s">
        <v>24</v>
      </c>
      <c r="Q594">
        <v>542.87</v>
      </c>
      <c r="R594" t="s">
        <v>29</v>
      </c>
      <c r="S594">
        <v>4.3615045959437806</v>
      </c>
      <c r="T594" t="s">
        <v>78</v>
      </c>
    </row>
    <row r="595" spans="1:20" x14ac:dyDescent="0.25">
      <c r="A595" s="11">
        <v>44973</v>
      </c>
      <c r="B595" t="s">
        <v>30</v>
      </c>
      <c r="C595" t="s">
        <v>31</v>
      </c>
      <c r="D595" t="s">
        <v>53</v>
      </c>
      <c r="E595" t="s">
        <v>50</v>
      </c>
      <c r="F595">
        <v>137</v>
      </c>
      <c r="G595">
        <v>11.5</v>
      </c>
      <c r="H595">
        <v>1575.5</v>
      </c>
      <c r="I595" t="s">
        <v>46</v>
      </c>
      <c r="J595" t="s">
        <v>27</v>
      </c>
      <c r="K595" t="s">
        <v>41</v>
      </c>
      <c r="L595">
        <v>1033.75</v>
      </c>
      <c r="M595">
        <v>34.4</v>
      </c>
      <c r="N595">
        <v>2023</v>
      </c>
      <c r="O595">
        <v>1</v>
      </c>
      <c r="P595" t="s">
        <v>60</v>
      </c>
      <c r="Q595">
        <v>541.75</v>
      </c>
      <c r="R595" t="s">
        <v>25</v>
      </c>
      <c r="S595">
        <v>1.9081679741578219</v>
      </c>
      <c r="T595" t="s">
        <v>78</v>
      </c>
    </row>
    <row r="596" spans="1:20" x14ac:dyDescent="0.25">
      <c r="A596" s="11">
        <v>44966</v>
      </c>
      <c r="B596" t="s">
        <v>58</v>
      </c>
      <c r="C596" t="s">
        <v>59</v>
      </c>
      <c r="D596" t="s">
        <v>48</v>
      </c>
      <c r="E596" t="s">
        <v>38</v>
      </c>
      <c r="F596">
        <v>259</v>
      </c>
      <c r="G596">
        <v>5.95</v>
      </c>
      <c r="H596">
        <v>1541.05</v>
      </c>
      <c r="I596" t="s">
        <v>46</v>
      </c>
      <c r="J596" t="s">
        <v>27</v>
      </c>
      <c r="K596" t="s">
        <v>41</v>
      </c>
      <c r="L596">
        <v>999.47</v>
      </c>
      <c r="M596">
        <v>35.1</v>
      </c>
      <c r="N596">
        <v>2023</v>
      </c>
      <c r="O596">
        <v>1</v>
      </c>
      <c r="P596" t="s">
        <v>60</v>
      </c>
      <c r="Q596">
        <v>541.58000000000004</v>
      </c>
      <c r="R596" t="s">
        <v>25</v>
      </c>
      <c r="S596">
        <v>1.8454706599209718</v>
      </c>
      <c r="T596" t="s">
        <v>78</v>
      </c>
    </row>
    <row r="597" spans="1:20" x14ac:dyDescent="0.25">
      <c r="A597" s="11">
        <v>45124</v>
      </c>
      <c r="B597" t="s">
        <v>51</v>
      </c>
      <c r="C597" t="s">
        <v>52</v>
      </c>
      <c r="D597" t="s">
        <v>19</v>
      </c>
      <c r="E597" t="s">
        <v>20</v>
      </c>
      <c r="F597">
        <v>214</v>
      </c>
      <c r="G597">
        <v>8</v>
      </c>
      <c r="H597">
        <v>1712</v>
      </c>
      <c r="I597" t="s">
        <v>55</v>
      </c>
      <c r="J597" t="s">
        <v>27</v>
      </c>
      <c r="K597" t="s">
        <v>23</v>
      </c>
      <c r="L597">
        <v>1171.0899999999999</v>
      </c>
      <c r="M597">
        <v>31.6</v>
      </c>
      <c r="N597">
        <v>2024</v>
      </c>
      <c r="O597">
        <v>3</v>
      </c>
      <c r="P597" t="s">
        <v>68</v>
      </c>
      <c r="Q597">
        <v>540.91</v>
      </c>
      <c r="R597" t="s">
        <v>25</v>
      </c>
      <c r="S597">
        <v>2.1650366974173152</v>
      </c>
      <c r="T597" t="s">
        <v>78</v>
      </c>
    </row>
    <row r="598" spans="1:20" x14ac:dyDescent="0.25">
      <c r="A598" s="11">
        <v>44971</v>
      </c>
      <c r="B598" t="s">
        <v>42</v>
      </c>
      <c r="C598" t="s">
        <v>43</v>
      </c>
      <c r="D598" t="s">
        <v>37</v>
      </c>
      <c r="E598" t="s">
        <v>38</v>
      </c>
      <c r="F598">
        <v>637</v>
      </c>
      <c r="G598">
        <v>6.75</v>
      </c>
      <c r="H598">
        <v>4299.75</v>
      </c>
      <c r="I598" t="s">
        <v>46</v>
      </c>
      <c r="J598" t="s">
        <v>27</v>
      </c>
      <c r="K598" t="s">
        <v>23</v>
      </c>
      <c r="L598">
        <v>3759.79</v>
      </c>
      <c r="M598">
        <v>12.6</v>
      </c>
      <c r="N598">
        <v>2023</v>
      </c>
      <c r="O598">
        <v>1</v>
      </c>
      <c r="P598" t="s">
        <v>60</v>
      </c>
      <c r="Q598">
        <v>539.96</v>
      </c>
      <c r="R598" t="s">
        <v>29</v>
      </c>
      <c r="S598">
        <v>6.9630898585080372</v>
      </c>
      <c r="T598" t="s">
        <v>78</v>
      </c>
    </row>
    <row r="599" spans="1:20" x14ac:dyDescent="0.25">
      <c r="A599" s="11">
        <v>44980</v>
      </c>
      <c r="B599" t="s">
        <v>17</v>
      </c>
      <c r="C599" t="s">
        <v>18</v>
      </c>
      <c r="D599" t="s">
        <v>44</v>
      </c>
      <c r="E599" t="s">
        <v>38</v>
      </c>
      <c r="F599">
        <v>286</v>
      </c>
      <c r="G599">
        <v>4.7300000000000004</v>
      </c>
      <c r="H599">
        <v>1352.78</v>
      </c>
      <c r="I599" t="s">
        <v>26</v>
      </c>
      <c r="J599" t="s">
        <v>56</v>
      </c>
      <c r="K599" t="s">
        <v>23</v>
      </c>
      <c r="L599">
        <v>813.3</v>
      </c>
      <c r="M599">
        <v>39.9</v>
      </c>
      <c r="N599">
        <v>2023</v>
      </c>
      <c r="O599">
        <v>1</v>
      </c>
      <c r="P599" t="s">
        <v>61</v>
      </c>
      <c r="Q599">
        <v>539.48</v>
      </c>
      <c r="R599" t="s">
        <v>25</v>
      </c>
      <c r="S599">
        <v>1.5075628382887223</v>
      </c>
      <c r="T599" t="s">
        <v>78</v>
      </c>
    </row>
    <row r="600" spans="1:20" x14ac:dyDescent="0.25">
      <c r="A600" s="11">
        <v>45004</v>
      </c>
      <c r="B600" t="s">
        <v>42</v>
      </c>
      <c r="C600" t="s">
        <v>43</v>
      </c>
      <c r="D600" t="s">
        <v>32</v>
      </c>
      <c r="E600" t="s">
        <v>20</v>
      </c>
      <c r="F600">
        <v>217</v>
      </c>
      <c r="G600">
        <v>11.64</v>
      </c>
      <c r="H600">
        <v>2525.88</v>
      </c>
      <c r="I600" t="s">
        <v>55</v>
      </c>
      <c r="J600" t="s">
        <v>22</v>
      </c>
      <c r="K600" t="s">
        <v>41</v>
      </c>
      <c r="L600">
        <v>1987.1</v>
      </c>
      <c r="M600">
        <v>21.3</v>
      </c>
      <c r="N600">
        <v>2023</v>
      </c>
      <c r="O600">
        <v>1</v>
      </c>
      <c r="P600" t="s">
        <v>62</v>
      </c>
      <c r="Q600">
        <v>538.78</v>
      </c>
      <c r="R600" t="s">
        <v>29</v>
      </c>
      <c r="S600">
        <v>3.6881472957422323</v>
      </c>
      <c r="T600" t="s">
        <v>78</v>
      </c>
    </row>
    <row r="601" spans="1:20" x14ac:dyDescent="0.25">
      <c r="A601" s="11">
        <v>45089</v>
      </c>
      <c r="B601" t="s">
        <v>42</v>
      </c>
      <c r="C601" t="s">
        <v>43</v>
      </c>
      <c r="D601" t="s">
        <v>48</v>
      </c>
      <c r="E601" t="s">
        <v>38</v>
      </c>
      <c r="F601">
        <v>816</v>
      </c>
      <c r="G601">
        <v>4.66</v>
      </c>
      <c r="H601">
        <v>3802.56</v>
      </c>
      <c r="I601" t="s">
        <v>21</v>
      </c>
      <c r="J601" t="s">
        <v>56</v>
      </c>
      <c r="K601" t="s">
        <v>23</v>
      </c>
      <c r="L601">
        <v>3265.56</v>
      </c>
      <c r="M601">
        <v>14.1</v>
      </c>
      <c r="N601">
        <v>2023</v>
      </c>
      <c r="O601">
        <v>2</v>
      </c>
      <c r="P601" t="s">
        <v>69</v>
      </c>
      <c r="Q601">
        <v>537</v>
      </c>
      <c r="R601" t="s">
        <v>29</v>
      </c>
      <c r="S601">
        <v>6.0811173184357541</v>
      </c>
      <c r="T601" t="s">
        <v>78</v>
      </c>
    </row>
    <row r="602" spans="1:20" x14ac:dyDescent="0.25">
      <c r="A602" s="11">
        <v>45129</v>
      </c>
      <c r="B602" t="s">
        <v>30</v>
      </c>
      <c r="C602" t="s">
        <v>31</v>
      </c>
      <c r="D602" t="s">
        <v>32</v>
      </c>
      <c r="E602" t="s">
        <v>20</v>
      </c>
      <c r="F602">
        <v>803</v>
      </c>
      <c r="G602">
        <v>2.17</v>
      </c>
      <c r="H602">
        <v>1742.51</v>
      </c>
      <c r="I602" t="s">
        <v>26</v>
      </c>
      <c r="J602" t="s">
        <v>47</v>
      </c>
      <c r="K602" t="s">
        <v>28</v>
      </c>
      <c r="L602">
        <v>1206.97</v>
      </c>
      <c r="M602">
        <v>30.7</v>
      </c>
      <c r="N602">
        <v>2025</v>
      </c>
      <c r="O602">
        <v>3</v>
      </c>
      <c r="P602" t="s">
        <v>62</v>
      </c>
      <c r="Q602">
        <v>535.54</v>
      </c>
      <c r="R602" t="s">
        <v>25</v>
      </c>
      <c r="S602">
        <v>2.2537438846771485</v>
      </c>
      <c r="T602" t="s">
        <v>78</v>
      </c>
    </row>
    <row r="603" spans="1:20" x14ac:dyDescent="0.25">
      <c r="A603" s="11">
        <v>45001</v>
      </c>
      <c r="B603" t="s">
        <v>51</v>
      </c>
      <c r="C603" t="s">
        <v>52</v>
      </c>
      <c r="D603" t="s">
        <v>48</v>
      </c>
      <c r="E603" t="s">
        <v>38</v>
      </c>
      <c r="F603">
        <v>219</v>
      </c>
      <c r="G603">
        <v>8.6300000000000008</v>
      </c>
      <c r="H603">
        <v>1889.97</v>
      </c>
      <c r="I603" t="s">
        <v>39</v>
      </c>
      <c r="J603" t="s">
        <v>22</v>
      </c>
      <c r="K603" t="s">
        <v>23</v>
      </c>
      <c r="L603">
        <v>1355.9</v>
      </c>
      <c r="M603">
        <v>28.3</v>
      </c>
      <c r="N603">
        <v>2023</v>
      </c>
      <c r="O603">
        <v>1</v>
      </c>
      <c r="P603" t="s">
        <v>61</v>
      </c>
      <c r="Q603">
        <v>534.07000000000005</v>
      </c>
      <c r="R603" t="s">
        <v>25</v>
      </c>
      <c r="S603">
        <v>2.5388057745239387</v>
      </c>
      <c r="T603" t="s">
        <v>78</v>
      </c>
    </row>
    <row r="604" spans="1:20" x14ac:dyDescent="0.25">
      <c r="A604" s="11">
        <v>45088</v>
      </c>
      <c r="B604" t="s">
        <v>17</v>
      </c>
      <c r="C604" t="s">
        <v>18</v>
      </c>
      <c r="D604" t="s">
        <v>48</v>
      </c>
      <c r="E604" t="s">
        <v>38</v>
      </c>
      <c r="F604">
        <v>349</v>
      </c>
      <c r="G604">
        <v>10.37</v>
      </c>
      <c r="H604">
        <v>3619.13</v>
      </c>
      <c r="I604" t="s">
        <v>55</v>
      </c>
      <c r="J604" t="s">
        <v>40</v>
      </c>
      <c r="K604" t="s">
        <v>41</v>
      </c>
      <c r="L604">
        <v>3085.67</v>
      </c>
      <c r="M604">
        <v>14.7</v>
      </c>
      <c r="N604">
        <v>2023</v>
      </c>
      <c r="O604">
        <v>2</v>
      </c>
      <c r="P604" t="s">
        <v>69</v>
      </c>
      <c r="Q604">
        <v>533.46</v>
      </c>
      <c r="R604" t="s">
        <v>29</v>
      </c>
      <c r="S604">
        <v>5.7842574888463991</v>
      </c>
      <c r="T604" t="s">
        <v>78</v>
      </c>
    </row>
    <row r="605" spans="1:20" x14ac:dyDescent="0.25">
      <c r="A605" s="11">
        <v>45002</v>
      </c>
      <c r="B605" t="s">
        <v>17</v>
      </c>
      <c r="C605" t="s">
        <v>18</v>
      </c>
      <c r="D605" t="s">
        <v>45</v>
      </c>
      <c r="E605" t="s">
        <v>20</v>
      </c>
      <c r="F605">
        <v>885</v>
      </c>
      <c r="G605">
        <v>2</v>
      </c>
      <c r="H605">
        <v>1770</v>
      </c>
      <c r="I605" t="s">
        <v>26</v>
      </c>
      <c r="J605" t="s">
        <v>27</v>
      </c>
      <c r="K605" t="s">
        <v>23</v>
      </c>
      <c r="L605">
        <v>1236.8499999999999</v>
      </c>
      <c r="M605">
        <v>30.1</v>
      </c>
      <c r="N605">
        <v>2023</v>
      </c>
      <c r="O605">
        <v>1</v>
      </c>
      <c r="P605" t="s">
        <v>62</v>
      </c>
      <c r="Q605">
        <v>533.15</v>
      </c>
      <c r="R605" t="s">
        <v>25</v>
      </c>
      <c r="S605">
        <v>2.3198912126043325</v>
      </c>
      <c r="T605" t="s">
        <v>78</v>
      </c>
    </row>
    <row r="606" spans="1:20" x14ac:dyDescent="0.25">
      <c r="A606" s="11">
        <v>45115</v>
      </c>
      <c r="B606" t="s">
        <v>51</v>
      </c>
      <c r="C606" t="s">
        <v>52</v>
      </c>
      <c r="D606" t="s">
        <v>44</v>
      </c>
      <c r="E606" t="s">
        <v>38</v>
      </c>
      <c r="F606">
        <v>767</v>
      </c>
      <c r="G606">
        <v>4.4000000000000004</v>
      </c>
      <c r="H606">
        <v>3374.8</v>
      </c>
      <c r="I606" t="s">
        <v>21</v>
      </c>
      <c r="J606" t="s">
        <v>40</v>
      </c>
      <c r="K606" t="s">
        <v>23</v>
      </c>
      <c r="L606">
        <v>2842.66</v>
      </c>
      <c r="M606">
        <v>15.8</v>
      </c>
      <c r="N606">
        <v>2024</v>
      </c>
      <c r="O606">
        <v>3</v>
      </c>
      <c r="P606" t="s">
        <v>63</v>
      </c>
      <c r="Q606">
        <v>532.14</v>
      </c>
      <c r="R606" t="s">
        <v>29</v>
      </c>
      <c r="S606">
        <v>5.341940090953508</v>
      </c>
      <c r="T606" t="s">
        <v>78</v>
      </c>
    </row>
    <row r="607" spans="1:20" x14ac:dyDescent="0.25">
      <c r="A607" s="11">
        <v>44993</v>
      </c>
      <c r="B607" t="s">
        <v>42</v>
      </c>
      <c r="C607" t="s">
        <v>43</v>
      </c>
      <c r="D607" t="s">
        <v>32</v>
      </c>
      <c r="E607" t="s">
        <v>20</v>
      </c>
      <c r="F607">
        <v>264</v>
      </c>
      <c r="G607">
        <v>9.33</v>
      </c>
      <c r="H607">
        <v>2463.12</v>
      </c>
      <c r="I607" t="s">
        <v>39</v>
      </c>
      <c r="J607" t="s">
        <v>34</v>
      </c>
      <c r="K607" t="s">
        <v>41</v>
      </c>
      <c r="L607">
        <v>1932.94</v>
      </c>
      <c r="M607">
        <v>21.5</v>
      </c>
      <c r="N607">
        <v>2023</v>
      </c>
      <c r="O607">
        <v>1</v>
      </c>
      <c r="P607" t="s">
        <v>61</v>
      </c>
      <c r="Q607">
        <v>530.17999999999995</v>
      </c>
      <c r="R607" t="s">
        <v>29</v>
      </c>
      <c r="S607">
        <v>3.6458184012976731</v>
      </c>
      <c r="T607" t="s">
        <v>78</v>
      </c>
    </row>
    <row r="608" spans="1:20" x14ac:dyDescent="0.25">
      <c r="A608" s="11">
        <v>45113</v>
      </c>
      <c r="B608" t="s">
        <v>51</v>
      </c>
      <c r="C608" t="s">
        <v>52</v>
      </c>
      <c r="D608" t="s">
        <v>49</v>
      </c>
      <c r="E608" t="s">
        <v>50</v>
      </c>
      <c r="F608">
        <v>152</v>
      </c>
      <c r="G608">
        <v>10.75</v>
      </c>
      <c r="H608">
        <v>1634</v>
      </c>
      <c r="I608" t="s">
        <v>33</v>
      </c>
      <c r="J608" t="s">
        <v>34</v>
      </c>
      <c r="K608" t="s">
        <v>41</v>
      </c>
      <c r="L608">
        <v>1106.8800000000001</v>
      </c>
      <c r="M608">
        <v>32.299999999999997</v>
      </c>
      <c r="N608">
        <v>2024</v>
      </c>
      <c r="O608">
        <v>3</v>
      </c>
      <c r="P608" t="s">
        <v>62</v>
      </c>
      <c r="Q608">
        <v>527.12</v>
      </c>
      <c r="R608" t="s">
        <v>25</v>
      </c>
      <c r="S608">
        <v>2.0998634087114891</v>
      </c>
      <c r="T608" t="s">
        <v>78</v>
      </c>
    </row>
    <row r="609" spans="1:20" x14ac:dyDescent="0.25">
      <c r="A609" s="11">
        <v>45032</v>
      </c>
      <c r="B609" t="s">
        <v>42</v>
      </c>
      <c r="C609" t="s">
        <v>43</v>
      </c>
      <c r="D609" t="s">
        <v>49</v>
      </c>
      <c r="E609" t="s">
        <v>50</v>
      </c>
      <c r="F609">
        <v>371</v>
      </c>
      <c r="G609">
        <v>10.58</v>
      </c>
      <c r="H609">
        <v>3925.18</v>
      </c>
      <c r="I609" t="s">
        <v>39</v>
      </c>
      <c r="J609" t="s">
        <v>56</v>
      </c>
      <c r="K609" t="s">
        <v>23</v>
      </c>
      <c r="L609">
        <v>3399.32</v>
      </c>
      <c r="M609">
        <v>13.4</v>
      </c>
      <c r="N609">
        <v>2023</v>
      </c>
      <c r="O609">
        <v>2</v>
      </c>
      <c r="P609" t="s">
        <v>63</v>
      </c>
      <c r="Q609">
        <v>525.86</v>
      </c>
      <c r="R609" t="s">
        <v>29</v>
      </c>
      <c r="S609">
        <v>6.4643060890731379</v>
      </c>
      <c r="T609" t="s">
        <v>78</v>
      </c>
    </row>
    <row r="610" spans="1:20" x14ac:dyDescent="0.25">
      <c r="A610" s="11">
        <v>45128</v>
      </c>
      <c r="B610" t="s">
        <v>51</v>
      </c>
      <c r="C610" t="s">
        <v>52</v>
      </c>
      <c r="D610" t="s">
        <v>44</v>
      </c>
      <c r="E610" t="s">
        <v>38</v>
      </c>
      <c r="F610">
        <v>544</v>
      </c>
      <c r="G610">
        <v>8.5299999999999994</v>
      </c>
      <c r="H610">
        <v>4640.32</v>
      </c>
      <c r="I610" t="s">
        <v>54</v>
      </c>
      <c r="J610" t="s">
        <v>47</v>
      </c>
      <c r="K610" t="s">
        <v>28</v>
      </c>
      <c r="L610">
        <v>4116.79</v>
      </c>
      <c r="M610">
        <v>11.3</v>
      </c>
      <c r="N610">
        <v>2025</v>
      </c>
      <c r="O610">
        <v>3</v>
      </c>
      <c r="P610" t="s">
        <v>60</v>
      </c>
      <c r="Q610">
        <v>523.53</v>
      </c>
      <c r="R610" t="s">
        <v>29</v>
      </c>
      <c r="S610">
        <v>7.8635226252554773</v>
      </c>
      <c r="T610" t="s">
        <v>78</v>
      </c>
    </row>
    <row r="611" spans="1:20" x14ac:dyDescent="0.25">
      <c r="A611" s="11">
        <v>45132</v>
      </c>
      <c r="B611" t="s">
        <v>35</v>
      </c>
      <c r="C611" t="s">
        <v>36</v>
      </c>
      <c r="D611" t="s">
        <v>53</v>
      </c>
      <c r="E611" t="s">
        <v>50</v>
      </c>
      <c r="F611">
        <v>327</v>
      </c>
      <c r="G611">
        <v>4.13</v>
      </c>
      <c r="H611">
        <v>1350.51</v>
      </c>
      <c r="I611" t="s">
        <v>55</v>
      </c>
      <c r="J611" t="s">
        <v>27</v>
      </c>
      <c r="K611" t="s">
        <v>23</v>
      </c>
      <c r="L611">
        <v>827.7</v>
      </c>
      <c r="M611">
        <v>38.700000000000003</v>
      </c>
      <c r="N611">
        <v>2025</v>
      </c>
      <c r="O611">
        <v>3</v>
      </c>
      <c r="P611" t="s">
        <v>67</v>
      </c>
      <c r="Q611">
        <v>522.80999999999995</v>
      </c>
      <c r="R611" t="s">
        <v>25</v>
      </c>
      <c r="S611">
        <v>1.5831755322201184</v>
      </c>
      <c r="T611" t="s">
        <v>78</v>
      </c>
    </row>
    <row r="612" spans="1:20" x14ac:dyDescent="0.25">
      <c r="A612" s="11">
        <v>45002</v>
      </c>
      <c r="B612" t="s">
        <v>51</v>
      </c>
      <c r="C612" t="s">
        <v>52</v>
      </c>
      <c r="D612" t="s">
        <v>37</v>
      </c>
      <c r="E612" t="s">
        <v>38</v>
      </c>
      <c r="F612">
        <v>610</v>
      </c>
      <c r="G612">
        <v>4.42</v>
      </c>
      <c r="H612">
        <v>2696.2</v>
      </c>
      <c r="I612" t="s">
        <v>46</v>
      </c>
      <c r="J612" t="s">
        <v>47</v>
      </c>
      <c r="K612" t="s">
        <v>41</v>
      </c>
      <c r="L612">
        <v>2173.85</v>
      </c>
      <c r="M612">
        <v>19.399999999999999</v>
      </c>
      <c r="N612">
        <v>2023</v>
      </c>
      <c r="O612">
        <v>1</v>
      </c>
      <c r="P612" t="s">
        <v>62</v>
      </c>
      <c r="Q612">
        <v>522.35</v>
      </c>
      <c r="R612" t="s">
        <v>29</v>
      </c>
      <c r="S612">
        <v>4.1616732076194118</v>
      </c>
      <c r="T612" t="s">
        <v>78</v>
      </c>
    </row>
    <row r="613" spans="1:20" x14ac:dyDescent="0.25">
      <c r="A613" s="11">
        <v>45069</v>
      </c>
      <c r="B613" t="s">
        <v>42</v>
      </c>
      <c r="C613" t="s">
        <v>43</v>
      </c>
      <c r="D613" t="s">
        <v>49</v>
      </c>
      <c r="E613" t="s">
        <v>50</v>
      </c>
      <c r="F613">
        <v>544</v>
      </c>
      <c r="G613">
        <v>8.68</v>
      </c>
      <c r="H613">
        <v>4721.92</v>
      </c>
      <c r="I613" t="s">
        <v>21</v>
      </c>
      <c r="J613" t="s">
        <v>27</v>
      </c>
      <c r="K613" t="s">
        <v>23</v>
      </c>
      <c r="L613">
        <v>4199.79</v>
      </c>
      <c r="M613">
        <v>11.1</v>
      </c>
      <c r="N613">
        <v>2023</v>
      </c>
      <c r="O613">
        <v>2</v>
      </c>
      <c r="P613" t="s">
        <v>66</v>
      </c>
      <c r="Q613">
        <v>522.13</v>
      </c>
      <c r="R613" t="s">
        <v>29</v>
      </c>
      <c r="S613">
        <v>8.0435715243330197</v>
      </c>
      <c r="T613" t="s">
        <v>78</v>
      </c>
    </row>
    <row r="614" spans="1:20" x14ac:dyDescent="0.25">
      <c r="A614" s="11">
        <v>45096</v>
      </c>
      <c r="B614" t="s">
        <v>58</v>
      </c>
      <c r="C614" t="s">
        <v>59</v>
      </c>
      <c r="D614" t="s">
        <v>48</v>
      </c>
      <c r="E614" t="s">
        <v>38</v>
      </c>
      <c r="F614">
        <v>744</v>
      </c>
      <c r="G614">
        <v>2.5</v>
      </c>
      <c r="H614">
        <v>1860</v>
      </c>
      <c r="I614" t="s">
        <v>21</v>
      </c>
      <c r="J614" t="s">
        <v>56</v>
      </c>
      <c r="K614" t="s">
        <v>41</v>
      </c>
      <c r="L614">
        <v>1339.55</v>
      </c>
      <c r="M614">
        <v>28</v>
      </c>
      <c r="N614">
        <v>2023</v>
      </c>
      <c r="O614">
        <v>2</v>
      </c>
      <c r="P614" t="s">
        <v>70</v>
      </c>
      <c r="Q614">
        <v>520.45000000000005</v>
      </c>
      <c r="R614" t="s">
        <v>25</v>
      </c>
      <c r="S614">
        <v>2.5738303391295991</v>
      </c>
      <c r="T614" t="s">
        <v>78</v>
      </c>
    </row>
    <row r="615" spans="1:20" x14ac:dyDescent="0.25">
      <c r="A615" s="11">
        <v>44935</v>
      </c>
      <c r="B615" t="s">
        <v>17</v>
      </c>
      <c r="C615" t="s">
        <v>18</v>
      </c>
      <c r="D615" t="s">
        <v>45</v>
      </c>
      <c r="E615" t="s">
        <v>20</v>
      </c>
      <c r="F615">
        <v>706</v>
      </c>
      <c r="G615">
        <v>5.01</v>
      </c>
      <c r="H615">
        <v>3537.06</v>
      </c>
      <c r="I615" t="s">
        <v>54</v>
      </c>
      <c r="J615" t="s">
        <v>34</v>
      </c>
      <c r="K615" t="s">
        <v>41</v>
      </c>
      <c r="L615">
        <v>3018.46</v>
      </c>
      <c r="M615">
        <v>14.7</v>
      </c>
      <c r="N615">
        <v>2023</v>
      </c>
      <c r="O615">
        <v>1</v>
      </c>
      <c r="P615" t="s">
        <v>24</v>
      </c>
      <c r="Q615">
        <v>518.6</v>
      </c>
      <c r="R615" t="s">
        <v>29</v>
      </c>
      <c r="S615">
        <v>5.8204010798303125</v>
      </c>
      <c r="T615" t="s">
        <v>78</v>
      </c>
    </row>
    <row r="616" spans="1:20" x14ac:dyDescent="0.25">
      <c r="A616" s="11">
        <v>44969</v>
      </c>
      <c r="B616" t="s">
        <v>35</v>
      </c>
      <c r="C616" t="s">
        <v>36</v>
      </c>
      <c r="D616" t="s">
        <v>48</v>
      </c>
      <c r="E616" t="s">
        <v>38</v>
      </c>
      <c r="F616">
        <v>388</v>
      </c>
      <c r="G616">
        <v>10.220000000000001</v>
      </c>
      <c r="H616">
        <v>3965.36</v>
      </c>
      <c r="I616" t="s">
        <v>55</v>
      </c>
      <c r="J616" t="s">
        <v>56</v>
      </c>
      <c r="K616" t="s">
        <v>28</v>
      </c>
      <c r="L616">
        <v>3446.96</v>
      </c>
      <c r="M616">
        <v>13.1</v>
      </c>
      <c r="N616">
        <v>2023</v>
      </c>
      <c r="O616">
        <v>1</v>
      </c>
      <c r="P616" t="s">
        <v>60</v>
      </c>
      <c r="Q616">
        <v>518.4</v>
      </c>
      <c r="R616" t="s">
        <v>29</v>
      </c>
      <c r="S616">
        <v>6.649228395061729</v>
      </c>
      <c r="T616" t="s">
        <v>78</v>
      </c>
    </row>
    <row r="617" spans="1:20" x14ac:dyDescent="0.25">
      <c r="A617" s="11">
        <v>44948</v>
      </c>
      <c r="B617" t="s">
        <v>35</v>
      </c>
      <c r="C617" t="s">
        <v>36</v>
      </c>
      <c r="D617" t="s">
        <v>53</v>
      </c>
      <c r="E617" t="s">
        <v>50</v>
      </c>
      <c r="F617">
        <v>427</v>
      </c>
      <c r="G617">
        <v>5.54</v>
      </c>
      <c r="H617">
        <v>2365.58</v>
      </c>
      <c r="I617" t="s">
        <v>54</v>
      </c>
      <c r="J617" t="s">
        <v>40</v>
      </c>
      <c r="K617" t="s">
        <v>41</v>
      </c>
      <c r="L617">
        <v>1849.13</v>
      </c>
      <c r="M617">
        <v>21.8</v>
      </c>
      <c r="N617">
        <v>2023</v>
      </c>
      <c r="O617">
        <v>1</v>
      </c>
      <c r="P617" t="s">
        <v>24</v>
      </c>
      <c r="Q617">
        <v>516.45000000000005</v>
      </c>
      <c r="R617" t="s">
        <v>29</v>
      </c>
      <c r="S617">
        <v>3.5804627747119757</v>
      </c>
      <c r="T617" t="s">
        <v>78</v>
      </c>
    </row>
    <row r="618" spans="1:20" x14ac:dyDescent="0.25">
      <c r="A618" s="11">
        <v>45051</v>
      </c>
      <c r="B618" t="s">
        <v>58</v>
      </c>
      <c r="C618" t="s">
        <v>59</v>
      </c>
      <c r="D618" t="s">
        <v>19</v>
      </c>
      <c r="E618" t="s">
        <v>20</v>
      </c>
      <c r="F618">
        <v>326</v>
      </c>
      <c r="G618">
        <v>9.8699999999999992</v>
      </c>
      <c r="H618">
        <v>3217.62</v>
      </c>
      <c r="I618" t="s">
        <v>54</v>
      </c>
      <c r="J618" t="s">
        <v>22</v>
      </c>
      <c r="K618" t="s">
        <v>23</v>
      </c>
      <c r="L618">
        <v>2702.87</v>
      </c>
      <c r="M618">
        <v>16</v>
      </c>
      <c r="N618">
        <v>2023</v>
      </c>
      <c r="O618">
        <v>2</v>
      </c>
      <c r="P618" t="s">
        <v>64</v>
      </c>
      <c r="Q618">
        <v>514.75</v>
      </c>
      <c r="R618" t="s">
        <v>29</v>
      </c>
      <c r="S618">
        <v>5.2508402136959687</v>
      </c>
      <c r="T618" t="s">
        <v>78</v>
      </c>
    </row>
    <row r="619" spans="1:20" x14ac:dyDescent="0.25">
      <c r="A619" s="11">
        <v>45061</v>
      </c>
      <c r="B619" t="s">
        <v>58</v>
      </c>
      <c r="C619" t="s">
        <v>59</v>
      </c>
      <c r="D619" t="s">
        <v>44</v>
      </c>
      <c r="E619" t="s">
        <v>38</v>
      </c>
      <c r="F619">
        <v>854</v>
      </c>
      <c r="G619">
        <v>3.77</v>
      </c>
      <c r="H619">
        <v>3219.58</v>
      </c>
      <c r="I619" t="s">
        <v>57</v>
      </c>
      <c r="J619" t="s">
        <v>40</v>
      </c>
      <c r="K619" t="s">
        <v>23</v>
      </c>
      <c r="L619">
        <v>2705.8</v>
      </c>
      <c r="M619">
        <v>16</v>
      </c>
      <c r="N619">
        <v>2023</v>
      </c>
      <c r="O619">
        <v>2</v>
      </c>
      <c r="P619" t="s">
        <v>65</v>
      </c>
      <c r="Q619">
        <v>513.78</v>
      </c>
      <c r="R619" t="s">
        <v>29</v>
      </c>
      <c r="S619">
        <v>5.2664564599634094</v>
      </c>
      <c r="T619" t="s">
        <v>78</v>
      </c>
    </row>
    <row r="620" spans="1:20" x14ac:dyDescent="0.25">
      <c r="A620" s="11">
        <v>45109</v>
      </c>
      <c r="B620" t="s">
        <v>42</v>
      </c>
      <c r="C620" t="s">
        <v>43</v>
      </c>
      <c r="D620" t="s">
        <v>37</v>
      </c>
      <c r="E620" t="s">
        <v>38</v>
      </c>
      <c r="F620">
        <v>387</v>
      </c>
      <c r="G620">
        <v>5.07</v>
      </c>
      <c r="H620">
        <v>1962.09</v>
      </c>
      <c r="I620" t="s">
        <v>54</v>
      </c>
      <c r="J620" t="s">
        <v>34</v>
      </c>
      <c r="K620" t="s">
        <v>23</v>
      </c>
      <c r="L620">
        <v>1449.52</v>
      </c>
      <c r="M620">
        <v>26.1</v>
      </c>
      <c r="N620">
        <v>2024</v>
      </c>
      <c r="O620">
        <v>3</v>
      </c>
      <c r="P620" t="s">
        <v>61</v>
      </c>
      <c r="Q620">
        <v>512.57000000000005</v>
      </c>
      <c r="R620" t="s">
        <v>25</v>
      </c>
      <c r="S620">
        <v>2.8279454513529858</v>
      </c>
      <c r="T620" t="s">
        <v>78</v>
      </c>
    </row>
    <row r="621" spans="1:20" x14ac:dyDescent="0.25">
      <c r="A621" s="11">
        <v>45080</v>
      </c>
      <c r="B621" t="s">
        <v>30</v>
      </c>
      <c r="C621" t="s">
        <v>31</v>
      </c>
      <c r="D621" t="s">
        <v>45</v>
      </c>
      <c r="E621" t="s">
        <v>20</v>
      </c>
      <c r="F621">
        <v>341</v>
      </c>
      <c r="G621">
        <v>4.12</v>
      </c>
      <c r="H621">
        <v>1404.92</v>
      </c>
      <c r="I621" t="s">
        <v>57</v>
      </c>
      <c r="J621" t="s">
        <v>40</v>
      </c>
      <c r="K621" t="s">
        <v>41</v>
      </c>
      <c r="L621">
        <v>893.56</v>
      </c>
      <c r="M621">
        <v>36.4</v>
      </c>
      <c r="N621">
        <v>2023</v>
      </c>
      <c r="O621">
        <v>2</v>
      </c>
      <c r="P621" t="s">
        <v>68</v>
      </c>
      <c r="Q621">
        <v>511.36</v>
      </c>
      <c r="R621" t="s">
        <v>25</v>
      </c>
      <c r="S621">
        <v>1.7474186483103877</v>
      </c>
      <c r="T621" t="s">
        <v>78</v>
      </c>
    </row>
    <row r="622" spans="1:20" x14ac:dyDescent="0.25">
      <c r="A622" s="11">
        <v>45004</v>
      </c>
      <c r="B622" t="s">
        <v>17</v>
      </c>
      <c r="C622" t="s">
        <v>18</v>
      </c>
      <c r="D622" t="s">
        <v>19</v>
      </c>
      <c r="E622" t="s">
        <v>20</v>
      </c>
      <c r="F622">
        <v>431</v>
      </c>
      <c r="G622">
        <v>5.74</v>
      </c>
      <c r="H622">
        <v>2473.94</v>
      </c>
      <c r="I622" t="s">
        <v>21</v>
      </c>
      <c r="J622" t="s">
        <v>40</v>
      </c>
      <c r="K622" t="s">
        <v>28</v>
      </c>
      <c r="L622">
        <v>1964.13</v>
      </c>
      <c r="M622">
        <v>20.6</v>
      </c>
      <c r="N622">
        <v>2023</v>
      </c>
      <c r="O622">
        <v>1</v>
      </c>
      <c r="P622" t="s">
        <v>62</v>
      </c>
      <c r="Q622">
        <v>509.81</v>
      </c>
      <c r="R622" t="s">
        <v>29</v>
      </c>
      <c r="S622">
        <v>3.8526706027735824</v>
      </c>
      <c r="T622" t="s">
        <v>78</v>
      </c>
    </row>
    <row r="623" spans="1:20" x14ac:dyDescent="0.25">
      <c r="A623" s="11">
        <v>45053</v>
      </c>
      <c r="B623" t="s">
        <v>17</v>
      </c>
      <c r="C623" t="s">
        <v>18</v>
      </c>
      <c r="D623" t="s">
        <v>49</v>
      </c>
      <c r="E623" t="s">
        <v>50</v>
      </c>
      <c r="F623">
        <v>416</v>
      </c>
      <c r="G623">
        <v>10.61</v>
      </c>
      <c r="H623">
        <v>4413.76</v>
      </c>
      <c r="I623" t="s">
        <v>21</v>
      </c>
      <c r="J623" t="s">
        <v>34</v>
      </c>
      <c r="K623" t="s">
        <v>23</v>
      </c>
      <c r="L623">
        <v>3904.27</v>
      </c>
      <c r="M623">
        <v>11.5</v>
      </c>
      <c r="N623">
        <v>2023</v>
      </c>
      <c r="O623">
        <v>2</v>
      </c>
      <c r="P623" t="s">
        <v>65</v>
      </c>
      <c r="Q623">
        <v>509.49</v>
      </c>
      <c r="R623" t="s">
        <v>29</v>
      </c>
      <c r="S623">
        <v>7.6630944670160357</v>
      </c>
      <c r="T623" t="s">
        <v>78</v>
      </c>
    </row>
    <row r="624" spans="1:20" x14ac:dyDescent="0.25">
      <c r="A624" s="11">
        <v>45086</v>
      </c>
      <c r="B624" t="s">
        <v>30</v>
      </c>
      <c r="C624" t="s">
        <v>31</v>
      </c>
      <c r="D624" t="s">
        <v>48</v>
      </c>
      <c r="E624" t="s">
        <v>38</v>
      </c>
      <c r="F624">
        <v>510</v>
      </c>
      <c r="G624">
        <v>6.97</v>
      </c>
      <c r="H624">
        <v>3554.7</v>
      </c>
      <c r="I624" t="s">
        <v>57</v>
      </c>
      <c r="J624" t="s">
        <v>34</v>
      </c>
      <c r="K624" t="s">
        <v>41</v>
      </c>
      <c r="L624">
        <v>3045.53</v>
      </c>
      <c r="M624">
        <v>14.3</v>
      </c>
      <c r="N624">
        <v>2023</v>
      </c>
      <c r="O624">
        <v>2</v>
      </c>
      <c r="P624" t="s">
        <v>69</v>
      </c>
      <c r="Q624">
        <v>509.17</v>
      </c>
      <c r="R624" t="s">
        <v>29</v>
      </c>
      <c r="S624">
        <v>5.9813618241451776</v>
      </c>
      <c r="T624" t="s">
        <v>78</v>
      </c>
    </row>
    <row r="625" spans="1:20" x14ac:dyDescent="0.25">
      <c r="A625" s="11">
        <v>45009</v>
      </c>
      <c r="B625" t="s">
        <v>51</v>
      </c>
      <c r="C625" t="s">
        <v>52</v>
      </c>
      <c r="D625" t="s">
        <v>45</v>
      </c>
      <c r="E625" t="s">
        <v>20</v>
      </c>
      <c r="F625">
        <v>263</v>
      </c>
      <c r="G625">
        <v>6.02</v>
      </c>
      <c r="H625">
        <v>1583.26</v>
      </c>
      <c r="I625" t="s">
        <v>39</v>
      </c>
      <c r="J625" t="s">
        <v>34</v>
      </c>
      <c r="K625" t="s">
        <v>41</v>
      </c>
      <c r="L625">
        <v>1078.06</v>
      </c>
      <c r="M625">
        <v>31.9</v>
      </c>
      <c r="N625">
        <v>2023</v>
      </c>
      <c r="O625">
        <v>1</v>
      </c>
      <c r="P625" t="s">
        <v>62</v>
      </c>
      <c r="Q625">
        <v>505.2</v>
      </c>
      <c r="R625" t="s">
        <v>25</v>
      </c>
      <c r="S625">
        <v>2.1339271575613616</v>
      </c>
      <c r="T625" t="s">
        <v>78</v>
      </c>
    </row>
    <row r="626" spans="1:20" x14ac:dyDescent="0.25">
      <c r="A626" s="11">
        <v>45093</v>
      </c>
      <c r="B626" t="s">
        <v>51</v>
      </c>
      <c r="C626" t="s">
        <v>52</v>
      </c>
      <c r="D626" t="s">
        <v>48</v>
      </c>
      <c r="E626" t="s">
        <v>38</v>
      </c>
      <c r="F626">
        <v>235</v>
      </c>
      <c r="G626">
        <v>10.56</v>
      </c>
      <c r="H626">
        <v>2481.6</v>
      </c>
      <c r="I626" t="s">
        <v>54</v>
      </c>
      <c r="J626" t="s">
        <v>27</v>
      </c>
      <c r="K626" t="s">
        <v>41</v>
      </c>
      <c r="L626">
        <v>1976.44</v>
      </c>
      <c r="M626">
        <v>20.399999999999999</v>
      </c>
      <c r="N626">
        <v>2023</v>
      </c>
      <c r="O626">
        <v>2</v>
      </c>
      <c r="P626" t="s">
        <v>70</v>
      </c>
      <c r="Q626">
        <v>505.16</v>
      </c>
      <c r="R626" t="s">
        <v>29</v>
      </c>
      <c r="S626">
        <v>3.9125029693562436</v>
      </c>
      <c r="T626" t="s">
        <v>78</v>
      </c>
    </row>
    <row r="627" spans="1:20" x14ac:dyDescent="0.25">
      <c r="A627" s="11">
        <v>44939</v>
      </c>
      <c r="B627" t="s">
        <v>30</v>
      </c>
      <c r="C627" t="s">
        <v>31</v>
      </c>
      <c r="D627" t="s">
        <v>44</v>
      </c>
      <c r="E627" t="s">
        <v>38</v>
      </c>
      <c r="F627">
        <v>441</v>
      </c>
      <c r="G627">
        <v>5.78</v>
      </c>
      <c r="H627">
        <v>2548.98</v>
      </c>
      <c r="I627" t="s">
        <v>21</v>
      </c>
      <c r="J627" t="s">
        <v>27</v>
      </c>
      <c r="K627" t="s">
        <v>28</v>
      </c>
      <c r="L627">
        <v>2044.12</v>
      </c>
      <c r="M627">
        <v>19.8</v>
      </c>
      <c r="N627">
        <v>2023</v>
      </c>
      <c r="O627">
        <v>1</v>
      </c>
      <c r="P627" t="s">
        <v>24</v>
      </c>
      <c r="Q627">
        <v>504.86</v>
      </c>
      <c r="R627" t="s">
        <v>29</v>
      </c>
      <c r="S627">
        <v>4.0488848393614072</v>
      </c>
      <c r="T627" t="s">
        <v>78</v>
      </c>
    </row>
    <row r="628" spans="1:20" x14ac:dyDescent="0.25">
      <c r="A628" s="11">
        <v>44938</v>
      </c>
      <c r="B628" t="s">
        <v>51</v>
      </c>
      <c r="C628" t="s">
        <v>52</v>
      </c>
      <c r="D628" t="s">
        <v>44</v>
      </c>
      <c r="E628" t="s">
        <v>38</v>
      </c>
      <c r="F628">
        <v>181</v>
      </c>
      <c r="G628">
        <v>10.82</v>
      </c>
      <c r="H628">
        <v>1958.42</v>
      </c>
      <c r="I628" t="s">
        <v>26</v>
      </c>
      <c r="J628" t="s">
        <v>40</v>
      </c>
      <c r="K628" t="s">
        <v>28</v>
      </c>
      <c r="L628">
        <v>1454.83</v>
      </c>
      <c r="M628">
        <v>25.7</v>
      </c>
      <c r="N628">
        <v>2023</v>
      </c>
      <c r="O628">
        <v>1</v>
      </c>
      <c r="P628" t="s">
        <v>24</v>
      </c>
      <c r="Q628">
        <v>503.59</v>
      </c>
      <c r="R628" t="s">
        <v>25</v>
      </c>
      <c r="S628">
        <v>2.8889175718342304</v>
      </c>
      <c r="T628" t="s">
        <v>78</v>
      </c>
    </row>
    <row r="629" spans="1:20" x14ac:dyDescent="0.25">
      <c r="A629" s="11">
        <v>45091</v>
      </c>
      <c r="B629" t="s">
        <v>35</v>
      </c>
      <c r="C629" t="s">
        <v>36</v>
      </c>
      <c r="D629" t="s">
        <v>37</v>
      </c>
      <c r="E629" t="s">
        <v>38</v>
      </c>
      <c r="F629">
        <v>330</v>
      </c>
      <c r="G629">
        <v>7.22</v>
      </c>
      <c r="H629">
        <v>2382.6</v>
      </c>
      <c r="I629" t="s">
        <v>55</v>
      </c>
      <c r="J629" t="s">
        <v>40</v>
      </c>
      <c r="K629" t="s">
        <v>28</v>
      </c>
      <c r="L629">
        <v>1880.05</v>
      </c>
      <c r="M629">
        <v>21.1</v>
      </c>
      <c r="N629">
        <v>2023</v>
      </c>
      <c r="O629">
        <v>2</v>
      </c>
      <c r="P629" t="s">
        <v>70</v>
      </c>
      <c r="Q629">
        <v>502.55</v>
      </c>
      <c r="R629" t="s">
        <v>29</v>
      </c>
      <c r="S629">
        <v>3.7410207939508506</v>
      </c>
      <c r="T629" t="s">
        <v>78</v>
      </c>
    </row>
    <row r="630" spans="1:20" x14ac:dyDescent="0.25">
      <c r="A630" s="11">
        <v>44933</v>
      </c>
      <c r="B630" t="s">
        <v>30</v>
      </c>
      <c r="C630" t="s">
        <v>31</v>
      </c>
      <c r="D630" t="s">
        <v>19</v>
      </c>
      <c r="E630" t="s">
        <v>20</v>
      </c>
      <c r="F630">
        <v>168</v>
      </c>
      <c r="G630">
        <v>11.15</v>
      </c>
      <c r="H630">
        <v>1873.2</v>
      </c>
      <c r="I630" t="s">
        <v>33</v>
      </c>
      <c r="J630" t="s">
        <v>22</v>
      </c>
      <c r="K630" t="s">
        <v>23</v>
      </c>
      <c r="L630">
        <v>1371.44</v>
      </c>
      <c r="M630">
        <v>26.8</v>
      </c>
      <c r="N630">
        <v>2023</v>
      </c>
      <c r="O630">
        <v>1</v>
      </c>
      <c r="P630" t="s">
        <v>24</v>
      </c>
      <c r="Q630">
        <v>501.76</v>
      </c>
      <c r="R630" t="s">
        <v>25</v>
      </c>
      <c r="S630">
        <v>2.7332589285714288</v>
      </c>
      <c r="T630" t="s">
        <v>78</v>
      </c>
    </row>
    <row r="631" spans="1:20" x14ac:dyDescent="0.25">
      <c r="A631" s="11">
        <v>44927</v>
      </c>
      <c r="B631" t="s">
        <v>17</v>
      </c>
      <c r="C631" t="s">
        <v>18</v>
      </c>
      <c r="D631" t="s">
        <v>19</v>
      </c>
      <c r="E631" t="s">
        <v>20</v>
      </c>
      <c r="F631">
        <v>572</v>
      </c>
      <c r="G631">
        <v>8.4499999999999993</v>
      </c>
      <c r="H631">
        <v>4833.3999999999996</v>
      </c>
      <c r="I631" t="s">
        <v>26</v>
      </c>
      <c r="J631" t="s">
        <v>27</v>
      </c>
      <c r="K631" t="s">
        <v>28</v>
      </c>
      <c r="L631">
        <v>4338.91</v>
      </c>
      <c r="M631">
        <v>10.199999999999999</v>
      </c>
      <c r="N631">
        <v>2023</v>
      </c>
      <c r="O631">
        <v>1</v>
      </c>
      <c r="P631" t="s">
        <v>24</v>
      </c>
      <c r="Q631">
        <v>494.49</v>
      </c>
      <c r="R631" t="s">
        <v>29</v>
      </c>
      <c r="S631">
        <v>8.7745151570304749</v>
      </c>
      <c r="T631" t="s">
        <v>78</v>
      </c>
    </row>
    <row r="632" spans="1:20" x14ac:dyDescent="0.25">
      <c r="A632" s="11">
        <v>45030</v>
      </c>
      <c r="B632" t="s">
        <v>42</v>
      </c>
      <c r="C632" t="s">
        <v>43</v>
      </c>
      <c r="D632" t="s">
        <v>48</v>
      </c>
      <c r="E632" t="s">
        <v>38</v>
      </c>
      <c r="F632">
        <v>688</v>
      </c>
      <c r="G632">
        <v>4.59</v>
      </c>
      <c r="H632">
        <v>3157.92</v>
      </c>
      <c r="I632" t="s">
        <v>26</v>
      </c>
      <c r="J632" t="s">
        <v>34</v>
      </c>
      <c r="K632" t="s">
        <v>23</v>
      </c>
      <c r="L632">
        <v>2664.12</v>
      </c>
      <c r="M632">
        <v>15.6</v>
      </c>
      <c r="N632">
        <v>2023</v>
      </c>
      <c r="O632">
        <v>2</v>
      </c>
      <c r="P632" t="s">
        <v>63</v>
      </c>
      <c r="Q632">
        <v>493.8</v>
      </c>
      <c r="R632" t="s">
        <v>29</v>
      </c>
      <c r="S632">
        <v>5.3951397326852977</v>
      </c>
      <c r="T632" t="s">
        <v>78</v>
      </c>
    </row>
    <row r="633" spans="1:20" x14ac:dyDescent="0.25">
      <c r="A633" s="11">
        <v>45054</v>
      </c>
      <c r="B633" t="s">
        <v>42</v>
      </c>
      <c r="C633" t="s">
        <v>43</v>
      </c>
      <c r="D633" t="s">
        <v>45</v>
      </c>
      <c r="E633" t="s">
        <v>20</v>
      </c>
      <c r="F633">
        <v>445</v>
      </c>
      <c r="G633">
        <v>9.68</v>
      </c>
      <c r="H633">
        <v>4307.6000000000004</v>
      </c>
      <c r="I633" t="s">
        <v>39</v>
      </c>
      <c r="J633" t="s">
        <v>47</v>
      </c>
      <c r="K633" t="s">
        <v>23</v>
      </c>
      <c r="L633">
        <v>3814.6</v>
      </c>
      <c r="M633">
        <v>11.4</v>
      </c>
      <c r="N633">
        <v>2023</v>
      </c>
      <c r="O633">
        <v>2</v>
      </c>
      <c r="P633" t="s">
        <v>65</v>
      </c>
      <c r="Q633">
        <v>493</v>
      </c>
      <c r="R633" t="s">
        <v>29</v>
      </c>
      <c r="S633">
        <v>7.7375253549695735</v>
      </c>
      <c r="T633" t="s">
        <v>78</v>
      </c>
    </row>
    <row r="634" spans="1:20" x14ac:dyDescent="0.25">
      <c r="A634" s="11">
        <v>45116</v>
      </c>
      <c r="B634" t="s">
        <v>42</v>
      </c>
      <c r="C634" t="s">
        <v>43</v>
      </c>
      <c r="D634" t="s">
        <v>48</v>
      </c>
      <c r="E634" t="s">
        <v>38</v>
      </c>
      <c r="F634">
        <v>270</v>
      </c>
      <c r="G634">
        <v>4.92</v>
      </c>
      <c r="H634">
        <v>1328.4</v>
      </c>
      <c r="I634" t="s">
        <v>21</v>
      </c>
      <c r="J634" t="s">
        <v>56</v>
      </c>
      <c r="K634" t="s">
        <v>41</v>
      </c>
      <c r="L634">
        <v>836.92</v>
      </c>
      <c r="M634">
        <v>37</v>
      </c>
      <c r="N634">
        <v>2024</v>
      </c>
      <c r="O634">
        <v>3</v>
      </c>
      <c r="P634" t="s">
        <v>63</v>
      </c>
      <c r="Q634">
        <v>491.48</v>
      </c>
      <c r="R634" t="s">
        <v>25</v>
      </c>
      <c r="S634">
        <v>1.7028566777895335</v>
      </c>
      <c r="T634" t="s">
        <v>78</v>
      </c>
    </row>
    <row r="635" spans="1:20" x14ac:dyDescent="0.25">
      <c r="A635" s="11">
        <v>44948</v>
      </c>
      <c r="B635" t="s">
        <v>35</v>
      </c>
      <c r="C635" t="s">
        <v>36</v>
      </c>
      <c r="D635" t="s">
        <v>49</v>
      </c>
      <c r="E635" t="s">
        <v>50</v>
      </c>
      <c r="F635">
        <v>612</v>
      </c>
      <c r="G635">
        <v>5.36</v>
      </c>
      <c r="H635">
        <v>3280.32</v>
      </c>
      <c r="I635" t="s">
        <v>54</v>
      </c>
      <c r="J635" t="s">
        <v>47</v>
      </c>
      <c r="K635" t="s">
        <v>23</v>
      </c>
      <c r="L635">
        <v>2789.92</v>
      </c>
      <c r="M635">
        <v>14.9</v>
      </c>
      <c r="N635">
        <v>2023</v>
      </c>
      <c r="O635">
        <v>1</v>
      </c>
      <c r="P635" t="s">
        <v>24</v>
      </c>
      <c r="Q635">
        <v>490.4</v>
      </c>
      <c r="R635" t="s">
        <v>29</v>
      </c>
      <c r="S635">
        <v>5.6890701468189233</v>
      </c>
      <c r="T635" t="s">
        <v>78</v>
      </c>
    </row>
    <row r="636" spans="1:20" x14ac:dyDescent="0.25">
      <c r="A636" s="11">
        <v>45069</v>
      </c>
      <c r="B636" t="s">
        <v>17</v>
      </c>
      <c r="C636" t="s">
        <v>18</v>
      </c>
      <c r="D636" t="s">
        <v>19</v>
      </c>
      <c r="E636" t="s">
        <v>20</v>
      </c>
      <c r="F636">
        <v>279</v>
      </c>
      <c r="G636">
        <v>5.39</v>
      </c>
      <c r="H636">
        <v>1503.81</v>
      </c>
      <c r="I636" t="s">
        <v>39</v>
      </c>
      <c r="J636" t="s">
        <v>40</v>
      </c>
      <c r="K636" t="s">
        <v>28</v>
      </c>
      <c r="L636">
        <v>1014.58</v>
      </c>
      <c r="M636">
        <v>32.5</v>
      </c>
      <c r="N636">
        <v>2023</v>
      </c>
      <c r="O636">
        <v>2</v>
      </c>
      <c r="P636" t="s">
        <v>66</v>
      </c>
      <c r="Q636">
        <v>489.23</v>
      </c>
      <c r="R636" t="s">
        <v>25</v>
      </c>
      <c r="S636">
        <v>2.07383030476463</v>
      </c>
      <c r="T636" t="s">
        <v>78</v>
      </c>
    </row>
    <row r="637" spans="1:20" x14ac:dyDescent="0.25">
      <c r="A637" s="11">
        <v>45090</v>
      </c>
      <c r="B637" t="s">
        <v>58</v>
      </c>
      <c r="C637" t="s">
        <v>59</v>
      </c>
      <c r="D637" t="s">
        <v>44</v>
      </c>
      <c r="E637" t="s">
        <v>38</v>
      </c>
      <c r="F637">
        <v>533</v>
      </c>
      <c r="G637">
        <v>8.99</v>
      </c>
      <c r="H637">
        <v>4791.67</v>
      </c>
      <c r="I637" t="s">
        <v>55</v>
      </c>
      <c r="J637" t="s">
        <v>47</v>
      </c>
      <c r="K637" t="s">
        <v>23</v>
      </c>
      <c r="L637">
        <v>4303.45</v>
      </c>
      <c r="M637">
        <v>10.199999999999999</v>
      </c>
      <c r="N637">
        <v>2023</v>
      </c>
      <c r="O637">
        <v>2</v>
      </c>
      <c r="P637" t="s">
        <v>69</v>
      </c>
      <c r="Q637">
        <v>488.22</v>
      </c>
      <c r="R637" t="s">
        <v>29</v>
      </c>
      <c r="S637">
        <v>8.8145712998238483</v>
      </c>
      <c r="T637" t="s">
        <v>78</v>
      </c>
    </row>
    <row r="638" spans="1:20" x14ac:dyDescent="0.25">
      <c r="A638" s="11">
        <v>44987</v>
      </c>
      <c r="B638" t="s">
        <v>51</v>
      </c>
      <c r="C638" t="s">
        <v>52</v>
      </c>
      <c r="D638" t="s">
        <v>32</v>
      </c>
      <c r="E638" t="s">
        <v>20</v>
      </c>
      <c r="F638">
        <v>230</v>
      </c>
      <c r="G638">
        <v>6.51</v>
      </c>
      <c r="H638">
        <v>1497.3</v>
      </c>
      <c r="I638" t="s">
        <v>39</v>
      </c>
      <c r="J638" t="s">
        <v>56</v>
      </c>
      <c r="K638" t="s">
        <v>28</v>
      </c>
      <c r="L638">
        <v>1011.37</v>
      </c>
      <c r="M638">
        <v>32.5</v>
      </c>
      <c r="N638">
        <v>2023</v>
      </c>
      <c r="O638">
        <v>1</v>
      </c>
      <c r="P638" t="s">
        <v>61</v>
      </c>
      <c r="Q638">
        <v>485.93</v>
      </c>
      <c r="R638" t="s">
        <v>25</v>
      </c>
      <c r="S638">
        <v>2.0813080073261583</v>
      </c>
      <c r="T638" t="s">
        <v>78</v>
      </c>
    </row>
    <row r="639" spans="1:20" x14ac:dyDescent="0.25">
      <c r="A639" s="11">
        <v>45099</v>
      </c>
      <c r="B639" t="s">
        <v>42</v>
      </c>
      <c r="C639" t="s">
        <v>43</v>
      </c>
      <c r="D639" t="s">
        <v>53</v>
      </c>
      <c r="E639" t="s">
        <v>50</v>
      </c>
      <c r="F639">
        <v>281</v>
      </c>
      <c r="G639">
        <v>8.26</v>
      </c>
      <c r="H639">
        <v>2321.06</v>
      </c>
      <c r="I639" t="s">
        <v>21</v>
      </c>
      <c r="J639" t="s">
        <v>22</v>
      </c>
      <c r="K639" t="s">
        <v>41</v>
      </c>
      <c r="L639">
        <v>1835.14</v>
      </c>
      <c r="M639">
        <v>20.9</v>
      </c>
      <c r="N639">
        <v>2024</v>
      </c>
      <c r="O639">
        <v>2</v>
      </c>
      <c r="P639" t="s">
        <v>24</v>
      </c>
      <c r="Q639">
        <v>485.92</v>
      </c>
      <c r="R639" t="s">
        <v>29</v>
      </c>
      <c r="S639">
        <v>3.7766298979255843</v>
      </c>
      <c r="T639" t="s">
        <v>78</v>
      </c>
    </row>
    <row r="640" spans="1:20" x14ac:dyDescent="0.25">
      <c r="A640" s="11">
        <v>45082</v>
      </c>
      <c r="B640" t="s">
        <v>42</v>
      </c>
      <c r="C640" t="s">
        <v>43</v>
      </c>
      <c r="D640" t="s">
        <v>49</v>
      </c>
      <c r="E640" t="s">
        <v>50</v>
      </c>
      <c r="F640">
        <v>319</v>
      </c>
      <c r="G640">
        <v>6.88</v>
      </c>
      <c r="H640">
        <v>2194.7199999999998</v>
      </c>
      <c r="I640" t="s">
        <v>39</v>
      </c>
      <c r="J640" t="s">
        <v>22</v>
      </c>
      <c r="K640" t="s">
        <v>41</v>
      </c>
      <c r="L640">
        <v>1709.19</v>
      </c>
      <c r="M640">
        <v>22.1</v>
      </c>
      <c r="N640">
        <v>2023</v>
      </c>
      <c r="O640">
        <v>2</v>
      </c>
      <c r="P640" t="s">
        <v>68</v>
      </c>
      <c r="Q640">
        <v>485.53</v>
      </c>
      <c r="R640" t="s">
        <v>29</v>
      </c>
      <c r="S640">
        <v>3.5202562148579903</v>
      </c>
      <c r="T640" t="s">
        <v>78</v>
      </c>
    </row>
    <row r="641" spans="1:20" x14ac:dyDescent="0.25">
      <c r="A641" s="11">
        <v>44963</v>
      </c>
      <c r="B641" t="s">
        <v>51</v>
      </c>
      <c r="C641" t="s">
        <v>52</v>
      </c>
      <c r="D641" t="s">
        <v>45</v>
      </c>
      <c r="E641" t="s">
        <v>20</v>
      </c>
      <c r="F641">
        <v>226</v>
      </c>
      <c r="G641">
        <v>6.91</v>
      </c>
      <c r="H641">
        <v>1561.66</v>
      </c>
      <c r="I641" t="s">
        <v>21</v>
      </c>
      <c r="J641" t="s">
        <v>22</v>
      </c>
      <c r="K641" t="s">
        <v>28</v>
      </c>
      <c r="L641">
        <v>1077.53</v>
      </c>
      <c r="M641">
        <v>31</v>
      </c>
      <c r="N641">
        <v>2023</v>
      </c>
      <c r="O641">
        <v>1</v>
      </c>
      <c r="P641" t="s">
        <v>60</v>
      </c>
      <c r="Q641">
        <v>484.13</v>
      </c>
      <c r="R641" t="s">
        <v>25</v>
      </c>
      <c r="S641">
        <v>2.2257038398777187</v>
      </c>
      <c r="T641" t="s">
        <v>78</v>
      </c>
    </row>
    <row r="642" spans="1:20" x14ac:dyDescent="0.25">
      <c r="A642" s="11">
        <v>44985</v>
      </c>
      <c r="B642" t="s">
        <v>17</v>
      </c>
      <c r="C642" t="s">
        <v>18</v>
      </c>
      <c r="D642" t="s">
        <v>49</v>
      </c>
      <c r="E642" t="s">
        <v>50</v>
      </c>
      <c r="F642">
        <v>894</v>
      </c>
      <c r="G642">
        <v>3.09</v>
      </c>
      <c r="H642">
        <v>2762.46</v>
      </c>
      <c r="I642" t="s">
        <v>21</v>
      </c>
      <c r="J642" t="s">
        <v>56</v>
      </c>
      <c r="K642" t="s">
        <v>41</v>
      </c>
      <c r="L642">
        <v>2278.9499999999998</v>
      </c>
      <c r="M642">
        <v>17.5</v>
      </c>
      <c r="N642">
        <v>2023</v>
      </c>
      <c r="O642">
        <v>1</v>
      </c>
      <c r="P642" t="s">
        <v>61</v>
      </c>
      <c r="Q642">
        <v>483.51</v>
      </c>
      <c r="R642" t="s">
        <v>29</v>
      </c>
      <c r="S642">
        <v>4.7133461562325492</v>
      </c>
      <c r="T642" t="s">
        <v>78</v>
      </c>
    </row>
    <row r="643" spans="1:20" x14ac:dyDescent="0.25">
      <c r="A643" s="11">
        <v>44928</v>
      </c>
      <c r="B643" t="s">
        <v>17</v>
      </c>
      <c r="C643" t="s">
        <v>18</v>
      </c>
      <c r="D643" t="s">
        <v>45</v>
      </c>
      <c r="E643" t="s">
        <v>20</v>
      </c>
      <c r="F643">
        <v>320</v>
      </c>
      <c r="G643">
        <v>4.37</v>
      </c>
      <c r="H643">
        <v>1398.4</v>
      </c>
      <c r="I643" t="s">
        <v>21</v>
      </c>
      <c r="J643" t="s">
        <v>34</v>
      </c>
      <c r="K643" t="s">
        <v>28</v>
      </c>
      <c r="L643">
        <v>917.37</v>
      </c>
      <c r="M643">
        <v>34.4</v>
      </c>
      <c r="N643">
        <v>2023</v>
      </c>
      <c r="O643">
        <v>1</v>
      </c>
      <c r="P643" t="s">
        <v>24</v>
      </c>
      <c r="Q643">
        <v>481.03</v>
      </c>
      <c r="R643" t="s">
        <v>25</v>
      </c>
      <c r="S643">
        <v>1.9070951915680936</v>
      </c>
      <c r="T643" t="s">
        <v>78</v>
      </c>
    </row>
    <row r="644" spans="1:20" x14ac:dyDescent="0.25">
      <c r="A644" s="11">
        <v>45048</v>
      </c>
      <c r="B644" t="s">
        <v>51</v>
      </c>
      <c r="C644" t="s">
        <v>52</v>
      </c>
      <c r="D644" t="s">
        <v>48</v>
      </c>
      <c r="E644" t="s">
        <v>38</v>
      </c>
      <c r="F644">
        <v>228</v>
      </c>
      <c r="G644">
        <v>11.78</v>
      </c>
      <c r="H644">
        <v>2685.84</v>
      </c>
      <c r="I644" t="s">
        <v>33</v>
      </c>
      <c r="J644" t="s">
        <v>27</v>
      </c>
      <c r="K644" t="s">
        <v>41</v>
      </c>
      <c r="L644">
        <v>2205.6799999999998</v>
      </c>
      <c r="M644">
        <v>17.899999999999999</v>
      </c>
      <c r="N644">
        <v>2023</v>
      </c>
      <c r="O644">
        <v>2</v>
      </c>
      <c r="P644" t="s">
        <v>64</v>
      </c>
      <c r="Q644">
        <v>480.16</v>
      </c>
      <c r="R644" t="s">
        <v>29</v>
      </c>
      <c r="S644">
        <v>4.5936354548483829</v>
      </c>
      <c r="T644" t="s">
        <v>78</v>
      </c>
    </row>
    <row r="645" spans="1:20" x14ac:dyDescent="0.25">
      <c r="A645" s="11">
        <v>45043</v>
      </c>
      <c r="B645" t="s">
        <v>30</v>
      </c>
      <c r="C645" t="s">
        <v>31</v>
      </c>
      <c r="D645" t="s">
        <v>44</v>
      </c>
      <c r="E645" t="s">
        <v>38</v>
      </c>
      <c r="F645">
        <v>512</v>
      </c>
      <c r="G645">
        <v>5.82</v>
      </c>
      <c r="H645">
        <v>2979.84</v>
      </c>
      <c r="I645" t="s">
        <v>54</v>
      </c>
      <c r="J645" t="s">
        <v>47</v>
      </c>
      <c r="K645" t="s">
        <v>23</v>
      </c>
      <c r="L645">
        <v>2500.6799999999998</v>
      </c>
      <c r="M645">
        <v>16.100000000000001</v>
      </c>
      <c r="N645">
        <v>2023</v>
      </c>
      <c r="O645">
        <v>2</v>
      </c>
      <c r="P645" t="s">
        <v>64</v>
      </c>
      <c r="Q645">
        <v>479.16</v>
      </c>
      <c r="R645" t="s">
        <v>29</v>
      </c>
      <c r="S645">
        <v>5.218883045329326</v>
      </c>
      <c r="T645" t="s">
        <v>78</v>
      </c>
    </row>
    <row r="646" spans="1:20" x14ac:dyDescent="0.25">
      <c r="A646" s="11">
        <v>45101</v>
      </c>
      <c r="B646" t="s">
        <v>51</v>
      </c>
      <c r="C646" t="s">
        <v>52</v>
      </c>
      <c r="D646" t="s">
        <v>49</v>
      </c>
      <c r="E646" t="s">
        <v>50</v>
      </c>
      <c r="F646">
        <v>726</v>
      </c>
      <c r="G646">
        <v>3.6</v>
      </c>
      <c r="H646">
        <v>2613.6</v>
      </c>
      <c r="I646" t="s">
        <v>55</v>
      </c>
      <c r="J646" t="s">
        <v>40</v>
      </c>
      <c r="K646" t="s">
        <v>41</v>
      </c>
      <c r="L646">
        <v>2134.77</v>
      </c>
      <c r="M646">
        <v>18.3</v>
      </c>
      <c r="N646">
        <v>2024</v>
      </c>
      <c r="O646">
        <v>2</v>
      </c>
      <c r="P646" t="s">
        <v>24</v>
      </c>
      <c r="Q646">
        <v>478.83</v>
      </c>
      <c r="R646" t="s">
        <v>29</v>
      </c>
      <c r="S646">
        <v>4.4583046175051688</v>
      </c>
      <c r="T646" t="s">
        <v>78</v>
      </c>
    </row>
    <row r="647" spans="1:20" x14ac:dyDescent="0.25">
      <c r="A647" s="11">
        <v>45082</v>
      </c>
      <c r="B647" t="s">
        <v>42</v>
      </c>
      <c r="C647" t="s">
        <v>43</v>
      </c>
      <c r="D647" t="s">
        <v>44</v>
      </c>
      <c r="E647" t="s">
        <v>38</v>
      </c>
      <c r="F647">
        <v>189</v>
      </c>
      <c r="G647">
        <v>8.1199999999999992</v>
      </c>
      <c r="H647">
        <v>1534.68</v>
      </c>
      <c r="I647" t="s">
        <v>21</v>
      </c>
      <c r="J647" t="s">
        <v>56</v>
      </c>
      <c r="K647" t="s">
        <v>23</v>
      </c>
      <c r="L647">
        <v>1057.18</v>
      </c>
      <c r="M647">
        <v>31.1</v>
      </c>
      <c r="N647">
        <v>2023</v>
      </c>
      <c r="O647">
        <v>2</v>
      </c>
      <c r="P647" t="s">
        <v>68</v>
      </c>
      <c r="Q647">
        <v>477.5</v>
      </c>
      <c r="R647" t="s">
        <v>25</v>
      </c>
      <c r="S647">
        <v>2.2139895287958118</v>
      </c>
      <c r="T647" t="s">
        <v>78</v>
      </c>
    </row>
    <row r="648" spans="1:20" x14ac:dyDescent="0.25">
      <c r="A648" s="11">
        <v>44971</v>
      </c>
      <c r="B648" t="s">
        <v>30</v>
      </c>
      <c r="C648" t="s">
        <v>31</v>
      </c>
      <c r="D648" t="s">
        <v>45</v>
      </c>
      <c r="E648" t="s">
        <v>20</v>
      </c>
      <c r="F648">
        <v>157</v>
      </c>
      <c r="G648">
        <v>8.41</v>
      </c>
      <c r="H648">
        <v>1320.37</v>
      </c>
      <c r="I648" t="s">
        <v>55</v>
      </c>
      <c r="J648" t="s">
        <v>56</v>
      </c>
      <c r="K648" t="s">
        <v>41</v>
      </c>
      <c r="L648">
        <v>845.62</v>
      </c>
      <c r="M648">
        <v>36</v>
      </c>
      <c r="N648">
        <v>2023</v>
      </c>
      <c r="O648">
        <v>1</v>
      </c>
      <c r="P648" t="s">
        <v>60</v>
      </c>
      <c r="Q648">
        <v>474.75</v>
      </c>
      <c r="R648" t="s">
        <v>25</v>
      </c>
      <c r="S648">
        <v>1.7811901000526593</v>
      </c>
      <c r="T648" t="s">
        <v>78</v>
      </c>
    </row>
    <row r="649" spans="1:20" x14ac:dyDescent="0.25">
      <c r="A649" s="11">
        <v>45059</v>
      </c>
      <c r="B649" t="s">
        <v>17</v>
      </c>
      <c r="C649" t="s">
        <v>18</v>
      </c>
      <c r="D649" t="s">
        <v>44</v>
      </c>
      <c r="E649" t="s">
        <v>38</v>
      </c>
      <c r="F649">
        <v>444</v>
      </c>
      <c r="G649">
        <v>8.07</v>
      </c>
      <c r="H649">
        <v>3583.08</v>
      </c>
      <c r="I649" t="s">
        <v>26</v>
      </c>
      <c r="J649" t="s">
        <v>22</v>
      </c>
      <c r="K649" t="s">
        <v>28</v>
      </c>
      <c r="L649">
        <v>3108.85</v>
      </c>
      <c r="M649">
        <v>13.2</v>
      </c>
      <c r="N649">
        <v>2023</v>
      </c>
      <c r="O649">
        <v>2</v>
      </c>
      <c r="P649" t="s">
        <v>65</v>
      </c>
      <c r="Q649">
        <v>474.23</v>
      </c>
      <c r="R649" t="s">
        <v>29</v>
      </c>
      <c r="S649">
        <v>6.5555742993905906</v>
      </c>
      <c r="T649" t="s">
        <v>78</v>
      </c>
    </row>
    <row r="650" spans="1:20" x14ac:dyDescent="0.25">
      <c r="A650" s="11">
        <v>45092</v>
      </c>
      <c r="B650" t="s">
        <v>51</v>
      </c>
      <c r="C650" t="s">
        <v>52</v>
      </c>
      <c r="D650" t="s">
        <v>45</v>
      </c>
      <c r="E650" t="s">
        <v>20</v>
      </c>
      <c r="F650">
        <v>461</v>
      </c>
      <c r="G650">
        <v>5.68</v>
      </c>
      <c r="H650">
        <v>2618.48</v>
      </c>
      <c r="I650" t="s">
        <v>21</v>
      </c>
      <c r="J650" t="s">
        <v>40</v>
      </c>
      <c r="K650" t="s">
        <v>23</v>
      </c>
      <c r="L650">
        <v>2146.0100000000002</v>
      </c>
      <c r="M650">
        <v>18</v>
      </c>
      <c r="N650">
        <v>2023</v>
      </c>
      <c r="O650">
        <v>2</v>
      </c>
      <c r="P650" t="s">
        <v>70</v>
      </c>
      <c r="Q650">
        <v>472.47</v>
      </c>
      <c r="R650" t="s">
        <v>29</v>
      </c>
      <c r="S650">
        <v>4.5421084936609732</v>
      </c>
      <c r="T650" t="s">
        <v>78</v>
      </c>
    </row>
    <row r="651" spans="1:20" x14ac:dyDescent="0.25">
      <c r="A651" s="11">
        <v>45110</v>
      </c>
      <c r="B651" t="s">
        <v>58</v>
      </c>
      <c r="C651" t="s">
        <v>59</v>
      </c>
      <c r="D651" t="s">
        <v>48</v>
      </c>
      <c r="E651" t="s">
        <v>38</v>
      </c>
      <c r="F651">
        <v>275</v>
      </c>
      <c r="G651">
        <v>5.32</v>
      </c>
      <c r="H651">
        <v>1463</v>
      </c>
      <c r="I651" t="s">
        <v>21</v>
      </c>
      <c r="J651" t="s">
        <v>47</v>
      </c>
      <c r="K651" t="s">
        <v>23</v>
      </c>
      <c r="L651">
        <v>990.94</v>
      </c>
      <c r="M651">
        <v>32.299999999999997</v>
      </c>
      <c r="N651">
        <v>2024</v>
      </c>
      <c r="O651">
        <v>3</v>
      </c>
      <c r="P651" t="s">
        <v>62</v>
      </c>
      <c r="Q651">
        <v>472.06</v>
      </c>
      <c r="R651" t="s">
        <v>25</v>
      </c>
      <c r="S651">
        <v>2.0991823073338134</v>
      </c>
      <c r="T651" t="s">
        <v>78</v>
      </c>
    </row>
    <row r="652" spans="1:20" x14ac:dyDescent="0.25">
      <c r="A652" s="11">
        <v>45101</v>
      </c>
      <c r="B652" t="s">
        <v>42</v>
      </c>
      <c r="C652" t="s">
        <v>43</v>
      </c>
      <c r="D652" t="s">
        <v>37</v>
      </c>
      <c r="E652" t="s">
        <v>38</v>
      </c>
      <c r="F652">
        <v>472</v>
      </c>
      <c r="G652">
        <v>2.89</v>
      </c>
      <c r="H652">
        <v>1364.08</v>
      </c>
      <c r="I652" t="s">
        <v>21</v>
      </c>
      <c r="J652" t="s">
        <v>40</v>
      </c>
      <c r="K652" t="s">
        <v>41</v>
      </c>
      <c r="L652">
        <v>893.7</v>
      </c>
      <c r="M652">
        <v>34.5</v>
      </c>
      <c r="N652">
        <v>2024</v>
      </c>
      <c r="O652">
        <v>2</v>
      </c>
      <c r="P652" t="s">
        <v>24</v>
      </c>
      <c r="Q652">
        <v>470.38</v>
      </c>
      <c r="R652" t="s">
        <v>25</v>
      </c>
      <c r="S652">
        <v>1.8999532293039672</v>
      </c>
      <c r="T652" t="s">
        <v>78</v>
      </c>
    </row>
    <row r="653" spans="1:20" x14ac:dyDescent="0.25">
      <c r="A653" s="11">
        <v>45128</v>
      </c>
      <c r="B653" t="s">
        <v>42</v>
      </c>
      <c r="C653" t="s">
        <v>43</v>
      </c>
      <c r="D653" t="s">
        <v>19</v>
      </c>
      <c r="E653" t="s">
        <v>20</v>
      </c>
      <c r="F653">
        <v>232</v>
      </c>
      <c r="G653">
        <v>9.56</v>
      </c>
      <c r="H653">
        <v>2217.92</v>
      </c>
      <c r="I653" t="s">
        <v>54</v>
      </c>
      <c r="J653" t="s">
        <v>56</v>
      </c>
      <c r="K653" t="s">
        <v>23</v>
      </c>
      <c r="L653">
        <v>1748.05</v>
      </c>
      <c r="M653">
        <v>21.2</v>
      </c>
      <c r="N653">
        <v>2025</v>
      </c>
      <c r="O653">
        <v>3</v>
      </c>
      <c r="P653" t="s">
        <v>61</v>
      </c>
      <c r="Q653">
        <v>469.87</v>
      </c>
      <c r="R653" t="s">
        <v>29</v>
      </c>
      <c r="S653">
        <v>3.7202843339647136</v>
      </c>
      <c r="T653" t="s">
        <v>78</v>
      </c>
    </row>
    <row r="654" spans="1:20" x14ac:dyDescent="0.25">
      <c r="A654" s="11">
        <v>44976</v>
      </c>
      <c r="B654" t="s">
        <v>51</v>
      </c>
      <c r="C654" t="s">
        <v>52</v>
      </c>
      <c r="D654" t="s">
        <v>49</v>
      </c>
      <c r="E654" t="s">
        <v>50</v>
      </c>
      <c r="F654">
        <v>227</v>
      </c>
      <c r="G654">
        <v>10.95</v>
      </c>
      <c r="H654">
        <v>2485.65</v>
      </c>
      <c r="I654" t="s">
        <v>21</v>
      </c>
      <c r="J654" t="s">
        <v>22</v>
      </c>
      <c r="K654" t="s">
        <v>23</v>
      </c>
      <c r="L654">
        <v>2016.32</v>
      </c>
      <c r="M654">
        <v>18.899999999999999</v>
      </c>
      <c r="N654">
        <v>2023</v>
      </c>
      <c r="O654">
        <v>1</v>
      </c>
      <c r="P654" t="s">
        <v>60</v>
      </c>
      <c r="Q654">
        <v>469.33</v>
      </c>
      <c r="R654" t="s">
        <v>29</v>
      </c>
      <c r="S654">
        <v>4.2961668761852003</v>
      </c>
      <c r="T654" t="s">
        <v>78</v>
      </c>
    </row>
    <row r="655" spans="1:20" x14ac:dyDescent="0.25">
      <c r="A655" s="11">
        <v>45087</v>
      </c>
      <c r="B655" t="s">
        <v>35</v>
      </c>
      <c r="C655" t="s">
        <v>36</v>
      </c>
      <c r="D655" t="s">
        <v>53</v>
      </c>
      <c r="E655" t="s">
        <v>50</v>
      </c>
      <c r="F655">
        <v>283</v>
      </c>
      <c r="G655">
        <v>4.8600000000000003</v>
      </c>
      <c r="H655">
        <v>1375.38</v>
      </c>
      <c r="I655" t="s">
        <v>39</v>
      </c>
      <c r="J655" t="s">
        <v>56</v>
      </c>
      <c r="K655" t="s">
        <v>41</v>
      </c>
      <c r="L655">
        <v>907.31</v>
      </c>
      <c r="M655">
        <v>34</v>
      </c>
      <c r="N655">
        <v>2023</v>
      </c>
      <c r="O655">
        <v>2</v>
      </c>
      <c r="P655" t="s">
        <v>69</v>
      </c>
      <c r="Q655">
        <v>468.07</v>
      </c>
      <c r="R655" t="s">
        <v>25</v>
      </c>
      <c r="S655">
        <v>1.9384066485782041</v>
      </c>
      <c r="T655" t="s">
        <v>78</v>
      </c>
    </row>
    <row r="656" spans="1:20" x14ac:dyDescent="0.25">
      <c r="A656" s="11">
        <v>44964</v>
      </c>
      <c r="B656" t="s">
        <v>17</v>
      </c>
      <c r="C656" t="s">
        <v>18</v>
      </c>
      <c r="D656" t="s">
        <v>53</v>
      </c>
      <c r="E656" t="s">
        <v>50</v>
      </c>
      <c r="F656">
        <v>267</v>
      </c>
      <c r="G656">
        <v>4.58</v>
      </c>
      <c r="H656">
        <v>1222.8599999999999</v>
      </c>
      <c r="I656" t="s">
        <v>26</v>
      </c>
      <c r="J656" t="s">
        <v>47</v>
      </c>
      <c r="K656" t="s">
        <v>23</v>
      </c>
      <c r="L656">
        <v>756.58</v>
      </c>
      <c r="M656">
        <v>38.1</v>
      </c>
      <c r="N656">
        <v>2023</v>
      </c>
      <c r="O656">
        <v>1</v>
      </c>
      <c r="P656" t="s">
        <v>60</v>
      </c>
      <c r="Q656">
        <v>466.28</v>
      </c>
      <c r="R656" t="s">
        <v>25</v>
      </c>
      <c r="S656">
        <v>1.6225872866089046</v>
      </c>
      <c r="T656" t="s">
        <v>78</v>
      </c>
    </row>
    <row r="657" spans="1:20" x14ac:dyDescent="0.25">
      <c r="A657" s="11">
        <v>45057</v>
      </c>
      <c r="B657" t="s">
        <v>17</v>
      </c>
      <c r="C657" t="s">
        <v>18</v>
      </c>
      <c r="D657" t="s">
        <v>45</v>
      </c>
      <c r="E657" t="s">
        <v>20</v>
      </c>
      <c r="F657">
        <v>119</v>
      </c>
      <c r="G657">
        <v>10.48</v>
      </c>
      <c r="H657">
        <v>1247.1199999999999</v>
      </c>
      <c r="I657" t="s">
        <v>55</v>
      </c>
      <c r="J657" t="s">
        <v>27</v>
      </c>
      <c r="K657" t="s">
        <v>28</v>
      </c>
      <c r="L657">
        <v>782.61</v>
      </c>
      <c r="M657">
        <v>37.200000000000003</v>
      </c>
      <c r="N657">
        <v>2023</v>
      </c>
      <c r="O657">
        <v>2</v>
      </c>
      <c r="P657" t="s">
        <v>65</v>
      </c>
      <c r="Q657">
        <v>464.51</v>
      </c>
      <c r="R657" t="s">
        <v>25</v>
      </c>
      <c r="S657">
        <v>1.6848076467675617</v>
      </c>
      <c r="T657" t="s">
        <v>78</v>
      </c>
    </row>
    <row r="658" spans="1:20" x14ac:dyDescent="0.25">
      <c r="A658" s="11">
        <v>44975</v>
      </c>
      <c r="B658" t="s">
        <v>42</v>
      </c>
      <c r="C658" t="s">
        <v>43</v>
      </c>
      <c r="D658" t="s">
        <v>19</v>
      </c>
      <c r="E658" t="s">
        <v>20</v>
      </c>
      <c r="F658">
        <v>379</v>
      </c>
      <c r="G658">
        <v>6.68</v>
      </c>
      <c r="H658">
        <v>2531.7199999999998</v>
      </c>
      <c r="I658" t="s">
        <v>46</v>
      </c>
      <c r="J658" t="s">
        <v>27</v>
      </c>
      <c r="K658" t="s">
        <v>41</v>
      </c>
      <c r="L658">
        <v>2067.36</v>
      </c>
      <c r="M658">
        <v>18.3</v>
      </c>
      <c r="N658">
        <v>2023</v>
      </c>
      <c r="O658">
        <v>1</v>
      </c>
      <c r="P658" t="s">
        <v>60</v>
      </c>
      <c r="Q658">
        <v>464.36</v>
      </c>
      <c r="R658" t="s">
        <v>29</v>
      </c>
      <c r="S658">
        <v>4.4520630545266604</v>
      </c>
      <c r="T658" t="s">
        <v>78</v>
      </c>
    </row>
    <row r="659" spans="1:20" x14ac:dyDescent="0.25">
      <c r="A659" s="11">
        <v>45091</v>
      </c>
      <c r="B659" t="s">
        <v>17</v>
      </c>
      <c r="C659" t="s">
        <v>18</v>
      </c>
      <c r="D659" t="s">
        <v>32</v>
      </c>
      <c r="E659" t="s">
        <v>20</v>
      </c>
      <c r="F659">
        <v>537</v>
      </c>
      <c r="G659">
        <v>5.0999999999999996</v>
      </c>
      <c r="H659">
        <v>2738.7</v>
      </c>
      <c r="I659" t="s">
        <v>46</v>
      </c>
      <c r="J659" t="s">
        <v>22</v>
      </c>
      <c r="K659" t="s">
        <v>23</v>
      </c>
      <c r="L659">
        <v>2274.73</v>
      </c>
      <c r="M659">
        <v>16.899999999999999</v>
      </c>
      <c r="N659">
        <v>2023</v>
      </c>
      <c r="O659">
        <v>2</v>
      </c>
      <c r="P659" t="s">
        <v>70</v>
      </c>
      <c r="Q659">
        <v>463.97</v>
      </c>
      <c r="R659" t="s">
        <v>29</v>
      </c>
      <c r="S659">
        <v>4.9027523331249867</v>
      </c>
      <c r="T659" t="s">
        <v>78</v>
      </c>
    </row>
    <row r="660" spans="1:20" x14ac:dyDescent="0.25">
      <c r="A660" s="11">
        <v>44931</v>
      </c>
      <c r="B660" t="s">
        <v>35</v>
      </c>
      <c r="C660" t="s">
        <v>36</v>
      </c>
      <c r="D660" t="s">
        <v>19</v>
      </c>
      <c r="E660" t="s">
        <v>20</v>
      </c>
      <c r="F660">
        <v>521</v>
      </c>
      <c r="G660">
        <v>3.4</v>
      </c>
      <c r="H660">
        <v>1771.4</v>
      </c>
      <c r="I660" t="s">
        <v>55</v>
      </c>
      <c r="J660" t="s">
        <v>27</v>
      </c>
      <c r="K660" t="s">
        <v>41</v>
      </c>
      <c r="L660">
        <v>1308.04</v>
      </c>
      <c r="M660">
        <v>26.2</v>
      </c>
      <c r="N660">
        <v>2023</v>
      </c>
      <c r="O660">
        <v>1</v>
      </c>
      <c r="P660" t="s">
        <v>24</v>
      </c>
      <c r="Q660">
        <v>463.36</v>
      </c>
      <c r="R660" t="s">
        <v>25</v>
      </c>
      <c r="S660">
        <v>2.8229454419889501</v>
      </c>
      <c r="T660" t="s">
        <v>78</v>
      </c>
    </row>
    <row r="661" spans="1:20" x14ac:dyDescent="0.25">
      <c r="A661" s="11">
        <v>44994</v>
      </c>
      <c r="B661" t="s">
        <v>58</v>
      </c>
      <c r="C661" t="s">
        <v>59</v>
      </c>
      <c r="D661" t="s">
        <v>44</v>
      </c>
      <c r="E661" t="s">
        <v>38</v>
      </c>
      <c r="F661">
        <v>570</v>
      </c>
      <c r="G661">
        <v>8.1</v>
      </c>
      <c r="H661">
        <v>4617</v>
      </c>
      <c r="I661" t="s">
        <v>46</v>
      </c>
      <c r="J661" t="s">
        <v>34</v>
      </c>
      <c r="K661" t="s">
        <v>23</v>
      </c>
      <c r="L661">
        <v>4154.63</v>
      </c>
      <c r="M661">
        <v>10</v>
      </c>
      <c r="N661">
        <v>2023</v>
      </c>
      <c r="O661">
        <v>1</v>
      </c>
      <c r="P661" t="s">
        <v>61</v>
      </c>
      <c r="Q661">
        <v>462.37</v>
      </c>
      <c r="R661" t="s">
        <v>29</v>
      </c>
      <c r="S661">
        <v>8.9855094404913807</v>
      </c>
      <c r="T661" t="s">
        <v>78</v>
      </c>
    </row>
    <row r="662" spans="1:20" x14ac:dyDescent="0.25">
      <c r="A662" s="11">
        <v>45124</v>
      </c>
      <c r="B662" t="s">
        <v>30</v>
      </c>
      <c r="C662" t="s">
        <v>31</v>
      </c>
      <c r="D662" t="s">
        <v>44</v>
      </c>
      <c r="E662" t="s">
        <v>38</v>
      </c>
      <c r="F662">
        <v>302</v>
      </c>
      <c r="G662">
        <v>7.75</v>
      </c>
      <c r="H662">
        <v>2340.5</v>
      </c>
      <c r="I662" t="s">
        <v>39</v>
      </c>
      <c r="J662" t="s">
        <v>34</v>
      </c>
      <c r="K662" t="s">
        <v>41</v>
      </c>
      <c r="L662">
        <v>1878.63</v>
      </c>
      <c r="M662">
        <v>19.7</v>
      </c>
      <c r="N662">
        <v>2024</v>
      </c>
      <c r="O662">
        <v>3</v>
      </c>
      <c r="P662" t="s">
        <v>68</v>
      </c>
      <c r="Q662">
        <v>461.87</v>
      </c>
      <c r="R662" t="s">
        <v>29</v>
      </c>
      <c r="S662">
        <v>4.0674432199536668</v>
      </c>
      <c r="T662" t="s">
        <v>78</v>
      </c>
    </row>
    <row r="663" spans="1:20" x14ac:dyDescent="0.25">
      <c r="A663" s="11">
        <v>45083</v>
      </c>
      <c r="B663" t="s">
        <v>35</v>
      </c>
      <c r="C663" t="s">
        <v>36</v>
      </c>
      <c r="D663" t="s">
        <v>32</v>
      </c>
      <c r="E663" t="s">
        <v>20</v>
      </c>
      <c r="F663">
        <v>862</v>
      </c>
      <c r="G663">
        <v>4.91</v>
      </c>
      <c r="H663">
        <v>4232.42</v>
      </c>
      <c r="I663" t="s">
        <v>55</v>
      </c>
      <c r="J663" t="s">
        <v>27</v>
      </c>
      <c r="K663" t="s">
        <v>23</v>
      </c>
      <c r="L663">
        <v>3774.25</v>
      </c>
      <c r="M663">
        <v>10.8</v>
      </c>
      <c r="N663">
        <v>2023</v>
      </c>
      <c r="O663">
        <v>2</v>
      </c>
      <c r="P663" t="s">
        <v>68</v>
      </c>
      <c r="Q663">
        <v>458.17</v>
      </c>
      <c r="R663" t="s">
        <v>29</v>
      </c>
      <c r="S663">
        <v>8.2376628762249808</v>
      </c>
      <c r="T663" t="s">
        <v>78</v>
      </c>
    </row>
    <row r="664" spans="1:20" x14ac:dyDescent="0.25">
      <c r="A664" s="11">
        <v>45018</v>
      </c>
      <c r="B664" t="s">
        <v>35</v>
      </c>
      <c r="C664" t="s">
        <v>36</v>
      </c>
      <c r="D664" t="s">
        <v>37</v>
      </c>
      <c r="E664" t="s">
        <v>38</v>
      </c>
      <c r="F664">
        <v>653</v>
      </c>
      <c r="G664">
        <v>5.6</v>
      </c>
      <c r="H664">
        <v>3656.8</v>
      </c>
      <c r="I664" t="s">
        <v>54</v>
      </c>
      <c r="J664" t="s">
        <v>22</v>
      </c>
      <c r="K664" t="s">
        <v>23</v>
      </c>
      <c r="L664">
        <v>3198.71</v>
      </c>
      <c r="M664">
        <v>12.5</v>
      </c>
      <c r="N664">
        <v>2023</v>
      </c>
      <c r="O664">
        <v>2</v>
      </c>
      <c r="P664" t="s">
        <v>62</v>
      </c>
      <c r="Q664">
        <v>458.09</v>
      </c>
      <c r="R664" t="s">
        <v>29</v>
      </c>
      <c r="S664">
        <v>6.9827108210177045</v>
      </c>
      <c r="T664" t="s">
        <v>78</v>
      </c>
    </row>
    <row r="665" spans="1:20" x14ac:dyDescent="0.25">
      <c r="A665" s="11">
        <v>45057</v>
      </c>
      <c r="B665" t="s">
        <v>17</v>
      </c>
      <c r="C665" t="s">
        <v>18</v>
      </c>
      <c r="D665" t="s">
        <v>32</v>
      </c>
      <c r="E665" t="s">
        <v>20</v>
      </c>
      <c r="F665">
        <v>636</v>
      </c>
      <c r="G665">
        <v>3.61</v>
      </c>
      <c r="H665">
        <v>2295.96</v>
      </c>
      <c r="I665" t="s">
        <v>33</v>
      </c>
      <c r="J665" t="s">
        <v>27</v>
      </c>
      <c r="K665" t="s">
        <v>23</v>
      </c>
      <c r="L665">
        <v>1839.27</v>
      </c>
      <c r="M665">
        <v>19.899999999999999</v>
      </c>
      <c r="N665">
        <v>2023</v>
      </c>
      <c r="O665">
        <v>2</v>
      </c>
      <c r="P665" t="s">
        <v>65</v>
      </c>
      <c r="Q665">
        <v>456.69</v>
      </c>
      <c r="R665" t="s">
        <v>29</v>
      </c>
      <c r="S665">
        <v>4.0273927609538198</v>
      </c>
      <c r="T665" t="s">
        <v>78</v>
      </c>
    </row>
    <row r="666" spans="1:20" x14ac:dyDescent="0.25">
      <c r="A666" s="11">
        <v>45086</v>
      </c>
      <c r="B666" t="s">
        <v>35</v>
      </c>
      <c r="C666" t="s">
        <v>36</v>
      </c>
      <c r="D666" t="s">
        <v>48</v>
      </c>
      <c r="E666" t="s">
        <v>38</v>
      </c>
      <c r="F666">
        <v>478</v>
      </c>
      <c r="G666">
        <v>7.11</v>
      </c>
      <c r="H666">
        <v>3398.58</v>
      </c>
      <c r="I666" t="s">
        <v>26</v>
      </c>
      <c r="J666" t="s">
        <v>27</v>
      </c>
      <c r="K666" t="s">
        <v>41</v>
      </c>
      <c r="L666">
        <v>2946.19</v>
      </c>
      <c r="M666">
        <v>13.3</v>
      </c>
      <c r="N666">
        <v>2023</v>
      </c>
      <c r="O666">
        <v>2</v>
      </c>
      <c r="P666" t="s">
        <v>69</v>
      </c>
      <c r="Q666">
        <v>452.39</v>
      </c>
      <c r="R666" t="s">
        <v>29</v>
      </c>
      <c r="S666">
        <v>6.5125002763102637</v>
      </c>
      <c r="T666" t="s">
        <v>78</v>
      </c>
    </row>
    <row r="667" spans="1:20" x14ac:dyDescent="0.25">
      <c r="A667" s="11">
        <v>44943</v>
      </c>
      <c r="B667" t="s">
        <v>30</v>
      </c>
      <c r="C667" t="s">
        <v>31</v>
      </c>
      <c r="D667" t="s">
        <v>44</v>
      </c>
      <c r="E667" t="s">
        <v>38</v>
      </c>
      <c r="F667">
        <v>509</v>
      </c>
      <c r="G667">
        <v>4.1900000000000004</v>
      </c>
      <c r="H667">
        <v>2132.71</v>
      </c>
      <c r="I667" t="s">
        <v>33</v>
      </c>
      <c r="J667" t="s">
        <v>22</v>
      </c>
      <c r="K667" t="s">
        <v>41</v>
      </c>
      <c r="L667">
        <v>1682.09</v>
      </c>
      <c r="M667">
        <v>21.1</v>
      </c>
      <c r="N667">
        <v>2023</v>
      </c>
      <c r="O667">
        <v>1</v>
      </c>
      <c r="P667" t="s">
        <v>24</v>
      </c>
      <c r="Q667">
        <v>450.62</v>
      </c>
      <c r="R667" t="s">
        <v>29</v>
      </c>
      <c r="S667">
        <v>3.7328347609959609</v>
      </c>
      <c r="T667" t="s">
        <v>78</v>
      </c>
    </row>
    <row r="668" spans="1:20" x14ac:dyDescent="0.25">
      <c r="A668" s="11">
        <v>44963</v>
      </c>
      <c r="B668" t="s">
        <v>58</v>
      </c>
      <c r="C668" t="s">
        <v>59</v>
      </c>
      <c r="D668" t="s">
        <v>19</v>
      </c>
      <c r="E668" t="s">
        <v>20</v>
      </c>
      <c r="F668">
        <v>188</v>
      </c>
      <c r="G668">
        <v>10.49</v>
      </c>
      <c r="H668">
        <v>1972.12</v>
      </c>
      <c r="I668" t="s">
        <v>55</v>
      </c>
      <c r="J668" t="s">
        <v>56</v>
      </c>
      <c r="K668" t="s">
        <v>28</v>
      </c>
      <c r="L668">
        <v>1525.91</v>
      </c>
      <c r="M668">
        <v>22.6</v>
      </c>
      <c r="N668">
        <v>2023</v>
      </c>
      <c r="O668">
        <v>1</v>
      </c>
      <c r="P668" t="s">
        <v>60</v>
      </c>
      <c r="Q668">
        <v>446.21</v>
      </c>
      <c r="R668" t="s">
        <v>29</v>
      </c>
      <c r="S668">
        <v>3.4197126913336775</v>
      </c>
      <c r="T668" t="s">
        <v>78</v>
      </c>
    </row>
    <row r="669" spans="1:20" x14ac:dyDescent="0.25">
      <c r="A669" s="11">
        <v>45066</v>
      </c>
      <c r="B669" t="s">
        <v>51</v>
      </c>
      <c r="C669" t="s">
        <v>52</v>
      </c>
      <c r="D669" t="s">
        <v>19</v>
      </c>
      <c r="E669" t="s">
        <v>20</v>
      </c>
      <c r="F669">
        <v>113</v>
      </c>
      <c r="G669">
        <v>11.82</v>
      </c>
      <c r="H669">
        <v>1335.66</v>
      </c>
      <c r="I669" t="s">
        <v>26</v>
      </c>
      <c r="J669" t="s">
        <v>34</v>
      </c>
      <c r="K669" t="s">
        <v>41</v>
      </c>
      <c r="L669">
        <v>889.92</v>
      </c>
      <c r="M669">
        <v>33.4</v>
      </c>
      <c r="N669">
        <v>2023</v>
      </c>
      <c r="O669">
        <v>2</v>
      </c>
      <c r="P669" t="s">
        <v>66</v>
      </c>
      <c r="Q669">
        <v>445.74</v>
      </c>
      <c r="R669" t="s">
        <v>25</v>
      </c>
      <c r="S669">
        <v>1.996500201911428</v>
      </c>
      <c r="T669" t="s">
        <v>78</v>
      </c>
    </row>
    <row r="670" spans="1:20" x14ac:dyDescent="0.25">
      <c r="A670" s="11">
        <v>45063</v>
      </c>
      <c r="B670" t="s">
        <v>58</v>
      </c>
      <c r="C670" t="s">
        <v>59</v>
      </c>
      <c r="D670" t="s">
        <v>48</v>
      </c>
      <c r="E670" t="s">
        <v>38</v>
      </c>
      <c r="F670">
        <v>424</v>
      </c>
      <c r="G670">
        <v>7.19</v>
      </c>
      <c r="H670">
        <v>3048.56</v>
      </c>
      <c r="I670" t="s">
        <v>39</v>
      </c>
      <c r="J670" t="s">
        <v>22</v>
      </c>
      <c r="K670" t="s">
        <v>23</v>
      </c>
      <c r="L670">
        <v>2603.5500000000002</v>
      </c>
      <c r="M670">
        <v>14.6</v>
      </c>
      <c r="N670">
        <v>2023</v>
      </c>
      <c r="O670">
        <v>2</v>
      </c>
      <c r="P670" t="s">
        <v>65</v>
      </c>
      <c r="Q670">
        <v>445.01</v>
      </c>
      <c r="R670" t="s">
        <v>29</v>
      </c>
      <c r="S670">
        <v>5.8505426844340578</v>
      </c>
      <c r="T670" t="s">
        <v>78</v>
      </c>
    </row>
    <row r="671" spans="1:20" x14ac:dyDescent="0.25">
      <c r="A671" s="11">
        <v>44981</v>
      </c>
      <c r="B671" t="s">
        <v>51</v>
      </c>
      <c r="C671" t="s">
        <v>52</v>
      </c>
      <c r="D671" t="s">
        <v>44</v>
      </c>
      <c r="E671" t="s">
        <v>38</v>
      </c>
      <c r="F671">
        <v>385</v>
      </c>
      <c r="G671">
        <v>8.94</v>
      </c>
      <c r="H671">
        <v>3441.9</v>
      </c>
      <c r="I671" t="s">
        <v>46</v>
      </c>
      <c r="J671" t="s">
        <v>22</v>
      </c>
      <c r="K671" t="s">
        <v>41</v>
      </c>
      <c r="L671">
        <v>2998.87</v>
      </c>
      <c r="M671">
        <v>12.9</v>
      </c>
      <c r="N671">
        <v>2023</v>
      </c>
      <c r="O671">
        <v>1</v>
      </c>
      <c r="P671" t="s">
        <v>61</v>
      </c>
      <c r="Q671">
        <v>443.03</v>
      </c>
      <c r="R671" t="s">
        <v>29</v>
      </c>
      <c r="S671">
        <v>6.7689998419971564</v>
      </c>
      <c r="T671" t="s">
        <v>78</v>
      </c>
    </row>
    <row r="672" spans="1:20" x14ac:dyDescent="0.25">
      <c r="A672" s="11">
        <v>44980</v>
      </c>
      <c r="B672" t="s">
        <v>17</v>
      </c>
      <c r="C672" t="s">
        <v>18</v>
      </c>
      <c r="D672" t="s">
        <v>48</v>
      </c>
      <c r="E672" t="s">
        <v>38</v>
      </c>
      <c r="F672">
        <v>268</v>
      </c>
      <c r="G672">
        <v>6.55</v>
      </c>
      <c r="H672">
        <v>1755.4</v>
      </c>
      <c r="I672" t="s">
        <v>33</v>
      </c>
      <c r="J672" t="s">
        <v>47</v>
      </c>
      <c r="K672" t="s">
        <v>41</v>
      </c>
      <c r="L672">
        <v>1314.54</v>
      </c>
      <c r="M672">
        <v>25.1</v>
      </c>
      <c r="N672">
        <v>2023</v>
      </c>
      <c r="O672">
        <v>1</v>
      </c>
      <c r="P672" t="s">
        <v>61</v>
      </c>
      <c r="Q672">
        <v>440.86</v>
      </c>
      <c r="R672" t="s">
        <v>25</v>
      </c>
      <c r="S672">
        <v>2.9817629179331306</v>
      </c>
      <c r="T672" t="s">
        <v>78</v>
      </c>
    </row>
    <row r="673" spans="1:20" x14ac:dyDescent="0.25">
      <c r="A673" s="11">
        <v>45040</v>
      </c>
      <c r="B673" t="s">
        <v>35</v>
      </c>
      <c r="C673" t="s">
        <v>36</v>
      </c>
      <c r="D673" t="s">
        <v>53</v>
      </c>
      <c r="E673" t="s">
        <v>50</v>
      </c>
      <c r="F673">
        <v>888</v>
      </c>
      <c r="G673">
        <v>4.54</v>
      </c>
      <c r="H673">
        <v>4031.52</v>
      </c>
      <c r="I673" t="s">
        <v>55</v>
      </c>
      <c r="J673" t="s">
        <v>27</v>
      </c>
      <c r="K673" t="s">
        <v>41</v>
      </c>
      <c r="L673">
        <v>3591.05</v>
      </c>
      <c r="M673">
        <v>10.9</v>
      </c>
      <c r="N673">
        <v>2023</v>
      </c>
      <c r="O673">
        <v>2</v>
      </c>
      <c r="P673" t="s">
        <v>64</v>
      </c>
      <c r="Q673">
        <v>440.47</v>
      </c>
      <c r="R673" t="s">
        <v>29</v>
      </c>
      <c r="S673">
        <v>8.1527686335051186</v>
      </c>
      <c r="T673" t="s">
        <v>78</v>
      </c>
    </row>
    <row r="674" spans="1:20" x14ac:dyDescent="0.25">
      <c r="A674" s="11">
        <v>44953</v>
      </c>
      <c r="B674" t="s">
        <v>51</v>
      </c>
      <c r="C674" t="s">
        <v>52</v>
      </c>
      <c r="D674" t="s">
        <v>37</v>
      </c>
      <c r="E674" t="s">
        <v>38</v>
      </c>
      <c r="F674">
        <v>332</v>
      </c>
      <c r="G674">
        <v>6.94</v>
      </c>
      <c r="H674">
        <v>2304.08</v>
      </c>
      <c r="I674" t="s">
        <v>21</v>
      </c>
      <c r="J674" t="s">
        <v>40</v>
      </c>
      <c r="K674" t="s">
        <v>28</v>
      </c>
      <c r="L674">
        <v>1866.86</v>
      </c>
      <c r="M674">
        <v>19</v>
      </c>
      <c r="N674">
        <v>2023</v>
      </c>
      <c r="O674">
        <v>1</v>
      </c>
      <c r="P674" t="s">
        <v>24</v>
      </c>
      <c r="Q674">
        <v>437.22</v>
      </c>
      <c r="R674" t="s">
        <v>29</v>
      </c>
      <c r="S674">
        <v>4.2698412698412698</v>
      </c>
      <c r="T674" t="s">
        <v>78</v>
      </c>
    </row>
    <row r="675" spans="1:20" x14ac:dyDescent="0.25">
      <c r="A675" s="11">
        <v>45049</v>
      </c>
      <c r="B675" t="s">
        <v>42</v>
      </c>
      <c r="C675" t="s">
        <v>43</v>
      </c>
      <c r="D675" t="s">
        <v>53</v>
      </c>
      <c r="E675" t="s">
        <v>50</v>
      </c>
      <c r="F675">
        <v>737</v>
      </c>
      <c r="G675">
        <v>5.19</v>
      </c>
      <c r="H675">
        <v>3825.03</v>
      </c>
      <c r="I675" t="s">
        <v>21</v>
      </c>
      <c r="J675" t="s">
        <v>34</v>
      </c>
      <c r="K675" t="s">
        <v>23</v>
      </c>
      <c r="L675">
        <v>3390.18</v>
      </c>
      <c r="M675">
        <v>11.4</v>
      </c>
      <c r="N675">
        <v>2023</v>
      </c>
      <c r="O675">
        <v>2</v>
      </c>
      <c r="P675" t="s">
        <v>64</v>
      </c>
      <c r="Q675">
        <v>434.85</v>
      </c>
      <c r="R675" t="s">
        <v>29</v>
      </c>
      <c r="S675">
        <v>7.7962055881338381</v>
      </c>
      <c r="T675" t="s">
        <v>78</v>
      </c>
    </row>
    <row r="676" spans="1:20" x14ac:dyDescent="0.25">
      <c r="A676" s="11">
        <v>45019</v>
      </c>
      <c r="B676" t="s">
        <v>17</v>
      </c>
      <c r="C676" t="s">
        <v>18</v>
      </c>
      <c r="D676" t="s">
        <v>53</v>
      </c>
      <c r="E676" t="s">
        <v>50</v>
      </c>
      <c r="F676">
        <v>826</v>
      </c>
      <c r="G676">
        <v>2.97</v>
      </c>
      <c r="H676">
        <v>2453.2199999999998</v>
      </c>
      <c r="I676" t="s">
        <v>46</v>
      </c>
      <c r="J676" t="s">
        <v>40</v>
      </c>
      <c r="K676" t="s">
        <v>23</v>
      </c>
      <c r="L676">
        <v>2024.46</v>
      </c>
      <c r="M676">
        <v>17.5</v>
      </c>
      <c r="N676">
        <v>2023</v>
      </c>
      <c r="O676">
        <v>2</v>
      </c>
      <c r="P676" t="s">
        <v>62</v>
      </c>
      <c r="Q676">
        <v>428.76</v>
      </c>
      <c r="R676" t="s">
        <v>29</v>
      </c>
      <c r="S676">
        <v>4.7216624685138537</v>
      </c>
      <c r="T676" t="s">
        <v>78</v>
      </c>
    </row>
    <row r="677" spans="1:20" x14ac:dyDescent="0.25">
      <c r="A677" s="11">
        <v>45048</v>
      </c>
      <c r="B677" t="s">
        <v>58</v>
      </c>
      <c r="C677" t="s">
        <v>59</v>
      </c>
      <c r="D677" t="s">
        <v>45</v>
      </c>
      <c r="E677" t="s">
        <v>20</v>
      </c>
      <c r="F677">
        <v>94</v>
      </c>
      <c r="G677">
        <v>11.39</v>
      </c>
      <c r="H677">
        <v>1070.6600000000001</v>
      </c>
      <c r="I677" t="s">
        <v>33</v>
      </c>
      <c r="J677" t="s">
        <v>27</v>
      </c>
      <c r="K677" t="s">
        <v>28</v>
      </c>
      <c r="L677">
        <v>644.1</v>
      </c>
      <c r="M677">
        <v>39.799999999999997</v>
      </c>
      <c r="N677">
        <v>2023</v>
      </c>
      <c r="O677">
        <v>2</v>
      </c>
      <c r="P677" t="s">
        <v>64</v>
      </c>
      <c r="Q677">
        <v>426.56</v>
      </c>
      <c r="R677" t="s">
        <v>25</v>
      </c>
      <c r="S677">
        <v>1.5099868717179294</v>
      </c>
      <c r="T677" t="s">
        <v>78</v>
      </c>
    </row>
    <row r="678" spans="1:20" x14ac:dyDescent="0.25">
      <c r="A678" s="11">
        <v>45070</v>
      </c>
      <c r="B678" t="s">
        <v>35</v>
      </c>
      <c r="C678" t="s">
        <v>36</v>
      </c>
      <c r="D678" t="s">
        <v>32</v>
      </c>
      <c r="E678" t="s">
        <v>20</v>
      </c>
      <c r="F678">
        <v>395</v>
      </c>
      <c r="G678">
        <v>3.37</v>
      </c>
      <c r="H678">
        <v>1331.15</v>
      </c>
      <c r="I678" t="s">
        <v>46</v>
      </c>
      <c r="J678" t="s">
        <v>22</v>
      </c>
      <c r="K678" t="s">
        <v>28</v>
      </c>
      <c r="L678">
        <v>906.19</v>
      </c>
      <c r="M678">
        <v>31.9</v>
      </c>
      <c r="N678">
        <v>2023</v>
      </c>
      <c r="O678">
        <v>2</v>
      </c>
      <c r="P678" t="s">
        <v>66</v>
      </c>
      <c r="Q678">
        <v>424.96</v>
      </c>
      <c r="R678" t="s">
        <v>25</v>
      </c>
      <c r="S678">
        <v>2.1324124623493979</v>
      </c>
      <c r="T678" t="s">
        <v>78</v>
      </c>
    </row>
    <row r="679" spans="1:20" x14ac:dyDescent="0.25">
      <c r="A679" s="11">
        <v>44993</v>
      </c>
      <c r="B679" t="s">
        <v>30</v>
      </c>
      <c r="C679" t="s">
        <v>31</v>
      </c>
      <c r="D679" t="s">
        <v>53</v>
      </c>
      <c r="E679" t="s">
        <v>50</v>
      </c>
      <c r="F679">
        <v>330</v>
      </c>
      <c r="G679">
        <v>6.15</v>
      </c>
      <c r="H679">
        <v>2029.5</v>
      </c>
      <c r="I679" t="s">
        <v>26</v>
      </c>
      <c r="J679" t="s">
        <v>40</v>
      </c>
      <c r="K679" t="s">
        <v>23</v>
      </c>
      <c r="L679">
        <v>1605.8</v>
      </c>
      <c r="M679">
        <v>20.9</v>
      </c>
      <c r="N679">
        <v>2023</v>
      </c>
      <c r="O679">
        <v>1</v>
      </c>
      <c r="P679" t="s">
        <v>61</v>
      </c>
      <c r="Q679">
        <v>423.7</v>
      </c>
      <c r="R679" t="s">
        <v>29</v>
      </c>
      <c r="S679">
        <v>3.7899457163087091</v>
      </c>
      <c r="T679" t="s">
        <v>78</v>
      </c>
    </row>
    <row r="680" spans="1:20" x14ac:dyDescent="0.25">
      <c r="A680" s="11">
        <v>44978</v>
      </c>
      <c r="B680" t="s">
        <v>51</v>
      </c>
      <c r="C680" t="s">
        <v>52</v>
      </c>
      <c r="D680" t="s">
        <v>45</v>
      </c>
      <c r="E680" t="s">
        <v>20</v>
      </c>
      <c r="F680">
        <v>902</v>
      </c>
      <c r="G680">
        <v>4.2</v>
      </c>
      <c r="H680">
        <v>3788.4</v>
      </c>
      <c r="I680" t="s">
        <v>39</v>
      </c>
      <c r="J680" t="s">
        <v>56</v>
      </c>
      <c r="K680" t="s">
        <v>41</v>
      </c>
      <c r="L680">
        <v>3368.55</v>
      </c>
      <c r="M680">
        <v>11.1</v>
      </c>
      <c r="N680">
        <v>2023</v>
      </c>
      <c r="O680">
        <v>1</v>
      </c>
      <c r="P680" t="s">
        <v>61</v>
      </c>
      <c r="Q680">
        <v>419.85</v>
      </c>
      <c r="R680" t="s">
        <v>29</v>
      </c>
      <c r="S680">
        <v>8.0232225794926766</v>
      </c>
      <c r="T680" t="s">
        <v>78</v>
      </c>
    </row>
    <row r="681" spans="1:20" x14ac:dyDescent="0.25">
      <c r="A681" s="11">
        <v>44998</v>
      </c>
      <c r="B681" t="s">
        <v>58</v>
      </c>
      <c r="C681" t="s">
        <v>59</v>
      </c>
      <c r="D681" t="s">
        <v>48</v>
      </c>
      <c r="E681" t="s">
        <v>38</v>
      </c>
      <c r="F681">
        <v>478</v>
      </c>
      <c r="G681">
        <v>6.43</v>
      </c>
      <c r="H681">
        <v>3073.54</v>
      </c>
      <c r="I681" t="s">
        <v>26</v>
      </c>
      <c r="J681" t="s">
        <v>47</v>
      </c>
      <c r="K681" t="s">
        <v>41</v>
      </c>
      <c r="L681">
        <v>2654.27</v>
      </c>
      <c r="M681">
        <v>13.6</v>
      </c>
      <c r="N681">
        <v>2023</v>
      </c>
      <c r="O681">
        <v>1</v>
      </c>
      <c r="P681" t="s">
        <v>61</v>
      </c>
      <c r="Q681">
        <v>419.27</v>
      </c>
      <c r="R681" t="s">
        <v>29</v>
      </c>
      <c r="S681">
        <v>6.3306938249815161</v>
      </c>
      <c r="T681" t="s">
        <v>78</v>
      </c>
    </row>
    <row r="682" spans="1:20" x14ac:dyDescent="0.25">
      <c r="A682" s="11">
        <v>45073</v>
      </c>
      <c r="B682" t="s">
        <v>30</v>
      </c>
      <c r="C682" t="s">
        <v>31</v>
      </c>
      <c r="D682" t="s">
        <v>32</v>
      </c>
      <c r="E682" t="s">
        <v>20</v>
      </c>
      <c r="F682">
        <v>142</v>
      </c>
      <c r="G682">
        <v>11.17</v>
      </c>
      <c r="H682">
        <v>1586.14</v>
      </c>
      <c r="I682" t="s">
        <v>33</v>
      </c>
      <c r="J682" t="s">
        <v>27</v>
      </c>
      <c r="K682" t="s">
        <v>28</v>
      </c>
      <c r="L682">
        <v>1167.0899999999999</v>
      </c>
      <c r="M682">
        <v>26.4</v>
      </c>
      <c r="N682">
        <v>2023</v>
      </c>
      <c r="O682">
        <v>2</v>
      </c>
      <c r="P682" t="s">
        <v>67</v>
      </c>
      <c r="Q682">
        <v>419.05</v>
      </c>
      <c r="R682" t="s">
        <v>25</v>
      </c>
      <c r="S682">
        <v>2.7850853120152723</v>
      </c>
      <c r="T682" t="s">
        <v>78</v>
      </c>
    </row>
    <row r="683" spans="1:20" x14ac:dyDescent="0.25">
      <c r="A683" s="11">
        <v>45013</v>
      </c>
      <c r="B683" t="s">
        <v>35</v>
      </c>
      <c r="C683" t="s">
        <v>36</v>
      </c>
      <c r="D683" t="s">
        <v>53</v>
      </c>
      <c r="E683" t="s">
        <v>50</v>
      </c>
      <c r="F683">
        <v>255</v>
      </c>
      <c r="G683">
        <v>5.35</v>
      </c>
      <c r="H683">
        <v>1364.25</v>
      </c>
      <c r="I683" t="s">
        <v>26</v>
      </c>
      <c r="J683" t="s">
        <v>22</v>
      </c>
      <c r="K683" t="s">
        <v>41</v>
      </c>
      <c r="L683">
        <v>945.44</v>
      </c>
      <c r="M683">
        <v>30.7</v>
      </c>
      <c r="N683">
        <v>2023</v>
      </c>
      <c r="O683">
        <v>1</v>
      </c>
      <c r="P683" t="s">
        <v>62</v>
      </c>
      <c r="Q683">
        <v>418.81</v>
      </c>
      <c r="R683" t="s">
        <v>25</v>
      </c>
      <c r="S683">
        <v>2.2574437095580335</v>
      </c>
      <c r="T683" t="s">
        <v>78</v>
      </c>
    </row>
    <row r="684" spans="1:20" x14ac:dyDescent="0.25">
      <c r="A684" s="11">
        <v>45097</v>
      </c>
      <c r="B684" t="s">
        <v>35</v>
      </c>
      <c r="C684" t="s">
        <v>36</v>
      </c>
      <c r="D684" t="s">
        <v>19</v>
      </c>
      <c r="E684" t="s">
        <v>20</v>
      </c>
      <c r="F684">
        <v>573</v>
      </c>
      <c r="G684">
        <v>3.1</v>
      </c>
      <c r="H684">
        <v>1776.3</v>
      </c>
      <c r="I684" t="s">
        <v>57</v>
      </c>
      <c r="J684" t="s">
        <v>22</v>
      </c>
      <c r="K684" t="s">
        <v>28</v>
      </c>
      <c r="L684">
        <v>1359.65</v>
      </c>
      <c r="M684">
        <v>23.5</v>
      </c>
      <c r="N684">
        <v>2024</v>
      </c>
      <c r="O684">
        <v>2</v>
      </c>
      <c r="P684" t="s">
        <v>24</v>
      </c>
      <c r="Q684">
        <v>416.65</v>
      </c>
      <c r="R684" t="s">
        <v>29</v>
      </c>
      <c r="S684">
        <v>3.2632905316212653</v>
      </c>
      <c r="T684" t="s">
        <v>78</v>
      </c>
    </row>
    <row r="685" spans="1:20" x14ac:dyDescent="0.25">
      <c r="A685" s="11">
        <v>45000</v>
      </c>
      <c r="B685" t="s">
        <v>17</v>
      </c>
      <c r="C685" t="s">
        <v>18</v>
      </c>
      <c r="D685" t="s">
        <v>53</v>
      </c>
      <c r="E685" t="s">
        <v>50</v>
      </c>
      <c r="F685">
        <v>417</v>
      </c>
      <c r="G685">
        <v>6.95</v>
      </c>
      <c r="H685">
        <v>2898.15</v>
      </c>
      <c r="I685" t="s">
        <v>54</v>
      </c>
      <c r="J685" t="s">
        <v>56</v>
      </c>
      <c r="K685" t="s">
        <v>23</v>
      </c>
      <c r="L685">
        <v>2483.0500000000002</v>
      </c>
      <c r="M685">
        <v>14.3</v>
      </c>
      <c r="N685">
        <v>2023</v>
      </c>
      <c r="O685">
        <v>1</v>
      </c>
      <c r="P685" t="s">
        <v>61</v>
      </c>
      <c r="Q685">
        <v>415.1</v>
      </c>
      <c r="R685" t="s">
        <v>29</v>
      </c>
      <c r="S685">
        <v>5.9818116116598414</v>
      </c>
      <c r="T685" t="s">
        <v>78</v>
      </c>
    </row>
    <row r="686" spans="1:20" x14ac:dyDescent="0.25">
      <c r="A686" s="11">
        <v>45072</v>
      </c>
      <c r="B686" t="s">
        <v>51</v>
      </c>
      <c r="C686" t="s">
        <v>52</v>
      </c>
      <c r="D686" t="s">
        <v>45</v>
      </c>
      <c r="E686" t="s">
        <v>20</v>
      </c>
      <c r="F686">
        <v>107</v>
      </c>
      <c r="G686">
        <v>11.33</v>
      </c>
      <c r="H686">
        <v>1212.31</v>
      </c>
      <c r="I686" t="s">
        <v>55</v>
      </c>
      <c r="J686" t="s">
        <v>47</v>
      </c>
      <c r="K686" t="s">
        <v>28</v>
      </c>
      <c r="L686">
        <v>798.19</v>
      </c>
      <c r="M686">
        <v>34.200000000000003</v>
      </c>
      <c r="N686">
        <v>2023</v>
      </c>
      <c r="O686">
        <v>2</v>
      </c>
      <c r="P686" t="s">
        <v>66</v>
      </c>
      <c r="Q686">
        <v>414.12</v>
      </c>
      <c r="R686" t="s">
        <v>25</v>
      </c>
      <c r="S686">
        <v>1.9274364918381146</v>
      </c>
      <c r="T686" t="s">
        <v>78</v>
      </c>
    </row>
    <row r="687" spans="1:20" x14ac:dyDescent="0.25">
      <c r="A687" s="11">
        <v>45037</v>
      </c>
      <c r="B687" t="s">
        <v>35</v>
      </c>
      <c r="C687" t="s">
        <v>36</v>
      </c>
      <c r="D687" t="s">
        <v>48</v>
      </c>
      <c r="E687" t="s">
        <v>38</v>
      </c>
      <c r="F687">
        <v>258</v>
      </c>
      <c r="G687">
        <v>5.88</v>
      </c>
      <c r="H687">
        <v>1517.04</v>
      </c>
      <c r="I687" t="s">
        <v>33</v>
      </c>
      <c r="J687" t="s">
        <v>34</v>
      </c>
      <c r="K687" t="s">
        <v>28</v>
      </c>
      <c r="L687">
        <v>1103.94</v>
      </c>
      <c r="M687">
        <v>27.2</v>
      </c>
      <c r="N687">
        <v>2023</v>
      </c>
      <c r="O687">
        <v>2</v>
      </c>
      <c r="P687" t="s">
        <v>63</v>
      </c>
      <c r="Q687">
        <v>413.1</v>
      </c>
      <c r="R687" t="s">
        <v>25</v>
      </c>
      <c r="S687">
        <v>2.672331154684096</v>
      </c>
      <c r="T687" t="s">
        <v>78</v>
      </c>
    </row>
    <row r="688" spans="1:20" x14ac:dyDescent="0.25">
      <c r="A688" s="11">
        <v>44984</v>
      </c>
      <c r="B688" t="s">
        <v>30</v>
      </c>
      <c r="C688" t="s">
        <v>31</v>
      </c>
      <c r="D688" t="s">
        <v>44</v>
      </c>
      <c r="E688" t="s">
        <v>38</v>
      </c>
      <c r="F688">
        <v>148</v>
      </c>
      <c r="G688">
        <v>7.24</v>
      </c>
      <c r="H688">
        <v>1071.52</v>
      </c>
      <c r="I688" t="s">
        <v>33</v>
      </c>
      <c r="J688" t="s">
        <v>27</v>
      </c>
      <c r="K688" t="s">
        <v>28</v>
      </c>
      <c r="L688">
        <v>661.05</v>
      </c>
      <c r="M688">
        <v>38.299999999999997</v>
      </c>
      <c r="N688">
        <v>2023</v>
      </c>
      <c r="O688">
        <v>1</v>
      </c>
      <c r="P688" t="s">
        <v>61</v>
      </c>
      <c r="Q688">
        <v>410.47</v>
      </c>
      <c r="R688" t="s">
        <v>25</v>
      </c>
      <c r="S688">
        <v>1.6104709235754133</v>
      </c>
      <c r="T688" t="s">
        <v>78</v>
      </c>
    </row>
    <row r="689" spans="1:20" x14ac:dyDescent="0.25">
      <c r="A689" s="11">
        <v>45049</v>
      </c>
      <c r="B689" t="s">
        <v>51</v>
      </c>
      <c r="C689" t="s">
        <v>52</v>
      </c>
      <c r="D689" t="s">
        <v>37</v>
      </c>
      <c r="E689" t="s">
        <v>38</v>
      </c>
      <c r="F689">
        <v>123</v>
      </c>
      <c r="G689">
        <v>11.16</v>
      </c>
      <c r="H689">
        <v>1372.68</v>
      </c>
      <c r="I689" t="s">
        <v>57</v>
      </c>
      <c r="J689" t="s">
        <v>56</v>
      </c>
      <c r="K689" t="s">
        <v>28</v>
      </c>
      <c r="L689">
        <v>965.87</v>
      </c>
      <c r="M689">
        <v>29.6</v>
      </c>
      <c r="N689">
        <v>2023</v>
      </c>
      <c r="O689">
        <v>2</v>
      </c>
      <c r="P689" t="s">
        <v>64</v>
      </c>
      <c r="Q689">
        <v>406.81</v>
      </c>
      <c r="R689" t="s">
        <v>25</v>
      </c>
      <c r="S689">
        <v>2.3742533369386201</v>
      </c>
      <c r="T689" t="s">
        <v>78</v>
      </c>
    </row>
    <row r="690" spans="1:20" x14ac:dyDescent="0.25">
      <c r="A690" s="11">
        <v>44961</v>
      </c>
      <c r="B690" t="s">
        <v>51</v>
      </c>
      <c r="C690" t="s">
        <v>52</v>
      </c>
      <c r="D690" t="s">
        <v>45</v>
      </c>
      <c r="E690" t="s">
        <v>20</v>
      </c>
      <c r="F690">
        <v>137</v>
      </c>
      <c r="G690">
        <v>10.23</v>
      </c>
      <c r="H690">
        <v>1401.51</v>
      </c>
      <c r="I690" t="s">
        <v>57</v>
      </c>
      <c r="J690" t="s">
        <v>47</v>
      </c>
      <c r="K690" t="s">
        <v>41</v>
      </c>
      <c r="L690">
        <v>995.01</v>
      </c>
      <c r="M690">
        <v>29</v>
      </c>
      <c r="N690">
        <v>2023</v>
      </c>
      <c r="O690">
        <v>1</v>
      </c>
      <c r="P690" t="s">
        <v>60</v>
      </c>
      <c r="Q690">
        <v>406.5</v>
      </c>
      <c r="R690" t="s">
        <v>25</v>
      </c>
      <c r="S690">
        <v>2.4477490774907751</v>
      </c>
      <c r="T690" t="s">
        <v>78</v>
      </c>
    </row>
    <row r="691" spans="1:20" x14ac:dyDescent="0.25">
      <c r="A691" s="11">
        <v>45055</v>
      </c>
      <c r="B691" t="s">
        <v>42</v>
      </c>
      <c r="C691" t="s">
        <v>43</v>
      </c>
      <c r="D691" t="s">
        <v>37</v>
      </c>
      <c r="E691" t="s">
        <v>38</v>
      </c>
      <c r="F691">
        <v>317</v>
      </c>
      <c r="G691">
        <v>6.03</v>
      </c>
      <c r="H691">
        <v>1911.51</v>
      </c>
      <c r="I691" t="s">
        <v>26</v>
      </c>
      <c r="J691" t="s">
        <v>47</v>
      </c>
      <c r="K691" t="s">
        <v>28</v>
      </c>
      <c r="L691">
        <v>1505.37</v>
      </c>
      <c r="M691">
        <v>21.2</v>
      </c>
      <c r="N691">
        <v>2023</v>
      </c>
      <c r="O691">
        <v>2</v>
      </c>
      <c r="P691" t="s">
        <v>65</v>
      </c>
      <c r="Q691">
        <v>406.14</v>
      </c>
      <c r="R691" t="s">
        <v>29</v>
      </c>
      <c r="S691">
        <v>3.7065297680602747</v>
      </c>
      <c r="T691" t="s">
        <v>78</v>
      </c>
    </row>
    <row r="692" spans="1:20" x14ac:dyDescent="0.25">
      <c r="A692" s="11">
        <v>44930</v>
      </c>
      <c r="B692" t="s">
        <v>42</v>
      </c>
      <c r="C692" t="s">
        <v>43</v>
      </c>
      <c r="D692" t="s">
        <v>37</v>
      </c>
      <c r="E692" t="s">
        <v>38</v>
      </c>
      <c r="F692">
        <v>316</v>
      </c>
      <c r="G692">
        <v>11.31</v>
      </c>
      <c r="H692">
        <v>3573.96</v>
      </c>
      <c r="I692" t="s">
        <v>46</v>
      </c>
      <c r="J692" t="s">
        <v>40</v>
      </c>
      <c r="K692" t="s">
        <v>41</v>
      </c>
      <c r="L692">
        <v>3168.79</v>
      </c>
      <c r="M692">
        <v>11.3</v>
      </c>
      <c r="N692">
        <v>2023</v>
      </c>
      <c r="O692">
        <v>1</v>
      </c>
      <c r="P692" t="s">
        <v>24</v>
      </c>
      <c r="Q692">
        <v>405.17</v>
      </c>
      <c r="R692" t="s">
        <v>29</v>
      </c>
      <c r="S692">
        <v>7.82088999679147</v>
      </c>
      <c r="T692" t="s">
        <v>78</v>
      </c>
    </row>
    <row r="693" spans="1:20" x14ac:dyDescent="0.25">
      <c r="A693" s="11">
        <v>45037</v>
      </c>
      <c r="B693" t="s">
        <v>42</v>
      </c>
      <c r="C693" t="s">
        <v>43</v>
      </c>
      <c r="D693" t="s">
        <v>53</v>
      </c>
      <c r="E693" t="s">
        <v>50</v>
      </c>
      <c r="F693">
        <v>393</v>
      </c>
      <c r="G693">
        <v>6.37</v>
      </c>
      <c r="H693">
        <v>2503.41</v>
      </c>
      <c r="I693" t="s">
        <v>33</v>
      </c>
      <c r="J693" t="s">
        <v>34</v>
      </c>
      <c r="K693" t="s">
        <v>28</v>
      </c>
      <c r="L693">
        <v>2100.84</v>
      </c>
      <c r="M693">
        <v>16.100000000000001</v>
      </c>
      <c r="N693">
        <v>2023</v>
      </c>
      <c r="O693">
        <v>2</v>
      </c>
      <c r="P693" t="s">
        <v>63</v>
      </c>
      <c r="Q693">
        <v>402.57</v>
      </c>
      <c r="R693" t="s">
        <v>29</v>
      </c>
      <c r="S693">
        <v>5.2185706833594159</v>
      </c>
      <c r="T693" t="s">
        <v>78</v>
      </c>
    </row>
    <row r="694" spans="1:20" x14ac:dyDescent="0.25">
      <c r="A694" s="11">
        <v>45094</v>
      </c>
      <c r="B694" t="s">
        <v>17</v>
      </c>
      <c r="C694" t="s">
        <v>18</v>
      </c>
      <c r="D694" t="s">
        <v>53</v>
      </c>
      <c r="E694" t="s">
        <v>50</v>
      </c>
      <c r="F694">
        <v>823</v>
      </c>
      <c r="G694">
        <v>4.0199999999999996</v>
      </c>
      <c r="H694">
        <v>3308.46</v>
      </c>
      <c r="I694" t="s">
        <v>21</v>
      </c>
      <c r="J694" t="s">
        <v>22</v>
      </c>
      <c r="K694" t="s">
        <v>23</v>
      </c>
      <c r="L694">
        <v>2905.97</v>
      </c>
      <c r="M694">
        <v>12.2</v>
      </c>
      <c r="N694">
        <v>2023</v>
      </c>
      <c r="O694">
        <v>2</v>
      </c>
      <c r="P694" t="s">
        <v>70</v>
      </c>
      <c r="Q694">
        <v>402.49</v>
      </c>
      <c r="R694" t="s">
        <v>29</v>
      </c>
      <c r="S694">
        <v>7.2199806206365365</v>
      </c>
      <c r="T694" t="s">
        <v>78</v>
      </c>
    </row>
    <row r="695" spans="1:20" x14ac:dyDescent="0.25">
      <c r="A695" s="11">
        <v>45085</v>
      </c>
      <c r="B695" t="s">
        <v>30</v>
      </c>
      <c r="C695" t="s">
        <v>31</v>
      </c>
      <c r="D695" t="s">
        <v>19</v>
      </c>
      <c r="E695" t="s">
        <v>20</v>
      </c>
      <c r="F695">
        <v>309</v>
      </c>
      <c r="G695">
        <v>8.01</v>
      </c>
      <c r="H695">
        <v>2475.09</v>
      </c>
      <c r="I695" t="s">
        <v>46</v>
      </c>
      <c r="J695" t="s">
        <v>27</v>
      </c>
      <c r="K695" t="s">
        <v>23</v>
      </c>
      <c r="L695">
        <v>2074.92</v>
      </c>
      <c r="M695">
        <v>16.2</v>
      </c>
      <c r="N695">
        <v>2023</v>
      </c>
      <c r="O695">
        <v>2</v>
      </c>
      <c r="P695" t="s">
        <v>68</v>
      </c>
      <c r="Q695">
        <v>400.17</v>
      </c>
      <c r="R695" t="s">
        <v>29</v>
      </c>
      <c r="S695">
        <v>5.1850963340580254</v>
      </c>
      <c r="T695" t="s">
        <v>78</v>
      </c>
    </row>
    <row r="696" spans="1:20" x14ac:dyDescent="0.25">
      <c r="A696" s="11">
        <v>45029</v>
      </c>
      <c r="B696" t="s">
        <v>35</v>
      </c>
      <c r="C696" t="s">
        <v>36</v>
      </c>
      <c r="D696" t="s">
        <v>32</v>
      </c>
      <c r="E696" t="s">
        <v>20</v>
      </c>
      <c r="F696">
        <v>202</v>
      </c>
      <c r="G696">
        <v>9.8800000000000008</v>
      </c>
      <c r="H696">
        <v>1995.76</v>
      </c>
      <c r="I696" t="s">
        <v>33</v>
      </c>
      <c r="J696" t="s">
        <v>56</v>
      </c>
      <c r="K696" t="s">
        <v>23</v>
      </c>
      <c r="L696">
        <v>1598.34</v>
      </c>
      <c r="M696">
        <v>19.899999999999999</v>
      </c>
      <c r="N696">
        <v>2023</v>
      </c>
      <c r="O696">
        <v>2</v>
      </c>
      <c r="P696" t="s">
        <v>63</v>
      </c>
      <c r="Q696">
        <v>397.42</v>
      </c>
      <c r="R696" t="s">
        <v>29</v>
      </c>
      <c r="S696">
        <v>4.0217905490413157</v>
      </c>
      <c r="T696" t="s">
        <v>78</v>
      </c>
    </row>
    <row r="697" spans="1:20" x14ac:dyDescent="0.25">
      <c r="A697" s="11">
        <v>45118</v>
      </c>
      <c r="B697" t="s">
        <v>42</v>
      </c>
      <c r="C697" t="s">
        <v>43</v>
      </c>
      <c r="D697" t="s">
        <v>48</v>
      </c>
      <c r="E697" t="s">
        <v>38</v>
      </c>
      <c r="F697">
        <v>272</v>
      </c>
      <c r="G697">
        <v>11.65</v>
      </c>
      <c r="H697">
        <v>3168.8</v>
      </c>
      <c r="I697" t="s">
        <v>54</v>
      </c>
      <c r="J697" t="s">
        <v>34</v>
      </c>
      <c r="K697" t="s">
        <v>41</v>
      </c>
      <c r="L697">
        <v>2771.94</v>
      </c>
      <c r="M697">
        <v>12.5</v>
      </c>
      <c r="N697">
        <v>2024</v>
      </c>
      <c r="O697">
        <v>3</v>
      </c>
      <c r="P697" t="s">
        <v>64</v>
      </c>
      <c r="Q697">
        <v>396.86</v>
      </c>
      <c r="R697" t="s">
        <v>29</v>
      </c>
      <c r="S697">
        <v>6.9846797359270267</v>
      </c>
      <c r="T697" t="s">
        <v>78</v>
      </c>
    </row>
    <row r="698" spans="1:20" x14ac:dyDescent="0.25">
      <c r="A698" s="11">
        <v>44927</v>
      </c>
      <c r="B698" t="s">
        <v>42</v>
      </c>
      <c r="C698" t="s">
        <v>43</v>
      </c>
      <c r="D698" t="s">
        <v>44</v>
      </c>
      <c r="E698" t="s">
        <v>38</v>
      </c>
      <c r="F698">
        <v>436</v>
      </c>
      <c r="G698">
        <v>2.31</v>
      </c>
      <c r="H698">
        <v>1007.16</v>
      </c>
      <c r="I698" t="s">
        <v>26</v>
      </c>
      <c r="J698" t="s">
        <v>34</v>
      </c>
      <c r="K698" t="s">
        <v>28</v>
      </c>
      <c r="L698">
        <v>612.05999999999995</v>
      </c>
      <c r="M698">
        <v>39.200000000000003</v>
      </c>
      <c r="N698">
        <v>2023</v>
      </c>
      <c r="O698">
        <v>1</v>
      </c>
      <c r="P698" t="s">
        <v>24</v>
      </c>
      <c r="Q698">
        <v>395.1</v>
      </c>
      <c r="R698" t="s">
        <v>25</v>
      </c>
      <c r="S698">
        <v>1.5491268033409262</v>
      </c>
      <c r="T698" t="s">
        <v>78</v>
      </c>
    </row>
    <row r="699" spans="1:20" x14ac:dyDescent="0.25">
      <c r="A699" s="11">
        <v>45090</v>
      </c>
      <c r="B699" t="s">
        <v>35</v>
      </c>
      <c r="C699" t="s">
        <v>36</v>
      </c>
      <c r="D699" t="s">
        <v>32</v>
      </c>
      <c r="E699" t="s">
        <v>20</v>
      </c>
      <c r="F699">
        <v>742</v>
      </c>
      <c r="G699">
        <v>5.27</v>
      </c>
      <c r="H699">
        <v>3910.34</v>
      </c>
      <c r="I699" t="s">
        <v>46</v>
      </c>
      <c r="J699" t="s">
        <v>22</v>
      </c>
      <c r="K699" t="s">
        <v>23</v>
      </c>
      <c r="L699">
        <v>3515.43</v>
      </c>
      <c r="M699">
        <v>10.1</v>
      </c>
      <c r="N699">
        <v>2023</v>
      </c>
      <c r="O699">
        <v>2</v>
      </c>
      <c r="P699" t="s">
        <v>69</v>
      </c>
      <c r="Q699">
        <v>394.91</v>
      </c>
      <c r="R699" t="s">
        <v>29</v>
      </c>
      <c r="S699">
        <v>8.9018510546706828</v>
      </c>
      <c r="T699" t="s">
        <v>78</v>
      </c>
    </row>
    <row r="700" spans="1:20" x14ac:dyDescent="0.25">
      <c r="A700" s="11">
        <v>44933</v>
      </c>
      <c r="B700" t="s">
        <v>58</v>
      </c>
      <c r="C700" t="s">
        <v>59</v>
      </c>
      <c r="D700" t="s">
        <v>49</v>
      </c>
      <c r="E700" t="s">
        <v>50</v>
      </c>
      <c r="F700">
        <v>827</v>
      </c>
      <c r="G700">
        <v>2.0099999999999998</v>
      </c>
      <c r="H700">
        <v>1662.27</v>
      </c>
      <c r="I700" t="s">
        <v>57</v>
      </c>
      <c r="J700" t="s">
        <v>56</v>
      </c>
      <c r="K700" t="s">
        <v>41</v>
      </c>
      <c r="L700">
        <v>1272.55</v>
      </c>
      <c r="M700">
        <v>23.4</v>
      </c>
      <c r="N700">
        <v>2023</v>
      </c>
      <c r="O700">
        <v>1</v>
      </c>
      <c r="P700" t="s">
        <v>24</v>
      </c>
      <c r="Q700">
        <v>389.72</v>
      </c>
      <c r="R700" t="s">
        <v>29</v>
      </c>
      <c r="S700">
        <v>3.2652930308939747</v>
      </c>
      <c r="T700" t="s">
        <v>78</v>
      </c>
    </row>
    <row r="701" spans="1:20" x14ac:dyDescent="0.25">
      <c r="A701" s="11">
        <v>45077</v>
      </c>
      <c r="B701" t="s">
        <v>42</v>
      </c>
      <c r="C701" t="s">
        <v>43</v>
      </c>
      <c r="D701" t="s">
        <v>19</v>
      </c>
      <c r="E701" t="s">
        <v>20</v>
      </c>
      <c r="F701">
        <v>320</v>
      </c>
      <c r="G701">
        <v>3.16</v>
      </c>
      <c r="H701">
        <v>1011.2</v>
      </c>
      <c r="I701" t="s">
        <v>57</v>
      </c>
      <c r="J701" t="s">
        <v>34</v>
      </c>
      <c r="K701" t="s">
        <v>23</v>
      </c>
      <c r="L701">
        <v>621.53</v>
      </c>
      <c r="M701">
        <v>38.5</v>
      </c>
      <c r="N701">
        <v>2023</v>
      </c>
      <c r="O701">
        <v>2</v>
      </c>
      <c r="P701" t="s">
        <v>67</v>
      </c>
      <c r="Q701">
        <v>389.67</v>
      </c>
      <c r="R701" t="s">
        <v>25</v>
      </c>
      <c r="S701">
        <v>1.5950162958400698</v>
      </c>
      <c r="T701" t="s">
        <v>78</v>
      </c>
    </row>
    <row r="702" spans="1:20" x14ac:dyDescent="0.25">
      <c r="A702" s="11">
        <v>44930</v>
      </c>
      <c r="B702" t="s">
        <v>42</v>
      </c>
      <c r="C702" t="s">
        <v>43</v>
      </c>
      <c r="D702" t="s">
        <v>49</v>
      </c>
      <c r="E702" t="s">
        <v>50</v>
      </c>
      <c r="F702">
        <v>471</v>
      </c>
      <c r="G702">
        <v>2.0499999999999998</v>
      </c>
      <c r="H702">
        <v>965.55</v>
      </c>
      <c r="I702" t="s">
        <v>55</v>
      </c>
      <c r="J702" t="s">
        <v>27</v>
      </c>
      <c r="K702" t="s">
        <v>23</v>
      </c>
      <c r="L702">
        <v>579.69000000000005</v>
      </c>
      <c r="M702">
        <v>40</v>
      </c>
      <c r="N702">
        <v>2023</v>
      </c>
      <c r="O702">
        <v>1</v>
      </c>
      <c r="P702" t="s">
        <v>24</v>
      </c>
      <c r="Q702">
        <v>385.86</v>
      </c>
      <c r="R702" t="s">
        <v>25</v>
      </c>
      <c r="S702">
        <v>1.5023324521847303</v>
      </c>
      <c r="T702" t="s">
        <v>78</v>
      </c>
    </row>
    <row r="703" spans="1:20" x14ac:dyDescent="0.25">
      <c r="A703" s="11">
        <v>44963</v>
      </c>
      <c r="B703" t="s">
        <v>58</v>
      </c>
      <c r="C703" t="s">
        <v>59</v>
      </c>
      <c r="D703" t="s">
        <v>48</v>
      </c>
      <c r="E703" t="s">
        <v>38</v>
      </c>
      <c r="F703">
        <v>485</v>
      </c>
      <c r="G703">
        <v>6.42</v>
      </c>
      <c r="H703">
        <v>3113.7</v>
      </c>
      <c r="I703" t="s">
        <v>21</v>
      </c>
      <c r="J703" t="s">
        <v>56</v>
      </c>
      <c r="K703" t="s">
        <v>23</v>
      </c>
      <c r="L703">
        <v>2729.02</v>
      </c>
      <c r="M703">
        <v>12.4</v>
      </c>
      <c r="N703">
        <v>2023</v>
      </c>
      <c r="O703">
        <v>1</v>
      </c>
      <c r="P703" t="s">
        <v>60</v>
      </c>
      <c r="Q703">
        <v>384.68</v>
      </c>
      <c r="R703" t="s">
        <v>29</v>
      </c>
      <c r="S703">
        <v>7.0942601642923986</v>
      </c>
      <c r="T703" t="s">
        <v>78</v>
      </c>
    </row>
    <row r="704" spans="1:20" x14ac:dyDescent="0.25">
      <c r="A704" s="11">
        <v>45063</v>
      </c>
      <c r="B704" t="s">
        <v>42</v>
      </c>
      <c r="C704" t="s">
        <v>43</v>
      </c>
      <c r="D704" t="s">
        <v>53</v>
      </c>
      <c r="E704" t="s">
        <v>50</v>
      </c>
      <c r="F704">
        <v>958</v>
      </c>
      <c r="G704">
        <v>3.88</v>
      </c>
      <c r="H704">
        <v>3717.04</v>
      </c>
      <c r="I704" t="s">
        <v>39</v>
      </c>
      <c r="J704" t="s">
        <v>47</v>
      </c>
      <c r="K704" t="s">
        <v>41</v>
      </c>
      <c r="L704">
        <v>3332.5</v>
      </c>
      <c r="M704">
        <v>10.3</v>
      </c>
      <c r="N704">
        <v>2023</v>
      </c>
      <c r="O704">
        <v>2</v>
      </c>
      <c r="P704" t="s">
        <v>65</v>
      </c>
      <c r="Q704">
        <v>384.54</v>
      </c>
      <c r="R704" t="s">
        <v>29</v>
      </c>
      <c r="S704">
        <v>8.6661985749206831</v>
      </c>
      <c r="T704" t="s">
        <v>78</v>
      </c>
    </row>
    <row r="705" spans="1:20" x14ac:dyDescent="0.25">
      <c r="A705" s="11">
        <v>44979</v>
      </c>
      <c r="B705" t="s">
        <v>35</v>
      </c>
      <c r="C705" t="s">
        <v>36</v>
      </c>
      <c r="D705" t="s">
        <v>45</v>
      </c>
      <c r="E705" t="s">
        <v>20</v>
      </c>
      <c r="F705">
        <v>712</v>
      </c>
      <c r="G705">
        <v>4.28</v>
      </c>
      <c r="H705">
        <v>3047.36</v>
      </c>
      <c r="I705" t="s">
        <v>39</v>
      </c>
      <c r="J705" t="s">
        <v>27</v>
      </c>
      <c r="K705" t="s">
        <v>28</v>
      </c>
      <c r="L705">
        <v>2662.97</v>
      </c>
      <c r="M705">
        <v>12.6</v>
      </c>
      <c r="N705">
        <v>2023</v>
      </c>
      <c r="O705">
        <v>1</v>
      </c>
      <c r="P705" t="s">
        <v>61</v>
      </c>
      <c r="Q705">
        <v>384.39</v>
      </c>
      <c r="R705" t="s">
        <v>29</v>
      </c>
      <c r="S705">
        <v>6.9277816800645171</v>
      </c>
      <c r="T705" t="s">
        <v>78</v>
      </c>
    </row>
    <row r="706" spans="1:20" x14ac:dyDescent="0.25">
      <c r="A706" s="11">
        <v>45022</v>
      </c>
      <c r="B706" t="s">
        <v>51</v>
      </c>
      <c r="C706" t="s">
        <v>52</v>
      </c>
      <c r="D706" t="s">
        <v>19</v>
      </c>
      <c r="E706" t="s">
        <v>20</v>
      </c>
      <c r="F706">
        <v>895</v>
      </c>
      <c r="G706">
        <v>2.11</v>
      </c>
      <c r="H706">
        <v>1888.45</v>
      </c>
      <c r="I706" t="s">
        <v>57</v>
      </c>
      <c r="J706" t="s">
        <v>40</v>
      </c>
      <c r="K706" t="s">
        <v>28</v>
      </c>
      <c r="L706">
        <v>1506.31</v>
      </c>
      <c r="M706">
        <v>20.2</v>
      </c>
      <c r="N706">
        <v>2023</v>
      </c>
      <c r="O706">
        <v>2</v>
      </c>
      <c r="P706" t="s">
        <v>62</v>
      </c>
      <c r="Q706">
        <v>382.14</v>
      </c>
      <c r="R706" t="s">
        <v>29</v>
      </c>
      <c r="S706">
        <v>3.9417752656094627</v>
      </c>
      <c r="T706" t="s">
        <v>78</v>
      </c>
    </row>
    <row r="707" spans="1:20" x14ac:dyDescent="0.25">
      <c r="A707" s="11">
        <v>45028</v>
      </c>
      <c r="B707" t="s">
        <v>35</v>
      </c>
      <c r="C707" t="s">
        <v>36</v>
      </c>
      <c r="D707" t="s">
        <v>48</v>
      </c>
      <c r="E707" t="s">
        <v>38</v>
      </c>
      <c r="F707">
        <v>436</v>
      </c>
      <c r="G707">
        <v>3.89</v>
      </c>
      <c r="H707">
        <v>1696.04</v>
      </c>
      <c r="I707" t="s">
        <v>54</v>
      </c>
      <c r="J707" t="s">
        <v>22</v>
      </c>
      <c r="K707" t="s">
        <v>41</v>
      </c>
      <c r="L707">
        <v>1315.81</v>
      </c>
      <c r="M707">
        <v>22.4</v>
      </c>
      <c r="N707">
        <v>2023</v>
      </c>
      <c r="O707">
        <v>2</v>
      </c>
      <c r="P707" t="s">
        <v>63</v>
      </c>
      <c r="Q707">
        <v>380.23</v>
      </c>
      <c r="R707" t="s">
        <v>29</v>
      </c>
      <c r="S707">
        <v>3.4605633432396177</v>
      </c>
      <c r="T707" t="s">
        <v>78</v>
      </c>
    </row>
    <row r="708" spans="1:20" x14ac:dyDescent="0.25">
      <c r="A708" s="11">
        <v>44962</v>
      </c>
      <c r="B708" t="s">
        <v>35</v>
      </c>
      <c r="C708" t="s">
        <v>36</v>
      </c>
      <c r="D708" t="s">
        <v>37</v>
      </c>
      <c r="E708" t="s">
        <v>38</v>
      </c>
      <c r="F708">
        <v>591</v>
      </c>
      <c r="G708">
        <v>5.17</v>
      </c>
      <c r="H708">
        <v>3055.47</v>
      </c>
      <c r="I708" t="s">
        <v>57</v>
      </c>
      <c r="J708" t="s">
        <v>47</v>
      </c>
      <c r="K708" t="s">
        <v>28</v>
      </c>
      <c r="L708">
        <v>2676.92</v>
      </c>
      <c r="M708">
        <v>12.4</v>
      </c>
      <c r="N708">
        <v>2023</v>
      </c>
      <c r="O708">
        <v>1</v>
      </c>
      <c r="P708" t="s">
        <v>60</v>
      </c>
      <c r="Q708">
        <v>378.55</v>
      </c>
      <c r="R708" t="s">
        <v>29</v>
      </c>
      <c r="S708">
        <v>7.0715097080966851</v>
      </c>
      <c r="T708" t="s">
        <v>78</v>
      </c>
    </row>
    <row r="709" spans="1:20" x14ac:dyDescent="0.25">
      <c r="A709" s="11">
        <v>44975</v>
      </c>
      <c r="B709" t="s">
        <v>17</v>
      </c>
      <c r="C709" t="s">
        <v>18</v>
      </c>
      <c r="D709" t="s">
        <v>49</v>
      </c>
      <c r="E709" t="s">
        <v>50</v>
      </c>
      <c r="F709">
        <v>218</v>
      </c>
      <c r="G709">
        <v>4.75</v>
      </c>
      <c r="H709">
        <v>1035.5</v>
      </c>
      <c r="I709" t="s">
        <v>33</v>
      </c>
      <c r="J709" t="s">
        <v>27</v>
      </c>
      <c r="K709" t="s">
        <v>41</v>
      </c>
      <c r="L709">
        <v>660.54</v>
      </c>
      <c r="M709">
        <v>36.200000000000003</v>
      </c>
      <c r="N709">
        <v>2023</v>
      </c>
      <c r="O709">
        <v>1</v>
      </c>
      <c r="P709" t="s">
        <v>60</v>
      </c>
      <c r="Q709">
        <v>374.96</v>
      </c>
      <c r="R709" t="s">
        <v>25</v>
      </c>
      <c r="S709">
        <v>1.7616279069767442</v>
      </c>
      <c r="T709" t="s">
        <v>78</v>
      </c>
    </row>
    <row r="710" spans="1:20" x14ac:dyDescent="0.25">
      <c r="A710" s="11">
        <v>45024</v>
      </c>
      <c r="B710" t="s">
        <v>17</v>
      </c>
      <c r="C710" t="s">
        <v>18</v>
      </c>
      <c r="D710" t="s">
        <v>53</v>
      </c>
      <c r="E710" t="s">
        <v>50</v>
      </c>
      <c r="F710">
        <v>144</v>
      </c>
      <c r="G710">
        <v>9.58</v>
      </c>
      <c r="H710">
        <v>1379.52</v>
      </c>
      <c r="I710" t="s">
        <v>55</v>
      </c>
      <c r="J710" t="s">
        <v>56</v>
      </c>
      <c r="K710" t="s">
        <v>28</v>
      </c>
      <c r="L710">
        <v>1004.73</v>
      </c>
      <c r="M710">
        <v>27.2</v>
      </c>
      <c r="N710">
        <v>2023</v>
      </c>
      <c r="O710">
        <v>2</v>
      </c>
      <c r="P710" t="s">
        <v>63</v>
      </c>
      <c r="Q710">
        <v>374.79</v>
      </c>
      <c r="R710" t="s">
        <v>25</v>
      </c>
      <c r="S710">
        <v>2.680781237492996</v>
      </c>
      <c r="T710" t="s">
        <v>78</v>
      </c>
    </row>
    <row r="711" spans="1:20" x14ac:dyDescent="0.25">
      <c r="A711" s="11">
        <v>45121</v>
      </c>
      <c r="B711" t="s">
        <v>35</v>
      </c>
      <c r="C711" t="s">
        <v>36</v>
      </c>
      <c r="D711" t="s">
        <v>32</v>
      </c>
      <c r="E711" t="s">
        <v>20</v>
      </c>
      <c r="F711">
        <v>373</v>
      </c>
      <c r="G711">
        <v>6.79</v>
      </c>
      <c r="H711">
        <v>2532.67</v>
      </c>
      <c r="I711" t="s">
        <v>21</v>
      </c>
      <c r="J711" t="s">
        <v>40</v>
      </c>
      <c r="K711" t="s">
        <v>28</v>
      </c>
      <c r="L711">
        <v>2158.09</v>
      </c>
      <c r="M711">
        <v>14.8</v>
      </c>
      <c r="N711">
        <v>2024</v>
      </c>
      <c r="O711">
        <v>3</v>
      </c>
      <c r="P711" t="s">
        <v>66</v>
      </c>
      <c r="Q711">
        <v>374.58</v>
      </c>
      <c r="R711" t="s">
        <v>29</v>
      </c>
      <c r="S711">
        <v>5.7613593891825516</v>
      </c>
      <c r="T711" t="s">
        <v>78</v>
      </c>
    </row>
    <row r="712" spans="1:20" x14ac:dyDescent="0.25">
      <c r="A712" s="11">
        <v>45054</v>
      </c>
      <c r="B712" t="s">
        <v>17</v>
      </c>
      <c r="C712" t="s">
        <v>18</v>
      </c>
      <c r="D712" t="s">
        <v>37</v>
      </c>
      <c r="E712" t="s">
        <v>38</v>
      </c>
      <c r="F712">
        <v>276</v>
      </c>
      <c r="G712">
        <v>5.45</v>
      </c>
      <c r="H712">
        <v>1504.2</v>
      </c>
      <c r="I712" t="s">
        <v>33</v>
      </c>
      <c r="J712" t="s">
        <v>22</v>
      </c>
      <c r="K712" t="s">
        <v>28</v>
      </c>
      <c r="L712">
        <v>1131.6099999999999</v>
      </c>
      <c r="M712">
        <v>24.8</v>
      </c>
      <c r="N712">
        <v>2023</v>
      </c>
      <c r="O712">
        <v>2</v>
      </c>
      <c r="P712" t="s">
        <v>65</v>
      </c>
      <c r="Q712">
        <v>372.59</v>
      </c>
      <c r="R712" t="s">
        <v>29</v>
      </c>
      <c r="S712">
        <v>3.0371453876915644</v>
      </c>
      <c r="T712" t="s">
        <v>78</v>
      </c>
    </row>
    <row r="713" spans="1:20" x14ac:dyDescent="0.25">
      <c r="A713" s="11">
        <v>45120</v>
      </c>
      <c r="B713" t="s">
        <v>42</v>
      </c>
      <c r="C713" t="s">
        <v>43</v>
      </c>
      <c r="D713" t="s">
        <v>44</v>
      </c>
      <c r="E713" t="s">
        <v>38</v>
      </c>
      <c r="F713">
        <v>428</v>
      </c>
      <c r="G713">
        <v>2.82</v>
      </c>
      <c r="H713">
        <v>1206.96</v>
      </c>
      <c r="I713" t="s">
        <v>26</v>
      </c>
      <c r="J713" t="s">
        <v>22</v>
      </c>
      <c r="K713" t="s">
        <v>28</v>
      </c>
      <c r="L713">
        <v>837.74</v>
      </c>
      <c r="M713">
        <v>30.6</v>
      </c>
      <c r="N713">
        <v>2024</v>
      </c>
      <c r="O713">
        <v>3</v>
      </c>
      <c r="P713" t="s">
        <v>65</v>
      </c>
      <c r="Q713">
        <v>369.22</v>
      </c>
      <c r="R713" t="s">
        <v>25</v>
      </c>
      <c r="S713">
        <v>2.2689453442392069</v>
      </c>
      <c r="T713" t="s">
        <v>78</v>
      </c>
    </row>
    <row r="714" spans="1:20" x14ac:dyDescent="0.25">
      <c r="A714" s="11">
        <v>45124</v>
      </c>
      <c r="B714" t="s">
        <v>17</v>
      </c>
      <c r="C714" t="s">
        <v>18</v>
      </c>
      <c r="D714" t="s">
        <v>44</v>
      </c>
      <c r="E714" t="s">
        <v>38</v>
      </c>
      <c r="F714">
        <v>536</v>
      </c>
      <c r="G714">
        <v>2.81</v>
      </c>
      <c r="H714">
        <v>1506.16</v>
      </c>
      <c r="I714" t="s">
        <v>46</v>
      </c>
      <c r="J714" t="s">
        <v>56</v>
      </c>
      <c r="K714" t="s">
        <v>41</v>
      </c>
      <c r="L714">
        <v>1137.46</v>
      </c>
      <c r="M714">
        <v>24.5</v>
      </c>
      <c r="N714">
        <v>2024</v>
      </c>
      <c r="O714">
        <v>3</v>
      </c>
      <c r="P714" t="s">
        <v>68</v>
      </c>
      <c r="Q714">
        <v>368.7</v>
      </c>
      <c r="R714" t="s">
        <v>29</v>
      </c>
      <c r="S714">
        <v>3.0850556007594254</v>
      </c>
      <c r="T714" t="s">
        <v>78</v>
      </c>
    </row>
    <row r="715" spans="1:20" x14ac:dyDescent="0.25">
      <c r="A715" s="11">
        <v>45037</v>
      </c>
      <c r="B715" t="s">
        <v>42</v>
      </c>
      <c r="C715" t="s">
        <v>43</v>
      </c>
      <c r="D715" t="s">
        <v>44</v>
      </c>
      <c r="E715" t="s">
        <v>38</v>
      </c>
      <c r="F715">
        <v>578</v>
      </c>
      <c r="G715">
        <v>3.13</v>
      </c>
      <c r="H715">
        <v>1809.14</v>
      </c>
      <c r="I715" t="s">
        <v>39</v>
      </c>
      <c r="J715" t="s">
        <v>40</v>
      </c>
      <c r="K715" t="s">
        <v>23</v>
      </c>
      <c r="L715">
        <v>1440.9</v>
      </c>
      <c r="M715">
        <v>20.399999999999999</v>
      </c>
      <c r="N715">
        <v>2023</v>
      </c>
      <c r="O715">
        <v>2</v>
      </c>
      <c r="P715" t="s">
        <v>63</v>
      </c>
      <c r="Q715">
        <v>368.24</v>
      </c>
      <c r="R715" t="s">
        <v>29</v>
      </c>
      <c r="S715">
        <v>3.9129372148598742</v>
      </c>
      <c r="T715" t="s">
        <v>78</v>
      </c>
    </row>
    <row r="716" spans="1:20" x14ac:dyDescent="0.25">
      <c r="A716" s="11">
        <v>44934</v>
      </c>
      <c r="B716" t="s">
        <v>42</v>
      </c>
      <c r="C716" t="s">
        <v>43</v>
      </c>
      <c r="D716" t="s">
        <v>32</v>
      </c>
      <c r="E716" t="s">
        <v>20</v>
      </c>
      <c r="F716">
        <v>683</v>
      </c>
      <c r="G716">
        <v>3.64</v>
      </c>
      <c r="H716">
        <v>2486.12</v>
      </c>
      <c r="I716" t="s">
        <v>39</v>
      </c>
      <c r="J716" t="s">
        <v>40</v>
      </c>
      <c r="K716" t="s">
        <v>41</v>
      </c>
      <c r="L716">
        <v>2119.85</v>
      </c>
      <c r="M716">
        <v>14.7</v>
      </c>
      <c r="N716">
        <v>2023</v>
      </c>
      <c r="O716">
        <v>1</v>
      </c>
      <c r="P716" t="s">
        <v>24</v>
      </c>
      <c r="Q716">
        <v>366.27</v>
      </c>
      <c r="R716" t="s">
        <v>29</v>
      </c>
      <c r="S716">
        <v>5.7876702978676935</v>
      </c>
      <c r="T716" t="s">
        <v>78</v>
      </c>
    </row>
    <row r="717" spans="1:20" x14ac:dyDescent="0.25">
      <c r="A717" s="11">
        <v>45005</v>
      </c>
      <c r="B717" t="s">
        <v>51</v>
      </c>
      <c r="C717" t="s">
        <v>52</v>
      </c>
      <c r="D717" t="s">
        <v>45</v>
      </c>
      <c r="E717" t="s">
        <v>20</v>
      </c>
      <c r="F717">
        <v>523</v>
      </c>
      <c r="G717">
        <v>2.2200000000000002</v>
      </c>
      <c r="H717">
        <v>1161.06</v>
      </c>
      <c r="I717" t="s">
        <v>26</v>
      </c>
      <c r="J717" t="s">
        <v>47</v>
      </c>
      <c r="K717" t="s">
        <v>23</v>
      </c>
      <c r="L717">
        <v>795.4</v>
      </c>
      <c r="M717">
        <v>31.5</v>
      </c>
      <c r="N717">
        <v>2023</v>
      </c>
      <c r="O717">
        <v>1</v>
      </c>
      <c r="P717" t="s">
        <v>62</v>
      </c>
      <c r="Q717">
        <v>365.66</v>
      </c>
      <c r="R717" t="s">
        <v>25</v>
      </c>
      <c r="S717">
        <v>2.1752447628944918</v>
      </c>
      <c r="T717" t="s">
        <v>78</v>
      </c>
    </row>
    <row r="718" spans="1:20" x14ac:dyDescent="0.25">
      <c r="A718" s="11">
        <v>45055</v>
      </c>
      <c r="B718" t="s">
        <v>17</v>
      </c>
      <c r="C718" t="s">
        <v>18</v>
      </c>
      <c r="D718" t="s">
        <v>32</v>
      </c>
      <c r="E718" t="s">
        <v>20</v>
      </c>
      <c r="F718">
        <v>542</v>
      </c>
      <c r="G718">
        <v>2.1</v>
      </c>
      <c r="H718">
        <v>1138.2</v>
      </c>
      <c r="I718" t="s">
        <v>33</v>
      </c>
      <c r="J718" t="s">
        <v>40</v>
      </c>
      <c r="K718" t="s">
        <v>28</v>
      </c>
      <c r="L718">
        <v>777.68</v>
      </c>
      <c r="M718">
        <v>31.7</v>
      </c>
      <c r="N718">
        <v>2023</v>
      </c>
      <c r="O718">
        <v>2</v>
      </c>
      <c r="P718" t="s">
        <v>65</v>
      </c>
      <c r="Q718">
        <v>360.52</v>
      </c>
      <c r="R718" t="s">
        <v>25</v>
      </c>
      <c r="S718">
        <v>2.1571064018639743</v>
      </c>
      <c r="T718" t="s">
        <v>78</v>
      </c>
    </row>
    <row r="719" spans="1:20" x14ac:dyDescent="0.25">
      <c r="A719" s="11">
        <v>45019</v>
      </c>
      <c r="B719" t="s">
        <v>51</v>
      </c>
      <c r="C719" t="s">
        <v>52</v>
      </c>
      <c r="D719" t="s">
        <v>49</v>
      </c>
      <c r="E719" t="s">
        <v>50</v>
      </c>
      <c r="F719">
        <v>194</v>
      </c>
      <c r="G719">
        <v>7.48</v>
      </c>
      <c r="H719">
        <v>1451.12</v>
      </c>
      <c r="I719" t="s">
        <v>57</v>
      </c>
      <c r="J719" t="s">
        <v>22</v>
      </c>
      <c r="K719" t="s">
        <v>23</v>
      </c>
      <c r="L719">
        <v>1090.8599999999999</v>
      </c>
      <c r="M719">
        <v>24.8</v>
      </c>
      <c r="N719">
        <v>2023</v>
      </c>
      <c r="O719">
        <v>2</v>
      </c>
      <c r="P719" t="s">
        <v>62</v>
      </c>
      <c r="Q719">
        <v>360.26</v>
      </c>
      <c r="R719" t="s">
        <v>29</v>
      </c>
      <c r="S719">
        <v>3.0279797923721756</v>
      </c>
      <c r="T719" t="s">
        <v>78</v>
      </c>
    </row>
    <row r="720" spans="1:20" x14ac:dyDescent="0.25">
      <c r="A720" s="11">
        <v>45034</v>
      </c>
      <c r="B720" t="s">
        <v>51</v>
      </c>
      <c r="C720" t="s">
        <v>52</v>
      </c>
      <c r="D720" t="s">
        <v>19</v>
      </c>
      <c r="E720" t="s">
        <v>20</v>
      </c>
      <c r="F720">
        <v>422</v>
      </c>
      <c r="G720">
        <v>3.8</v>
      </c>
      <c r="H720">
        <v>1603.6</v>
      </c>
      <c r="I720" t="s">
        <v>26</v>
      </c>
      <c r="J720" t="s">
        <v>40</v>
      </c>
      <c r="K720" t="s">
        <v>23</v>
      </c>
      <c r="L720">
        <v>1244.5</v>
      </c>
      <c r="M720">
        <v>22.4</v>
      </c>
      <c r="N720">
        <v>2023</v>
      </c>
      <c r="O720">
        <v>2</v>
      </c>
      <c r="P720" t="s">
        <v>63</v>
      </c>
      <c r="Q720">
        <v>359.1</v>
      </c>
      <c r="R720" t="s">
        <v>29</v>
      </c>
      <c r="S720">
        <v>3.4656084656084656</v>
      </c>
      <c r="T720" t="s">
        <v>78</v>
      </c>
    </row>
    <row r="721" spans="1:20" x14ac:dyDescent="0.25">
      <c r="A721" s="11">
        <v>45074</v>
      </c>
      <c r="B721" t="s">
        <v>35</v>
      </c>
      <c r="C721" t="s">
        <v>36</v>
      </c>
      <c r="D721" t="s">
        <v>48</v>
      </c>
      <c r="E721" t="s">
        <v>38</v>
      </c>
      <c r="F721">
        <v>866</v>
      </c>
      <c r="G721">
        <v>3</v>
      </c>
      <c r="H721">
        <v>2598</v>
      </c>
      <c r="I721" t="s">
        <v>57</v>
      </c>
      <c r="J721" t="s">
        <v>40</v>
      </c>
      <c r="K721" t="s">
        <v>41</v>
      </c>
      <c r="L721">
        <v>2239.06</v>
      </c>
      <c r="M721">
        <v>13.8</v>
      </c>
      <c r="N721">
        <v>2023</v>
      </c>
      <c r="O721">
        <v>2</v>
      </c>
      <c r="P721" t="s">
        <v>67</v>
      </c>
      <c r="Q721">
        <v>358.94</v>
      </c>
      <c r="R721" t="s">
        <v>29</v>
      </c>
      <c r="S721">
        <v>6.2379784922271133</v>
      </c>
      <c r="T721" t="s">
        <v>78</v>
      </c>
    </row>
    <row r="722" spans="1:20" x14ac:dyDescent="0.25">
      <c r="A722" s="11">
        <v>45056</v>
      </c>
      <c r="B722" t="s">
        <v>51</v>
      </c>
      <c r="C722" t="s">
        <v>52</v>
      </c>
      <c r="D722" t="s">
        <v>45</v>
      </c>
      <c r="E722" t="s">
        <v>20</v>
      </c>
      <c r="F722">
        <v>308</v>
      </c>
      <c r="G722">
        <v>3.55</v>
      </c>
      <c r="H722">
        <v>1093.4000000000001</v>
      </c>
      <c r="I722" t="s">
        <v>57</v>
      </c>
      <c r="J722" t="s">
        <v>47</v>
      </c>
      <c r="K722" t="s">
        <v>28</v>
      </c>
      <c r="L722">
        <v>736.13</v>
      </c>
      <c r="M722">
        <v>32.700000000000003</v>
      </c>
      <c r="N722">
        <v>2023</v>
      </c>
      <c r="O722">
        <v>2</v>
      </c>
      <c r="P722" t="s">
        <v>65</v>
      </c>
      <c r="Q722">
        <v>357.27</v>
      </c>
      <c r="R722" t="s">
        <v>25</v>
      </c>
      <c r="S722">
        <v>2.0604304867467182</v>
      </c>
      <c r="T722" t="s">
        <v>78</v>
      </c>
    </row>
    <row r="723" spans="1:20" x14ac:dyDescent="0.25">
      <c r="A723" s="11">
        <v>44998</v>
      </c>
      <c r="B723" t="s">
        <v>51</v>
      </c>
      <c r="C723" t="s">
        <v>52</v>
      </c>
      <c r="D723" t="s">
        <v>19</v>
      </c>
      <c r="E723" t="s">
        <v>20</v>
      </c>
      <c r="F723">
        <v>910</v>
      </c>
      <c r="G723">
        <v>2.52</v>
      </c>
      <c r="H723">
        <v>2293.1999999999998</v>
      </c>
      <c r="I723" t="s">
        <v>21</v>
      </c>
      <c r="J723" t="s">
        <v>22</v>
      </c>
      <c r="K723" t="s">
        <v>28</v>
      </c>
      <c r="L723">
        <v>1938.06</v>
      </c>
      <c r="M723">
        <v>15.5</v>
      </c>
      <c r="N723">
        <v>2023</v>
      </c>
      <c r="O723">
        <v>1</v>
      </c>
      <c r="P723" t="s">
        <v>61</v>
      </c>
      <c r="Q723">
        <v>355.14</v>
      </c>
      <c r="R723" t="s">
        <v>29</v>
      </c>
      <c r="S723">
        <v>5.4571718195641159</v>
      </c>
      <c r="T723" t="s">
        <v>78</v>
      </c>
    </row>
    <row r="724" spans="1:20" x14ac:dyDescent="0.25">
      <c r="A724" s="11">
        <v>44981</v>
      </c>
      <c r="B724" t="s">
        <v>35</v>
      </c>
      <c r="C724" t="s">
        <v>36</v>
      </c>
      <c r="D724" t="s">
        <v>48</v>
      </c>
      <c r="E724" t="s">
        <v>38</v>
      </c>
      <c r="F724">
        <v>193</v>
      </c>
      <c r="G724">
        <v>11.23</v>
      </c>
      <c r="H724">
        <v>2167.39</v>
      </c>
      <c r="I724" t="s">
        <v>54</v>
      </c>
      <c r="J724" t="s">
        <v>47</v>
      </c>
      <c r="K724" t="s">
        <v>23</v>
      </c>
      <c r="L724">
        <v>1812.95</v>
      </c>
      <c r="M724">
        <v>16.399999999999999</v>
      </c>
      <c r="N724">
        <v>2023</v>
      </c>
      <c r="O724">
        <v>1</v>
      </c>
      <c r="P724" t="s">
        <v>61</v>
      </c>
      <c r="Q724">
        <v>354.44</v>
      </c>
      <c r="R724" t="s">
        <v>29</v>
      </c>
      <c r="S724">
        <v>5.1149700936688864</v>
      </c>
      <c r="T724" t="s">
        <v>78</v>
      </c>
    </row>
    <row r="725" spans="1:20" x14ac:dyDescent="0.25">
      <c r="A725" s="11">
        <v>45021</v>
      </c>
      <c r="B725" t="s">
        <v>35</v>
      </c>
      <c r="C725" t="s">
        <v>36</v>
      </c>
      <c r="D725" t="s">
        <v>48</v>
      </c>
      <c r="E725" t="s">
        <v>38</v>
      </c>
      <c r="F725">
        <v>196</v>
      </c>
      <c r="G725">
        <v>7.91</v>
      </c>
      <c r="H725">
        <v>1550.36</v>
      </c>
      <c r="I725" t="s">
        <v>57</v>
      </c>
      <c r="J725" t="s">
        <v>47</v>
      </c>
      <c r="K725" t="s">
        <v>41</v>
      </c>
      <c r="L725">
        <v>1197.24</v>
      </c>
      <c r="M725">
        <v>22.8</v>
      </c>
      <c r="N725">
        <v>2023</v>
      </c>
      <c r="O725">
        <v>2</v>
      </c>
      <c r="P725" t="s">
        <v>62</v>
      </c>
      <c r="Q725">
        <v>353.12</v>
      </c>
      <c r="R725" t="s">
        <v>29</v>
      </c>
      <c r="S725">
        <v>3.3904621658359764</v>
      </c>
      <c r="T725" t="s">
        <v>78</v>
      </c>
    </row>
    <row r="726" spans="1:20" x14ac:dyDescent="0.25">
      <c r="A726" s="11">
        <v>45116</v>
      </c>
      <c r="B726" t="s">
        <v>42</v>
      </c>
      <c r="C726" t="s">
        <v>43</v>
      </c>
      <c r="D726" t="s">
        <v>19</v>
      </c>
      <c r="E726" t="s">
        <v>20</v>
      </c>
      <c r="F726">
        <v>322</v>
      </c>
      <c r="G726">
        <v>8.1300000000000008</v>
      </c>
      <c r="H726">
        <v>2617.86</v>
      </c>
      <c r="I726" t="s">
        <v>21</v>
      </c>
      <c r="J726" t="s">
        <v>27</v>
      </c>
      <c r="K726" t="s">
        <v>28</v>
      </c>
      <c r="L726">
        <v>2265.34</v>
      </c>
      <c r="M726">
        <v>13.5</v>
      </c>
      <c r="N726">
        <v>2024</v>
      </c>
      <c r="O726">
        <v>3</v>
      </c>
      <c r="P726" t="s">
        <v>63</v>
      </c>
      <c r="Q726">
        <v>352.52</v>
      </c>
      <c r="R726" t="s">
        <v>29</v>
      </c>
      <c r="S726">
        <v>6.4261318506751399</v>
      </c>
      <c r="T726" t="s">
        <v>78</v>
      </c>
    </row>
    <row r="727" spans="1:20" x14ac:dyDescent="0.25">
      <c r="A727" s="11">
        <v>44967</v>
      </c>
      <c r="B727" t="s">
        <v>35</v>
      </c>
      <c r="C727" t="s">
        <v>36</v>
      </c>
      <c r="D727" t="s">
        <v>49</v>
      </c>
      <c r="E727" t="s">
        <v>50</v>
      </c>
      <c r="F727">
        <v>579</v>
      </c>
      <c r="G727">
        <v>3.78</v>
      </c>
      <c r="H727">
        <v>2188.62</v>
      </c>
      <c r="I727" t="s">
        <v>55</v>
      </c>
      <c r="J727" t="s">
        <v>40</v>
      </c>
      <c r="K727" t="s">
        <v>28</v>
      </c>
      <c r="L727">
        <v>1838.61</v>
      </c>
      <c r="M727">
        <v>16</v>
      </c>
      <c r="N727">
        <v>2023</v>
      </c>
      <c r="O727">
        <v>1</v>
      </c>
      <c r="P727" t="s">
        <v>60</v>
      </c>
      <c r="Q727">
        <v>350.01</v>
      </c>
      <c r="R727" t="s">
        <v>29</v>
      </c>
      <c r="S727">
        <v>5.2530213422473642</v>
      </c>
      <c r="T727" t="s">
        <v>78</v>
      </c>
    </row>
    <row r="728" spans="1:20" x14ac:dyDescent="0.25">
      <c r="A728" s="11">
        <v>44947</v>
      </c>
      <c r="B728" t="s">
        <v>42</v>
      </c>
      <c r="C728" t="s">
        <v>43</v>
      </c>
      <c r="D728" t="s">
        <v>45</v>
      </c>
      <c r="E728" t="s">
        <v>20</v>
      </c>
      <c r="F728">
        <v>605</v>
      </c>
      <c r="G728">
        <v>4.3</v>
      </c>
      <c r="H728">
        <v>2601.5</v>
      </c>
      <c r="I728" t="s">
        <v>57</v>
      </c>
      <c r="J728" t="s">
        <v>47</v>
      </c>
      <c r="K728" t="s">
        <v>41</v>
      </c>
      <c r="L728">
        <v>2253.9299999999998</v>
      </c>
      <c r="M728">
        <v>13.4</v>
      </c>
      <c r="N728">
        <v>2023</v>
      </c>
      <c r="O728">
        <v>1</v>
      </c>
      <c r="P728" t="s">
        <v>24</v>
      </c>
      <c r="Q728">
        <v>347.57</v>
      </c>
      <c r="R728" t="s">
        <v>29</v>
      </c>
      <c r="S728">
        <v>6.4848232010817961</v>
      </c>
      <c r="T728" t="s">
        <v>78</v>
      </c>
    </row>
    <row r="729" spans="1:20" x14ac:dyDescent="0.25">
      <c r="A729" s="11">
        <v>45092</v>
      </c>
      <c r="B729" t="s">
        <v>51</v>
      </c>
      <c r="C729" t="s">
        <v>52</v>
      </c>
      <c r="D729" t="s">
        <v>49</v>
      </c>
      <c r="E729" t="s">
        <v>50</v>
      </c>
      <c r="F729">
        <v>331</v>
      </c>
      <c r="G729">
        <v>5.51</v>
      </c>
      <c r="H729">
        <v>1823.81</v>
      </c>
      <c r="I729" t="s">
        <v>57</v>
      </c>
      <c r="J729" t="s">
        <v>27</v>
      </c>
      <c r="K729" t="s">
        <v>28</v>
      </c>
      <c r="L729">
        <v>1481.86</v>
      </c>
      <c r="M729">
        <v>18.7</v>
      </c>
      <c r="N729">
        <v>2023</v>
      </c>
      <c r="O729">
        <v>2</v>
      </c>
      <c r="P729" t="s">
        <v>70</v>
      </c>
      <c r="Q729">
        <v>341.95</v>
      </c>
      <c r="R729" t="s">
        <v>29</v>
      </c>
      <c r="S729">
        <v>4.3335575376517035</v>
      </c>
      <c r="T729" t="s">
        <v>78</v>
      </c>
    </row>
    <row r="730" spans="1:20" x14ac:dyDescent="0.25">
      <c r="A730" s="11">
        <v>45011</v>
      </c>
      <c r="B730" t="s">
        <v>17</v>
      </c>
      <c r="C730" t="s">
        <v>18</v>
      </c>
      <c r="D730" t="s">
        <v>37</v>
      </c>
      <c r="E730" t="s">
        <v>38</v>
      </c>
      <c r="F730">
        <v>577</v>
      </c>
      <c r="G730">
        <v>2.69</v>
      </c>
      <c r="H730">
        <v>1552.13</v>
      </c>
      <c r="I730" t="s">
        <v>54</v>
      </c>
      <c r="J730" t="s">
        <v>34</v>
      </c>
      <c r="K730" t="s">
        <v>28</v>
      </c>
      <c r="L730">
        <v>1210.58</v>
      </c>
      <c r="M730">
        <v>22</v>
      </c>
      <c r="N730">
        <v>2023</v>
      </c>
      <c r="O730">
        <v>1</v>
      </c>
      <c r="P730" t="s">
        <v>62</v>
      </c>
      <c r="Q730">
        <v>341.55</v>
      </c>
      <c r="R730" t="s">
        <v>29</v>
      </c>
      <c r="S730">
        <v>3.5443712487190746</v>
      </c>
      <c r="T730" t="s">
        <v>78</v>
      </c>
    </row>
    <row r="731" spans="1:20" x14ac:dyDescent="0.25">
      <c r="A731" s="11">
        <v>45009</v>
      </c>
      <c r="B731" t="s">
        <v>30</v>
      </c>
      <c r="C731" t="s">
        <v>31</v>
      </c>
      <c r="D731" t="s">
        <v>37</v>
      </c>
      <c r="E731" t="s">
        <v>38</v>
      </c>
      <c r="F731">
        <v>464</v>
      </c>
      <c r="G731">
        <v>4.9800000000000004</v>
      </c>
      <c r="H731">
        <v>2310.7199999999998</v>
      </c>
      <c r="I731" t="s">
        <v>46</v>
      </c>
      <c r="J731" t="s">
        <v>27</v>
      </c>
      <c r="K731" t="s">
        <v>28</v>
      </c>
      <c r="L731">
        <v>1969.18</v>
      </c>
      <c r="M731">
        <v>14.8</v>
      </c>
      <c r="N731">
        <v>2023</v>
      </c>
      <c r="O731">
        <v>1</v>
      </c>
      <c r="P731" t="s">
        <v>62</v>
      </c>
      <c r="Q731">
        <v>341.54</v>
      </c>
      <c r="R731" t="s">
        <v>29</v>
      </c>
      <c r="S731">
        <v>5.7655911459858284</v>
      </c>
      <c r="T731" t="s">
        <v>78</v>
      </c>
    </row>
    <row r="732" spans="1:20" x14ac:dyDescent="0.25">
      <c r="A732" s="11">
        <v>45111</v>
      </c>
      <c r="B732" t="s">
        <v>42</v>
      </c>
      <c r="C732" t="s">
        <v>43</v>
      </c>
      <c r="D732" t="s">
        <v>45</v>
      </c>
      <c r="E732" t="s">
        <v>20</v>
      </c>
      <c r="F732">
        <v>278</v>
      </c>
      <c r="G732">
        <v>3.84</v>
      </c>
      <c r="H732">
        <v>1067.52</v>
      </c>
      <c r="I732" t="s">
        <v>55</v>
      </c>
      <c r="J732" t="s">
        <v>47</v>
      </c>
      <c r="K732" t="s">
        <v>28</v>
      </c>
      <c r="L732">
        <v>726.76</v>
      </c>
      <c r="M732">
        <v>31.9</v>
      </c>
      <c r="N732">
        <v>2024</v>
      </c>
      <c r="O732">
        <v>3</v>
      </c>
      <c r="P732" t="s">
        <v>62</v>
      </c>
      <c r="Q732">
        <v>340.76</v>
      </c>
      <c r="R732" t="s">
        <v>25</v>
      </c>
      <c r="S732">
        <v>2.1327620612747977</v>
      </c>
      <c r="T732" t="s">
        <v>78</v>
      </c>
    </row>
    <row r="733" spans="1:20" x14ac:dyDescent="0.25">
      <c r="A733" s="11">
        <v>45127</v>
      </c>
      <c r="B733" t="s">
        <v>35</v>
      </c>
      <c r="C733" t="s">
        <v>36</v>
      </c>
      <c r="D733" t="s">
        <v>32</v>
      </c>
      <c r="E733" t="s">
        <v>20</v>
      </c>
      <c r="F733">
        <v>272</v>
      </c>
      <c r="G733">
        <v>6.01</v>
      </c>
      <c r="H733">
        <v>1634.72</v>
      </c>
      <c r="I733" t="s">
        <v>26</v>
      </c>
      <c r="J733" t="s">
        <v>27</v>
      </c>
      <c r="K733" t="s">
        <v>41</v>
      </c>
      <c r="L733">
        <v>1294.55</v>
      </c>
      <c r="M733">
        <v>20.8</v>
      </c>
      <c r="N733">
        <v>2025</v>
      </c>
      <c r="O733">
        <v>3</v>
      </c>
      <c r="P733" t="s">
        <v>24</v>
      </c>
      <c r="Q733">
        <v>340.17</v>
      </c>
      <c r="R733" t="s">
        <v>29</v>
      </c>
      <c r="S733">
        <v>3.8055972013993</v>
      </c>
      <c r="T733" t="s">
        <v>78</v>
      </c>
    </row>
    <row r="734" spans="1:20" x14ac:dyDescent="0.25">
      <c r="A734" s="11">
        <v>45002</v>
      </c>
      <c r="B734" t="s">
        <v>35</v>
      </c>
      <c r="C734" t="s">
        <v>36</v>
      </c>
      <c r="D734" t="s">
        <v>48</v>
      </c>
      <c r="E734" t="s">
        <v>38</v>
      </c>
      <c r="F734">
        <v>199</v>
      </c>
      <c r="G734">
        <v>8.2899999999999991</v>
      </c>
      <c r="H734">
        <v>1649.71</v>
      </c>
      <c r="I734" t="s">
        <v>54</v>
      </c>
      <c r="J734" t="s">
        <v>27</v>
      </c>
      <c r="K734" t="s">
        <v>28</v>
      </c>
      <c r="L734">
        <v>1309.68</v>
      </c>
      <c r="M734">
        <v>20.6</v>
      </c>
      <c r="N734">
        <v>2023</v>
      </c>
      <c r="O734">
        <v>1</v>
      </c>
      <c r="P734" t="s">
        <v>62</v>
      </c>
      <c r="Q734">
        <v>340.03</v>
      </c>
      <c r="R734" t="s">
        <v>29</v>
      </c>
      <c r="S734">
        <v>3.8516601476340329</v>
      </c>
      <c r="T734" t="s">
        <v>78</v>
      </c>
    </row>
    <row r="735" spans="1:20" x14ac:dyDescent="0.25">
      <c r="A735" s="11">
        <v>45082</v>
      </c>
      <c r="B735" t="s">
        <v>17</v>
      </c>
      <c r="C735" t="s">
        <v>18</v>
      </c>
      <c r="D735" t="s">
        <v>48</v>
      </c>
      <c r="E735" t="s">
        <v>38</v>
      </c>
      <c r="F735">
        <v>278</v>
      </c>
      <c r="G735">
        <v>3.38</v>
      </c>
      <c r="H735">
        <v>939.64</v>
      </c>
      <c r="I735" t="s">
        <v>39</v>
      </c>
      <c r="J735" t="s">
        <v>47</v>
      </c>
      <c r="K735" t="s">
        <v>41</v>
      </c>
      <c r="L735">
        <v>601.25</v>
      </c>
      <c r="M735">
        <v>36</v>
      </c>
      <c r="N735">
        <v>2023</v>
      </c>
      <c r="O735">
        <v>2</v>
      </c>
      <c r="P735" t="s">
        <v>68</v>
      </c>
      <c r="Q735">
        <v>338.39</v>
      </c>
      <c r="R735" t="s">
        <v>25</v>
      </c>
      <c r="S735">
        <v>1.7767960046100655</v>
      </c>
      <c r="T735" t="s">
        <v>78</v>
      </c>
    </row>
    <row r="736" spans="1:20" x14ac:dyDescent="0.25">
      <c r="A736" s="11">
        <v>45053</v>
      </c>
      <c r="B736" t="s">
        <v>30</v>
      </c>
      <c r="C736" t="s">
        <v>31</v>
      </c>
      <c r="D736" t="s">
        <v>44</v>
      </c>
      <c r="E736" t="s">
        <v>38</v>
      </c>
      <c r="F736">
        <v>523</v>
      </c>
      <c r="G736">
        <v>4.87</v>
      </c>
      <c r="H736">
        <v>2547.0100000000002</v>
      </c>
      <c r="I736" t="s">
        <v>55</v>
      </c>
      <c r="J736" t="s">
        <v>34</v>
      </c>
      <c r="K736" t="s">
        <v>41</v>
      </c>
      <c r="L736">
        <v>2209.6999999999998</v>
      </c>
      <c r="M736">
        <v>13.2</v>
      </c>
      <c r="N736">
        <v>2023</v>
      </c>
      <c r="O736">
        <v>2</v>
      </c>
      <c r="P736" t="s">
        <v>65</v>
      </c>
      <c r="Q736">
        <v>337.31</v>
      </c>
      <c r="R736" t="s">
        <v>29</v>
      </c>
      <c r="S736">
        <v>6.5509471999051314</v>
      </c>
      <c r="T736" t="s">
        <v>78</v>
      </c>
    </row>
    <row r="737" spans="1:20" x14ac:dyDescent="0.25">
      <c r="A737" s="11">
        <v>45085</v>
      </c>
      <c r="B737" t="s">
        <v>42</v>
      </c>
      <c r="C737" t="s">
        <v>43</v>
      </c>
      <c r="D737" t="s">
        <v>48</v>
      </c>
      <c r="E737" t="s">
        <v>38</v>
      </c>
      <c r="F737">
        <v>111</v>
      </c>
      <c r="G737">
        <v>8.17</v>
      </c>
      <c r="H737">
        <v>906.87</v>
      </c>
      <c r="I737" t="s">
        <v>55</v>
      </c>
      <c r="J737" t="s">
        <v>34</v>
      </c>
      <c r="K737" t="s">
        <v>41</v>
      </c>
      <c r="L737">
        <v>570.24</v>
      </c>
      <c r="M737">
        <v>37.1</v>
      </c>
      <c r="N737">
        <v>2023</v>
      </c>
      <c r="O737">
        <v>2</v>
      </c>
      <c r="P737" t="s">
        <v>69</v>
      </c>
      <c r="Q737">
        <v>336.63</v>
      </c>
      <c r="R737" t="s">
        <v>25</v>
      </c>
      <c r="S737">
        <v>1.6939666696372873</v>
      </c>
      <c r="T737" t="s">
        <v>78</v>
      </c>
    </row>
    <row r="738" spans="1:20" x14ac:dyDescent="0.25">
      <c r="A738" s="11">
        <v>44938</v>
      </c>
      <c r="B738" t="s">
        <v>42</v>
      </c>
      <c r="C738" t="s">
        <v>43</v>
      </c>
      <c r="D738" t="s">
        <v>53</v>
      </c>
      <c r="E738" t="s">
        <v>50</v>
      </c>
      <c r="F738">
        <v>130</v>
      </c>
      <c r="G738">
        <v>9.1300000000000008</v>
      </c>
      <c r="H738">
        <v>1186.9000000000001</v>
      </c>
      <c r="I738" t="s">
        <v>33</v>
      </c>
      <c r="J738" t="s">
        <v>56</v>
      </c>
      <c r="K738" t="s">
        <v>41</v>
      </c>
      <c r="L738">
        <v>851.54</v>
      </c>
      <c r="M738">
        <v>28.3</v>
      </c>
      <c r="N738">
        <v>2023</v>
      </c>
      <c r="O738">
        <v>1</v>
      </c>
      <c r="P738" t="s">
        <v>24</v>
      </c>
      <c r="Q738">
        <v>335.36</v>
      </c>
      <c r="R738" t="s">
        <v>25</v>
      </c>
      <c r="S738">
        <v>2.5391817748091601</v>
      </c>
      <c r="T738" t="s">
        <v>78</v>
      </c>
    </row>
    <row r="739" spans="1:20" x14ac:dyDescent="0.25">
      <c r="A739" s="11">
        <v>44988</v>
      </c>
      <c r="B739" t="s">
        <v>51</v>
      </c>
      <c r="C739" t="s">
        <v>52</v>
      </c>
      <c r="D739" t="s">
        <v>48</v>
      </c>
      <c r="E739" t="s">
        <v>38</v>
      </c>
      <c r="F739">
        <v>249</v>
      </c>
      <c r="G739">
        <v>3.39</v>
      </c>
      <c r="H739">
        <v>844.11</v>
      </c>
      <c r="I739" t="s">
        <v>55</v>
      </c>
      <c r="J739" t="s">
        <v>40</v>
      </c>
      <c r="K739" t="s">
        <v>41</v>
      </c>
      <c r="L739">
        <v>509.96</v>
      </c>
      <c r="M739">
        <v>39.6</v>
      </c>
      <c r="N739">
        <v>2023</v>
      </c>
      <c r="O739">
        <v>1</v>
      </c>
      <c r="P739" t="s">
        <v>61</v>
      </c>
      <c r="Q739">
        <v>334.15</v>
      </c>
      <c r="R739" t="s">
        <v>25</v>
      </c>
      <c r="S739">
        <v>1.5261409546610805</v>
      </c>
      <c r="T739" t="s">
        <v>78</v>
      </c>
    </row>
    <row r="740" spans="1:20" x14ac:dyDescent="0.25">
      <c r="A740" s="11">
        <v>44999</v>
      </c>
      <c r="B740" t="s">
        <v>30</v>
      </c>
      <c r="C740" t="s">
        <v>31</v>
      </c>
      <c r="D740" t="s">
        <v>44</v>
      </c>
      <c r="E740" t="s">
        <v>38</v>
      </c>
      <c r="F740">
        <v>562</v>
      </c>
      <c r="G740">
        <v>5.89</v>
      </c>
      <c r="H740">
        <v>3310.18</v>
      </c>
      <c r="I740" t="s">
        <v>46</v>
      </c>
      <c r="J740" t="s">
        <v>27</v>
      </c>
      <c r="K740" t="s">
        <v>41</v>
      </c>
      <c r="L740">
        <v>2976.32</v>
      </c>
      <c r="M740">
        <v>10.1</v>
      </c>
      <c r="N740">
        <v>2023</v>
      </c>
      <c r="O740">
        <v>1</v>
      </c>
      <c r="P740" t="s">
        <v>61</v>
      </c>
      <c r="Q740">
        <v>333.86</v>
      </c>
      <c r="R740" t="s">
        <v>29</v>
      </c>
      <c r="S740">
        <v>8.9148744982926971</v>
      </c>
      <c r="T740" t="s">
        <v>78</v>
      </c>
    </row>
    <row r="741" spans="1:20" x14ac:dyDescent="0.25">
      <c r="A741" s="11">
        <v>45055</v>
      </c>
      <c r="B741" t="s">
        <v>58</v>
      </c>
      <c r="C741" t="s">
        <v>59</v>
      </c>
      <c r="D741" t="s">
        <v>37</v>
      </c>
      <c r="E741" t="s">
        <v>38</v>
      </c>
      <c r="F741">
        <v>133</v>
      </c>
      <c r="G741">
        <v>6.64</v>
      </c>
      <c r="H741">
        <v>883.12</v>
      </c>
      <c r="I741" t="s">
        <v>33</v>
      </c>
      <c r="J741" t="s">
        <v>34</v>
      </c>
      <c r="K741" t="s">
        <v>28</v>
      </c>
      <c r="L741">
        <v>549.86</v>
      </c>
      <c r="M741">
        <v>37.700000000000003</v>
      </c>
      <c r="N741">
        <v>2023</v>
      </c>
      <c r="O741">
        <v>2</v>
      </c>
      <c r="P741" t="s">
        <v>65</v>
      </c>
      <c r="Q741">
        <v>333.26</v>
      </c>
      <c r="R741" t="s">
        <v>25</v>
      </c>
      <c r="S741">
        <v>1.6499429874572407</v>
      </c>
      <c r="T741" t="s">
        <v>78</v>
      </c>
    </row>
    <row r="742" spans="1:20" x14ac:dyDescent="0.25">
      <c r="A742" s="11">
        <v>44934</v>
      </c>
      <c r="B742" t="s">
        <v>17</v>
      </c>
      <c r="C742" t="s">
        <v>18</v>
      </c>
      <c r="D742" t="s">
        <v>48</v>
      </c>
      <c r="E742" t="s">
        <v>38</v>
      </c>
      <c r="F742">
        <v>287</v>
      </c>
      <c r="G742">
        <v>4.09</v>
      </c>
      <c r="H742">
        <v>1173.83</v>
      </c>
      <c r="I742" t="s">
        <v>26</v>
      </c>
      <c r="J742" t="s">
        <v>22</v>
      </c>
      <c r="K742" t="s">
        <v>28</v>
      </c>
      <c r="L742">
        <v>841.78</v>
      </c>
      <c r="M742">
        <v>28.3</v>
      </c>
      <c r="N742">
        <v>2023</v>
      </c>
      <c r="O742">
        <v>1</v>
      </c>
      <c r="P742" t="s">
        <v>24</v>
      </c>
      <c r="Q742">
        <v>332.05</v>
      </c>
      <c r="R742" t="s">
        <v>25</v>
      </c>
      <c r="S742">
        <v>2.5351001355217586</v>
      </c>
      <c r="T742" t="s">
        <v>78</v>
      </c>
    </row>
    <row r="743" spans="1:20" x14ac:dyDescent="0.25">
      <c r="A743" s="11">
        <v>44985</v>
      </c>
      <c r="B743" t="s">
        <v>35</v>
      </c>
      <c r="C743" t="s">
        <v>36</v>
      </c>
      <c r="D743" t="s">
        <v>53</v>
      </c>
      <c r="E743" t="s">
        <v>50</v>
      </c>
      <c r="F743">
        <v>667</v>
      </c>
      <c r="G743">
        <v>2.99</v>
      </c>
      <c r="H743">
        <v>1994.33</v>
      </c>
      <c r="I743" t="s">
        <v>21</v>
      </c>
      <c r="J743" t="s">
        <v>22</v>
      </c>
      <c r="K743" t="s">
        <v>28</v>
      </c>
      <c r="L743">
        <v>1662.86</v>
      </c>
      <c r="M743">
        <v>16.600000000000001</v>
      </c>
      <c r="N743">
        <v>2023</v>
      </c>
      <c r="O743">
        <v>1</v>
      </c>
      <c r="P743" t="s">
        <v>61</v>
      </c>
      <c r="Q743">
        <v>331.47</v>
      </c>
      <c r="R743" t="s">
        <v>29</v>
      </c>
      <c r="S743">
        <v>5.016622922134732</v>
      </c>
      <c r="T743" t="s">
        <v>78</v>
      </c>
    </row>
    <row r="744" spans="1:20" x14ac:dyDescent="0.25">
      <c r="A744" s="11">
        <v>45046</v>
      </c>
      <c r="B744" t="s">
        <v>17</v>
      </c>
      <c r="C744" t="s">
        <v>18</v>
      </c>
      <c r="D744" t="s">
        <v>32</v>
      </c>
      <c r="E744" t="s">
        <v>20</v>
      </c>
      <c r="F744">
        <v>301</v>
      </c>
      <c r="G744">
        <v>2.91</v>
      </c>
      <c r="H744">
        <v>875.91</v>
      </c>
      <c r="I744" t="s">
        <v>21</v>
      </c>
      <c r="J744" t="s">
        <v>34</v>
      </c>
      <c r="K744" t="s">
        <v>23</v>
      </c>
      <c r="L744">
        <v>545.53</v>
      </c>
      <c r="M744">
        <v>37.700000000000003</v>
      </c>
      <c r="N744">
        <v>2023</v>
      </c>
      <c r="O744">
        <v>2</v>
      </c>
      <c r="P744" t="s">
        <v>64</v>
      </c>
      <c r="Q744">
        <v>330.38</v>
      </c>
      <c r="R744" t="s">
        <v>25</v>
      </c>
      <c r="S744">
        <v>1.6512198074944002</v>
      </c>
      <c r="T744" t="s">
        <v>78</v>
      </c>
    </row>
    <row r="745" spans="1:20" x14ac:dyDescent="0.25">
      <c r="A745" s="11">
        <v>45002</v>
      </c>
      <c r="B745" t="s">
        <v>17</v>
      </c>
      <c r="C745" t="s">
        <v>18</v>
      </c>
      <c r="D745" t="s">
        <v>49</v>
      </c>
      <c r="E745" t="s">
        <v>50</v>
      </c>
      <c r="F745">
        <v>495</v>
      </c>
      <c r="G745">
        <v>3.72</v>
      </c>
      <c r="H745">
        <v>1841.4</v>
      </c>
      <c r="I745" t="s">
        <v>54</v>
      </c>
      <c r="J745" t="s">
        <v>22</v>
      </c>
      <c r="K745" t="s">
        <v>23</v>
      </c>
      <c r="L745">
        <v>1512.09</v>
      </c>
      <c r="M745">
        <v>17.899999999999999</v>
      </c>
      <c r="N745">
        <v>2023</v>
      </c>
      <c r="O745">
        <v>1</v>
      </c>
      <c r="P745" t="s">
        <v>62</v>
      </c>
      <c r="Q745">
        <v>329.31</v>
      </c>
      <c r="R745" t="s">
        <v>29</v>
      </c>
      <c r="S745">
        <v>4.5916917190489199</v>
      </c>
      <c r="T745" t="s">
        <v>78</v>
      </c>
    </row>
    <row r="746" spans="1:20" x14ac:dyDescent="0.25">
      <c r="A746" s="11">
        <v>45132</v>
      </c>
      <c r="B746" t="s">
        <v>30</v>
      </c>
      <c r="C746" t="s">
        <v>31</v>
      </c>
      <c r="D746" t="s">
        <v>32</v>
      </c>
      <c r="E746" t="s">
        <v>20</v>
      </c>
      <c r="F746">
        <v>530</v>
      </c>
      <c r="G746">
        <v>3.51</v>
      </c>
      <c r="H746">
        <v>1860.3</v>
      </c>
      <c r="I746" t="s">
        <v>55</v>
      </c>
      <c r="J746" t="s">
        <v>47</v>
      </c>
      <c r="K746" t="s">
        <v>23</v>
      </c>
      <c r="L746">
        <v>1532.81</v>
      </c>
      <c r="M746">
        <v>17.600000000000001</v>
      </c>
      <c r="N746">
        <v>2025</v>
      </c>
      <c r="O746">
        <v>3</v>
      </c>
      <c r="P746" t="s">
        <v>68</v>
      </c>
      <c r="Q746">
        <v>327.49</v>
      </c>
      <c r="R746" t="s">
        <v>29</v>
      </c>
      <c r="S746">
        <v>4.6804787932455953</v>
      </c>
      <c r="T746" t="s">
        <v>78</v>
      </c>
    </row>
    <row r="747" spans="1:20" x14ac:dyDescent="0.25">
      <c r="A747" s="11">
        <v>45016</v>
      </c>
      <c r="B747" t="s">
        <v>17</v>
      </c>
      <c r="C747" t="s">
        <v>18</v>
      </c>
      <c r="D747" t="s">
        <v>48</v>
      </c>
      <c r="E747" t="s">
        <v>38</v>
      </c>
      <c r="F747">
        <v>443</v>
      </c>
      <c r="G747">
        <v>5.13</v>
      </c>
      <c r="H747">
        <v>2272.59</v>
      </c>
      <c r="I747" t="s">
        <v>39</v>
      </c>
      <c r="J747" t="s">
        <v>27</v>
      </c>
      <c r="K747" t="s">
        <v>28</v>
      </c>
      <c r="L747">
        <v>1947.48</v>
      </c>
      <c r="M747">
        <v>14.3</v>
      </c>
      <c r="N747">
        <v>2023</v>
      </c>
      <c r="O747">
        <v>1</v>
      </c>
      <c r="P747" t="s">
        <v>62</v>
      </c>
      <c r="Q747">
        <v>325.11</v>
      </c>
      <c r="R747" t="s">
        <v>29</v>
      </c>
      <c r="S747">
        <v>5.9902186952108512</v>
      </c>
      <c r="T747" t="s">
        <v>78</v>
      </c>
    </row>
    <row r="748" spans="1:20" x14ac:dyDescent="0.25">
      <c r="A748" s="11">
        <v>45110</v>
      </c>
      <c r="B748" t="s">
        <v>42</v>
      </c>
      <c r="C748" t="s">
        <v>43</v>
      </c>
      <c r="D748" t="s">
        <v>37</v>
      </c>
      <c r="E748" t="s">
        <v>38</v>
      </c>
      <c r="F748">
        <v>448</v>
      </c>
      <c r="G748">
        <v>3.75</v>
      </c>
      <c r="H748">
        <v>1680</v>
      </c>
      <c r="I748" t="s">
        <v>39</v>
      </c>
      <c r="J748" t="s">
        <v>34</v>
      </c>
      <c r="K748" t="s">
        <v>23</v>
      </c>
      <c r="L748">
        <v>1356.23</v>
      </c>
      <c r="M748">
        <v>19.3</v>
      </c>
      <c r="N748">
        <v>2024</v>
      </c>
      <c r="O748">
        <v>3</v>
      </c>
      <c r="P748" t="s">
        <v>62</v>
      </c>
      <c r="Q748">
        <v>323.77</v>
      </c>
      <c r="R748" t="s">
        <v>29</v>
      </c>
      <c r="S748">
        <v>4.1888686413194556</v>
      </c>
      <c r="T748" t="s">
        <v>78</v>
      </c>
    </row>
    <row r="749" spans="1:20" x14ac:dyDescent="0.25">
      <c r="A749" s="11">
        <v>44937</v>
      </c>
      <c r="B749" t="s">
        <v>51</v>
      </c>
      <c r="C749" t="s">
        <v>52</v>
      </c>
      <c r="D749" t="s">
        <v>49</v>
      </c>
      <c r="E749" t="s">
        <v>50</v>
      </c>
      <c r="F749">
        <v>915</v>
      </c>
      <c r="G749">
        <v>3.28</v>
      </c>
      <c r="H749">
        <v>3001.2</v>
      </c>
      <c r="I749" t="s">
        <v>26</v>
      </c>
      <c r="J749" t="s">
        <v>40</v>
      </c>
      <c r="K749" t="s">
        <v>23</v>
      </c>
      <c r="L749">
        <v>2678.72</v>
      </c>
      <c r="M749">
        <v>10.7</v>
      </c>
      <c r="N749">
        <v>2023</v>
      </c>
      <c r="O749">
        <v>1</v>
      </c>
      <c r="P749" t="s">
        <v>24</v>
      </c>
      <c r="Q749">
        <v>322.48</v>
      </c>
      <c r="R749" t="s">
        <v>29</v>
      </c>
      <c r="S749">
        <v>8.3066236665839739</v>
      </c>
      <c r="T749" t="s">
        <v>78</v>
      </c>
    </row>
    <row r="750" spans="1:20" x14ac:dyDescent="0.25">
      <c r="A750" s="11">
        <v>45040</v>
      </c>
      <c r="B750" t="s">
        <v>58</v>
      </c>
      <c r="C750" t="s">
        <v>59</v>
      </c>
      <c r="D750" t="s">
        <v>44</v>
      </c>
      <c r="E750" t="s">
        <v>38</v>
      </c>
      <c r="F750">
        <v>451</v>
      </c>
      <c r="G750">
        <v>2.12</v>
      </c>
      <c r="H750">
        <v>956.12</v>
      </c>
      <c r="I750" t="s">
        <v>54</v>
      </c>
      <c r="J750" t="s">
        <v>40</v>
      </c>
      <c r="K750" t="s">
        <v>41</v>
      </c>
      <c r="L750">
        <v>636.89</v>
      </c>
      <c r="M750">
        <v>33.4</v>
      </c>
      <c r="N750">
        <v>2023</v>
      </c>
      <c r="O750">
        <v>2</v>
      </c>
      <c r="P750" t="s">
        <v>64</v>
      </c>
      <c r="Q750">
        <v>319.23</v>
      </c>
      <c r="R750" t="s">
        <v>25</v>
      </c>
      <c r="S750">
        <v>1.9950819158600381</v>
      </c>
      <c r="T750" t="s">
        <v>78</v>
      </c>
    </row>
    <row r="751" spans="1:20" x14ac:dyDescent="0.25">
      <c r="A751" s="11">
        <v>44950</v>
      </c>
      <c r="B751" t="s">
        <v>35</v>
      </c>
      <c r="C751" t="s">
        <v>36</v>
      </c>
      <c r="D751" t="s">
        <v>32</v>
      </c>
      <c r="E751" t="s">
        <v>20</v>
      </c>
      <c r="F751">
        <v>119</v>
      </c>
      <c r="G751">
        <v>10.77</v>
      </c>
      <c r="H751">
        <v>1281.6300000000001</v>
      </c>
      <c r="I751" t="s">
        <v>39</v>
      </c>
      <c r="J751" t="s">
        <v>40</v>
      </c>
      <c r="K751" t="s">
        <v>41</v>
      </c>
      <c r="L751">
        <v>962.59</v>
      </c>
      <c r="M751">
        <v>24.9</v>
      </c>
      <c r="N751">
        <v>2023</v>
      </c>
      <c r="O751">
        <v>1</v>
      </c>
      <c r="P751" t="s">
        <v>24</v>
      </c>
      <c r="Q751">
        <v>319.04000000000002</v>
      </c>
      <c r="R751" t="s">
        <v>29</v>
      </c>
      <c r="S751">
        <v>3.0171451855566698</v>
      </c>
      <c r="T751" t="s">
        <v>78</v>
      </c>
    </row>
    <row r="752" spans="1:20" x14ac:dyDescent="0.25">
      <c r="A752" s="11">
        <v>45045</v>
      </c>
      <c r="B752" t="s">
        <v>58</v>
      </c>
      <c r="C752" t="s">
        <v>59</v>
      </c>
      <c r="D752" t="s">
        <v>19</v>
      </c>
      <c r="E752" t="s">
        <v>20</v>
      </c>
      <c r="F752">
        <v>245</v>
      </c>
      <c r="G752">
        <v>4.4800000000000004</v>
      </c>
      <c r="H752">
        <v>1097.5999999999999</v>
      </c>
      <c r="I752" t="s">
        <v>46</v>
      </c>
      <c r="J752" t="s">
        <v>56</v>
      </c>
      <c r="K752" t="s">
        <v>23</v>
      </c>
      <c r="L752">
        <v>779.24</v>
      </c>
      <c r="M752">
        <v>29</v>
      </c>
      <c r="N752">
        <v>2023</v>
      </c>
      <c r="O752">
        <v>2</v>
      </c>
      <c r="P752" t="s">
        <v>64</v>
      </c>
      <c r="Q752">
        <v>318.36</v>
      </c>
      <c r="R752" t="s">
        <v>25</v>
      </c>
      <c r="S752">
        <v>2.4476693051890939</v>
      </c>
      <c r="T752" t="s">
        <v>78</v>
      </c>
    </row>
    <row r="753" spans="1:20" x14ac:dyDescent="0.25">
      <c r="A753" s="11">
        <v>44969</v>
      </c>
      <c r="B753" t="s">
        <v>30</v>
      </c>
      <c r="C753" t="s">
        <v>31</v>
      </c>
      <c r="D753" t="s">
        <v>37</v>
      </c>
      <c r="E753" t="s">
        <v>38</v>
      </c>
      <c r="F753">
        <v>940</v>
      </c>
      <c r="G753">
        <v>3.22</v>
      </c>
      <c r="H753">
        <v>3026.8</v>
      </c>
      <c r="I753" t="s">
        <v>39</v>
      </c>
      <c r="J753" t="s">
        <v>56</v>
      </c>
      <c r="K753" t="s">
        <v>41</v>
      </c>
      <c r="L753">
        <v>2709.3</v>
      </c>
      <c r="M753">
        <v>10.5</v>
      </c>
      <c r="N753">
        <v>2023</v>
      </c>
      <c r="O753">
        <v>1</v>
      </c>
      <c r="P753" t="s">
        <v>60</v>
      </c>
      <c r="Q753">
        <v>317.5</v>
      </c>
      <c r="R753" t="s">
        <v>29</v>
      </c>
      <c r="S753">
        <v>8.5332283464566938</v>
      </c>
      <c r="T753" t="s">
        <v>78</v>
      </c>
    </row>
    <row r="754" spans="1:20" x14ac:dyDescent="0.25">
      <c r="A754" s="11">
        <v>45123</v>
      </c>
      <c r="B754" t="s">
        <v>17</v>
      </c>
      <c r="C754" t="s">
        <v>18</v>
      </c>
      <c r="D754" t="s">
        <v>32</v>
      </c>
      <c r="E754" t="s">
        <v>20</v>
      </c>
      <c r="F754">
        <v>252</v>
      </c>
      <c r="G754">
        <v>6.46</v>
      </c>
      <c r="H754">
        <v>1627.92</v>
      </c>
      <c r="I754" t="s">
        <v>55</v>
      </c>
      <c r="J754" t="s">
        <v>56</v>
      </c>
      <c r="K754" t="s">
        <v>23</v>
      </c>
      <c r="L754">
        <v>1310.74</v>
      </c>
      <c r="M754">
        <v>19.5</v>
      </c>
      <c r="N754">
        <v>2024</v>
      </c>
      <c r="O754">
        <v>3</v>
      </c>
      <c r="P754" t="s">
        <v>67</v>
      </c>
      <c r="Q754">
        <v>317.18</v>
      </c>
      <c r="R754" t="s">
        <v>29</v>
      </c>
      <c r="S754">
        <v>4.1324799798221825</v>
      </c>
      <c r="T754" t="s">
        <v>78</v>
      </c>
    </row>
    <row r="755" spans="1:20" x14ac:dyDescent="0.25">
      <c r="A755" s="11">
        <v>44949</v>
      </c>
      <c r="B755" t="s">
        <v>30</v>
      </c>
      <c r="C755" t="s">
        <v>31</v>
      </c>
      <c r="D755" t="s">
        <v>53</v>
      </c>
      <c r="E755" t="s">
        <v>50</v>
      </c>
      <c r="F755">
        <v>297</v>
      </c>
      <c r="G755">
        <v>4.0599999999999996</v>
      </c>
      <c r="H755">
        <v>1205.82</v>
      </c>
      <c r="I755" t="s">
        <v>54</v>
      </c>
      <c r="J755" t="s">
        <v>47</v>
      </c>
      <c r="K755" t="s">
        <v>23</v>
      </c>
      <c r="L755">
        <v>889.33</v>
      </c>
      <c r="M755">
        <v>26.2</v>
      </c>
      <c r="N755">
        <v>2023</v>
      </c>
      <c r="O755">
        <v>1</v>
      </c>
      <c r="P755" t="s">
        <v>24</v>
      </c>
      <c r="Q755">
        <v>316.49</v>
      </c>
      <c r="R755" t="s">
        <v>25</v>
      </c>
      <c r="S755">
        <v>2.8099781983632974</v>
      </c>
      <c r="T755" t="s">
        <v>78</v>
      </c>
    </row>
    <row r="756" spans="1:20" x14ac:dyDescent="0.25">
      <c r="A756" s="11">
        <v>45058</v>
      </c>
      <c r="B756" t="s">
        <v>51</v>
      </c>
      <c r="C756" t="s">
        <v>52</v>
      </c>
      <c r="D756" t="s">
        <v>45</v>
      </c>
      <c r="E756" t="s">
        <v>20</v>
      </c>
      <c r="F756">
        <v>465</v>
      </c>
      <c r="G756">
        <v>4.7699999999999996</v>
      </c>
      <c r="H756">
        <v>2218.0500000000002</v>
      </c>
      <c r="I756" t="s">
        <v>39</v>
      </c>
      <c r="J756" t="s">
        <v>56</v>
      </c>
      <c r="K756" t="s">
        <v>28</v>
      </c>
      <c r="L756">
        <v>1901.73</v>
      </c>
      <c r="M756">
        <v>14.3</v>
      </c>
      <c r="N756">
        <v>2023</v>
      </c>
      <c r="O756">
        <v>2</v>
      </c>
      <c r="P756" t="s">
        <v>65</v>
      </c>
      <c r="Q756">
        <v>316.32</v>
      </c>
      <c r="R756" t="s">
        <v>29</v>
      </c>
      <c r="S756">
        <v>6.012044764795144</v>
      </c>
      <c r="T756" t="s">
        <v>78</v>
      </c>
    </row>
    <row r="757" spans="1:20" x14ac:dyDescent="0.25">
      <c r="A757" s="11">
        <v>45097</v>
      </c>
      <c r="B757" t="s">
        <v>35</v>
      </c>
      <c r="C757" t="s">
        <v>36</v>
      </c>
      <c r="D757" t="s">
        <v>53</v>
      </c>
      <c r="E757" t="s">
        <v>50</v>
      </c>
      <c r="F757">
        <v>180</v>
      </c>
      <c r="G757">
        <v>11.12</v>
      </c>
      <c r="H757">
        <v>2001.6</v>
      </c>
      <c r="I757" t="s">
        <v>39</v>
      </c>
      <c r="J757" t="s">
        <v>34</v>
      </c>
      <c r="K757" t="s">
        <v>28</v>
      </c>
      <c r="L757">
        <v>1685.71</v>
      </c>
      <c r="M757">
        <v>15.8</v>
      </c>
      <c r="N757">
        <v>2023</v>
      </c>
      <c r="O757">
        <v>2</v>
      </c>
      <c r="P757" t="s">
        <v>70</v>
      </c>
      <c r="Q757">
        <v>315.89</v>
      </c>
      <c r="R757" t="s">
        <v>29</v>
      </c>
      <c r="S757">
        <v>5.3363829181044036</v>
      </c>
      <c r="T757" t="s">
        <v>78</v>
      </c>
    </row>
    <row r="758" spans="1:20" x14ac:dyDescent="0.25">
      <c r="A758" s="11">
        <v>44987</v>
      </c>
      <c r="B758" t="s">
        <v>17</v>
      </c>
      <c r="C758" t="s">
        <v>18</v>
      </c>
      <c r="D758" t="s">
        <v>44</v>
      </c>
      <c r="E758" t="s">
        <v>38</v>
      </c>
      <c r="F758">
        <v>120</v>
      </c>
      <c r="G758">
        <v>9.08</v>
      </c>
      <c r="H758">
        <v>1089.5999999999999</v>
      </c>
      <c r="I758" t="s">
        <v>54</v>
      </c>
      <c r="J758" t="s">
        <v>47</v>
      </c>
      <c r="K758" t="s">
        <v>28</v>
      </c>
      <c r="L758">
        <v>773.83</v>
      </c>
      <c r="M758">
        <v>29</v>
      </c>
      <c r="N758">
        <v>2023</v>
      </c>
      <c r="O758">
        <v>1</v>
      </c>
      <c r="P758" t="s">
        <v>61</v>
      </c>
      <c r="Q758">
        <v>315.77</v>
      </c>
      <c r="R758" t="s">
        <v>25</v>
      </c>
      <c r="S758">
        <v>2.4506127877885806</v>
      </c>
      <c r="T758" t="s">
        <v>78</v>
      </c>
    </row>
    <row r="759" spans="1:20" x14ac:dyDescent="0.25">
      <c r="A759" s="11">
        <v>44985</v>
      </c>
      <c r="B759" t="s">
        <v>42</v>
      </c>
      <c r="C759" t="s">
        <v>43</v>
      </c>
      <c r="D759" t="s">
        <v>37</v>
      </c>
      <c r="E759" t="s">
        <v>38</v>
      </c>
      <c r="F759">
        <v>275</v>
      </c>
      <c r="G759">
        <v>4.46</v>
      </c>
      <c r="H759">
        <v>1226.5</v>
      </c>
      <c r="I759" t="s">
        <v>57</v>
      </c>
      <c r="J759" t="s">
        <v>27</v>
      </c>
      <c r="K759" t="s">
        <v>41</v>
      </c>
      <c r="L759">
        <v>910.93</v>
      </c>
      <c r="M759">
        <v>25.7</v>
      </c>
      <c r="N759">
        <v>2023</v>
      </c>
      <c r="O759">
        <v>1</v>
      </c>
      <c r="P759" t="s">
        <v>61</v>
      </c>
      <c r="Q759">
        <v>315.57</v>
      </c>
      <c r="R759" t="s">
        <v>25</v>
      </c>
      <c r="S759">
        <v>2.8866178660835948</v>
      </c>
      <c r="T759" t="s">
        <v>78</v>
      </c>
    </row>
    <row r="760" spans="1:20" x14ac:dyDescent="0.25">
      <c r="A760" s="11">
        <v>45024</v>
      </c>
      <c r="B760" t="s">
        <v>30</v>
      </c>
      <c r="C760" t="s">
        <v>31</v>
      </c>
      <c r="D760" t="s">
        <v>32</v>
      </c>
      <c r="E760" t="s">
        <v>20</v>
      </c>
      <c r="F760">
        <v>120</v>
      </c>
      <c r="G760">
        <v>8.57</v>
      </c>
      <c r="H760">
        <v>1028.4000000000001</v>
      </c>
      <c r="I760" t="s">
        <v>46</v>
      </c>
      <c r="J760" t="s">
        <v>27</v>
      </c>
      <c r="K760" t="s">
        <v>28</v>
      </c>
      <c r="L760">
        <v>713.01</v>
      </c>
      <c r="M760">
        <v>30.7</v>
      </c>
      <c r="N760">
        <v>2023</v>
      </c>
      <c r="O760">
        <v>2</v>
      </c>
      <c r="P760" t="s">
        <v>63</v>
      </c>
      <c r="Q760">
        <v>315.39</v>
      </c>
      <c r="R760" t="s">
        <v>25</v>
      </c>
      <c r="S760">
        <v>2.26072481689337</v>
      </c>
      <c r="T760" t="s">
        <v>78</v>
      </c>
    </row>
    <row r="761" spans="1:20" x14ac:dyDescent="0.25">
      <c r="A761" s="11">
        <v>45057</v>
      </c>
      <c r="B761" t="s">
        <v>58</v>
      </c>
      <c r="C761" t="s">
        <v>59</v>
      </c>
      <c r="D761" t="s">
        <v>49</v>
      </c>
      <c r="E761" t="s">
        <v>50</v>
      </c>
      <c r="F761">
        <v>858</v>
      </c>
      <c r="G761">
        <v>2.2000000000000002</v>
      </c>
      <c r="H761">
        <v>1887.6</v>
      </c>
      <c r="I761" t="s">
        <v>21</v>
      </c>
      <c r="J761" t="s">
        <v>56</v>
      </c>
      <c r="K761" t="s">
        <v>23</v>
      </c>
      <c r="L761">
        <v>1572.75</v>
      </c>
      <c r="M761">
        <v>16.7</v>
      </c>
      <c r="N761">
        <v>2023</v>
      </c>
      <c r="O761">
        <v>2</v>
      </c>
      <c r="P761" t="s">
        <v>65</v>
      </c>
      <c r="Q761">
        <v>314.85000000000002</v>
      </c>
      <c r="R761" t="s">
        <v>29</v>
      </c>
      <c r="S761">
        <v>4.9952358265840875</v>
      </c>
      <c r="T761" t="s">
        <v>78</v>
      </c>
    </row>
    <row r="762" spans="1:20" x14ac:dyDescent="0.25">
      <c r="A762" s="11">
        <v>45070</v>
      </c>
      <c r="B762" t="s">
        <v>17</v>
      </c>
      <c r="C762" t="s">
        <v>18</v>
      </c>
      <c r="D762" t="s">
        <v>49</v>
      </c>
      <c r="E762" t="s">
        <v>50</v>
      </c>
      <c r="F762">
        <v>883</v>
      </c>
      <c r="G762">
        <v>2.84</v>
      </c>
      <c r="H762">
        <v>2507.7199999999998</v>
      </c>
      <c r="I762" t="s">
        <v>46</v>
      </c>
      <c r="J762" t="s">
        <v>56</v>
      </c>
      <c r="K762" t="s">
        <v>41</v>
      </c>
      <c r="L762">
        <v>2192.87</v>
      </c>
      <c r="M762">
        <v>12.6</v>
      </c>
      <c r="N762">
        <v>2023</v>
      </c>
      <c r="O762">
        <v>2</v>
      </c>
      <c r="P762" t="s">
        <v>66</v>
      </c>
      <c r="Q762">
        <v>314.85000000000002</v>
      </c>
      <c r="R762" t="s">
        <v>29</v>
      </c>
      <c r="S762">
        <v>6.9648086390344597</v>
      </c>
      <c r="T762" t="s">
        <v>78</v>
      </c>
    </row>
    <row r="763" spans="1:20" x14ac:dyDescent="0.25">
      <c r="A763" s="11">
        <v>45113</v>
      </c>
      <c r="B763" t="s">
        <v>58</v>
      </c>
      <c r="C763" t="s">
        <v>59</v>
      </c>
      <c r="D763" t="s">
        <v>32</v>
      </c>
      <c r="E763" t="s">
        <v>20</v>
      </c>
      <c r="F763">
        <v>112</v>
      </c>
      <c r="G763">
        <v>9.49</v>
      </c>
      <c r="H763">
        <v>1062.8800000000001</v>
      </c>
      <c r="I763" t="s">
        <v>46</v>
      </c>
      <c r="J763" t="s">
        <v>22</v>
      </c>
      <c r="K763" t="s">
        <v>23</v>
      </c>
      <c r="L763">
        <v>749.53</v>
      </c>
      <c r="M763">
        <v>29.5</v>
      </c>
      <c r="N763">
        <v>2024</v>
      </c>
      <c r="O763">
        <v>3</v>
      </c>
      <c r="P763" t="s">
        <v>62</v>
      </c>
      <c r="Q763">
        <v>313.35000000000002</v>
      </c>
      <c r="R763" t="s">
        <v>25</v>
      </c>
      <c r="S763">
        <v>2.3919897877772458</v>
      </c>
      <c r="T763" t="s">
        <v>78</v>
      </c>
    </row>
    <row r="764" spans="1:20" x14ac:dyDescent="0.25">
      <c r="A764" s="11">
        <v>45118</v>
      </c>
      <c r="B764" t="s">
        <v>58</v>
      </c>
      <c r="C764" t="s">
        <v>59</v>
      </c>
      <c r="D764" t="s">
        <v>53</v>
      </c>
      <c r="E764" t="s">
        <v>50</v>
      </c>
      <c r="F764">
        <v>267</v>
      </c>
      <c r="G764">
        <v>6.74</v>
      </c>
      <c r="H764">
        <v>1799.58</v>
      </c>
      <c r="I764" t="s">
        <v>39</v>
      </c>
      <c r="J764" t="s">
        <v>56</v>
      </c>
      <c r="K764" t="s">
        <v>41</v>
      </c>
      <c r="L764">
        <v>1486.73</v>
      </c>
      <c r="M764">
        <v>17.399999999999999</v>
      </c>
      <c r="N764">
        <v>2024</v>
      </c>
      <c r="O764">
        <v>3</v>
      </c>
      <c r="P764" t="s">
        <v>64</v>
      </c>
      <c r="Q764">
        <v>312.85000000000002</v>
      </c>
      <c r="R764" t="s">
        <v>29</v>
      </c>
      <c r="S764">
        <v>4.7522135208566398</v>
      </c>
      <c r="T764" t="s">
        <v>78</v>
      </c>
    </row>
    <row r="765" spans="1:20" x14ac:dyDescent="0.25">
      <c r="A765" s="11">
        <v>44960</v>
      </c>
      <c r="B765" t="s">
        <v>35</v>
      </c>
      <c r="C765" t="s">
        <v>36</v>
      </c>
      <c r="D765" t="s">
        <v>19</v>
      </c>
      <c r="E765" t="s">
        <v>20</v>
      </c>
      <c r="F765">
        <v>484</v>
      </c>
      <c r="G765">
        <v>2.4500000000000002</v>
      </c>
      <c r="H765">
        <v>1185.8</v>
      </c>
      <c r="I765" t="s">
        <v>46</v>
      </c>
      <c r="J765" t="s">
        <v>47</v>
      </c>
      <c r="K765" t="s">
        <v>28</v>
      </c>
      <c r="L765">
        <v>874.67</v>
      </c>
      <c r="M765">
        <v>26.2</v>
      </c>
      <c r="N765">
        <v>2023</v>
      </c>
      <c r="O765">
        <v>1</v>
      </c>
      <c r="P765" t="s">
        <v>60</v>
      </c>
      <c r="Q765">
        <v>311.13</v>
      </c>
      <c r="R765" t="s">
        <v>25</v>
      </c>
      <c r="S765">
        <v>2.8112686015491914</v>
      </c>
      <c r="T765" t="s">
        <v>78</v>
      </c>
    </row>
    <row r="766" spans="1:20" x14ac:dyDescent="0.25">
      <c r="A766" s="11">
        <v>45113</v>
      </c>
      <c r="B766" t="s">
        <v>51</v>
      </c>
      <c r="C766" t="s">
        <v>52</v>
      </c>
      <c r="D766" t="s">
        <v>44</v>
      </c>
      <c r="E766" t="s">
        <v>38</v>
      </c>
      <c r="F766">
        <v>167</v>
      </c>
      <c r="G766">
        <v>6.45</v>
      </c>
      <c r="H766">
        <v>1077.1500000000001</v>
      </c>
      <c r="I766" t="s">
        <v>39</v>
      </c>
      <c r="J766" t="s">
        <v>27</v>
      </c>
      <c r="K766" t="s">
        <v>41</v>
      </c>
      <c r="L766">
        <v>766.32</v>
      </c>
      <c r="M766">
        <v>28.9</v>
      </c>
      <c r="N766">
        <v>2024</v>
      </c>
      <c r="O766">
        <v>3</v>
      </c>
      <c r="P766" t="s">
        <v>62</v>
      </c>
      <c r="Q766">
        <v>310.83</v>
      </c>
      <c r="R766" t="s">
        <v>25</v>
      </c>
      <c r="S766">
        <v>2.4653990927516651</v>
      </c>
      <c r="T766" t="s">
        <v>78</v>
      </c>
    </row>
    <row r="767" spans="1:20" x14ac:dyDescent="0.25">
      <c r="A767" s="11">
        <v>45018</v>
      </c>
      <c r="B767" t="s">
        <v>42</v>
      </c>
      <c r="C767" t="s">
        <v>43</v>
      </c>
      <c r="D767" t="s">
        <v>48</v>
      </c>
      <c r="E767" t="s">
        <v>38</v>
      </c>
      <c r="F767">
        <v>127</v>
      </c>
      <c r="G767">
        <v>7.25</v>
      </c>
      <c r="H767">
        <v>920.75</v>
      </c>
      <c r="I767" t="s">
        <v>55</v>
      </c>
      <c r="J767" t="s">
        <v>47</v>
      </c>
      <c r="K767" t="s">
        <v>28</v>
      </c>
      <c r="L767">
        <v>614.27</v>
      </c>
      <c r="M767">
        <v>33.299999999999997</v>
      </c>
      <c r="N767">
        <v>2023</v>
      </c>
      <c r="O767">
        <v>2</v>
      </c>
      <c r="P767" t="s">
        <v>62</v>
      </c>
      <c r="Q767">
        <v>306.48</v>
      </c>
      <c r="R767" t="s">
        <v>25</v>
      </c>
      <c r="S767">
        <v>2.0042743409031583</v>
      </c>
      <c r="T767" t="s">
        <v>78</v>
      </c>
    </row>
    <row r="768" spans="1:20" x14ac:dyDescent="0.25">
      <c r="A768" s="11">
        <v>45019</v>
      </c>
      <c r="B768" t="s">
        <v>35</v>
      </c>
      <c r="C768" t="s">
        <v>36</v>
      </c>
      <c r="D768" t="s">
        <v>48</v>
      </c>
      <c r="E768" t="s">
        <v>38</v>
      </c>
      <c r="F768">
        <v>98</v>
      </c>
      <c r="G768">
        <v>7.9</v>
      </c>
      <c r="H768">
        <v>774.2</v>
      </c>
      <c r="I768" t="s">
        <v>21</v>
      </c>
      <c r="J768" t="s">
        <v>40</v>
      </c>
      <c r="K768" t="s">
        <v>28</v>
      </c>
      <c r="L768">
        <v>467.89</v>
      </c>
      <c r="M768">
        <v>39.6</v>
      </c>
      <c r="N768">
        <v>2023</v>
      </c>
      <c r="O768">
        <v>2</v>
      </c>
      <c r="P768" t="s">
        <v>62</v>
      </c>
      <c r="Q768">
        <v>306.31</v>
      </c>
      <c r="R768" t="s">
        <v>25</v>
      </c>
      <c r="S768">
        <v>1.5275048153831086</v>
      </c>
      <c r="T768" t="s">
        <v>78</v>
      </c>
    </row>
    <row r="769" spans="1:20" x14ac:dyDescent="0.25">
      <c r="A769" s="11">
        <v>44927</v>
      </c>
      <c r="B769" t="s">
        <v>17</v>
      </c>
      <c r="C769" t="s">
        <v>18</v>
      </c>
      <c r="D769" t="s">
        <v>19</v>
      </c>
      <c r="E769" t="s">
        <v>20</v>
      </c>
      <c r="F769">
        <v>118</v>
      </c>
      <c r="G769">
        <v>9.51</v>
      </c>
      <c r="H769">
        <v>1122.18</v>
      </c>
      <c r="I769" t="s">
        <v>21</v>
      </c>
      <c r="J769" t="s">
        <v>22</v>
      </c>
      <c r="K769" t="s">
        <v>23</v>
      </c>
      <c r="L769">
        <v>816.31</v>
      </c>
      <c r="M769">
        <v>27.3</v>
      </c>
      <c r="N769">
        <v>2023</v>
      </c>
      <c r="O769">
        <v>1</v>
      </c>
      <c r="P769" t="s">
        <v>24</v>
      </c>
      <c r="Q769">
        <v>305.87</v>
      </c>
      <c r="R769" t="s">
        <v>25</v>
      </c>
      <c r="S769">
        <v>2.6688135482394477</v>
      </c>
      <c r="T769" t="s">
        <v>78</v>
      </c>
    </row>
    <row r="770" spans="1:20" x14ac:dyDescent="0.25">
      <c r="A770" s="11">
        <v>45080</v>
      </c>
      <c r="B770" t="s">
        <v>30</v>
      </c>
      <c r="C770" t="s">
        <v>31</v>
      </c>
      <c r="D770" t="s">
        <v>45</v>
      </c>
      <c r="E770" t="s">
        <v>20</v>
      </c>
      <c r="F770">
        <v>115</v>
      </c>
      <c r="G770">
        <v>11.53</v>
      </c>
      <c r="H770">
        <v>1325.95</v>
      </c>
      <c r="I770" t="s">
        <v>26</v>
      </c>
      <c r="J770" t="s">
        <v>27</v>
      </c>
      <c r="K770" t="s">
        <v>23</v>
      </c>
      <c r="L770">
        <v>1020.45</v>
      </c>
      <c r="M770">
        <v>23</v>
      </c>
      <c r="N770">
        <v>2023</v>
      </c>
      <c r="O770">
        <v>2</v>
      </c>
      <c r="P770" t="s">
        <v>68</v>
      </c>
      <c r="Q770">
        <v>305.5</v>
      </c>
      <c r="R770" t="s">
        <v>29</v>
      </c>
      <c r="S770">
        <v>3.340261865793781</v>
      </c>
      <c r="T770" t="s">
        <v>78</v>
      </c>
    </row>
    <row r="771" spans="1:20" x14ac:dyDescent="0.25">
      <c r="A771" s="11">
        <v>45050</v>
      </c>
      <c r="B771" t="s">
        <v>35</v>
      </c>
      <c r="C771" t="s">
        <v>36</v>
      </c>
      <c r="D771" t="s">
        <v>48</v>
      </c>
      <c r="E771" t="s">
        <v>38</v>
      </c>
      <c r="F771">
        <v>280</v>
      </c>
      <c r="G771">
        <v>3.57</v>
      </c>
      <c r="H771">
        <v>999.6</v>
      </c>
      <c r="I771" t="s">
        <v>26</v>
      </c>
      <c r="J771" t="s">
        <v>22</v>
      </c>
      <c r="K771" t="s">
        <v>41</v>
      </c>
      <c r="L771">
        <v>695.2</v>
      </c>
      <c r="M771">
        <v>30.5</v>
      </c>
      <c r="N771">
        <v>2023</v>
      </c>
      <c r="O771">
        <v>2</v>
      </c>
      <c r="P771" t="s">
        <v>64</v>
      </c>
      <c r="Q771">
        <v>304.39999999999998</v>
      </c>
      <c r="R771" t="s">
        <v>25</v>
      </c>
      <c r="S771">
        <v>2.2838370565045993</v>
      </c>
      <c r="T771" t="s">
        <v>78</v>
      </c>
    </row>
    <row r="772" spans="1:20" x14ac:dyDescent="0.25">
      <c r="A772" s="11">
        <v>45099</v>
      </c>
      <c r="B772" t="s">
        <v>17</v>
      </c>
      <c r="C772" t="s">
        <v>18</v>
      </c>
      <c r="D772" t="s">
        <v>37</v>
      </c>
      <c r="E772" t="s">
        <v>38</v>
      </c>
      <c r="F772">
        <v>555</v>
      </c>
      <c r="G772">
        <v>4.5599999999999996</v>
      </c>
      <c r="H772">
        <v>2530.8000000000002</v>
      </c>
      <c r="I772" t="s">
        <v>54</v>
      </c>
      <c r="J772" t="s">
        <v>47</v>
      </c>
      <c r="K772" t="s">
        <v>28</v>
      </c>
      <c r="L772">
        <v>2226.87</v>
      </c>
      <c r="M772">
        <v>12</v>
      </c>
      <c r="N772">
        <v>2024</v>
      </c>
      <c r="O772">
        <v>2</v>
      </c>
      <c r="P772" t="s">
        <v>24</v>
      </c>
      <c r="Q772">
        <v>303.93</v>
      </c>
      <c r="R772" t="s">
        <v>29</v>
      </c>
      <c r="S772">
        <v>7.3269173822919749</v>
      </c>
      <c r="T772" t="s">
        <v>78</v>
      </c>
    </row>
    <row r="773" spans="1:20" x14ac:dyDescent="0.25">
      <c r="A773" s="11">
        <v>45101</v>
      </c>
      <c r="B773" t="s">
        <v>42</v>
      </c>
      <c r="C773" t="s">
        <v>43</v>
      </c>
      <c r="D773" t="s">
        <v>37</v>
      </c>
      <c r="E773" t="s">
        <v>38</v>
      </c>
      <c r="F773">
        <v>164</v>
      </c>
      <c r="G773">
        <v>7.45</v>
      </c>
      <c r="H773">
        <v>1221.8</v>
      </c>
      <c r="I773" t="s">
        <v>57</v>
      </c>
      <c r="J773" t="s">
        <v>40</v>
      </c>
      <c r="K773" t="s">
        <v>28</v>
      </c>
      <c r="L773">
        <v>918.54</v>
      </c>
      <c r="M773">
        <v>24.8</v>
      </c>
      <c r="N773">
        <v>2024</v>
      </c>
      <c r="O773">
        <v>2</v>
      </c>
      <c r="P773" t="s">
        <v>24</v>
      </c>
      <c r="Q773">
        <v>303.26</v>
      </c>
      <c r="R773" t="s">
        <v>29</v>
      </c>
      <c r="S773">
        <v>3.0288861043329156</v>
      </c>
      <c r="T773" t="s">
        <v>78</v>
      </c>
    </row>
    <row r="774" spans="1:20" x14ac:dyDescent="0.25">
      <c r="A774" s="11">
        <v>45057</v>
      </c>
      <c r="B774" t="s">
        <v>51</v>
      </c>
      <c r="C774" t="s">
        <v>52</v>
      </c>
      <c r="D774" t="s">
        <v>37</v>
      </c>
      <c r="E774" t="s">
        <v>38</v>
      </c>
      <c r="F774">
        <v>115</v>
      </c>
      <c r="G774">
        <v>7.03</v>
      </c>
      <c r="H774">
        <v>808.45</v>
      </c>
      <c r="I774" t="s">
        <v>33</v>
      </c>
      <c r="J774" t="s">
        <v>47</v>
      </c>
      <c r="K774" t="s">
        <v>41</v>
      </c>
      <c r="L774">
        <v>508.32</v>
      </c>
      <c r="M774">
        <v>37.1</v>
      </c>
      <c r="N774">
        <v>2023</v>
      </c>
      <c r="O774">
        <v>2</v>
      </c>
      <c r="P774" t="s">
        <v>65</v>
      </c>
      <c r="Q774">
        <v>300.13</v>
      </c>
      <c r="R774" t="s">
        <v>25</v>
      </c>
      <c r="S774">
        <v>1.6936660780328525</v>
      </c>
      <c r="T774" t="s">
        <v>78</v>
      </c>
    </row>
    <row r="775" spans="1:20" x14ac:dyDescent="0.25">
      <c r="A775" s="11">
        <v>45027</v>
      </c>
      <c r="B775" t="s">
        <v>42</v>
      </c>
      <c r="C775" t="s">
        <v>43</v>
      </c>
      <c r="D775" t="s">
        <v>44</v>
      </c>
      <c r="E775" t="s">
        <v>38</v>
      </c>
      <c r="F775">
        <v>286</v>
      </c>
      <c r="G775">
        <v>2.71</v>
      </c>
      <c r="H775">
        <v>775.06</v>
      </c>
      <c r="I775" t="s">
        <v>26</v>
      </c>
      <c r="J775" t="s">
        <v>34</v>
      </c>
      <c r="K775" t="s">
        <v>23</v>
      </c>
      <c r="L775">
        <v>475.57</v>
      </c>
      <c r="M775">
        <v>38.6</v>
      </c>
      <c r="N775">
        <v>2023</v>
      </c>
      <c r="O775">
        <v>2</v>
      </c>
      <c r="P775" t="s">
        <v>63</v>
      </c>
      <c r="Q775">
        <v>299.49</v>
      </c>
      <c r="R775" t="s">
        <v>25</v>
      </c>
      <c r="S775">
        <v>1.5879328191258473</v>
      </c>
      <c r="T775" t="s">
        <v>78</v>
      </c>
    </row>
    <row r="776" spans="1:20" x14ac:dyDescent="0.25">
      <c r="A776" s="11">
        <v>44964</v>
      </c>
      <c r="B776" t="s">
        <v>17</v>
      </c>
      <c r="C776" t="s">
        <v>18</v>
      </c>
      <c r="D776" t="s">
        <v>49</v>
      </c>
      <c r="E776" t="s">
        <v>50</v>
      </c>
      <c r="F776">
        <v>235</v>
      </c>
      <c r="G776">
        <v>6.9</v>
      </c>
      <c r="H776">
        <v>1621.5</v>
      </c>
      <c r="I776" t="s">
        <v>21</v>
      </c>
      <c r="J776" t="s">
        <v>22</v>
      </c>
      <c r="K776" t="s">
        <v>41</v>
      </c>
      <c r="L776">
        <v>1322.81</v>
      </c>
      <c r="M776">
        <v>18.399999999999999</v>
      </c>
      <c r="N776">
        <v>2023</v>
      </c>
      <c r="O776">
        <v>1</v>
      </c>
      <c r="P776" t="s">
        <v>60</v>
      </c>
      <c r="Q776">
        <v>298.69</v>
      </c>
      <c r="R776" t="s">
        <v>29</v>
      </c>
      <c r="S776">
        <v>4.4287053466805046</v>
      </c>
      <c r="T776" t="s">
        <v>78</v>
      </c>
    </row>
    <row r="777" spans="1:20" x14ac:dyDescent="0.25">
      <c r="A777" s="11">
        <v>45070</v>
      </c>
      <c r="B777" t="s">
        <v>51</v>
      </c>
      <c r="C777" t="s">
        <v>52</v>
      </c>
      <c r="D777" t="s">
        <v>32</v>
      </c>
      <c r="E777" t="s">
        <v>20</v>
      </c>
      <c r="F777">
        <v>360</v>
      </c>
      <c r="G777">
        <v>5.57</v>
      </c>
      <c r="H777">
        <v>2005.2</v>
      </c>
      <c r="I777" t="s">
        <v>54</v>
      </c>
      <c r="J777" t="s">
        <v>27</v>
      </c>
      <c r="K777" t="s">
        <v>28</v>
      </c>
      <c r="L777">
        <v>1709.26</v>
      </c>
      <c r="M777">
        <v>14.8</v>
      </c>
      <c r="N777">
        <v>2023</v>
      </c>
      <c r="O777">
        <v>2</v>
      </c>
      <c r="P777" t="s">
        <v>66</v>
      </c>
      <c r="Q777">
        <v>295.94</v>
      </c>
      <c r="R777" t="s">
        <v>29</v>
      </c>
      <c r="S777">
        <v>5.7756977765763331</v>
      </c>
      <c r="T777" t="s">
        <v>78</v>
      </c>
    </row>
    <row r="778" spans="1:20" x14ac:dyDescent="0.25">
      <c r="A778" s="11">
        <v>45129</v>
      </c>
      <c r="B778" t="s">
        <v>58</v>
      </c>
      <c r="C778" t="s">
        <v>59</v>
      </c>
      <c r="D778" t="s">
        <v>45</v>
      </c>
      <c r="E778" t="s">
        <v>20</v>
      </c>
      <c r="F778">
        <v>598</v>
      </c>
      <c r="G778">
        <v>4.3899999999999997</v>
      </c>
      <c r="H778">
        <v>2625.22</v>
      </c>
      <c r="I778" t="s">
        <v>33</v>
      </c>
      <c r="J778" t="s">
        <v>40</v>
      </c>
      <c r="K778" t="s">
        <v>23</v>
      </c>
      <c r="L778">
        <v>2330.1</v>
      </c>
      <c r="M778">
        <v>11.2</v>
      </c>
      <c r="N778">
        <v>2025</v>
      </c>
      <c r="O778">
        <v>3</v>
      </c>
      <c r="P778" t="s">
        <v>62</v>
      </c>
      <c r="Q778">
        <v>295.12</v>
      </c>
      <c r="R778" t="s">
        <v>29</v>
      </c>
      <c r="S778">
        <v>7.895432366494985</v>
      </c>
      <c r="T778" t="s">
        <v>78</v>
      </c>
    </row>
    <row r="779" spans="1:20" x14ac:dyDescent="0.25">
      <c r="A779" s="11">
        <v>45069</v>
      </c>
      <c r="B779" t="s">
        <v>35</v>
      </c>
      <c r="C779" t="s">
        <v>36</v>
      </c>
      <c r="D779" t="s">
        <v>48</v>
      </c>
      <c r="E779" t="s">
        <v>38</v>
      </c>
      <c r="F779">
        <v>738</v>
      </c>
      <c r="G779">
        <v>2.58</v>
      </c>
      <c r="H779">
        <v>1904.04</v>
      </c>
      <c r="I779" t="s">
        <v>46</v>
      </c>
      <c r="J779" t="s">
        <v>47</v>
      </c>
      <c r="K779" t="s">
        <v>41</v>
      </c>
      <c r="L779">
        <v>1609.82</v>
      </c>
      <c r="M779">
        <v>15.5</v>
      </c>
      <c r="N779">
        <v>2023</v>
      </c>
      <c r="O779">
        <v>2</v>
      </c>
      <c r="P779" t="s">
        <v>66</v>
      </c>
      <c r="Q779">
        <v>294.22000000000003</v>
      </c>
      <c r="R779" t="s">
        <v>29</v>
      </c>
      <c r="S779">
        <v>5.4714839235945885</v>
      </c>
      <c r="T779" t="s">
        <v>78</v>
      </c>
    </row>
    <row r="780" spans="1:20" x14ac:dyDescent="0.25">
      <c r="A780" s="11">
        <v>44980</v>
      </c>
      <c r="B780" t="s">
        <v>30</v>
      </c>
      <c r="C780" t="s">
        <v>31</v>
      </c>
      <c r="D780" t="s">
        <v>45</v>
      </c>
      <c r="E780" t="s">
        <v>20</v>
      </c>
      <c r="F780">
        <v>270</v>
      </c>
      <c r="G780">
        <v>4.74</v>
      </c>
      <c r="H780">
        <v>1279.8</v>
      </c>
      <c r="I780" t="s">
        <v>55</v>
      </c>
      <c r="J780" t="s">
        <v>22</v>
      </c>
      <c r="K780" t="s">
        <v>23</v>
      </c>
      <c r="L780">
        <v>985.98</v>
      </c>
      <c r="M780">
        <v>23</v>
      </c>
      <c r="N780">
        <v>2023</v>
      </c>
      <c r="O780">
        <v>1</v>
      </c>
      <c r="P780" t="s">
        <v>61</v>
      </c>
      <c r="Q780">
        <v>293.82</v>
      </c>
      <c r="R780" t="s">
        <v>29</v>
      </c>
      <c r="S780">
        <v>3.3557279967326936</v>
      </c>
      <c r="T780" t="s">
        <v>78</v>
      </c>
    </row>
    <row r="781" spans="1:20" x14ac:dyDescent="0.25">
      <c r="A781" s="11">
        <v>45037</v>
      </c>
      <c r="B781" t="s">
        <v>17</v>
      </c>
      <c r="C781" t="s">
        <v>18</v>
      </c>
      <c r="D781" t="s">
        <v>19</v>
      </c>
      <c r="E781" t="s">
        <v>20</v>
      </c>
      <c r="F781">
        <v>337</v>
      </c>
      <c r="G781">
        <v>7.76</v>
      </c>
      <c r="H781">
        <v>2615.12</v>
      </c>
      <c r="I781" t="s">
        <v>54</v>
      </c>
      <c r="J781" t="s">
        <v>47</v>
      </c>
      <c r="K781" t="s">
        <v>41</v>
      </c>
      <c r="L781">
        <v>2322.91</v>
      </c>
      <c r="M781">
        <v>11.2</v>
      </c>
      <c r="N781">
        <v>2023</v>
      </c>
      <c r="O781">
        <v>2</v>
      </c>
      <c r="P781" t="s">
        <v>63</v>
      </c>
      <c r="Q781">
        <v>292.20999999999998</v>
      </c>
      <c r="R781" t="s">
        <v>29</v>
      </c>
      <c r="S781">
        <v>7.9494541596796822</v>
      </c>
      <c r="T781" t="s">
        <v>78</v>
      </c>
    </row>
    <row r="782" spans="1:20" x14ac:dyDescent="0.25">
      <c r="A782" s="11">
        <v>44938</v>
      </c>
      <c r="B782" t="s">
        <v>58</v>
      </c>
      <c r="C782" t="s">
        <v>59</v>
      </c>
      <c r="D782" t="s">
        <v>37</v>
      </c>
      <c r="E782" t="s">
        <v>38</v>
      </c>
      <c r="F782">
        <v>246</v>
      </c>
      <c r="G782">
        <v>3.96</v>
      </c>
      <c r="H782">
        <v>974.16</v>
      </c>
      <c r="I782" t="s">
        <v>21</v>
      </c>
      <c r="J782" t="s">
        <v>27</v>
      </c>
      <c r="K782" t="s">
        <v>28</v>
      </c>
      <c r="L782">
        <v>682.21</v>
      </c>
      <c r="M782">
        <v>30</v>
      </c>
      <c r="N782">
        <v>2023</v>
      </c>
      <c r="O782">
        <v>1</v>
      </c>
      <c r="P782" t="s">
        <v>24</v>
      </c>
      <c r="Q782">
        <v>291.95</v>
      </c>
      <c r="R782" t="s">
        <v>25</v>
      </c>
      <c r="S782">
        <v>2.3367357424216477</v>
      </c>
      <c r="T782" t="s">
        <v>78</v>
      </c>
    </row>
    <row r="783" spans="1:20" x14ac:dyDescent="0.25">
      <c r="A783" s="11">
        <v>45035</v>
      </c>
      <c r="B783" t="s">
        <v>35</v>
      </c>
      <c r="C783" t="s">
        <v>36</v>
      </c>
      <c r="D783" t="s">
        <v>45</v>
      </c>
      <c r="E783" t="s">
        <v>20</v>
      </c>
      <c r="F783">
        <v>356</v>
      </c>
      <c r="G783">
        <v>3.59</v>
      </c>
      <c r="H783">
        <v>1278.04</v>
      </c>
      <c r="I783" t="s">
        <v>26</v>
      </c>
      <c r="J783" t="s">
        <v>22</v>
      </c>
      <c r="K783" t="s">
        <v>23</v>
      </c>
      <c r="L783">
        <v>986.74</v>
      </c>
      <c r="M783">
        <v>22.8</v>
      </c>
      <c r="N783">
        <v>2023</v>
      </c>
      <c r="O783">
        <v>2</v>
      </c>
      <c r="P783" t="s">
        <v>63</v>
      </c>
      <c r="Q783">
        <v>291.3</v>
      </c>
      <c r="R783" t="s">
        <v>29</v>
      </c>
      <c r="S783">
        <v>3.3873669756265019</v>
      </c>
      <c r="T783" t="s">
        <v>78</v>
      </c>
    </row>
    <row r="784" spans="1:20" x14ac:dyDescent="0.25">
      <c r="A784" s="11">
        <v>45025</v>
      </c>
      <c r="B784" t="s">
        <v>42</v>
      </c>
      <c r="C784" t="s">
        <v>43</v>
      </c>
      <c r="D784" t="s">
        <v>37</v>
      </c>
      <c r="E784" t="s">
        <v>38</v>
      </c>
      <c r="F784">
        <v>141</v>
      </c>
      <c r="G784">
        <v>8.9600000000000009</v>
      </c>
      <c r="H784">
        <v>1263.3599999999999</v>
      </c>
      <c r="I784" t="s">
        <v>46</v>
      </c>
      <c r="J784" t="s">
        <v>47</v>
      </c>
      <c r="K784" t="s">
        <v>28</v>
      </c>
      <c r="L784">
        <v>973.67</v>
      </c>
      <c r="M784">
        <v>22.9</v>
      </c>
      <c r="N784">
        <v>2023</v>
      </c>
      <c r="O784">
        <v>2</v>
      </c>
      <c r="P784" t="s">
        <v>63</v>
      </c>
      <c r="Q784">
        <v>289.69</v>
      </c>
      <c r="R784" t="s">
        <v>29</v>
      </c>
      <c r="S784">
        <v>3.3610756325727502</v>
      </c>
      <c r="T784" t="s">
        <v>78</v>
      </c>
    </row>
    <row r="785" spans="1:20" x14ac:dyDescent="0.25">
      <c r="A785" s="11">
        <v>45031</v>
      </c>
      <c r="B785" t="s">
        <v>30</v>
      </c>
      <c r="C785" t="s">
        <v>31</v>
      </c>
      <c r="D785" t="s">
        <v>45</v>
      </c>
      <c r="E785" t="s">
        <v>20</v>
      </c>
      <c r="F785">
        <v>422</v>
      </c>
      <c r="G785">
        <v>2.29</v>
      </c>
      <c r="H785">
        <v>966.38</v>
      </c>
      <c r="I785" t="s">
        <v>21</v>
      </c>
      <c r="J785" t="s">
        <v>40</v>
      </c>
      <c r="K785" t="s">
        <v>23</v>
      </c>
      <c r="L785">
        <v>678.41</v>
      </c>
      <c r="M785">
        <v>29.8</v>
      </c>
      <c r="N785">
        <v>2023</v>
      </c>
      <c r="O785">
        <v>2</v>
      </c>
      <c r="P785" t="s">
        <v>63</v>
      </c>
      <c r="Q785">
        <v>287.97000000000003</v>
      </c>
      <c r="R785" t="s">
        <v>25</v>
      </c>
      <c r="S785">
        <v>2.3558356773274989</v>
      </c>
      <c r="T785" t="s">
        <v>78</v>
      </c>
    </row>
    <row r="786" spans="1:20" x14ac:dyDescent="0.25">
      <c r="A786" s="11">
        <v>44942</v>
      </c>
      <c r="B786" t="s">
        <v>17</v>
      </c>
      <c r="C786" t="s">
        <v>18</v>
      </c>
      <c r="D786" t="s">
        <v>32</v>
      </c>
      <c r="E786" t="s">
        <v>20</v>
      </c>
      <c r="F786">
        <v>571</v>
      </c>
      <c r="G786">
        <v>2.13</v>
      </c>
      <c r="H786">
        <v>1216.23</v>
      </c>
      <c r="I786" t="s">
        <v>57</v>
      </c>
      <c r="J786" t="s">
        <v>27</v>
      </c>
      <c r="K786" t="s">
        <v>41</v>
      </c>
      <c r="L786">
        <v>929.39</v>
      </c>
      <c r="M786">
        <v>23.6</v>
      </c>
      <c r="N786">
        <v>2023</v>
      </c>
      <c r="O786">
        <v>1</v>
      </c>
      <c r="P786" t="s">
        <v>24</v>
      </c>
      <c r="Q786">
        <v>286.83999999999997</v>
      </c>
      <c r="R786" t="s">
        <v>29</v>
      </c>
      <c r="S786">
        <v>3.2400990099009905</v>
      </c>
      <c r="T786" t="s">
        <v>78</v>
      </c>
    </row>
    <row r="787" spans="1:20" x14ac:dyDescent="0.25">
      <c r="A787" s="11">
        <v>45018</v>
      </c>
      <c r="B787" t="s">
        <v>35</v>
      </c>
      <c r="C787" t="s">
        <v>36</v>
      </c>
      <c r="D787" t="s">
        <v>44</v>
      </c>
      <c r="E787" t="s">
        <v>38</v>
      </c>
      <c r="F787">
        <v>242</v>
      </c>
      <c r="G787">
        <v>7.51</v>
      </c>
      <c r="H787">
        <v>1817.42</v>
      </c>
      <c r="I787" t="s">
        <v>26</v>
      </c>
      <c r="J787" t="s">
        <v>22</v>
      </c>
      <c r="K787" t="s">
        <v>28</v>
      </c>
      <c r="L787">
        <v>1534.8</v>
      </c>
      <c r="M787">
        <v>15.6</v>
      </c>
      <c r="N787">
        <v>2023</v>
      </c>
      <c r="O787">
        <v>2</v>
      </c>
      <c r="P787" t="s">
        <v>62</v>
      </c>
      <c r="Q787">
        <v>282.62</v>
      </c>
      <c r="R787" t="s">
        <v>29</v>
      </c>
      <c r="S787">
        <v>5.4306135446889812</v>
      </c>
      <c r="T787" t="s">
        <v>78</v>
      </c>
    </row>
    <row r="788" spans="1:20" x14ac:dyDescent="0.25">
      <c r="A788" s="11">
        <v>44949</v>
      </c>
      <c r="B788" t="s">
        <v>17</v>
      </c>
      <c r="C788" t="s">
        <v>18</v>
      </c>
      <c r="D788" t="s">
        <v>53</v>
      </c>
      <c r="E788" t="s">
        <v>50</v>
      </c>
      <c r="F788">
        <v>315</v>
      </c>
      <c r="G788">
        <v>7.61</v>
      </c>
      <c r="H788">
        <v>2397.15</v>
      </c>
      <c r="I788" t="s">
        <v>54</v>
      </c>
      <c r="J788" t="s">
        <v>27</v>
      </c>
      <c r="K788" t="s">
        <v>28</v>
      </c>
      <c r="L788">
        <v>2116.36</v>
      </c>
      <c r="M788">
        <v>11.7</v>
      </c>
      <c r="N788">
        <v>2023</v>
      </c>
      <c r="O788">
        <v>1</v>
      </c>
      <c r="P788" t="s">
        <v>24</v>
      </c>
      <c r="Q788">
        <v>280.79000000000002</v>
      </c>
      <c r="R788" t="s">
        <v>29</v>
      </c>
      <c r="S788">
        <v>7.5371630043804974</v>
      </c>
      <c r="T788" t="s">
        <v>78</v>
      </c>
    </row>
    <row r="789" spans="1:20" x14ac:dyDescent="0.25">
      <c r="A789" s="11">
        <v>44945</v>
      </c>
      <c r="B789" t="s">
        <v>30</v>
      </c>
      <c r="C789" t="s">
        <v>31</v>
      </c>
      <c r="D789" t="s">
        <v>32</v>
      </c>
      <c r="E789" t="s">
        <v>20</v>
      </c>
      <c r="F789">
        <v>285</v>
      </c>
      <c r="G789">
        <v>4.63</v>
      </c>
      <c r="H789">
        <v>1319.55</v>
      </c>
      <c r="I789" t="s">
        <v>55</v>
      </c>
      <c r="J789" t="s">
        <v>56</v>
      </c>
      <c r="K789" t="s">
        <v>28</v>
      </c>
      <c r="L789">
        <v>1039.3</v>
      </c>
      <c r="M789">
        <v>21.2</v>
      </c>
      <c r="N789">
        <v>2023</v>
      </c>
      <c r="O789">
        <v>1</v>
      </c>
      <c r="P789" t="s">
        <v>24</v>
      </c>
      <c r="Q789">
        <v>280.25</v>
      </c>
      <c r="R789" t="s">
        <v>29</v>
      </c>
      <c r="S789">
        <v>3.7084745762711862</v>
      </c>
      <c r="T789" t="s">
        <v>78</v>
      </c>
    </row>
    <row r="790" spans="1:20" x14ac:dyDescent="0.25">
      <c r="A790" s="11">
        <v>45079</v>
      </c>
      <c r="B790" t="s">
        <v>58</v>
      </c>
      <c r="C790" t="s">
        <v>59</v>
      </c>
      <c r="D790" t="s">
        <v>53</v>
      </c>
      <c r="E790" t="s">
        <v>50</v>
      </c>
      <c r="F790">
        <v>596</v>
      </c>
      <c r="G790">
        <v>2.74</v>
      </c>
      <c r="H790">
        <v>1633.04</v>
      </c>
      <c r="I790" t="s">
        <v>33</v>
      </c>
      <c r="J790" t="s">
        <v>27</v>
      </c>
      <c r="K790" t="s">
        <v>28</v>
      </c>
      <c r="L790">
        <v>1352.88</v>
      </c>
      <c r="M790">
        <v>17.2</v>
      </c>
      <c r="N790">
        <v>2023</v>
      </c>
      <c r="O790">
        <v>2</v>
      </c>
      <c r="P790" t="s">
        <v>68</v>
      </c>
      <c r="Q790">
        <v>280.16000000000003</v>
      </c>
      <c r="R790" t="s">
        <v>29</v>
      </c>
      <c r="S790">
        <v>4.8289548829240436</v>
      </c>
      <c r="T790" t="s">
        <v>78</v>
      </c>
    </row>
    <row r="791" spans="1:20" x14ac:dyDescent="0.25">
      <c r="A791" s="11">
        <v>45114</v>
      </c>
      <c r="B791" t="s">
        <v>58</v>
      </c>
      <c r="C791" t="s">
        <v>59</v>
      </c>
      <c r="D791" t="s">
        <v>48</v>
      </c>
      <c r="E791" t="s">
        <v>38</v>
      </c>
      <c r="F791">
        <v>240</v>
      </c>
      <c r="G791">
        <v>10.86</v>
      </c>
      <c r="H791">
        <v>2606.4</v>
      </c>
      <c r="I791" t="s">
        <v>54</v>
      </c>
      <c r="J791" t="s">
        <v>22</v>
      </c>
      <c r="K791" t="s">
        <v>41</v>
      </c>
      <c r="L791">
        <v>2326.96</v>
      </c>
      <c r="M791">
        <v>10.7</v>
      </c>
      <c r="N791">
        <v>2024</v>
      </c>
      <c r="O791">
        <v>3</v>
      </c>
      <c r="P791" t="s">
        <v>63</v>
      </c>
      <c r="Q791">
        <v>279.44</v>
      </c>
      <c r="R791" t="s">
        <v>29</v>
      </c>
      <c r="S791">
        <v>8.3272258803320938</v>
      </c>
      <c r="T791" t="s">
        <v>78</v>
      </c>
    </row>
    <row r="792" spans="1:20" x14ac:dyDescent="0.25">
      <c r="A792" s="11">
        <v>44974</v>
      </c>
      <c r="B792" t="s">
        <v>30</v>
      </c>
      <c r="C792" t="s">
        <v>31</v>
      </c>
      <c r="D792" t="s">
        <v>53</v>
      </c>
      <c r="E792" t="s">
        <v>50</v>
      </c>
      <c r="F792">
        <v>832</v>
      </c>
      <c r="G792">
        <v>2.39</v>
      </c>
      <c r="H792">
        <v>1988.48</v>
      </c>
      <c r="I792" t="s">
        <v>55</v>
      </c>
      <c r="J792" t="s">
        <v>56</v>
      </c>
      <c r="K792" t="s">
        <v>28</v>
      </c>
      <c r="L792">
        <v>1709.9</v>
      </c>
      <c r="M792">
        <v>14</v>
      </c>
      <c r="N792">
        <v>2023</v>
      </c>
      <c r="O792">
        <v>1</v>
      </c>
      <c r="P792" t="s">
        <v>60</v>
      </c>
      <c r="Q792">
        <v>278.58</v>
      </c>
      <c r="R792" t="s">
        <v>29</v>
      </c>
      <c r="S792">
        <v>6.1379137052193276</v>
      </c>
      <c r="T792" t="s">
        <v>78</v>
      </c>
    </row>
    <row r="793" spans="1:20" x14ac:dyDescent="0.25">
      <c r="A793" s="11">
        <v>45040</v>
      </c>
      <c r="B793" t="s">
        <v>42</v>
      </c>
      <c r="C793" t="s">
        <v>43</v>
      </c>
      <c r="D793" t="s">
        <v>37</v>
      </c>
      <c r="E793" t="s">
        <v>38</v>
      </c>
      <c r="F793">
        <v>477</v>
      </c>
      <c r="G793">
        <v>2.48</v>
      </c>
      <c r="H793">
        <v>1182.96</v>
      </c>
      <c r="I793" t="s">
        <v>54</v>
      </c>
      <c r="J793" t="s">
        <v>47</v>
      </c>
      <c r="K793" t="s">
        <v>28</v>
      </c>
      <c r="L793">
        <v>905.48</v>
      </c>
      <c r="M793">
        <v>23.5</v>
      </c>
      <c r="N793">
        <v>2023</v>
      </c>
      <c r="O793">
        <v>2</v>
      </c>
      <c r="P793" t="s">
        <v>63</v>
      </c>
      <c r="Q793">
        <v>277.48</v>
      </c>
      <c r="R793" t="s">
        <v>29</v>
      </c>
      <c r="S793">
        <v>3.2632261784633125</v>
      </c>
      <c r="T793" t="s">
        <v>78</v>
      </c>
    </row>
    <row r="794" spans="1:20" x14ac:dyDescent="0.25">
      <c r="A794" s="11">
        <v>45033</v>
      </c>
      <c r="B794" t="s">
        <v>42</v>
      </c>
      <c r="C794" t="s">
        <v>43</v>
      </c>
      <c r="D794" t="s">
        <v>48</v>
      </c>
      <c r="E794" t="s">
        <v>38</v>
      </c>
      <c r="F794">
        <v>332</v>
      </c>
      <c r="G794">
        <v>8.19</v>
      </c>
      <c r="H794">
        <v>2719.08</v>
      </c>
      <c r="I794" t="s">
        <v>21</v>
      </c>
      <c r="J794" t="s">
        <v>22</v>
      </c>
      <c r="K794" t="s">
        <v>28</v>
      </c>
      <c r="L794">
        <v>2441.9699999999998</v>
      </c>
      <c r="M794">
        <v>10.199999999999999</v>
      </c>
      <c r="N794">
        <v>2023</v>
      </c>
      <c r="O794">
        <v>2</v>
      </c>
      <c r="P794" t="s">
        <v>63</v>
      </c>
      <c r="Q794">
        <v>277.11</v>
      </c>
      <c r="R794" t="s">
        <v>29</v>
      </c>
      <c r="S794">
        <v>8.8122767132185764</v>
      </c>
      <c r="T794" t="s">
        <v>78</v>
      </c>
    </row>
    <row r="795" spans="1:20" x14ac:dyDescent="0.25">
      <c r="A795" s="11">
        <v>45107</v>
      </c>
      <c r="B795" t="s">
        <v>51</v>
      </c>
      <c r="C795" t="s">
        <v>52</v>
      </c>
      <c r="D795" t="s">
        <v>48</v>
      </c>
      <c r="E795" t="s">
        <v>38</v>
      </c>
      <c r="F795">
        <v>70</v>
      </c>
      <c r="G795">
        <v>10.36</v>
      </c>
      <c r="H795">
        <v>725.2</v>
      </c>
      <c r="I795" t="s">
        <v>21</v>
      </c>
      <c r="J795" t="s">
        <v>34</v>
      </c>
      <c r="K795" t="s">
        <v>23</v>
      </c>
      <c r="L795">
        <v>448.35</v>
      </c>
      <c r="M795">
        <v>38.200000000000003</v>
      </c>
      <c r="N795">
        <v>2024</v>
      </c>
      <c r="O795">
        <v>2</v>
      </c>
      <c r="P795" t="s">
        <v>60</v>
      </c>
      <c r="Q795">
        <v>276.85000000000002</v>
      </c>
      <c r="R795" t="s">
        <v>25</v>
      </c>
      <c r="S795">
        <v>1.6194690265486724</v>
      </c>
      <c r="T795" t="s">
        <v>78</v>
      </c>
    </row>
    <row r="796" spans="1:20" x14ac:dyDescent="0.25">
      <c r="A796" s="11">
        <v>45087</v>
      </c>
      <c r="B796" t="s">
        <v>42</v>
      </c>
      <c r="C796" t="s">
        <v>43</v>
      </c>
      <c r="D796" t="s">
        <v>45</v>
      </c>
      <c r="E796" t="s">
        <v>20</v>
      </c>
      <c r="F796">
        <v>523</v>
      </c>
      <c r="G796">
        <v>2.06</v>
      </c>
      <c r="H796">
        <v>1077.3800000000001</v>
      </c>
      <c r="I796" t="s">
        <v>21</v>
      </c>
      <c r="J796" t="s">
        <v>27</v>
      </c>
      <c r="K796" t="s">
        <v>41</v>
      </c>
      <c r="L796">
        <v>804.11</v>
      </c>
      <c r="M796">
        <v>25.4</v>
      </c>
      <c r="N796">
        <v>2023</v>
      </c>
      <c r="O796">
        <v>2</v>
      </c>
      <c r="P796" t="s">
        <v>69</v>
      </c>
      <c r="Q796">
        <v>273.27</v>
      </c>
      <c r="R796" t="s">
        <v>25</v>
      </c>
      <c r="S796">
        <v>2.9425476634830026</v>
      </c>
      <c r="T796" t="s">
        <v>78</v>
      </c>
    </row>
    <row r="797" spans="1:20" x14ac:dyDescent="0.25">
      <c r="A797" s="11">
        <v>44980</v>
      </c>
      <c r="B797" t="s">
        <v>30</v>
      </c>
      <c r="C797" t="s">
        <v>31</v>
      </c>
      <c r="D797" t="s">
        <v>45</v>
      </c>
      <c r="E797" t="s">
        <v>20</v>
      </c>
      <c r="F797">
        <v>545</v>
      </c>
      <c r="G797">
        <v>3.17</v>
      </c>
      <c r="H797">
        <v>1727.65</v>
      </c>
      <c r="I797" t="s">
        <v>55</v>
      </c>
      <c r="J797" t="s">
        <v>34</v>
      </c>
      <c r="K797" t="s">
        <v>23</v>
      </c>
      <c r="L797">
        <v>1454.62</v>
      </c>
      <c r="M797">
        <v>15.8</v>
      </c>
      <c r="N797">
        <v>2023</v>
      </c>
      <c r="O797">
        <v>1</v>
      </c>
      <c r="P797" t="s">
        <v>61</v>
      </c>
      <c r="Q797">
        <v>273.02999999999997</v>
      </c>
      <c r="R797" t="s">
        <v>29</v>
      </c>
      <c r="S797">
        <v>5.3276929275171225</v>
      </c>
      <c r="T797" t="s">
        <v>78</v>
      </c>
    </row>
    <row r="798" spans="1:20" x14ac:dyDescent="0.25">
      <c r="A798" s="11">
        <v>45004</v>
      </c>
      <c r="B798" t="s">
        <v>35</v>
      </c>
      <c r="C798" t="s">
        <v>36</v>
      </c>
      <c r="D798" t="s">
        <v>37</v>
      </c>
      <c r="E798" t="s">
        <v>38</v>
      </c>
      <c r="F798">
        <v>416</v>
      </c>
      <c r="G798">
        <v>5.96</v>
      </c>
      <c r="H798">
        <v>2479.36</v>
      </c>
      <c r="I798" t="s">
        <v>46</v>
      </c>
      <c r="J798" t="s">
        <v>22</v>
      </c>
      <c r="K798" t="s">
        <v>28</v>
      </c>
      <c r="L798">
        <v>2206.35</v>
      </c>
      <c r="M798">
        <v>11</v>
      </c>
      <c r="N798">
        <v>2023</v>
      </c>
      <c r="O798">
        <v>1</v>
      </c>
      <c r="P798" t="s">
        <v>62</v>
      </c>
      <c r="Q798">
        <v>273.01</v>
      </c>
      <c r="R798" t="s">
        <v>29</v>
      </c>
      <c r="S798">
        <v>8.08157210358595</v>
      </c>
      <c r="T798" t="s">
        <v>78</v>
      </c>
    </row>
    <row r="799" spans="1:20" x14ac:dyDescent="0.25">
      <c r="A799" s="11">
        <v>44947</v>
      </c>
      <c r="B799" t="s">
        <v>17</v>
      </c>
      <c r="C799" t="s">
        <v>18</v>
      </c>
      <c r="D799" t="s">
        <v>32</v>
      </c>
      <c r="E799" t="s">
        <v>20</v>
      </c>
      <c r="F799">
        <v>343</v>
      </c>
      <c r="G799">
        <v>2.57</v>
      </c>
      <c r="H799">
        <v>881.51</v>
      </c>
      <c r="I799" t="s">
        <v>54</v>
      </c>
      <c r="J799" t="s">
        <v>27</v>
      </c>
      <c r="K799" t="s">
        <v>41</v>
      </c>
      <c r="L799">
        <v>608.79</v>
      </c>
      <c r="M799">
        <v>30.9</v>
      </c>
      <c r="N799">
        <v>2023</v>
      </c>
      <c r="O799">
        <v>1</v>
      </c>
      <c r="P799" t="s">
        <v>24</v>
      </c>
      <c r="Q799">
        <v>272.72000000000003</v>
      </c>
      <c r="R799" t="s">
        <v>25</v>
      </c>
      <c r="S799">
        <v>2.2322895277207389</v>
      </c>
      <c r="T799" t="s">
        <v>78</v>
      </c>
    </row>
    <row r="800" spans="1:20" x14ac:dyDescent="0.25">
      <c r="A800" s="11">
        <v>44939</v>
      </c>
      <c r="B800" t="s">
        <v>58</v>
      </c>
      <c r="C800" t="s">
        <v>59</v>
      </c>
      <c r="D800" t="s">
        <v>32</v>
      </c>
      <c r="E800" t="s">
        <v>20</v>
      </c>
      <c r="F800">
        <v>490</v>
      </c>
      <c r="G800">
        <v>4.49</v>
      </c>
      <c r="H800">
        <v>2200.1</v>
      </c>
      <c r="I800" t="s">
        <v>55</v>
      </c>
      <c r="J800" t="s">
        <v>56</v>
      </c>
      <c r="K800" t="s">
        <v>23</v>
      </c>
      <c r="L800">
        <v>1930.26</v>
      </c>
      <c r="M800">
        <v>12.3</v>
      </c>
      <c r="N800">
        <v>2023</v>
      </c>
      <c r="O800">
        <v>1</v>
      </c>
      <c r="P800" t="s">
        <v>24</v>
      </c>
      <c r="Q800">
        <v>269.83999999999997</v>
      </c>
      <c r="R800" t="s">
        <v>29</v>
      </c>
      <c r="S800">
        <v>7.1533501334123928</v>
      </c>
      <c r="T800" t="s">
        <v>78</v>
      </c>
    </row>
    <row r="801" spans="1:20" x14ac:dyDescent="0.25">
      <c r="A801" s="11">
        <v>44955</v>
      </c>
      <c r="B801" t="s">
        <v>35</v>
      </c>
      <c r="C801" t="s">
        <v>36</v>
      </c>
      <c r="D801" t="s">
        <v>19</v>
      </c>
      <c r="E801" t="s">
        <v>20</v>
      </c>
      <c r="F801">
        <v>787</v>
      </c>
      <c r="G801">
        <v>3.36</v>
      </c>
      <c r="H801">
        <v>2644.32</v>
      </c>
      <c r="I801" t="s">
        <v>33</v>
      </c>
      <c r="J801" t="s">
        <v>40</v>
      </c>
      <c r="K801" t="s">
        <v>41</v>
      </c>
      <c r="L801">
        <v>2376.14</v>
      </c>
      <c r="M801">
        <v>10.1</v>
      </c>
      <c r="N801">
        <v>2023</v>
      </c>
      <c r="O801">
        <v>1</v>
      </c>
      <c r="P801" t="s">
        <v>60</v>
      </c>
      <c r="Q801">
        <v>268.18</v>
      </c>
      <c r="R801" t="s">
        <v>29</v>
      </c>
      <c r="S801">
        <v>8.8602431202923402</v>
      </c>
      <c r="T801" t="s">
        <v>78</v>
      </c>
    </row>
    <row r="802" spans="1:20" x14ac:dyDescent="0.25">
      <c r="A802" s="11">
        <v>45031</v>
      </c>
      <c r="B802" t="s">
        <v>35</v>
      </c>
      <c r="C802" t="s">
        <v>36</v>
      </c>
      <c r="D802" t="s">
        <v>32</v>
      </c>
      <c r="E802" t="s">
        <v>20</v>
      </c>
      <c r="F802">
        <v>247</v>
      </c>
      <c r="G802">
        <v>6.77</v>
      </c>
      <c r="H802">
        <v>1672.19</v>
      </c>
      <c r="I802" t="s">
        <v>46</v>
      </c>
      <c r="J802" t="s">
        <v>34</v>
      </c>
      <c r="K802" t="s">
        <v>41</v>
      </c>
      <c r="L802">
        <v>1404.71</v>
      </c>
      <c r="M802">
        <v>16</v>
      </c>
      <c r="N802">
        <v>2023</v>
      </c>
      <c r="O802">
        <v>2</v>
      </c>
      <c r="P802" t="s">
        <v>63</v>
      </c>
      <c r="Q802">
        <v>267.48</v>
      </c>
      <c r="R802" t="s">
        <v>29</v>
      </c>
      <c r="S802">
        <v>5.2516449828024525</v>
      </c>
      <c r="T802" t="s">
        <v>78</v>
      </c>
    </row>
    <row r="803" spans="1:20" x14ac:dyDescent="0.25">
      <c r="A803" s="11">
        <v>45054</v>
      </c>
      <c r="B803" t="s">
        <v>35</v>
      </c>
      <c r="C803" t="s">
        <v>36</v>
      </c>
      <c r="D803" t="s">
        <v>19</v>
      </c>
      <c r="E803" t="s">
        <v>20</v>
      </c>
      <c r="F803">
        <v>493</v>
      </c>
      <c r="G803">
        <v>2.62</v>
      </c>
      <c r="H803">
        <v>1291.6600000000001</v>
      </c>
      <c r="I803" t="s">
        <v>55</v>
      </c>
      <c r="J803" t="s">
        <v>27</v>
      </c>
      <c r="K803" t="s">
        <v>41</v>
      </c>
      <c r="L803">
        <v>1024.4100000000001</v>
      </c>
      <c r="M803">
        <v>20.7</v>
      </c>
      <c r="N803">
        <v>2023</v>
      </c>
      <c r="O803">
        <v>2</v>
      </c>
      <c r="P803" t="s">
        <v>65</v>
      </c>
      <c r="Q803">
        <v>267.25</v>
      </c>
      <c r="R803" t="s">
        <v>29</v>
      </c>
      <c r="S803">
        <v>3.8331524789522922</v>
      </c>
      <c r="T803" t="s">
        <v>78</v>
      </c>
    </row>
    <row r="804" spans="1:20" x14ac:dyDescent="0.25">
      <c r="A804" s="11">
        <v>45021</v>
      </c>
      <c r="B804" t="s">
        <v>42</v>
      </c>
      <c r="C804" t="s">
        <v>43</v>
      </c>
      <c r="D804" t="s">
        <v>48</v>
      </c>
      <c r="E804" t="s">
        <v>38</v>
      </c>
      <c r="F804">
        <v>624</v>
      </c>
      <c r="G804">
        <v>4.16</v>
      </c>
      <c r="H804">
        <v>2595.84</v>
      </c>
      <c r="I804" t="s">
        <v>57</v>
      </c>
      <c r="J804" t="s">
        <v>34</v>
      </c>
      <c r="K804" t="s">
        <v>23</v>
      </c>
      <c r="L804">
        <v>2329.2800000000002</v>
      </c>
      <c r="M804">
        <v>10.3</v>
      </c>
      <c r="N804">
        <v>2023</v>
      </c>
      <c r="O804">
        <v>2</v>
      </c>
      <c r="P804" t="s">
        <v>62</v>
      </c>
      <c r="Q804">
        <v>266.56</v>
      </c>
      <c r="R804" t="s">
        <v>29</v>
      </c>
      <c r="S804">
        <v>8.7382953181272516</v>
      </c>
      <c r="T804" t="s">
        <v>78</v>
      </c>
    </row>
    <row r="805" spans="1:20" x14ac:dyDescent="0.25">
      <c r="A805" s="11">
        <v>45042</v>
      </c>
      <c r="B805" t="s">
        <v>58</v>
      </c>
      <c r="C805" t="s">
        <v>59</v>
      </c>
      <c r="D805" t="s">
        <v>49</v>
      </c>
      <c r="E805" t="s">
        <v>50</v>
      </c>
      <c r="F805">
        <v>216</v>
      </c>
      <c r="G805">
        <v>4.7</v>
      </c>
      <c r="H805">
        <v>1015.2</v>
      </c>
      <c r="I805" t="s">
        <v>33</v>
      </c>
      <c r="J805" t="s">
        <v>56</v>
      </c>
      <c r="K805" t="s">
        <v>28</v>
      </c>
      <c r="L805">
        <v>749.15</v>
      </c>
      <c r="M805">
        <v>26.2</v>
      </c>
      <c r="N805">
        <v>2023</v>
      </c>
      <c r="O805">
        <v>2</v>
      </c>
      <c r="P805" t="s">
        <v>64</v>
      </c>
      <c r="Q805">
        <v>266.05</v>
      </c>
      <c r="R805" t="s">
        <v>25</v>
      </c>
      <c r="S805">
        <v>2.8158240932155607</v>
      </c>
      <c r="T805" t="s">
        <v>78</v>
      </c>
    </row>
    <row r="806" spans="1:20" x14ac:dyDescent="0.25">
      <c r="A806" s="11">
        <v>44956</v>
      </c>
      <c r="B806" t="s">
        <v>58</v>
      </c>
      <c r="C806" t="s">
        <v>59</v>
      </c>
      <c r="D806" t="s">
        <v>45</v>
      </c>
      <c r="E806" t="s">
        <v>20</v>
      </c>
      <c r="F806">
        <v>625</v>
      </c>
      <c r="G806">
        <v>3.94</v>
      </c>
      <c r="H806">
        <v>2462.5</v>
      </c>
      <c r="I806" t="s">
        <v>57</v>
      </c>
      <c r="J806" t="s">
        <v>27</v>
      </c>
      <c r="K806" t="s">
        <v>41</v>
      </c>
      <c r="L806">
        <v>2197.27</v>
      </c>
      <c r="M806">
        <v>10.8</v>
      </c>
      <c r="N806">
        <v>2023</v>
      </c>
      <c r="O806">
        <v>1</v>
      </c>
      <c r="P806" t="s">
        <v>60</v>
      </c>
      <c r="Q806">
        <v>265.23</v>
      </c>
      <c r="R806" t="s">
        <v>29</v>
      </c>
      <c r="S806">
        <v>8.2843946763186658</v>
      </c>
      <c r="T806" t="s">
        <v>78</v>
      </c>
    </row>
    <row r="807" spans="1:20" x14ac:dyDescent="0.25">
      <c r="A807" s="11">
        <v>44957</v>
      </c>
      <c r="B807" t="s">
        <v>42</v>
      </c>
      <c r="C807" t="s">
        <v>43</v>
      </c>
      <c r="D807" t="s">
        <v>49</v>
      </c>
      <c r="E807" t="s">
        <v>50</v>
      </c>
      <c r="F807">
        <v>281</v>
      </c>
      <c r="G807">
        <v>5.58</v>
      </c>
      <c r="H807">
        <v>1567.98</v>
      </c>
      <c r="I807" t="s">
        <v>39</v>
      </c>
      <c r="J807" t="s">
        <v>40</v>
      </c>
      <c r="K807" t="s">
        <v>28</v>
      </c>
      <c r="L807">
        <v>1303.57</v>
      </c>
      <c r="M807">
        <v>16.899999999999999</v>
      </c>
      <c r="N807">
        <v>2023</v>
      </c>
      <c r="O807">
        <v>1</v>
      </c>
      <c r="P807" t="s">
        <v>60</v>
      </c>
      <c r="Q807">
        <v>264.41000000000003</v>
      </c>
      <c r="R807" t="s">
        <v>29</v>
      </c>
      <c r="S807">
        <v>4.9301085435497898</v>
      </c>
      <c r="T807" t="s">
        <v>78</v>
      </c>
    </row>
    <row r="808" spans="1:20" x14ac:dyDescent="0.25">
      <c r="A808" s="11">
        <v>45034</v>
      </c>
      <c r="B808" t="s">
        <v>58</v>
      </c>
      <c r="C808" t="s">
        <v>59</v>
      </c>
      <c r="D808" t="s">
        <v>44</v>
      </c>
      <c r="E808" t="s">
        <v>38</v>
      </c>
      <c r="F808">
        <v>130</v>
      </c>
      <c r="G808">
        <v>9.5299999999999994</v>
      </c>
      <c r="H808">
        <v>1238.9000000000001</v>
      </c>
      <c r="I808" t="s">
        <v>46</v>
      </c>
      <c r="J808" t="s">
        <v>56</v>
      </c>
      <c r="K808" t="s">
        <v>41</v>
      </c>
      <c r="L808">
        <v>975.68</v>
      </c>
      <c r="M808">
        <v>21.2</v>
      </c>
      <c r="N808">
        <v>2023</v>
      </c>
      <c r="O808">
        <v>2</v>
      </c>
      <c r="P808" t="s">
        <v>63</v>
      </c>
      <c r="Q808">
        <v>263.22000000000003</v>
      </c>
      <c r="R808" t="s">
        <v>29</v>
      </c>
      <c r="S808">
        <v>3.7067092166248758</v>
      </c>
      <c r="T808" t="s">
        <v>78</v>
      </c>
    </row>
    <row r="809" spans="1:20" x14ac:dyDescent="0.25">
      <c r="A809" s="11">
        <v>45113</v>
      </c>
      <c r="B809" t="s">
        <v>42</v>
      </c>
      <c r="C809" t="s">
        <v>43</v>
      </c>
      <c r="D809" t="s">
        <v>44</v>
      </c>
      <c r="E809" t="s">
        <v>38</v>
      </c>
      <c r="F809">
        <v>255</v>
      </c>
      <c r="G809">
        <v>4.78</v>
      </c>
      <c r="H809">
        <v>1218.9000000000001</v>
      </c>
      <c r="I809" t="s">
        <v>33</v>
      </c>
      <c r="J809" t="s">
        <v>27</v>
      </c>
      <c r="K809" t="s">
        <v>41</v>
      </c>
      <c r="L809">
        <v>956.93</v>
      </c>
      <c r="M809">
        <v>21.5</v>
      </c>
      <c r="N809">
        <v>2024</v>
      </c>
      <c r="O809">
        <v>3</v>
      </c>
      <c r="P809" t="s">
        <v>62</v>
      </c>
      <c r="Q809">
        <v>261.97000000000003</v>
      </c>
      <c r="R809" t="s">
        <v>29</v>
      </c>
      <c r="S809">
        <v>3.6528228423101878</v>
      </c>
      <c r="T809" t="s">
        <v>78</v>
      </c>
    </row>
    <row r="810" spans="1:20" x14ac:dyDescent="0.25">
      <c r="A810" s="11">
        <v>45016</v>
      </c>
      <c r="B810" t="s">
        <v>42</v>
      </c>
      <c r="C810" t="s">
        <v>43</v>
      </c>
      <c r="D810" t="s">
        <v>19</v>
      </c>
      <c r="E810" t="s">
        <v>20</v>
      </c>
      <c r="F810">
        <v>280</v>
      </c>
      <c r="G810">
        <v>5.79</v>
      </c>
      <c r="H810">
        <v>1621.2</v>
      </c>
      <c r="I810" t="s">
        <v>55</v>
      </c>
      <c r="J810" t="s">
        <v>47</v>
      </c>
      <c r="K810" t="s">
        <v>23</v>
      </c>
      <c r="L810">
        <v>1360.65</v>
      </c>
      <c r="M810">
        <v>16.100000000000001</v>
      </c>
      <c r="N810">
        <v>2023</v>
      </c>
      <c r="O810">
        <v>1</v>
      </c>
      <c r="P810" t="s">
        <v>62</v>
      </c>
      <c r="Q810">
        <v>260.55</v>
      </c>
      <c r="R810" t="s">
        <v>29</v>
      </c>
      <c r="S810">
        <v>5.2222222222222223</v>
      </c>
      <c r="T810" t="s">
        <v>78</v>
      </c>
    </row>
    <row r="811" spans="1:20" x14ac:dyDescent="0.25">
      <c r="A811" s="11">
        <v>44964</v>
      </c>
      <c r="B811" t="s">
        <v>58</v>
      </c>
      <c r="C811" t="s">
        <v>59</v>
      </c>
      <c r="D811" t="s">
        <v>44</v>
      </c>
      <c r="E811" t="s">
        <v>38</v>
      </c>
      <c r="F811">
        <v>243</v>
      </c>
      <c r="G811">
        <v>9.06</v>
      </c>
      <c r="H811">
        <v>2201.58</v>
      </c>
      <c r="I811" t="s">
        <v>54</v>
      </c>
      <c r="J811" t="s">
        <v>47</v>
      </c>
      <c r="K811" t="s">
        <v>28</v>
      </c>
      <c r="L811">
        <v>1941.94</v>
      </c>
      <c r="M811">
        <v>11.8</v>
      </c>
      <c r="N811">
        <v>2023</v>
      </c>
      <c r="O811">
        <v>1</v>
      </c>
      <c r="P811" t="s">
        <v>60</v>
      </c>
      <c r="Q811">
        <v>259.64</v>
      </c>
      <c r="R811" t="s">
        <v>29</v>
      </c>
      <c r="S811">
        <v>7.4793560314281322</v>
      </c>
      <c r="T811" t="s">
        <v>78</v>
      </c>
    </row>
    <row r="812" spans="1:20" x14ac:dyDescent="0.25">
      <c r="A812" s="11">
        <v>45116</v>
      </c>
      <c r="B812" t="s">
        <v>58</v>
      </c>
      <c r="C812" t="s">
        <v>59</v>
      </c>
      <c r="D812" t="s">
        <v>19</v>
      </c>
      <c r="E812" t="s">
        <v>20</v>
      </c>
      <c r="F812">
        <v>306</v>
      </c>
      <c r="G812">
        <v>3.48</v>
      </c>
      <c r="H812">
        <v>1064.8800000000001</v>
      </c>
      <c r="I812" t="s">
        <v>55</v>
      </c>
      <c r="J812" t="s">
        <v>47</v>
      </c>
      <c r="K812" t="s">
        <v>28</v>
      </c>
      <c r="L812">
        <v>805.69</v>
      </c>
      <c r="M812">
        <v>24.3</v>
      </c>
      <c r="N812">
        <v>2024</v>
      </c>
      <c r="O812">
        <v>3</v>
      </c>
      <c r="P812" t="s">
        <v>63</v>
      </c>
      <c r="Q812">
        <v>259.19</v>
      </c>
      <c r="R812" t="s">
        <v>29</v>
      </c>
      <c r="S812">
        <v>3.1084918399629617</v>
      </c>
      <c r="T812" t="s">
        <v>78</v>
      </c>
    </row>
    <row r="813" spans="1:20" x14ac:dyDescent="0.25">
      <c r="A813" s="11">
        <v>45037</v>
      </c>
      <c r="B813" t="s">
        <v>30</v>
      </c>
      <c r="C813" t="s">
        <v>31</v>
      </c>
      <c r="D813" t="s">
        <v>19</v>
      </c>
      <c r="E813" t="s">
        <v>20</v>
      </c>
      <c r="F813">
        <v>301</v>
      </c>
      <c r="G813">
        <v>6.23</v>
      </c>
      <c r="H813">
        <v>1875.23</v>
      </c>
      <c r="I813" t="s">
        <v>55</v>
      </c>
      <c r="J813" t="s">
        <v>34</v>
      </c>
      <c r="K813" t="s">
        <v>23</v>
      </c>
      <c r="L813">
        <v>1616.2</v>
      </c>
      <c r="M813">
        <v>13.8</v>
      </c>
      <c r="N813">
        <v>2023</v>
      </c>
      <c r="O813">
        <v>2</v>
      </c>
      <c r="P813" t="s">
        <v>63</v>
      </c>
      <c r="Q813">
        <v>259.02999999999997</v>
      </c>
      <c r="R813" t="s">
        <v>29</v>
      </c>
      <c r="S813">
        <v>6.2394317260548977</v>
      </c>
      <c r="T813" t="s">
        <v>78</v>
      </c>
    </row>
    <row r="814" spans="1:20" x14ac:dyDescent="0.25">
      <c r="A814" s="11">
        <v>45037</v>
      </c>
      <c r="B814" t="s">
        <v>42</v>
      </c>
      <c r="C814" t="s">
        <v>43</v>
      </c>
      <c r="D814" t="s">
        <v>48</v>
      </c>
      <c r="E814" t="s">
        <v>38</v>
      </c>
      <c r="F814">
        <v>384</v>
      </c>
      <c r="G814">
        <v>4.2699999999999996</v>
      </c>
      <c r="H814">
        <v>1639.68</v>
      </c>
      <c r="I814" t="s">
        <v>39</v>
      </c>
      <c r="J814" t="s">
        <v>22</v>
      </c>
      <c r="K814" t="s">
        <v>41</v>
      </c>
      <c r="L814">
        <v>1381.25</v>
      </c>
      <c r="M814">
        <v>15.8</v>
      </c>
      <c r="N814">
        <v>2023</v>
      </c>
      <c r="O814">
        <v>2</v>
      </c>
      <c r="P814" t="s">
        <v>63</v>
      </c>
      <c r="Q814">
        <v>258.43</v>
      </c>
      <c r="R814" t="s">
        <v>29</v>
      </c>
      <c r="S814">
        <v>5.3447742135201022</v>
      </c>
      <c r="T814" t="s">
        <v>78</v>
      </c>
    </row>
    <row r="815" spans="1:20" x14ac:dyDescent="0.25">
      <c r="A815" s="11">
        <v>44974</v>
      </c>
      <c r="B815" t="s">
        <v>51</v>
      </c>
      <c r="C815" t="s">
        <v>52</v>
      </c>
      <c r="D815" t="s">
        <v>32</v>
      </c>
      <c r="E815" t="s">
        <v>20</v>
      </c>
      <c r="F815">
        <v>303</v>
      </c>
      <c r="G815">
        <v>7.3</v>
      </c>
      <c r="H815">
        <v>2211.9</v>
      </c>
      <c r="I815" t="s">
        <v>46</v>
      </c>
      <c r="J815" t="s">
        <v>47</v>
      </c>
      <c r="K815" t="s">
        <v>23</v>
      </c>
      <c r="L815">
        <v>1954.18</v>
      </c>
      <c r="M815">
        <v>11.7</v>
      </c>
      <c r="N815">
        <v>2023</v>
      </c>
      <c r="O815">
        <v>1</v>
      </c>
      <c r="P815" t="s">
        <v>60</v>
      </c>
      <c r="Q815">
        <v>257.72000000000003</v>
      </c>
      <c r="R815" t="s">
        <v>29</v>
      </c>
      <c r="S815">
        <v>7.58257023125873</v>
      </c>
      <c r="T815" t="s">
        <v>78</v>
      </c>
    </row>
    <row r="816" spans="1:20" x14ac:dyDescent="0.25">
      <c r="A816" s="11">
        <v>45013</v>
      </c>
      <c r="B816" t="s">
        <v>17</v>
      </c>
      <c r="C816" t="s">
        <v>18</v>
      </c>
      <c r="D816" t="s">
        <v>45</v>
      </c>
      <c r="E816" t="s">
        <v>20</v>
      </c>
      <c r="F816">
        <v>94</v>
      </c>
      <c r="G816">
        <v>10.73</v>
      </c>
      <c r="H816">
        <v>1008.62</v>
      </c>
      <c r="I816" t="s">
        <v>21</v>
      </c>
      <c r="J816" t="s">
        <v>56</v>
      </c>
      <c r="K816" t="s">
        <v>41</v>
      </c>
      <c r="L816">
        <v>751.29</v>
      </c>
      <c r="M816">
        <v>25.5</v>
      </c>
      <c r="N816">
        <v>2023</v>
      </c>
      <c r="O816">
        <v>1</v>
      </c>
      <c r="P816" t="s">
        <v>62</v>
      </c>
      <c r="Q816">
        <v>257.33</v>
      </c>
      <c r="R816" t="s">
        <v>25</v>
      </c>
      <c r="S816">
        <v>2.9195585435044498</v>
      </c>
      <c r="T816" t="s">
        <v>78</v>
      </c>
    </row>
    <row r="817" spans="1:20" x14ac:dyDescent="0.25">
      <c r="A817" s="11">
        <v>45078</v>
      </c>
      <c r="B817" t="s">
        <v>51</v>
      </c>
      <c r="C817" t="s">
        <v>52</v>
      </c>
      <c r="D817" t="s">
        <v>48</v>
      </c>
      <c r="E817" t="s">
        <v>38</v>
      </c>
      <c r="F817">
        <v>152</v>
      </c>
      <c r="G817">
        <v>8.9700000000000006</v>
      </c>
      <c r="H817">
        <v>1363.44</v>
      </c>
      <c r="I817" t="s">
        <v>33</v>
      </c>
      <c r="J817" t="s">
        <v>34</v>
      </c>
      <c r="K817" t="s">
        <v>41</v>
      </c>
      <c r="L817">
        <v>1107.68</v>
      </c>
      <c r="M817">
        <v>18.8</v>
      </c>
      <c r="N817">
        <v>2023</v>
      </c>
      <c r="O817">
        <v>2</v>
      </c>
      <c r="P817" t="s">
        <v>67</v>
      </c>
      <c r="Q817">
        <v>255.76</v>
      </c>
      <c r="R817" t="s">
        <v>29</v>
      </c>
      <c r="S817">
        <v>4.3309352517985618</v>
      </c>
      <c r="T817" t="s">
        <v>78</v>
      </c>
    </row>
    <row r="818" spans="1:20" x14ac:dyDescent="0.25">
      <c r="A818" s="11">
        <v>44987</v>
      </c>
      <c r="B818" t="s">
        <v>35</v>
      </c>
      <c r="C818" t="s">
        <v>36</v>
      </c>
      <c r="D818" t="s">
        <v>53</v>
      </c>
      <c r="E818" t="s">
        <v>50</v>
      </c>
      <c r="F818">
        <v>154</v>
      </c>
      <c r="G818">
        <v>10.7</v>
      </c>
      <c r="H818">
        <v>1647.8</v>
      </c>
      <c r="I818" t="s">
        <v>21</v>
      </c>
      <c r="J818" t="s">
        <v>56</v>
      </c>
      <c r="K818" t="s">
        <v>23</v>
      </c>
      <c r="L818">
        <v>1393.06</v>
      </c>
      <c r="M818">
        <v>15.5</v>
      </c>
      <c r="N818">
        <v>2023</v>
      </c>
      <c r="O818">
        <v>1</v>
      </c>
      <c r="P818" t="s">
        <v>61</v>
      </c>
      <c r="Q818">
        <v>254.74</v>
      </c>
      <c r="R818" t="s">
        <v>29</v>
      </c>
      <c r="S818">
        <v>5.4685561749234513</v>
      </c>
      <c r="T818" t="s">
        <v>78</v>
      </c>
    </row>
    <row r="819" spans="1:20" x14ac:dyDescent="0.25">
      <c r="A819" s="11">
        <v>45114</v>
      </c>
      <c r="B819" t="s">
        <v>30</v>
      </c>
      <c r="C819" t="s">
        <v>31</v>
      </c>
      <c r="D819" t="s">
        <v>37</v>
      </c>
      <c r="E819" t="s">
        <v>38</v>
      </c>
      <c r="F819">
        <v>452</v>
      </c>
      <c r="G819">
        <v>4.93</v>
      </c>
      <c r="H819">
        <v>2228.36</v>
      </c>
      <c r="I819" t="s">
        <v>21</v>
      </c>
      <c r="J819" t="s">
        <v>22</v>
      </c>
      <c r="K819" t="s">
        <v>41</v>
      </c>
      <c r="L819">
        <v>1974.16</v>
      </c>
      <c r="M819">
        <v>11.4</v>
      </c>
      <c r="N819">
        <v>2024</v>
      </c>
      <c r="O819">
        <v>3</v>
      </c>
      <c r="P819" t="s">
        <v>62</v>
      </c>
      <c r="Q819">
        <v>254.2</v>
      </c>
      <c r="R819" t="s">
        <v>29</v>
      </c>
      <c r="S819">
        <v>7.7661683713611334</v>
      </c>
      <c r="T819" t="s">
        <v>78</v>
      </c>
    </row>
    <row r="820" spans="1:20" x14ac:dyDescent="0.25">
      <c r="A820" s="11">
        <v>45038</v>
      </c>
      <c r="B820" t="s">
        <v>51</v>
      </c>
      <c r="C820" t="s">
        <v>52</v>
      </c>
      <c r="D820" t="s">
        <v>19</v>
      </c>
      <c r="E820" t="s">
        <v>20</v>
      </c>
      <c r="F820">
        <v>260</v>
      </c>
      <c r="G820">
        <v>7.95</v>
      </c>
      <c r="H820">
        <v>2067</v>
      </c>
      <c r="I820" t="s">
        <v>54</v>
      </c>
      <c r="J820" t="s">
        <v>40</v>
      </c>
      <c r="K820" t="s">
        <v>23</v>
      </c>
      <c r="L820">
        <v>1813.06</v>
      </c>
      <c r="M820">
        <v>12.3</v>
      </c>
      <c r="N820">
        <v>2023</v>
      </c>
      <c r="O820">
        <v>2</v>
      </c>
      <c r="P820" t="s">
        <v>63</v>
      </c>
      <c r="Q820">
        <v>253.94</v>
      </c>
      <c r="R820" t="s">
        <v>29</v>
      </c>
      <c r="S820">
        <v>7.139718043632354</v>
      </c>
      <c r="T820" t="s">
        <v>78</v>
      </c>
    </row>
    <row r="821" spans="1:20" x14ac:dyDescent="0.25">
      <c r="A821" s="11">
        <v>45031</v>
      </c>
      <c r="B821" t="s">
        <v>30</v>
      </c>
      <c r="C821" t="s">
        <v>31</v>
      </c>
      <c r="D821" t="s">
        <v>37</v>
      </c>
      <c r="E821" t="s">
        <v>38</v>
      </c>
      <c r="F821">
        <v>250</v>
      </c>
      <c r="G821">
        <v>4.99</v>
      </c>
      <c r="H821">
        <v>1247.5</v>
      </c>
      <c r="I821" t="s">
        <v>26</v>
      </c>
      <c r="J821" t="s">
        <v>56</v>
      </c>
      <c r="K821" t="s">
        <v>41</v>
      </c>
      <c r="L821">
        <v>993.73</v>
      </c>
      <c r="M821">
        <v>20.3</v>
      </c>
      <c r="N821">
        <v>2023</v>
      </c>
      <c r="O821">
        <v>2</v>
      </c>
      <c r="P821" t="s">
        <v>63</v>
      </c>
      <c r="Q821">
        <v>253.77</v>
      </c>
      <c r="R821" t="s">
        <v>29</v>
      </c>
      <c r="S821">
        <v>3.9158687000039403</v>
      </c>
      <c r="T821" t="s">
        <v>78</v>
      </c>
    </row>
    <row r="822" spans="1:20" x14ac:dyDescent="0.25">
      <c r="A822" s="11">
        <v>45105</v>
      </c>
      <c r="B822" t="s">
        <v>30</v>
      </c>
      <c r="C822" t="s">
        <v>31</v>
      </c>
      <c r="D822" t="s">
        <v>32</v>
      </c>
      <c r="E822" t="s">
        <v>20</v>
      </c>
      <c r="F822">
        <v>577</v>
      </c>
      <c r="G822">
        <v>3.9</v>
      </c>
      <c r="H822">
        <v>2250.3000000000002</v>
      </c>
      <c r="I822" t="s">
        <v>21</v>
      </c>
      <c r="J822" t="s">
        <v>40</v>
      </c>
      <c r="K822" t="s">
        <v>23</v>
      </c>
      <c r="L822">
        <v>1997.62</v>
      </c>
      <c r="M822">
        <v>11.2</v>
      </c>
      <c r="N822">
        <v>2024</v>
      </c>
      <c r="O822">
        <v>2</v>
      </c>
      <c r="P822" t="s">
        <v>60</v>
      </c>
      <c r="Q822">
        <v>252.68</v>
      </c>
      <c r="R822" t="s">
        <v>29</v>
      </c>
      <c r="S822">
        <v>7.9057305683077406</v>
      </c>
      <c r="T822" t="s">
        <v>78</v>
      </c>
    </row>
    <row r="823" spans="1:20" x14ac:dyDescent="0.25">
      <c r="A823" s="11">
        <v>45048</v>
      </c>
      <c r="B823" t="s">
        <v>35</v>
      </c>
      <c r="C823" t="s">
        <v>36</v>
      </c>
      <c r="D823" t="s">
        <v>49</v>
      </c>
      <c r="E823" t="s">
        <v>50</v>
      </c>
      <c r="F823">
        <v>127</v>
      </c>
      <c r="G823">
        <v>6.24</v>
      </c>
      <c r="H823">
        <v>792.48</v>
      </c>
      <c r="I823" t="s">
        <v>26</v>
      </c>
      <c r="J823" t="s">
        <v>27</v>
      </c>
      <c r="K823" t="s">
        <v>23</v>
      </c>
      <c r="L823">
        <v>539.89</v>
      </c>
      <c r="M823">
        <v>31.9</v>
      </c>
      <c r="N823">
        <v>2023</v>
      </c>
      <c r="O823">
        <v>2</v>
      </c>
      <c r="P823" t="s">
        <v>64</v>
      </c>
      <c r="Q823">
        <v>252.59</v>
      </c>
      <c r="R823" t="s">
        <v>25</v>
      </c>
      <c r="S823">
        <v>2.1374163664436439</v>
      </c>
      <c r="T823" t="s">
        <v>78</v>
      </c>
    </row>
    <row r="824" spans="1:20" x14ac:dyDescent="0.25">
      <c r="A824" s="11">
        <v>45076</v>
      </c>
      <c r="B824" t="s">
        <v>58</v>
      </c>
      <c r="C824" t="s">
        <v>59</v>
      </c>
      <c r="D824" t="s">
        <v>44</v>
      </c>
      <c r="E824" t="s">
        <v>38</v>
      </c>
      <c r="F824">
        <v>166</v>
      </c>
      <c r="G824">
        <v>5.9</v>
      </c>
      <c r="H824">
        <v>979.4</v>
      </c>
      <c r="I824" t="s">
        <v>39</v>
      </c>
      <c r="J824" t="s">
        <v>56</v>
      </c>
      <c r="K824" t="s">
        <v>23</v>
      </c>
      <c r="L824">
        <v>728.43</v>
      </c>
      <c r="M824">
        <v>25.6</v>
      </c>
      <c r="N824">
        <v>2023</v>
      </c>
      <c r="O824">
        <v>2</v>
      </c>
      <c r="P824" t="s">
        <v>67</v>
      </c>
      <c r="Q824">
        <v>250.97</v>
      </c>
      <c r="R824" t="s">
        <v>25</v>
      </c>
      <c r="S824">
        <v>2.9024584611706579</v>
      </c>
      <c r="T824" t="s">
        <v>78</v>
      </c>
    </row>
    <row r="825" spans="1:20" x14ac:dyDescent="0.25">
      <c r="A825" s="11">
        <v>45082</v>
      </c>
      <c r="B825" t="s">
        <v>58</v>
      </c>
      <c r="C825" t="s">
        <v>59</v>
      </c>
      <c r="D825" t="s">
        <v>19</v>
      </c>
      <c r="E825" t="s">
        <v>20</v>
      </c>
      <c r="F825">
        <v>437</v>
      </c>
      <c r="G825">
        <v>4.26</v>
      </c>
      <c r="H825">
        <v>1861.62</v>
      </c>
      <c r="I825" t="s">
        <v>54</v>
      </c>
      <c r="J825" t="s">
        <v>47</v>
      </c>
      <c r="K825" t="s">
        <v>23</v>
      </c>
      <c r="L825">
        <v>1610.74</v>
      </c>
      <c r="M825">
        <v>13.5</v>
      </c>
      <c r="N825">
        <v>2023</v>
      </c>
      <c r="O825">
        <v>2</v>
      </c>
      <c r="P825" t="s">
        <v>68</v>
      </c>
      <c r="Q825">
        <v>250.88</v>
      </c>
      <c r="R825" t="s">
        <v>29</v>
      </c>
      <c r="S825">
        <v>6.4203603316326534</v>
      </c>
      <c r="T825" t="s">
        <v>78</v>
      </c>
    </row>
    <row r="826" spans="1:20" x14ac:dyDescent="0.25">
      <c r="A826" s="11">
        <v>45035</v>
      </c>
      <c r="B826" t="s">
        <v>30</v>
      </c>
      <c r="C826" t="s">
        <v>31</v>
      </c>
      <c r="D826" t="s">
        <v>44</v>
      </c>
      <c r="E826" t="s">
        <v>38</v>
      </c>
      <c r="F826">
        <v>334</v>
      </c>
      <c r="G826">
        <v>7.31</v>
      </c>
      <c r="H826">
        <v>2441.54</v>
      </c>
      <c r="I826" t="s">
        <v>39</v>
      </c>
      <c r="J826" t="s">
        <v>22</v>
      </c>
      <c r="K826" t="s">
        <v>23</v>
      </c>
      <c r="L826">
        <v>2191.02</v>
      </c>
      <c r="M826">
        <v>10.3</v>
      </c>
      <c r="N826">
        <v>2023</v>
      </c>
      <c r="O826">
        <v>2</v>
      </c>
      <c r="P826" t="s">
        <v>63</v>
      </c>
      <c r="Q826">
        <v>250.52</v>
      </c>
      <c r="R826" t="s">
        <v>29</v>
      </c>
      <c r="S826">
        <v>8.7458885518122305</v>
      </c>
      <c r="T826" t="s">
        <v>78</v>
      </c>
    </row>
    <row r="827" spans="1:20" x14ac:dyDescent="0.25">
      <c r="A827" s="11">
        <v>45048</v>
      </c>
      <c r="B827" t="s">
        <v>51</v>
      </c>
      <c r="C827" t="s">
        <v>52</v>
      </c>
      <c r="D827" t="s">
        <v>53</v>
      </c>
      <c r="E827" t="s">
        <v>50</v>
      </c>
      <c r="F827">
        <v>363</v>
      </c>
      <c r="G827">
        <v>3.86</v>
      </c>
      <c r="H827">
        <v>1401.18</v>
      </c>
      <c r="I827" t="s">
        <v>33</v>
      </c>
      <c r="J827" t="s">
        <v>27</v>
      </c>
      <c r="K827" t="s">
        <v>41</v>
      </c>
      <c r="L827">
        <v>1150.67</v>
      </c>
      <c r="M827">
        <v>17.899999999999999</v>
      </c>
      <c r="N827">
        <v>2023</v>
      </c>
      <c r="O827">
        <v>2</v>
      </c>
      <c r="P827" t="s">
        <v>64</v>
      </c>
      <c r="Q827">
        <v>250.51</v>
      </c>
      <c r="R827" t="s">
        <v>29</v>
      </c>
      <c r="S827">
        <v>4.5933096483174332</v>
      </c>
      <c r="T827" t="s">
        <v>78</v>
      </c>
    </row>
    <row r="828" spans="1:20" x14ac:dyDescent="0.25">
      <c r="A828" s="11">
        <v>44997</v>
      </c>
      <c r="B828" t="s">
        <v>30</v>
      </c>
      <c r="C828" t="s">
        <v>31</v>
      </c>
      <c r="D828" t="s">
        <v>32</v>
      </c>
      <c r="E828" t="s">
        <v>20</v>
      </c>
      <c r="F828">
        <v>275</v>
      </c>
      <c r="G828">
        <v>8.61</v>
      </c>
      <c r="H828">
        <v>2367.75</v>
      </c>
      <c r="I828" t="s">
        <v>46</v>
      </c>
      <c r="J828" t="s">
        <v>47</v>
      </c>
      <c r="K828" t="s">
        <v>28</v>
      </c>
      <c r="L828">
        <v>2118.35</v>
      </c>
      <c r="M828">
        <v>10.5</v>
      </c>
      <c r="N828">
        <v>2023</v>
      </c>
      <c r="O828">
        <v>1</v>
      </c>
      <c r="P828" t="s">
        <v>61</v>
      </c>
      <c r="Q828">
        <v>249.4</v>
      </c>
      <c r="R828" t="s">
        <v>29</v>
      </c>
      <c r="S828">
        <v>8.4937850842020843</v>
      </c>
      <c r="T828" t="s">
        <v>78</v>
      </c>
    </row>
    <row r="829" spans="1:20" x14ac:dyDescent="0.25">
      <c r="A829" s="11">
        <v>45067</v>
      </c>
      <c r="B829" t="s">
        <v>35</v>
      </c>
      <c r="C829" t="s">
        <v>36</v>
      </c>
      <c r="D829" t="s">
        <v>32</v>
      </c>
      <c r="E829" t="s">
        <v>20</v>
      </c>
      <c r="F829">
        <v>160</v>
      </c>
      <c r="G829">
        <v>4.51</v>
      </c>
      <c r="H829">
        <v>721.6</v>
      </c>
      <c r="I829" t="s">
        <v>33</v>
      </c>
      <c r="J829" t="s">
        <v>22</v>
      </c>
      <c r="K829" t="s">
        <v>23</v>
      </c>
      <c r="L829">
        <v>473.45</v>
      </c>
      <c r="M829">
        <v>34.4</v>
      </c>
      <c r="N829">
        <v>2023</v>
      </c>
      <c r="O829">
        <v>2</v>
      </c>
      <c r="P829" t="s">
        <v>66</v>
      </c>
      <c r="Q829">
        <v>248.15</v>
      </c>
      <c r="R829" t="s">
        <v>25</v>
      </c>
      <c r="S829">
        <v>1.9079185976224058</v>
      </c>
      <c r="T829" t="s">
        <v>78</v>
      </c>
    </row>
    <row r="830" spans="1:20" x14ac:dyDescent="0.25">
      <c r="A830" s="11">
        <v>45016</v>
      </c>
      <c r="B830" t="s">
        <v>42</v>
      </c>
      <c r="C830" t="s">
        <v>43</v>
      </c>
      <c r="D830" t="s">
        <v>49</v>
      </c>
      <c r="E830" t="s">
        <v>50</v>
      </c>
      <c r="F830">
        <v>177</v>
      </c>
      <c r="G830">
        <v>3.93</v>
      </c>
      <c r="H830">
        <v>695.61</v>
      </c>
      <c r="I830" t="s">
        <v>33</v>
      </c>
      <c r="J830" t="s">
        <v>34</v>
      </c>
      <c r="K830" t="s">
        <v>28</v>
      </c>
      <c r="L830">
        <v>447.96</v>
      </c>
      <c r="M830">
        <v>35.6</v>
      </c>
      <c r="N830">
        <v>2023</v>
      </c>
      <c r="O830">
        <v>1</v>
      </c>
      <c r="P830" t="s">
        <v>62</v>
      </c>
      <c r="Q830">
        <v>247.65</v>
      </c>
      <c r="R830" t="s">
        <v>25</v>
      </c>
      <c r="S830">
        <v>1.8088431253785584</v>
      </c>
      <c r="T830" t="s">
        <v>78</v>
      </c>
    </row>
    <row r="831" spans="1:20" x14ac:dyDescent="0.25">
      <c r="A831" s="11">
        <v>45043</v>
      </c>
      <c r="B831" t="s">
        <v>35</v>
      </c>
      <c r="C831" t="s">
        <v>36</v>
      </c>
      <c r="D831" t="s">
        <v>45</v>
      </c>
      <c r="E831" t="s">
        <v>20</v>
      </c>
      <c r="F831">
        <v>117</v>
      </c>
      <c r="G831">
        <v>8.43</v>
      </c>
      <c r="H831">
        <v>986.31</v>
      </c>
      <c r="I831" t="s">
        <v>33</v>
      </c>
      <c r="J831" t="s">
        <v>34</v>
      </c>
      <c r="K831" t="s">
        <v>41</v>
      </c>
      <c r="L831">
        <v>739.35</v>
      </c>
      <c r="M831">
        <v>25</v>
      </c>
      <c r="N831">
        <v>2023</v>
      </c>
      <c r="O831">
        <v>2</v>
      </c>
      <c r="P831" t="s">
        <v>64</v>
      </c>
      <c r="Q831">
        <v>246.96</v>
      </c>
      <c r="R831" t="s">
        <v>29</v>
      </c>
      <c r="S831">
        <v>2.9938046647230321</v>
      </c>
      <c r="T831" t="s">
        <v>78</v>
      </c>
    </row>
    <row r="832" spans="1:20" x14ac:dyDescent="0.25">
      <c r="A832" s="11">
        <v>44948</v>
      </c>
      <c r="B832" t="s">
        <v>17</v>
      </c>
      <c r="C832" t="s">
        <v>18</v>
      </c>
      <c r="D832" t="s">
        <v>53</v>
      </c>
      <c r="E832" t="s">
        <v>50</v>
      </c>
      <c r="F832">
        <v>291</v>
      </c>
      <c r="G832">
        <v>6.52</v>
      </c>
      <c r="H832">
        <v>1897.32</v>
      </c>
      <c r="I832" t="s">
        <v>57</v>
      </c>
      <c r="J832" t="s">
        <v>34</v>
      </c>
      <c r="K832" t="s">
        <v>23</v>
      </c>
      <c r="L832">
        <v>1650.64</v>
      </c>
      <c r="M832">
        <v>13</v>
      </c>
      <c r="N832">
        <v>2023</v>
      </c>
      <c r="O832">
        <v>1</v>
      </c>
      <c r="P832" t="s">
        <v>24</v>
      </c>
      <c r="Q832">
        <v>246.68</v>
      </c>
      <c r="R832" t="s">
        <v>29</v>
      </c>
      <c r="S832">
        <v>6.6914220852926869</v>
      </c>
      <c r="T832" t="s">
        <v>78</v>
      </c>
    </row>
    <row r="833" spans="1:20" x14ac:dyDescent="0.25">
      <c r="A833" s="11">
        <v>44948</v>
      </c>
      <c r="B833" t="s">
        <v>35</v>
      </c>
      <c r="C833" t="s">
        <v>36</v>
      </c>
      <c r="D833" t="s">
        <v>19</v>
      </c>
      <c r="E833" t="s">
        <v>20</v>
      </c>
      <c r="F833">
        <v>100</v>
      </c>
      <c r="G833">
        <v>9.2799999999999994</v>
      </c>
      <c r="H833">
        <v>928</v>
      </c>
      <c r="I833" t="s">
        <v>57</v>
      </c>
      <c r="J833" t="s">
        <v>40</v>
      </c>
      <c r="K833" t="s">
        <v>41</v>
      </c>
      <c r="L833">
        <v>683.34</v>
      </c>
      <c r="M833">
        <v>26.4</v>
      </c>
      <c r="N833">
        <v>2023</v>
      </c>
      <c r="O833">
        <v>1</v>
      </c>
      <c r="P833" t="s">
        <v>24</v>
      </c>
      <c r="Q833">
        <v>244.66</v>
      </c>
      <c r="R833" t="s">
        <v>25</v>
      </c>
      <c r="S833">
        <v>2.7930188833483203</v>
      </c>
      <c r="T833" t="s">
        <v>78</v>
      </c>
    </row>
    <row r="834" spans="1:20" x14ac:dyDescent="0.25">
      <c r="A834" s="11">
        <v>45056</v>
      </c>
      <c r="B834" t="s">
        <v>35</v>
      </c>
      <c r="C834" t="s">
        <v>36</v>
      </c>
      <c r="D834" t="s">
        <v>48</v>
      </c>
      <c r="E834" t="s">
        <v>38</v>
      </c>
      <c r="F834">
        <v>222</v>
      </c>
      <c r="G834">
        <v>9.14</v>
      </c>
      <c r="H834">
        <v>2029.08</v>
      </c>
      <c r="I834" t="s">
        <v>54</v>
      </c>
      <c r="J834" t="s">
        <v>22</v>
      </c>
      <c r="K834" t="s">
        <v>28</v>
      </c>
      <c r="L834">
        <v>1784.73</v>
      </c>
      <c r="M834">
        <v>12</v>
      </c>
      <c r="N834">
        <v>2023</v>
      </c>
      <c r="O834">
        <v>2</v>
      </c>
      <c r="P834" t="s">
        <v>65</v>
      </c>
      <c r="Q834">
        <v>244.35</v>
      </c>
      <c r="R834" t="s">
        <v>29</v>
      </c>
      <c r="S834">
        <v>7.3039901780233274</v>
      </c>
      <c r="T834" t="s">
        <v>78</v>
      </c>
    </row>
    <row r="835" spans="1:20" x14ac:dyDescent="0.25">
      <c r="A835" s="11">
        <v>45019</v>
      </c>
      <c r="B835" t="s">
        <v>51</v>
      </c>
      <c r="C835" t="s">
        <v>52</v>
      </c>
      <c r="D835" t="s">
        <v>37</v>
      </c>
      <c r="E835" t="s">
        <v>38</v>
      </c>
      <c r="F835">
        <v>107</v>
      </c>
      <c r="G835">
        <v>9.93</v>
      </c>
      <c r="H835">
        <v>1062.51</v>
      </c>
      <c r="I835" t="s">
        <v>55</v>
      </c>
      <c r="J835" t="s">
        <v>27</v>
      </c>
      <c r="K835" t="s">
        <v>23</v>
      </c>
      <c r="L835">
        <v>821.16</v>
      </c>
      <c r="M835">
        <v>22.7</v>
      </c>
      <c r="N835">
        <v>2023</v>
      </c>
      <c r="O835">
        <v>2</v>
      </c>
      <c r="P835" t="s">
        <v>62</v>
      </c>
      <c r="Q835">
        <v>241.35</v>
      </c>
      <c r="R835" t="s">
        <v>29</v>
      </c>
      <c r="S835">
        <v>3.4023617153511498</v>
      </c>
      <c r="T835" t="s">
        <v>78</v>
      </c>
    </row>
    <row r="836" spans="1:20" x14ac:dyDescent="0.25">
      <c r="A836" s="11">
        <v>44943</v>
      </c>
      <c r="B836" t="s">
        <v>58</v>
      </c>
      <c r="C836" t="s">
        <v>59</v>
      </c>
      <c r="D836" t="s">
        <v>48</v>
      </c>
      <c r="E836" t="s">
        <v>38</v>
      </c>
      <c r="F836">
        <v>161</v>
      </c>
      <c r="G836">
        <v>5.42</v>
      </c>
      <c r="H836">
        <v>872.62</v>
      </c>
      <c r="I836" t="s">
        <v>39</v>
      </c>
      <c r="J836" t="s">
        <v>34</v>
      </c>
      <c r="K836" t="s">
        <v>28</v>
      </c>
      <c r="L836">
        <v>634.03</v>
      </c>
      <c r="M836">
        <v>27.3</v>
      </c>
      <c r="N836">
        <v>2023</v>
      </c>
      <c r="O836">
        <v>1</v>
      </c>
      <c r="P836" t="s">
        <v>24</v>
      </c>
      <c r="Q836">
        <v>238.59</v>
      </c>
      <c r="R836" t="s">
        <v>25</v>
      </c>
      <c r="S836">
        <v>2.6574039146653252</v>
      </c>
      <c r="T836" t="s">
        <v>78</v>
      </c>
    </row>
    <row r="837" spans="1:20" x14ac:dyDescent="0.25">
      <c r="A837" s="11">
        <v>45056</v>
      </c>
      <c r="B837" t="s">
        <v>30</v>
      </c>
      <c r="C837" t="s">
        <v>31</v>
      </c>
      <c r="D837" t="s">
        <v>49</v>
      </c>
      <c r="E837" t="s">
        <v>50</v>
      </c>
      <c r="F837">
        <v>169</v>
      </c>
      <c r="G837">
        <v>9.4</v>
      </c>
      <c r="H837">
        <v>1588.6</v>
      </c>
      <c r="I837" t="s">
        <v>33</v>
      </c>
      <c r="J837" t="s">
        <v>47</v>
      </c>
      <c r="K837" t="s">
        <v>23</v>
      </c>
      <c r="L837">
        <v>1350.6</v>
      </c>
      <c r="M837">
        <v>15</v>
      </c>
      <c r="N837">
        <v>2023</v>
      </c>
      <c r="O837">
        <v>2</v>
      </c>
      <c r="P837" t="s">
        <v>65</v>
      </c>
      <c r="Q837">
        <v>238</v>
      </c>
      <c r="R837" t="s">
        <v>29</v>
      </c>
      <c r="S837">
        <v>5.6747899159663859</v>
      </c>
      <c r="T837" t="s">
        <v>78</v>
      </c>
    </row>
    <row r="838" spans="1:20" x14ac:dyDescent="0.25">
      <c r="A838" s="11">
        <v>45105</v>
      </c>
      <c r="B838" t="s">
        <v>58</v>
      </c>
      <c r="C838" t="s">
        <v>59</v>
      </c>
      <c r="D838" t="s">
        <v>48</v>
      </c>
      <c r="E838" t="s">
        <v>38</v>
      </c>
      <c r="F838">
        <v>207</v>
      </c>
      <c r="G838">
        <v>6.38</v>
      </c>
      <c r="H838">
        <v>1320.66</v>
      </c>
      <c r="I838" t="s">
        <v>57</v>
      </c>
      <c r="J838" t="s">
        <v>22</v>
      </c>
      <c r="K838" t="s">
        <v>41</v>
      </c>
      <c r="L838">
        <v>1083.26</v>
      </c>
      <c r="M838">
        <v>18</v>
      </c>
      <c r="N838">
        <v>2024</v>
      </c>
      <c r="O838">
        <v>2</v>
      </c>
      <c r="P838" t="s">
        <v>60</v>
      </c>
      <c r="Q838">
        <v>237.4</v>
      </c>
      <c r="R838" t="s">
        <v>29</v>
      </c>
      <c r="S838">
        <v>4.5630160067396801</v>
      </c>
      <c r="T838" t="s">
        <v>78</v>
      </c>
    </row>
    <row r="839" spans="1:20" x14ac:dyDescent="0.25">
      <c r="A839" s="11">
        <v>45014</v>
      </c>
      <c r="B839" t="s">
        <v>42</v>
      </c>
      <c r="C839" t="s">
        <v>43</v>
      </c>
      <c r="D839" t="s">
        <v>32</v>
      </c>
      <c r="E839" t="s">
        <v>20</v>
      </c>
      <c r="F839">
        <v>595</v>
      </c>
      <c r="G839">
        <v>2.59</v>
      </c>
      <c r="H839">
        <v>1541.05</v>
      </c>
      <c r="I839" t="s">
        <v>21</v>
      </c>
      <c r="J839" t="s">
        <v>56</v>
      </c>
      <c r="K839" t="s">
        <v>28</v>
      </c>
      <c r="L839">
        <v>1307.8</v>
      </c>
      <c r="M839">
        <v>15.1</v>
      </c>
      <c r="N839">
        <v>2023</v>
      </c>
      <c r="O839">
        <v>1</v>
      </c>
      <c r="P839" t="s">
        <v>62</v>
      </c>
      <c r="Q839">
        <v>233.25</v>
      </c>
      <c r="R839" t="s">
        <v>29</v>
      </c>
      <c r="S839">
        <v>5.6068595927116824</v>
      </c>
      <c r="T839" t="s">
        <v>78</v>
      </c>
    </row>
    <row r="840" spans="1:20" x14ac:dyDescent="0.25">
      <c r="A840" s="11">
        <v>45095</v>
      </c>
      <c r="B840" t="s">
        <v>51</v>
      </c>
      <c r="C840" t="s">
        <v>52</v>
      </c>
      <c r="D840" t="s">
        <v>45</v>
      </c>
      <c r="E840" t="s">
        <v>20</v>
      </c>
      <c r="F840">
        <v>587</v>
      </c>
      <c r="G840">
        <v>2.78</v>
      </c>
      <c r="H840">
        <v>1631.86</v>
      </c>
      <c r="I840" t="s">
        <v>33</v>
      </c>
      <c r="J840" t="s">
        <v>40</v>
      </c>
      <c r="K840" t="s">
        <v>28</v>
      </c>
      <c r="L840">
        <v>1399.36</v>
      </c>
      <c r="M840">
        <v>14.2</v>
      </c>
      <c r="N840">
        <v>2023</v>
      </c>
      <c r="O840">
        <v>2</v>
      </c>
      <c r="P840" t="s">
        <v>70</v>
      </c>
      <c r="Q840">
        <v>232.5</v>
      </c>
      <c r="R840" t="s">
        <v>29</v>
      </c>
      <c r="S840">
        <v>6.018752688172043</v>
      </c>
      <c r="T840" t="s">
        <v>78</v>
      </c>
    </row>
    <row r="841" spans="1:20" x14ac:dyDescent="0.25">
      <c r="A841" s="11">
        <v>44945</v>
      </c>
      <c r="B841" t="s">
        <v>17</v>
      </c>
      <c r="C841" t="s">
        <v>18</v>
      </c>
      <c r="D841" t="s">
        <v>49</v>
      </c>
      <c r="E841" t="s">
        <v>50</v>
      </c>
      <c r="F841">
        <v>355</v>
      </c>
      <c r="G841">
        <v>2.38</v>
      </c>
      <c r="H841">
        <v>844.9</v>
      </c>
      <c r="I841" t="s">
        <v>39</v>
      </c>
      <c r="J841" t="s">
        <v>34</v>
      </c>
      <c r="K841" t="s">
        <v>41</v>
      </c>
      <c r="L841">
        <v>613.91</v>
      </c>
      <c r="M841">
        <v>27.3</v>
      </c>
      <c r="N841">
        <v>2023</v>
      </c>
      <c r="O841">
        <v>1</v>
      </c>
      <c r="P841" t="s">
        <v>24</v>
      </c>
      <c r="Q841">
        <v>230.99</v>
      </c>
      <c r="R841" t="s">
        <v>25</v>
      </c>
      <c r="S841">
        <v>2.6577341010433351</v>
      </c>
      <c r="T841" t="s">
        <v>78</v>
      </c>
    </row>
    <row r="842" spans="1:20" x14ac:dyDescent="0.25">
      <c r="A842" s="11">
        <v>45048</v>
      </c>
      <c r="B842" t="s">
        <v>42</v>
      </c>
      <c r="C842" t="s">
        <v>43</v>
      </c>
      <c r="D842" t="s">
        <v>32</v>
      </c>
      <c r="E842" t="s">
        <v>20</v>
      </c>
      <c r="F842">
        <v>547</v>
      </c>
      <c r="G842">
        <v>3.35</v>
      </c>
      <c r="H842">
        <v>1832.45</v>
      </c>
      <c r="I842" t="s">
        <v>39</v>
      </c>
      <c r="J842" t="s">
        <v>56</v>
      </c>
      <c r="K842" t="s">
        <v>23</v>
      </c>
      <c r="L842">
        <v>1602.33</v>
      </c>
      <c r="M842">
        <v>12.6</v>
      </c>
      <c r="N842">
        <v>2023</v>
      </c>
      <c r="O842">
        <v>2</v>
      </c>
      <c r="P842" t="s">
        <v>64</v>
      </c>
      <c r="Q842">
        <v>230.12</v>
      </c>
      <c r="R842" t="s">
        <v>29</v>
      </c>
      <c r="S842">
        <v>6.9630192942812439</v>
      </c>
      <c r="T842" t="s">
        <v>78</v>
      </c>
    </row>
    <row r="843" spans="1:20" x14ac:dyDescent="0.25">
      <c r="A843" s="11">
        <v>44962</v>
      </c>
      <c r="B843" t="s">
        <v>42</v>
      </c>
      <c r="C843" t="s">
        <v>43</v>
      </c>
      <c r="D843" t="s">
        <v>32</v>
      </c>
      <c r="E843" t="s">
        <v>20</v>
      </c>
      <c r="F843">
        <v>358</v>
      </c>
      <c r="G843">
        <v>3.5</v>
      </c>
      <c r="H843">
        <v>1253</v>
      </c>
      <c r="I843" t="s">
        <v>46</v>
      </c>
      <c r="J843" t="s">
        <v>34</v>
      </c>
      <c r="K843" t="s">
        <v>28</v>
      </c>
      <c r="L843">
        <v>1023.27</v>
      </c>
      <c r="M843">
        <v>18.3</v>
      </c>
      <c r="N843">
        <v>2023</v>
      </c>
      <c r="O843">
        <v>1</v>
      </c>
      <c r="P843" t="s">
        <v>60</v>
      </c>
      <c r="Q843">
        <v>229.73</v>
      </c>
      <c r="R843" t="s">
        <v>29</v>
      </c>
      <c r="S843">
        <v>4.4542288773777914</v>
      </c>
      <c r="T843" t="s">
        <v>78</v>
      </c>
    </row>
    <row r="844" spans="1:20" x14ac:dyDescent="0.25">
      <c r="A844" s="11">
        <v>45081</v>
      </c>
      <c r="B844" t="s">
        <v>42</v>
      </c>
      <c r="C844" t="s">
        <v>43</v>
      </c>
      <c r="D844" t="s">
        <v>45</v>
      </c>
      <c r="E844" t="s">
        <v>20</v>
      </c>
      <c r="F844">
        <v>225</v>
      </c>
      <c r="G844">
        <v>9.52</v>
      </c>
      <c r="H844">
        <v>2142</v>
      </c>
      <c r="I844" t="s">
        <v>54</v>
      </c>
      <c r="J844" t="s">
        <v>34</v>
      </c>
      <c r="K844" t="s">
        <v>41</v>
      </c>
      <c r="L844">
        <v>1914.1</v>
      </c>
      <c r="M844">
        <v>10.6</v>
      </c>
      <c r="N844">
        <v>2023</v>
      </c>
      <c r="O844">
        <v>2</v>
      </c>
      <c r="P844" t="s">
        <v>68</v>
      </c>
      <c r="Q844">
        <v>227.9</v>
      </c>
      <c r="R844" t="s">
        <v>29</v>
      </c>
      <c r="S844">
        <v>8.3988591487494517</v>
      </c>
      <c r="T844" t="s">
        <v>78</v>
      </c>
    </row>
    <row r="845" spans="1:20" x14ac:dyDescent="0.25">
      <c r="A845" s="11">
        <v>45066</v>
      </c>
      <c r="B845" t="s">
        <v>42</v>
      </c>
      <c r="C845" t="s">
        <v>43</v>
      </c>
      <c r="D845" t="s">
        <v>19</v>
      </c>
      <c r="E845" t="s">
        <v>20</v>
      </c>
      <c r="F845">
        <v>231</v>
      </c>
      <c r="G845">
        <v>5.56</v>
      </c>
      <c r="H845">
        <v>1284.3599999999999</v>
      </c>
      <c r="I845" t="s">
        <v>26</v>
      </c>
      <c r="J845" t="s">
        <v>40</v>
      </c>
      <c r="K845" t="s">
        <v>28</v>
      </c>
      <c r="L845">
        <v>1064.94</v>
      </c>
      <c r="M845">
        <v>17.100000000000001</v>
      </c>
      <c r="N845">
        <v>2023</v>
      </c>
      <c r="O845">
        <v>2</v>
      </c>
      <c r="P845" t="s">
        <v>66</v>
      </c>
      <c r="Q845">
        <v>219.42</v>
      </c>
      <c r="R845" t="s">
        <v>29</v>
      </c>
      <c r="S845">
        <v>4.8534317746786986</v>
      </c>
      <c r="T845" t="s">
        <v>78</v>
      </c>
    </row>
    <row r="846" spans="1:20" x14ac:dyDescent="0.25">
      <c r="A846" s="11">
        <v>45129</v>
      </c>
      <c r="B846" t="s">
        <v>42</v>
      </c>
      <c r="C846" t="s">
        <v>43</v>
      </c>
      <c r="D846" t="s">
        <v>19</v>
      </c>
      <c r="E846" t="s">
        <v>20</v>
      </c>
      <c r="F846">
        <v>145</v>
      </c>
      <c r="G846">
        <v>4.18</v>
      </c>
      <c r="H846">
        <v>606.1</v>
      </c>
      <c r="I846" t="s">
        <v>21</v>
      </c>
      <c r="J846" t="s">
        <v>56</v>
      </c>
      <c r="K846" t="s">
        <v>23</v>
      </c>
      <c r="L846">
        <v>388.89</v>
      </c>
      <c r="M846">
        <v>35.799999999999997</v>
      </c>
      <c r="N846">
        <v>2025</v>
      </c>
      <c r="O846">
        <v>3</v>
      </c>
      <c r="P846" t="s">
        <v>62</v>
      </c>
      <c r="Q846">
        <v>217.21</v>
      </c>
      <c r="R846" t="s">
        <v>25</v>
      </c>
      <c r="S846">
        <v>1.7903871829105473</v>
      </c>
      <c r="T846" t="s">
        <v>78</v>
      </c>
    </row>
    <row r="847" spans="1:20" x14ac:dyDescent="0.25">
      <c r="A847" s="11">
        <v>45066</v>
      </c>
      <c r="B847" t="s">
        <v>30</v>
      </c>
      <c r="C847" t="s">
        <v>31</v>
      </c>
      <c r="D847" t="s">
        <v>45</v>
      </c>
      <c r="E847" t="s">
        <v>20</v>
      </c>
      <c r="F847">
        <v>88</v>
      </c>
      <c r="G847">
        <v>9.43</v>
      </c>
      <c r="H847">
        <v>829.84</v>
      </c>
      <c r="I847" t="s">
        <v>54</v>
      </c>
      <c r="J847" t="s">
        <v>56</v>
      </c>
      <c r="K847" t="s">
        <v>28</v>
      </c>
      <c r="L847">
        <v>613.86</v>
      </c>
      <c r="M847">
        <v>26</v>
      </c>
      <c r="N847">
        <v>2023</v>
      </c>
      <c r="O847">
        <v>2</v>
      </c>
      <c r="P847" t="s">
        <v>66</v>
      </c>
      <c r="Q847">
        <v>215.98</v>
      </c>
      <c r="R847" t="s">
        <v>25</v>
      </c>
      <c r="S847">
        <v>2.8422076118159092</v>
      </c>
      <c r="T847" t="s">
        <v>78</v>
      </c>
    </row>
    <row r="848" spans="1:20" x14ac:dyDescent="0.25">
      <c r="A848" s="11">
        <v>45013</v>
      </c>
      <c r="B848" t="s">
        <v>17</v>
      </c>
      <c r="C848" t="s">
        <v>18</v>
      </c>
      <c r="D848" t="s">
        <v>37</v>
      </c>
      <c r="E848" t="s">
        <v>38</v>
      </c>
      <c r="F848">
        <v>414</v>
      </c>
      <c r="G848">
        <v>2.66</v>
      </c>
      <c r="H848">
        <v>1101.24</v>
      </c>
      <c r="I848" t="s">
        <v>54</v>
      </c>
      <c r="J848" t="s">
        <v>22</v>
      </c>
      <c r="K848" t="s">
        <v>23</v>
      </c>
      <c r="L848">
        <v>885.69</v>
      </c>
      <c r="M848">
        <v>19.600000000000001</v>
      </c>
      <c r="N848">
        <v>2023</v>
      </c>
      <c r="O848">
        <v>1</v>
      </c>
      <c r="P848" t="s">
        <v>62</v>
      </c>
      <c r="Q848">
        <v>215.55</v>
      </c>
      <c r="R848" t="s">
        <v>29</v>
      </c>
      <c r="S848">
        <v>4.1089770354906054</v>
      </c>
      <c r="T848" t="s">
        <v>78</v>
      </c>
    </row>
    <row r="849" spans="1:20" x14ac:dyDescent="0.25">
      <c r="A849" s="11">
        <v>44987</v>
      </c>
      <c r="B849" t="s">
        <v>51</v>
      </c>
      <c r="C849" t="s">
        <v>52</v>
      </c>
      <c r="D849" t="s">
        <v>53</v>
      </c>
      <c r="E849" t="s">
        <v>50</v>
      </c>
      <c r="F849">
        <v>471</v>
      </c>
      <c r="G849">
        <v>2.41</v>
      </c>
      <c r="H849">
        <v>1135.1099999999999</v>
      </c>
      <c r="I849" t="s">
        <v>39</v>
      </c>
      <c r="J849" t="s">
        <v>22</v>
      </c>
      <c r="K849" t="s">
        <v>41</v>
      </c>
      <c r="L849">
        <v>921.39</v>
      </c>
      <c r="M849">
        <v>18.8</v>
      </c>
      <c r="N849">
        <v>2023</v>
      </c>
      <c r="O849">
        <v>1</v>
      </c>
      <c r="P849" t="s">
        <v>61</v>
      </c>
      <c r="Q849">
        <v>213.72</v>
      </c>
      <c r="R849" t="s">
        <v>29</v>
      </c>
      <c r="S849">
        <v>4.3112015721504768</v>
      </c>
      <c r="T849" t="s">
        <v>78</v>
      </c>
    </row>
    <row r="850" spans="1:20" x14ac:dyDescent="0.25">
      <c r="A850" s="11">
        <v>45132</v>
      </c>
      <c r="B850" t="s">
        <v>42</v>
      </c>
      <c r="C850" t="s">
        <v>43</v>
      </c>
      <c r="D850" t="s">
        <v>53</v>
      </c>
      <c r="E850" t="s">
        <v>50</v>
      </c>
      <c r="F850">
        <v>90</v>
      </c>
      <c r="G850">
        <v>9.35</v>
      </c>
      <c r="H850">
        <v>841.5</v>
      </c>
      <c r="I850" t="s">
        <v>46</v>
      </c>
      <c r="J850" t="s">
        <v>40</v>
      </c>
      <c r="K850" t="s">
        <v>23</v>
      </c>
      <c r="L850">
        <v>628.72</v>
      </c>
      <c r="M850">
        <v>25.3</v>
      </c>
      <c r="N850">
        <v>2025</v>
      </c>
      <c r="O850">
        <v>3</v>
      </c>
      <c r="P850" t="s">
        <v>68</v>
      </c>
      <c r="Q850">
        <v>212.78</v>
      </c>
      <c r="R850" t="s">
        <v>25</v>
      </c>
      <c r="S850">
        <v>2.9547889839270609</v>
      </c>
      <c r="T850" t="s">
        <v>78</v>
      </c>
    </row>
    <row r="851" spans="1:20" x14ac:dyDescent="0.25">
      <c r="A851" s="11">
        <v>45065</v>
      </c>
      <c r="B851" t="s">
        <v>35</v>
      </c>
      <c r="C851" t="s">
        <v>36</v>
      </c>
      <c r="D851" t="s">
        <v>48</v>
      </c>
      <c r="E851" t="s">
        <v>38</v>
      </c>
      <c r="F851">
        <v>196</v>
      </c>
      <c r="G851">
        <v>10.66</v>
      </c>
      <c r="H851">
        <v>2089.36</v>
      </c>
      <c r="I851" t="s">
        <v>33</v>
      </c>
      <c r="J851" t="s">
        <v>40</v>
      </c>
      <c r="K851" t="s">
        <v>28</v>
      </c>
      <c r="L851">
        <v>1876.81</v>
      </c>
      <c r="M851">
        <v>10.199999999999999</v>
      </c>
      <c r="N851">
        <v>2023</v>
      </c>
      <c r="O851">
        <v>2</v>
      </c>
      <c r="P851" t="s">
        <v>66</v>
      </c>
      <c r="Q851">
        <v>212.55</v>
      </c>
      <c r="R851" t="s">
        <v>29</v>
      </c>
      <c r="S851">
        <v>8.8299694189602445</v>
      </c>
      <c r="T851" t="s">
        <v>78</v>
      </c>
    </row>
    <row r="852" spans="1:20" x14ac:dyDescent="0.25">
      <c r="A852" s="11">
        <v>44991</v>
      </c>
      <c r="B852" t="s">
        <v>58</v>
      </c>
      <c r="C852" t="s">
        <v>59</v>
      </c>
      <c r="D852" t="s">
        <v>32</v>
      </c>
      <c r="E852" t="s">
        <v>20</v>
      </c>
      <c r="F852">
        <v>356</v>
      </c>
      <c r="G852">
        <v>3.7</v>
      </c>
      <c r="H852">
        <v>1317.2</v>
      </c>
      <c r="I852" t="s">
        <v>39</v>
      </c>
      <c r="J852" t="s">
        <v>22</v>
      </c>
      <c r="K852" t="s">
        <v>28</v>
      </c>
      <c r="L852">
        <v>1104.8399999999999</v>
      </c>
      <c r="M852">
        <v>16.100000000000001</v>
      </c>
      <c r="N852">
        <v>2023</v>
      </c>
      <c r="O852">
        <v>1</v>
      </c>
      <c r="P852" t="s">
        <v>61</v>
      </c>
      <c r="Q852">
        <v>212.36</v>
      </c>
      <c r="R852" t="s">
        <v>29</v>
      </c>
      <c r="S852">
        <v>5.2026747033339609</v>
      </c>
      <c r="T852" t="s">
        <v>78</v>
      </c>
    </row>
    <row r="853" spans="1:20" x14ac:dyDescent="0.25">
      <c r="A853" s="11">
        <v>44971</v>
      </c>
      <c r="B853" t="s">
        <v>35</v>
      </c>
      <c r="C853" t="s">
        <v>36</v>
      </c>
      <c r="D853" t="s">
        <v>32</v>
      </c>
      <c r="E853" t="s">
        <v>20</v>
      </c>
      <c r="F853">
        <v>304</v>
      </c>
      <c r="G853">
        <v>5.59</v>
      </c>
      <c r="H853">
        <v>1699.36</v>
      </c>
      <c r="I853" t="s">
        <v>26</v>
      </c>
      <c r="J853" t="s">
        <v>22</v>
      </c>
      <c r="K853" t="s">
        <v>23</v>
      </c>
      <c r="L853">
        <v>1487.74</v>
      </c>
      <c r="M853">
        <v>12.5</v>
      </c>
      <c r="N853">
        <v>2023</v>
      </c>
      <c r="O853">
        <v>1</v>
      </c>
      <c r="P853" t="s">
        <v>60</v>
      </c>
      <c r="Q853">
        <v>211.62</v>
      </c>
      <c r="R853" t="s">
        <v>29</v>
      </c>
      <c r="S853">
        <v>7.030242888195823</v>
      </c>
      <c r="T853" t="s">
        <v>78</v>
      </c>
    </row>
    <row r="854" spans="1:20" x14ac:dyDescent="0.25">
      <c r="A854" s="11">
        <v>45110</v>
      </c>
      <c r="B854" t="s">
        <v>58</v>
      </c>
      <c r="C854" t="s">
        <v>59</v>
      </c>
      <c r="D854" t="s">
        <v>45</v>
      </c>
      <c r="E854" t="s">
        <v>20</v>
      </c>
      <c r="F854">
        <v>292</v>
      </c>
      <c r="G854">
        <v>2.56</v>
      </c>
      <c r="H854">
        <v>747.52</v>
      </c>
      <c r="I854" t="s">
        <v>33</v>
      </c>
      <c r="J854" t="s">
        <v>22</v>
      </c>
      <c r="K854" t="s">
        <v>28</v>
      </c>
      <c r="L854">
        <v>537.37</v>
      </c>
      <c r="M854">
        <v>28.1</v>
      </c>
      <c r="N854">
        <v>2024</v>
      </c>
      <c r="O854">
        <v>3</v>
      </c>
      <c r="P854" t="s">
        <v>62</v>
      </c>
      <c r="Q854">
        <v>210.15</v>
      </c>
      <c r="R854" t="s">
        <v>25</v>
      </c>
      <c r="S854">
        <v>2.55707827742089</v>
      </c>
      <c r="T854" t="s">
        <v>78</v>
      </c>
    </row>
    <row r="855" spans="1:20" x14ac:dyDescent="0.25">
      <c r="A855" s="11">
        <v>45091</v>
      </c>
      <c r="B855" t="s">
        <v>42</v>
      </c>
      <c r="C855" t="s">
        <v>43</v>
      </c>
      <c r="D855" t="s">
        <v>53</v>
      </c>
      <c r="E855" t="s">
        <v>50</v>
      </c>
      <c r="F855">
        <v>164</v>
      </c>
      <c r="G855">
        <v>3.46</v>
      </c>
      <c r="H855">
        <v>567.44000000000005</v>
      </c>
      <c r="I855" t="s">
        <v>39</v>
      </c>
      <c r="J855" t="s">
        <v>22</v>
      </c>
      <c r="K855" t="s">
        <v>28</v>
      </c>
      <c r="L855">
        <v>357.98</v>
      </c>
      <c r="M855">
        <v>36.9</v>
      </c>
      <c r="N855">
        <v>2023</v>
      </c>
      <c r="O855">
        <v>2</v>
      </c>
      <c r="P855" t="s">
        <v>70</v>
      </c>
      <c r="Q855">
        <v>209.46</v>
      </c>
      <c r="R855" t="s">
        <v>25</v>
      </c>
      <c r="S855">
        <v>1.7090613959705911</v>
      </c>
      <c r="T855" t="s">
        <v>78</v>
      </c>
    </row>
    <row r="856" spans="1:20" x14ac:dyDescent="0.25">
      <c r="A856" s="11">
        <v>44937</v>
      </c>
      <c r="B856" t="s">
        <v>17</v>
      </c>
      <c r="C856" t="s">
        <v>18</v>
      </c>
      <c r="D856" t="s">
        <v>19</v>
      </c>
      <c r="E856" t="s">
        <v>20</v>
      </c>
      <c r="F856">
        <v>134</v>
      </c>
      <c r="G856">
        <v>4.47</v>
      </c>
      <c r="H856">
        <v>598.98</v>
      </c>
      <c r="I856" t="s">
        <v>39</v>
      </c>
      <c r="J856" t="s">
        <v>56</v>
      </c>
      <c r="K856" t="s">
        <v>23</v>
      </c>
      <c r="L856">
        <v>389.77</v>
      </c>
      <c r="M856">
        <v>34.9</v>
      </c>
      <c r="N856">
        <v>2023</v>
      </c>
      <c r="O856">
        <v>1</v>
      </c>
      <c r="P856" t="s">
        <v>24</v>
      </c>
      <c r="Q856">
        <v>209.21</v>
      </c>
      <c r="R856" t="s">
        <v>25</v>
      </c>
      <c r="S856">
        <v>1.8630562592610294</v>
      </c>
      <c r="T856" t="s">
        <v>78</v>
      </c>
    </row>
    <row r="857" spans="1:20" x14ac:dyDescent="0.25">
      <c r="A857" s="11">
        <v>45033</v>
      </c>
      <c r="B857" t="s">
        <v>17</v>
      </c>
      <c r="C857" t="s">
        <v>18</v>
      </c>
      <c r="D857" t="s">
        <v>44</v>
      </c>
      <c r="E857" t="s">
        <v>38</v>
      </c>
      <c r="F857">
        <v>66</v>
      </c>
      <c r="G857">
        <v>9.44</v>
      </c>
      <c r="H857">
        <v>623.04</v>
      </c>
      <c r="I857" t="s">
        <v>46</v>
      </c>
      <c r="J857" t="s">
        <v>22</v>
      </c>
      <c r="K857" t="s">
        <v>41</v>
      </c>
      <c r="L857">
        <v>414.06</v>
      </c>
      <c r="M857">
        <v>33.5</v>
      </c>
      <c r="N857">
        <v>2023</v>
      </c>
      <c r="O857">
        <v>2</v>
      </c>
      <c r="P857" t="s">
        <v>63</v>
      </c>
      <c r="Q857">
        <v>208.98</v>
      </c>
      <c r="R857" t="s">
        <v>25</v>
      </c>
      <c r="S857">
        <v>1.9813379270743612</v>
      </c>
      <c r="T857" t="s">
        <v>78</v>
      </c>
    </row>
    <row r="858" spans="1:20" x14ac:dyDescent="0.25">
      <c r="A858" s="11">
        <v>45080</v>
      </c>
      <c r="B858" t="s">
        <v>35</v>
      </c>
      <c r="C858" t="s">
        <v>36</v>
      </c>
      <c r="D858" t="s">
        <v>53</v>
      </c>
      <c r="E858" t="s">
        <v>50</v>
      </c>
      <c r="F858">
        <v>730</v>
      </c>
      <c r="G858">
        <v>2.2999999999999998</v>
      </c>
      <c r="H858">
        <v>1679</v>
      </c>
      <c r="I858" t="s">
        <v>26</v>
      </c>
      <c r="J858" t="s">
        <v>56</v>
      </c>
      <c r="K858" t="s">
        <v>23</v>
      </c>
      <c r="L858">
        <v>1471.8</v>
      </c>
      <c r="M858">
        <v>12.3</v>
      </c>
      <c r="N858">
        <v>2023</v>
      </c>
      <c r="O858">
        <v>2</v>
      </c>
      <c r="P858" t="s">
        <v>68</v>
      </c>
      <c r="Q858">
        <v>207.2</v>
      </c>
      <c r="R858" t="s">
        <v>29</v>
      </c>
      <c r="S858">
        <v>7.1032818532818531</v>
      </c>
      <c r="T858" t="s">
        <v>78</v>
      </c>
    </row>
    <row r="859" spans="1:20" x14ac:dyDescent="0.25">
      <c r="A859" s="11">
        <v>45044</v>
      </c>
      <c r="B859" t="s">
        <v>17</v>
      </c>
      <c r="C859" t="s">
        <v>18</v>
      </c>
      <c r="D859" t="s">
        <v>32</v>
      </c>
      <c r="E859" t="s">
        <v>20</v>
      </c>
      <c r="F859">
        <v>171</v>
      </c>
      <c r="G859">
        <v>11.56</v>
      </c>
      <c r="H859">
        <v>1976.76</v>
      </c>
      <c r="I859" t="s">
        <v>54</v>
      </c>
      <c r="J859" t="s">
        <v>27</v>
      </c>
      <c r="K859" t="s">
        <v>41</v>
      </c>
      <c r="L859">
        <v>1770.89</v>
      </c>
      <c r="M859">
        <v>10.4</v>
      </c>
      <c r="N859">
        <v>2023</v>
      </c>
      <c r="O859">
        <v>2</v>
      </c>
      <c r="P859" t="s">
        <v>64</v>
      </c>
      <c r="Q859">
        <v>205.87</v>
      </c>
      <c r="R859" t="s">
        <v>29</v>
      </c>
      <c r="S859">
        <v>8.6019818331957065</v>
      </c>
      <c r="T859" t="s">
        <v>78</v>
      </c>
    </row>
    <row r="860" spans="1:20" x14ac:dyDescent="0.25">
      <c r="A860" s="11">
        <v>44994</v>
      </c>
      <c r="B860" t="s">
        <v>42</v>
      </c>
      <c r="C860" t="s">
        <v>43</v>
      </c>
      <c r="D860" t="s">
        <v>37</v>
      </c>
      <c r="E860" t="s">
        <v>38</v>
      </c>
      <c r="F860">
        <v>150</v>
      </c>
      <c r="G860">
        <v>4.5</v>
      </c>
      <c r="H860">
        <v>675</v>
      </c>
      <c r="I860" t="s">
        <v>33</v>
      </c>
      <c r="J860" t="s">
        <v>27</v>
      </c>
      <c r="K860" t="s">
        <v>23</v>
      </c>
      <c r="L860">
        <v>469.45</v>
      </c>
      <c r="M860">
        <v>30.5</v>
      </c>
      <c r="N860">
        <v>2023</v>
      </c>
      <c r="O860">
        <v>1</v>
      </c>
      <c r="P860" t="s">
        <v>61</v>
      </c>
      <c r="Q860">
        <v>205.55</v>
      </c>
      <c r="R860" t="s">
        <v>25</v>
      </c>
      <c r="S860">
        <v>2.283872537095597</v>
      </c>
      <c r="T860" t="s">
        <v>78</v>
      </c>
    </row>
    <row r="861" spans="1:20" x14ac:dyDescent="0.25">
      <c r="A861" s="11">
        <v>45096</v>
      </c>
      <c r="B861" t="s">
        <v>42</v>
      </c>
      <c r="C861" t="s">
        <v>43</v>
      </c>
      <c r="D861" t="s">
        <v>48</v>
      </c>
      <c r="E861" t="s">
        <v>38</v>
      </c>
      <c r="F861">
        <v>148</v>
      </c>
      <c r="G861">
        <v>3.63</v>
      </c>
      <c r="H861">
        <v>537.24</v>
      </c>
      <c r="I861" t="s">
        <v>54</v>
      </c>
      <c r="J861" t="s">
        <v>27</v>
      </c>
      <c r="K861" t="s">
        <v>28</v>
      </c>
      <c r="L861">
        <v>333.76</v>
      </c>
      <c r="M861">
        <v>37.9</v>
      </c>
      <c r="N861">
        <v>2023</v>
      </c>
      <c r="O861">
        <v>2</v>
      </c>
      <c r="P861" t="s">
        <v>70</v>
      </c>
      <c r="Q861">
        <v>203.48</v>
      </c>
      <c r="R861" t="s">
        <v>25</v>
      </c>
      <c r="S861">
        <v>1.640259484961667</v>
      </c>
      <c r="T861" t="s">
        <v>78</v>
      </c>
    </row>
    <row r="862" spans="1:20" x14ac:dyDescent="0.25">
      <c r="A862" s="11">
        <v>44999</v>
      </c>
      <c r="B862" t="s">
        <v>51</v>
      </c>
      <c r="C862" t="s">
        <v>52</v>
      </c>
      <c r="D862" t="s">
        <v>44</v>
      </c>
      <c r="E862" t="s">
        <v>38</v>
      </c>
      <c r="F862">
        <v>385</v>
      </c>
      <c r="G862">
        <v>2.83</v>
      </c>
      <c r="H862">
        <v>1089.55</v>
      </c>
      <c r="I862" t="s">
        <v>54</v>
      </c>
      <c r="J862" t="s">
        <v>27</v>
      </c>
      <c r="K862" t="s">
        <v>41</v>
      </c>
      <c r="L862">
        <v>887.71</v>
      </c>
      <c r="M862">
        <v>18.5</v>
      </c>
      <c r="N862">
        <v>2023</v>
      </c>
      <c r="O862">
        <v>1</v>
      </c>
      <c r="P862" t="s">
        <v>61</v>
      </c>
      <c r="Q862">
        <v>201.84</v>
      </c>
      <c r="R862" t="s">
        <v>29</v>
      </c>
      <c r="S862">
        <v>4.3980875941339672</v>
      </c>
      <c r="T862" t="s">
        <v>78</v>
      </c>
    </row>
    <row r="863" spans="1:20" x14ac:dyDescent="0.25">
      <c r="A863" s="11">
        <v>44943</v>
      </c>
      <c r="B863" t="s">
        <v>42</v>
      </c>
      <c r="C863" t="s">
        <v>43</v>
      </c>
      <c r="D863" t="s">
        <v>37</v>
      </c>
      <c r="E863" t="s">
        <v>38</v>
      </c>
      <c r="F863">
        <v>261</v>
      </c>
      <c r="G863">
        <v>6.89</v>
      </c>
      <c r="H863">
        <v>1798.29</v>
      </c>
      <c r="I863" t="s">
        <v>26</v>
      </c>
      <c r="J863" t="s">
        <v>27</v>
      </c>
      <c r="K863" t="s">
        <v>28</v>
      </c>
      <c r="L863">
        <v>1597.91</v>
      </c>
      <c r="M863">
        <v>11.1</v>
      </c>
      <c r="N863">
        <v>2023</v>
      </c>
      <c r="O863">
        <v>1</v>
      </c>
      <c r="P863" t="s">
        <v>24</v>
      </c>
      <c r="Q863">
        <v>200.38</v>
      </c>
      <c r="R863" t="s">
        <v>29</v>
      </c>
      <c r="S863">
        <v>7.9743986425791</v>
      </c>
      <c r="T863" t="s">
        <v>78</v>
      </c>
    </row>
    <row r="864" spans="1:20" x14ac:dyDescent="0.25">
      <c r="A864" s="11">
        <v>44946</v>
      </c>
      <c r="B864" t="s">
        <v>30</v>
      </c>
      <c r="C864" t="s">
        <v>31</v>
      </c>
      <c r="D864" t="s">
        <v>53</v>
      </c>
      <c r="E864" t="s">
        <v>50</v>
      </c>
      <c r="F864">
        <v>178</v>
      </c>
      <c r="G864">
        <v>4.57</v>
      </c>
      <c r="H864">
        <v>813.46</v>
      </c>
      <c r="I864" t="s">
        <v>54</v>
      </c>
      <c r="J864" t="s">
        <v>56</v>
      </c>
      <c r="K864" t="s">
        <v>28</v>
      </c>
      <c r="L864">
        <v>613.41</v>
      </c>
      <c r="M864">
        <v>24.6</v>
      </c>
      <c r="N864">
        <v>2023</v>
      </c>
      <c r="O864">
        <v>1</v>
      </c>
      <c r="P864" t="s">
        <v>24</v>
      </c>
      <c r="Q864">
        <v>200.05</v>
      </c>
      <c r="R864" t="s">
        <v>29</v>
      </c>
      <c r="S864">
        <v>3.0662834291427141</v>
      </c>
      <c r="T864" t="s">
        <v>78</v>
      </c>
    </row>
    <row r="865" spans="1:20" x14ac:dyDescent="0.25">
      <c r="A865" s="11">
        <v>45064</v>
      </c>
      <c r="B865" t="s">
        <v>51</v>
      </c>
      <c r="C865" t="s">
        <v>52</v>
      </c>
      <c r="D865" t="s">
        <v>32</v>
      </c>
      <c r="E865" t="s">
        <v>20</v>
      </c>
      <c r="F865">
        <v>236</v>
      </c>
      <c r="G865">
        <v>6.27</v>
      </c>
      <c r="H865">
        <v>1479.72</v>
      </c>
      <c r="I865" t="s">
        <v>46</v>
      </c>
      <c r="J865" t="s">
        <v>47</v>
      </c>
      <c r="K865" t="s">
        <v>28</v>
      </c>
      <c r="L865">
        <v>1279.8900000000001</v>
      </c>
      <c r="M865">
        <v>13.5</v>
      </c>
      <c r="N865">
        <v>2023</v>
      </c>
      <c r="O865">
        <v>2</v>
      </c>
      <c r="P865" t="s">
        <v>65</v>
      </c>
      <c r="Q865">
        <v>199.83</v>
      </c>
      <c r="R865" t="s">
        <v>29</v>
      </c>
      <c r="S865">
        <v>6.4048941600360303</v>
      </c>
      <c r="T865" t="s">
        <v>78</v>
      </c>
    </row>
    <row r="866" spans="1:20" x14ac:dyDescent="0.25">
      <c r="A866" s="11">
        <v>45029</v>
      </c>
      <c r="B866" t="s">
        <v>42</v>
      </c>
      <c r="C866" t="s">
        <v>43</v>
      </c>
      <c r="D866" t="s">
        <v>32</v>
      </c>
      <c r="E866" t="s">
        <v>20</v>
      </c>
      <c r="F866">
        <v>601</v>
      </c>
      <c r="G866">
        <v>2.2799999999999998</v>
      </c>
      <c r="H866">
        <v>1370.28</v>
      </c>
      <c r="I866" t="s">
        <v>39</v>
      </c>
      <c r="J866" t="s">
        <v>27</v>
      </c>
      <c r="K866" t="s">
        <v>23</v>
      </c>
      <c r="L866">
        <v>1171.1400000000001</v>
      </c>
      <c r="M866">
        <v>14.5</v>
      </c>
      <c r="N866">
        <v>2023</v>
      </c>
      <c r="O866">
        <v>2</v>
      </c>
      <c r="P866" t="s">
        <v>63</v>
      </c>
      <c r="Q866">
        <v>199.14</v>
      </c>
      <c r="R866" t="s">
        <v>29</v>
      </c>
      <c r="S866">
        <v>5.8809882494727335</v>
      </c>
      <c r="T866" t="s">
        <v>78</v>
      </c>
    </row>
    <row r="867" spans="1:20" x14ac:dyDescent="0.25">
      <c r="A867" s="11">
        <v>45068</v>
      </c>
      <c r="B867" t="s">
        <v>58</v>
      </c>
      <c r="C867" t="s">
        <v>59</v>
      </c>
      <c r="D867" t="s">
        <v>45</v>
      </c>
      <c r="E867" t="s">
        <v>20</v>
      </c>
      <c r="F867">
        <v>100</v>
      </c>
      <c r="G867">
        <v>5.99</v>
      </c>
      <c r="H867">
        <v>599</v>
      </c>
      <c r="I867" t="s">
        <v>26</v>
      </c>
      <c r="J867" t="s">
        <v>22</v>
      </c>
      <c r="K867" t="s">
        <v>23</v>
      </c>
      <c r="L867">
        <v>403.62</v>
      </c>
      <c r="M867">
        <v>32.6</v>
      </c>
      <c r="N867">
        <v>2023</v>
      </c>
      <c r="O867">
        <v>2</v>
      </c>
      <c r="P867" t="s">
        <v>66</v>
      </c>
      <c r="Q867">
        <v>195.38</v>
      </c>
      <c r="R867" t="s">
        <v>25</v>
      </c>
      <c r="S867">
        <v>2.0658204524516326</v>
      </c>
      <c r="T867" t="s">
        <v>78</v>
      </c>
    </row>
    <row r="868" spans="1:20" x14ac:dyDescent="0.25">
      <c r="A868" s="11">
        <v>44967</v>
      </c>
      <c r="B868" t="s">
        <v>35</v>
      </c>
      <c r="C868" t="s">
        <v>36</v>
      </c>
      <c r="D868" t="s">
        <v>44</v>
      </c>
      <c r="E868" t="s">
        <v>38</v>
      </c>
      <c r="F868">
        <v>189</v>
      </c>
      <c r="G868">
        <v>3.21</v>
      </c>
      <c r="H868">
        <v>606.69000000000005</v>
      </c>
      <c r="I868" t="s">
        <v>46</v>
      </c>
      <c r="J868" t="s">
        <v>34</v>
      </c>
      <c r="K868" t="s">
        <v>23</v>
      </c>
      <c r="L868">
        <v>411.59</v>
      </c>
      <c r="M868">
        <v>32.200000000000003</v>
      </c>
      <c r="N868">
        <v>2023</v>
      </c>
      <c r="O868">
        <v>1</v>
      </c>
      <c r="P868" t="s">
        <v>60</v>
      </c>
      <c r="Q868">
        <v>195.1</v>
      </c>
      <c r="R868" t="s">
        <v>25</v>
      </c>
      <c r="S868">
        <v>2.1096360840594568</v>
      </c>
      <c r="T868" t="s">
        <v>78</v>
      </c>
    </row>
    <row r="869" spans="1:20" x14ac:dyDescent="0.25">
      <c r="A869" s="11">
        <v>45120</v>
      </c>
      <c r="B869" t="s">
        <v>58</v>
      </c>
      <c r="C869" t="s">
        <v>59</v>
      </c>
      <c r="D869" t="s">
        <v>45</v>
      </c>
      <c r="E869" t="s">
        <v>20</v>
      </c>
      <c r="F869">
        <v>211</v>
      </c>
      <c r="G869">
        <v>5.66</v>
      </c>
      <c r="H869">
        <v>1194.26</v>
      </c>
      <c r="I869" t="s">
        <v>33</v>
      </c>
      <c r="J869" t="s">
        <v>40</v>
      </c>
      <c r="K869" t="s">
        <v>41</v>
      </c>
      <c r="L869">
        <v>1000.23</v>
      </c>
      <c r="M869">
        <v>16.2</v>
      </c>
      <c r="N869">
        <v>2024</v>
      </c>
      <c r="O869">
        <v>3</v>
      </c>
      <c r="P869" t="s">
        <v>65</v>
      </c>
      <c r="Q869">
        <v>194.03</v>
      </c>
      <c r="R869" t="s">
        <v>29</v>
      </c>
      <c r="S869">
        <v>5.1550275730557127</v>
      </c>
      <c r="T869" t="s">
        <v>78</v>
      </c>
    </row>
    <row r="870" spans="1:20" x14ac:dyDescent="0.25">
      <c r="A870" s="11">
        <v>44929</v>
      </c>
      <c r="B870" t="s">
        <v>51</v>
      </c>
      <c r="C870" t="s">
        <v>52</v>
      </c>
      <c r="D870" t="s">
        <v>53</v>
      </c>
      <c r="E870" t="s">
        <v>50</v>
      </c>
      <c r="F870">
        <v>203</v>
      </c>
      <c r="G870">
        <v>4.2300000000000004</v>
      </c>
      <c r="H870">
        <v>858.69</v>
      </c>
      <c r="I870" t="s">
        <v>54</v>
      </c>
      <c r="J870" t="s">
        <v>40</v>
      </c>
      <c r="K870" t="s">
        <v>23</v>
      </c>
      <c r="L870">
        <v>668.3</v>
      </c>
      <c r="M870">
        <v>22.2</v>
      </c>
      <c r="N870">
        <v>2023</v>
      </c>
      <c r="O870">
        <v>1</v>
      </c>
      <c r="P870" t="s">
        <v>24</v>
      </c>
      <c r="Q870">
        <v>190.39</v>
      </c>
      <c r="R870" t="s">
        <v>29</v>
      </c>
      <c r="S870">
        <v>3.5101633489153841</v>
      </c>
      <c r="T870" t="s">
        <v>78</v>
      </c>
    </row>
    <row r="871" spans="1:20" x14ac:dyDescent="0.25">
      <c r="A871" s="11">
        <v>44927</v>
      </c>
      <c r="B871" t="s">
        <v>30</v>
      </c>
      <c r="C871" t="s">
        <v>31</v>
      </c>
      <c r="D871" t="s">
        <v>32</v>
      </c>
      <c r="E871" t="s">
        <v>20</v>
      </c>
      <c r="F871">
        <v>192</v>
      </c>
      <c r="G871">
        <v>5.55</v>
      </c>
      <c r="H871">
        <v>1065.5999999999999</v>
      </c>
      <c r="I871" t="s">
        <v>33</v>
      </c>
      <c r="J871" t="s">
        <v>34</v>
      </c>
      <c r="K871" t="s">
        <v>28</v>
      </c>
      <c r="L871">
        <v>876.05</v>
      </c>
      <c r="M871">
        <v>17.8</v>
      </c>
      <c r="N871">
        <v>2023</v>
      </c>
      <c r="O871">
        <v>1</v>
      </c>
      <c r="P871" t="s">
        <v>24</v>
      </c>
      <c r="Q871">
        <v>189.55</v>
      </c>
      <c r="R871" t="s">
        <v>29</v>
      </c>
      <c r="S871">
        <v>4.6217356897916115</v>
      </c>
      <c r="T871" t="s">
        <v>78</v>
      </c>
    </row>
    <row r="872" spans="1:20" x14ac:dyDescent="0.25">
      <c r="A872" s="11">
        <v>45087</v>
      </c>
      <c r="B872" t="s">
        <v>51</v>
      </c>
      <c r="C872" t="s">
        <v>52</v>
      </c>
      <c r="D872" t="s">
        <v>19</v>
      </c>
      <c r="E872" t="s">
        <v>20</v>
      </c>
      <c r="F872">
        <v>628</v>
      </c>
      <c r="G872">
        <v>2.76</v>
      </c>
      <c r="H872">
        <v>1733.28</v>
      </c>
      <c r="I872" t="s">
        <v>26</v>
      </c>
      <c r="J872" t="s">
        <v>47</v>
      </c>
      <c r="K872" t="s">
        <v>28</v>
      </c>
      <c r="L872">
        <v>1544.53</v>
      </c>
      <c r="M872">
        <v>10.9</v>
      </c>
      <c r="N872">
        <v>2023</v>
      </c>
      <c r="O872">
        <v>2</v>
      </c>
      <c r="P872" t="s">
        <v>69</v>
      </c>
      <c r="Q872">
        <v>188.75</v>
      </c>
      <c r="R872" t="s">
        <v>29</v>
      </c>
      <c r="S872">
        <v>8.1829403973509933</v>
      </c>
      <c r="T872" t="s">
        <v>78</v>
      </c>
    </row>
    <row r="873" spans="1:20" x14ac:dyDescent="0.25">
      <c r="A873" s="11">
        <v>45043</v>
      </c>
      <c r="B873" t="s">
        <v>35</v>
      </c>
      <c r="C873" t="s">
        <v>36</v>
      </c>
      <c r="D873" t="s">
        <v>45</v>
      </c>
      <c r="E873" t="s">
        <v>20</v>
      </c>
      <c r="F873">
        <v>266</v>
      </c>
      <c r="G873">
        <v>5.3</v>
      </c>
      <c r="H873">
        <v>1409.8</v>
      </c>
      <c r="I873" t="s">
        <v>54</v>
      </c>
      <c r="J873" t="s">
        <v>34</v>
      </c>
      <c r="K873" t="s">
        <v>23</v>
      </c>
      <c r="L873">
        <v>1221.83</v>
      </c>
      <c r="M873">
        <v>13.3</v>
      </c>
      <c r="N873">
        <v>2023</v>
      </c>
      <c r="O873">
        <v>2</v>
      </c>
      <c r="P873" t="s">
        <v>64</v>
      </c>
      <c r="Q873">
        <v>187.97</v>
      </c>
      <c r="R873" t="s">
        <v>29</v>
      </c>
      <c r="S873">
        <v>6.5001329999467998</v>
      </c>
      <c r="T873" t="s">
        <v>78</v>
      </c>
    </row>
    <row r="874" spans="1:20" x14ac:dyDescent="0.25">
      <c r="A874" s="11">
        <v>45071</v>
      </c>
      <c r="B874" t="s">
        <v>42</v>
      </c>
      <c r="C874" t="s">
        <v>43</v>
      </c>
      <c r="D874" t="s">
        <v>37</v>
      </c>
      <c r="E874" t="s">
        <v>38</v>
      </c>
      <c r="F874">
        <v>248</v>
      </c>
      <c r="G874">
        <v>2.42</v>
      </c>
      <c r="H874">
        <v>600.16</v>
      </c>
      <c r="I874" t="s">
        <v>54</v>
      </c>
      <c r="J874" t="s">
        <v>22</v>
      </c>
      <c r="K874" t="s">
        <v>28</v>
      </c>
      <c r="L874">
        <v>412.23</v>
      </c>
      <c r="M874">
        <v>31.3</v>
      </c>
      <c r="N874">
        <v>2023</v>
      </c>
      <c r="O874">
        <v>2</v>
      </c>
      <c r="P874" t="s">
        <v>66</v>
      </c>
      <c r="Q874">
        <v>187.93</v>
      </c>
      <c r="R874" t="s">
        <v>25</v>
      </c>
      <c r="S874">
        <v>2.1935295056670037</v>
      </c>
      <c r="T874" t="s">
        <v>78</v>
      </c>
    </row>
    <row r="875" spans="1:20" x14ac:dyDescent="0.25">
      <c r="A875" s="11">
        <v>45037</v>
      </c>
      <c r="B875" t="s">
        <v>30</v>
      </c>
      <c r="C875" t="s">
        <v>31</v>
      </c>
      <c r="D875" t="s">
        <v>49</v>
      </c>
      <c r="E875" t="s">
        <v>50</v>
      </c>
      <c r="F875">
        <v>106</v>
      </c>
      <c r="G875">
        <v>9.64</v>
      </c>
      <c r="H875">
        <v>1021.84</v>
      </c>
      <c r="I875" t="s">
        <v>39</v>
      </c>
      <c r="J875" t="s">
        <v>22</v>
      </c>
      <c r="K875" t="s">
        <v>28</v>
      </c>
      <c r="L875">
        <v>834.04</v>
      </c>
      <c r="M875">
        <v>18.399999999999999</v>
      </c>
      <c r="N875">
        <v>2023</v>
      </c>
      <c r="O875">
        <v>2</v>
      </c>
      <c r="P875" t="s">
        <v>63</v>
      </c>
      <c r="Q875">
        <v>187.8</v>
      </c>
      <c r="R875" t="s">
        <v>29</v>
      </c>
      <c r="S875">
        <v>4.4411075612353565</v>
      </c>
      <c r="T875" t="s">
        <v>78</v>
      </c>
    </row>
    <row r="876" spans="1:20" x14ac:dyDescent="0.25">
      <c r="A876" s="11">
        <v>44955</v>
      </c>
      <c r="B876" t="s">
        <v>51</v>
      </c>
      <c r="C876" t="s">
        <v>52</v>
      </c>
      <c r="D876" t="s">
        <v>44</v>
      </c>
      <c r="E876" t="s">
        <v>38</v>
      </c>
      <c r="F876">
        <v>229</v>
      </c>
      <c r="G876">
        <v>2.5499999999999998</v>
      </c>
      <c r="H876">
        <v>583.95000000000005</v>
      </c>
      <c r="I876" t="s">
        <v>46</v>
      </c>
      <c r="J876" t="s">
        <v>22</v>
      </c>
      <c r="K876" t="s">
        <v>23</v>
      </c>
      <c r="L876">
        <v>397.97</v>
      </c>
      <c r="M876">
        <v>31.8</v>
      </c>
      <c r="N876">
        <v>2023</v>
      </c>
      <c r="O876">
        <v>1</v>
      </c>
      <c r="P876" t="s">
        <v>60</v>
      </c>
      <c r="Q876">
        <v>185.98</v>
      </c>
      <c r="R876" t="s">
        <v>25</v>
      </c>
      <c r="S876">
        <v>2.1398537477148083</v>
      </c>
      <c r="T876" t="s">
        <v>78</v>
      </c>
    </row>
    <row r="877" spans="1:20" x14ac:dyDescent="0.25">
      <c r="A877" s="11">
        <v>44938</v>
      </c>
      <c r="B877" t="s">
        <v>35</v>
      </c>
      <c r="C877" t="s">
        <v>36</v>
      </c>
      <c r="D877" t="s">
        <v>45</v>
      </c>
      <c r="E877" t="s">
        <v>20</v>
      </c>
      <c r="F877">
        <v>68</v>
      </c>
      <c r="G877">
        <v>8.14</v>
      </c>
      <c r="H877">
        <v>553.52</v>
      </c>
      <c r="I877" t="s">
        <v>33</v>
      </c>
      <c r="J877" t="s">
        <v>56</v>
      </c>
      <c r="K877" t="s">
        <v>28</v>
      </c>
      <c r="L877">
        <v>369.73</v>
      </c>
      <c r="M877">
        <v>33.200000000000003</v>
      </c>
      <c r="N877">
        <v>2023</v>
      </c>
      <c r="O877">
        <v>1</v>
      </c>
      <c r="P877" t="s">
        <v>24</v>
      </c>
      <c r="Q877">
        <v>183.79</v>
      </c>
      <c r="R877" t="s">
        <v>25</v>
      </c>
      <c r="S877">
        <v>2.0116981337395945</v>
      </c>
      <c r="T877" t="s">
        <v>78</v>
      </c>
    </row>
    <row r="878" spans="1:20" x14ac:dyDescent="0.25">
      <c r="A878" s="11">
        <v>45074</v>
      </c>
      <c r="B878" t="s">
        <v>30</v>
      </c>
      <c r="C878" t="s">
        <v>31</v>
      </c>
      <c r="D878" t="s">
        <v>53</v>
      </c>
      <c r="E878" t="s">
        <v>50</v>
      </c>
      <c r="F878">
        <v>298</v>
      </c>
      <c r="G878">
        <v>2.34</v>
      </c>
      <c r="H878">
        <v>697.32</v>
      </c>
      <c r="I878" t="s">
        <v>21</v>
      </c>
      <c r="J878" t="s">
        <v>47</v>
      </c>
      <c r="K878" t="s">
        <v>23</v>
      </c>
      <c r="L878">
        <v>514.07000000000005</v>
      </c>
      <c r="M878">
        <v>26.3</v>
      </c>
      <c r="N878">
        <v>2023</v>
      </c>
      <c r="O878">
        <v>2</v>
      </c>
      <c r="P878" t="s">
        <v>67</v>
      </c>
      <c r="Q878">
        <v>183.25</v>
      </c>
      <c r="R878" t="s">
        <v>25</v>
      </c>
      <c r="S878">
        <v>2.8052933151432473</v>
      </c>
      <c r="T878" t="s">
        <v>78</v>
      </c>
    </row>
    <row r="879" spans="1:20" x14ac:dyDescent="0.25">
      <c r="A879" s="11">
        <v>44973</v>
      </c>
      <c r="B879" t="s">
        <v>17</v>
      </c>
      <c r="C879" t="s">
        <v>18</v>
      </c>
      <c r="D879" t="s">
        <v>53</v>
      </c>
      <c r="E879" t="s">
        <v>50</v>
      </c>
      <c r="F879">
        <v>253</v>
      </c>
      <c r="G879">
        <v>2.63</v>
      </c>
      <c r="H879">
        <v>665.39</v>
      </c>
      <c r="I879" t="s">
        <v>26</v>
      </c>
      <c r="J879" t="s">
        <v>56</v>
      </c>
      <c r="K879" t="s">
        <v>41</v>
      </c>
      <c r="L879">
        <v>486.33</v>
      </c>
      <c r="M879">
        <v>26.9</v>
      </c>
      <c r="N879">
        <v>2023</v>
      </c>
      <c r="O879">
        <v>1</v>
      </c>
      <c r="P879" t="s">
        <v>60</v>
      </c>
      <c r="Q879">
        <v>179.06</v>
      </c>
      <c r="R879" t="s">
        <v>25</v>
      </c>
      <c r="S879">
        <v>2.7160169775494247</v>
      </c>
      <c r="T879" t="s">
        <v>78</v>
      </c>
    </row>
    <row r="880" spans="1:20" x14ac:dyDescent="0.25">
      <c r="A880" s="11">
        <v>44947</v>
      </c>
      <c r="B880" t="s">
        <v>51</v>
      </c>
      <c r="C880" t="s">
        <v>52</v>
      </c>
      <c r="D880" t="s">
        <v>37</v>
      </c>
      <c r="E880" t="s">
        <v>38</v>
      </c>
      <c r="F880">
        <v>459</v>
      </c>
      <c r="G880">
        <v>2.21</v>
      </c>
      <c r="H880">
        <v>1014.39</v>
      </c>
      <c r="I880" t="s">
        <v>39</v>
      </c>
      <c r="J880" t="s">
        <v>34</v>
      </c>
      <c r="K880" t="s">
        <v>23</v>
      </c>
      <c r="L880">
        <v>836.3</v>
      </c>
      <c r="M880">
        <v>17.600000000000001</v>
      </c>
      <c r="N880">
        <v>2023</v>
      </c>
      <c r="O880">
        <v>1</v>
      </c>
      <c r="P880" t="s">
        <v>24</v>
      </c>
      <c r="Q880">
        <v>178.09</v>
      </c>
      <c r="R880" t="s">
        <v>29</v>
      </c>
      <c r="S880">
        <v>4.695940254927284</v>
      </c>
      <c r="T880" t="s">
        <v>78</v>
      </c>
    </row>
    <row r="881" spans="1:20" x14ac:dyDescent="0.25">
      <c r="A881" s="11">
        <v>45092</v>
      </c>
      <c r="B881" t="s">
        <v>30</v>
      </c>
      <c r="C881" t="s">
        <v>31</v>
      </c>
      <c r="D881" t="s">
        <v>53</v>
      </c>
      <c r="E881" t="s">
        <v>50</v>
      </c>
      <c r="F881">
        <v>193</v>
      </c>
      <c r="G881">
        <v>3.82</v>
      </c>
      <c r="H881">
        <v>737.26</v>
      </c>
      <c r="I881" t="s">
        <v>54</v>
      </c>
      <c r="J881" t="s">
        <v>56</v>
      </c>
      <c r="K881" t="s">
        <v>23</v>
      </c>
      <c r="L881">
        <v>559.53</v>
      </c>
      <c r="M881">
        <v>24.1</v>
      </c>
      <c r="N881">
        <v>2023</v>
      </c>
      <c r="O881">
        <v>2</v>
      </c>
      <c r="P881" t="s">
        <v>70</v>
      </c>
      <c r="Q881">
        <v>177.73</v>
      </c>
      <c r="R881" t="s">
        <v>29</v>
      </c>
      <c r="S881">
        <v>3.1482023293760197</v>
      </c>
      <c r="T881" t="s">
        <v>78</v>
      </c>
    </row>
    <row r="882" spans="1:20" x14ac:dyDescent="0.25">
      <c r="A882" s="11">
        <v>45114</v>
      </c>
      <c r="B882" t="s">
        <v>58</v>
      </c>
      <c r="C882" t="s">
        <v>59</v>
      </c>
      <c r="D882" t="s">
        <v>19</v>
      </c>
      <c r="E882" t="s">
        <v>20</v>
      </c>
      <c r="F882">
        <v>123</v>
      </c>
      <c r="G882">
        <v>9.59</v>
      </c>
      <c r="H882">
        <v>1179.57</v>
      </c>
      <c r="I882" t="s">
        <v>39</v>
      </c>
      <c r="J882" t="s">
        <v>47</v>
      </c>
      <c r="K882" t="s">
        <v>23</v>
      </c>
      <c r="L882">
        <v>1003.96</v>
      </c>
      <c r="M882">
        <v>14.9</v>
      </c>
      <c r="N882">
        <v>2024</v>
      </c>
      <c r="O882">
        <v>3</v>
      </c>
      <c r="P882" t="s">
        <v>63</v>
      </c>
      <c r="Q882">
        <v>175.61</v>
      </c>
      <c r="R882" t="s">
        <v>29</v>
      </c>
      <c r="S882">
        <v>5.7169865041854102</v>
      </c>
      <c r="T882" t="s">
        <v>78</v>
      </c>
    </row>
    <row r="883" spans="1:20" x14ac:dyDescent="0.25">
      <c r="A883" s="11">
        <v>45132</v>
      </c>
      <c r="B883" t="s">
        <v>51</v>
      </c>
      <c r="C883" t="s">
        <v>52</v>
      </c>
      <c r="D883" t="s">
        <v>37</v>
      </c>
      <c r="E883" t="s">
        <v>38</v>
      </c>
      <c r="F883">
        <v>110</v>
      </c>
      <c r="G883">
        <v>9.7899999999999991</v>
      </c>
      <c r="H883">
        <v>1076.9000000000001</v>
      </c>
      <c r="I883" t="s">
        <v>57</v>
      </c>
      <c r="J883" t="s">
        <v>40</v>
      </c>
      <c r="K883" t="s">
        <v>23</v>
      </c>
      <c r="L883">
        <v>902.08</v>
      </c>
      <c r="M883">
        <v>16.2</v>
      </c>
      <c r="N883">
        <v>2025</v>
      </c>
      <c r="O883">
        <v>3</v>
      </c>
      <c r="P883" t="s">
        <v>65</v>
      </c>
      <c r="Q883">
        <v>174.82</v>
      </c>
      <c r="R883" t="s">
        <v>29</v>
      </c>
      <c r="S883">
        <v>5.1600503374899898</v>
      </c>
      <c r="T883" t="s">
        <v>78</v>
      </c>
    </row>
    <row r="884" spans="1:20" x14ac:dyDescent="0.25">
      <c r="A884" s="11">
        <v>45038</v>
      </c>
      <c r="B884" t="s">
        <v>51</v>
      </c>
      <c r="C884" t="s">
        <v>52</v>
      </c>
      <c r="D884" t="s">
        <v>48</v>
      </c>
      <c r="E884" t="s">
        <v>38</v>
      </c>
      <c r="F884">
        <v>414</v>
      </c>
      <c r="G884">
        <v>2.9</v>
      </c>
      <c r="H884">
        <v>1200.5999999999999</v>
      </c>
      <c r="I884" t="s">
        <v>55</v>
      </c>
      <c r="J884" t="s">
        <v>22</v>
      </c>
      <c r="K884" t="s">
        <v>41</v>
      </c>
      <c r="L884">
        <v>1026.05</v>
      </c>
      <c r="M884">
        <v>14.5</v>
      </c>
      <c r="N884">
        <v>2023</v>
      </c>
      <c r="O884">
        <v>2</v>
      </c>
      <c r="P884" t="s">
        <v>63</v>
      </c>
      <c r="Q884">
        <v>174.55</v>
      </c>
      <c r="R884" t="s">
        <v>29</v>
      </c>
      <c r="S884">
        <v>5.878258378688054</v>
      </c>
      <c r="T884" t="s">
        <v>78</v>
      </c>
    </row>
    <row r="885" spans="1:20" x14ac:dyDescent="0.25">
      <c r="A885" s="11">
        <v>45121</v>
      </c>
      <c r="B885" t="s">
        <v>17</v>
      </c>
      <c r="C885" t="s">
        <v>18</v>
      </c>
      <c r="D885" t="s">
        <v>45</v>
      </c>
      <c r="E885" t="s">
        <v>20</v>
      </c>
      <c r="F885">
        <v>283</v>
      </c>
      <c r="G885">
        <v>5.61</v>
      </c>
      <c r="H885">
        <v>1587.63</v>
      </c>
      <c r="I885" t="s">
        <v>26</v>
      </c>
      <c r="J885" t="s">
        <v>56</v>
      </c>
      <c r="K885" t="s">
        <v>28</v>
      </c>
      <c r="L885">
        <v>1415.02</v>
      </c>
      <c r="M885">
        <v>10.9</v>
      </c>
      <c r="N885">
        <v>2024</v>
      </c>
      <c r="O885">
        <v>3</v>
      </c>
      <c r="P885" t="s">
        <v>66</v>
      </c>
      <c r="Q885">
        <v>172.61</v>
      </c>
      <c r="R885" t="s">
        <v>29</v>
      </c>
      <c r="S885">
        <v>8.1977869184867611</v>
      </c>
      <c r="T885" t="s">
        <v>78</v>
      </c>
    </row>
    <row r="886" spans="1:20" x14ac:dyDescent="0.25">
      <c r="A886" s="11">
        <v>45112</v>
      </c>
      <c r="B886" t="s">
        <v>58</v>
      </c>
      <c r="C886" t="s">
        <v>59</v>
      </c>
      <c r="D886" t="s">
        <v>49</v>
      </c>
      <c r="E886" t="s">
        <v>50</v>
      </c>
      <c r="F886">
        <v>73</v>
      </c>
      <c r="G886">
        <v>10.31</v>
      </c>
      <c r="H886">
        <v>752.63</v>
      </c>
      <c r="I886" t="s">
        <v>26</v>
      </c>
      <c r="J886" t="s">
        <v>34</v>
      </c>
      <c r="K886" t="s">
        <v>41</v>
      </c>
      <c r="L886">
        <v>582.88</v>
      </c>
      <c r="M886">
        <v>22.6</v>
      </c>
      <c r="N886">
        <v>2024</v>
      </c>
      <c r="O886">
        <v>3</v>
      </c>
      <c r="P886" t="s">
        <v>62</v>
      </c>
      <c r="Q886">
        <v>169.75</v>
      </c>
      <c r="R886" t="s">
        <v>29</v>
      </c>
      <c r="S886">
        <v>3.4337555228276879</v>
      </c>
      <c r="T886" t="s">
        <v>78</v>
      </c>
    </row>
    <row r="887" spans="1:20" x14ac:dyDescent="0.25">
      <c r="A887" s="11">
        <v>45030</v>
      </c>
      <c r="B887" t="s">
        <v>58</v>
      </c>
      <c r="C887" t="s">
        <v>59</v>
      </c>
      <c r="D887" t="s">
        <v>49</v>
      </c>
      <c r="E887" t="s">
        <v>50</v>
      </c>
      <c r="F887">
        <v>104</v>
      </c>
      <c r="G887">
        <v>4.1500000000000004</v>
      </c>
      <c r="H887">
        <v>431.6</v>
      </c>
      <c r="I887" t="s">
        <v>54</v>
      </c>
      <c r="J887" t="s">
        <v>34</v>
      </c>
      <c r="K887" t="s">
        <v>28</v>
      </c>
      <c r="L887">
        <v>266.92</v>
      </c>
      <c r="M887">
        <v>38.200000000000003</v>
      </c>
      <c r="N887">
        <v>2023</v>
      </c>
      <c r="O887">
        <v>2</v>
      </c>
      <c r="P887" t="s">
        <v>63</v>
      </c>
      <c r="Q887">
        <v>164.68</v>
      </c>
      <c r="R887" t="s">
        <v>25</v>
      </c>
      <c r="S887">
        <v>1.6208404177799369</v>
      </c>
      <c r="T887" t="s">
        <v>78</v>
      </c>
    </row>
    <row r="888" spans="1:20" x14ac:dyDescent="0.25">
      <c r="A888" s="11">
        <v>45010</v>
      </c>
      <c r="B888" t="s">
        <v>51</v>
      </c>
      <c r="C888" t="s">
        <v>52</v>
      </c>
      <c r="D888" t="s">
        <v>45</v>
      </c>
      <c r="E888" t="s">
        <v>20</v>
      </c>
      <c r="F888">
        <v>295</v>
      </c>
      <c r="G888">
        <v>4.3600000000000003</v>
      </c>
      <c r="H888">
        <v>1286.2</v>
      </c>
      <c r="I888" t="s">
        <v>33</v>
      </c>
      <c r="J888" t="s">
        <v>47</v>
      </c>
      <c r="K888" t="s">
        <v>28</v>
      </c>
      <c r="L888">
        <v>1122.3599999999999</v>
      </c>
      <c r="M888">
        <v>12.7</v>
      </c>
      <c r="N888">
        <v>2023</v>
      </c>
      <c r="O888">
        <v>1</v>
      </c>
      <c r="P888" t="s">
        <v>62</v>
      </c>
      <c r="Q888">
        <v>163.84</v>
      </c>
      <c r="R888" t="s">
        <v>29</v>
      </c>
      <c r="S888">
        <v>6.8503417968749991</v>
      </c>
      <c r="T888" t="s">
        <v>78</v>
      </c>
    </row>
    <row r="889" spans="1:20" x14ac:dyDescent="0.25">
      <c r="A889" s="11">
        <v>44947</v>
      </c>
      <c r="B889" t="s">
        <v>51</v>
      </c>
      <c r="C889" t="s">
        <v>52</v>
      </c>
      <c r="D889" t="s">
        <v>37</v>
      </c>
      <c r="E889" t="s">
        <v>38</v>
      </c>
      <c r="F889">
        <v>135</v>
      </c>
      <c r="G889">
        <v>7.16</v>
      </c>
      <c r="H889">
        <v>966.6</v>
      </c>
      <c r="I889" t="s">
        <v>33</v>
      </c>
      <c r="J889" t="s">
        <v>22</v>
      </c>
      <c r="K889" t="s">
        <v>23</v>
      </c>
      <c r="L889">
        <v>803.02</v>
      </c>
      <c r="M889">
        <v>16.899999999999999</v>
      </c>
      <c r="N889">
        <v>2023</v>
      </c>
      <c r="O889">
        <v>1</v>
      </c>
      <c r="P889" t="s">
        <v>24</v>
      </c>
      <c r="Q889">
        <v>163.58000000000001</v>
      </c>
      <c r="R889" t="s">
        <v>29</v>
      </c>
      <c r="S889">
        <v>4.9090353343929571</v>
      </c>
      <c r="T889" t="s">
        <v>78</v>
      </c>
    </row>
    <row r="890" spans="1:20" x14ac:dyDescent="0.25">
      <c r="A890" s="11">
        <v>44991</v>
      </c>
      <c r="B890" t="s">
        <v>58</v>
      </c>
      <c r="C890" t="s">
        <v>59</v>
      </c>
      <c r="D890" t="s">
        <v>19</v>
      </c>
      <c r="E890" t="s">
        <v>20</v>
      </c>
      <c r="F890">
        <v>445</v>
      </c>
      <c r="G890">
        <v>2.15</v>
      </c>
      <c r="H890">
        <v>956.75</v>
      </c>
      <c r="I890" t="s">
        <v>54</v>
      </c>
      <c r="J890" t="s">
        <v>22</v>
      </c>
      <c r="K890" t="s">
        <v>41</v>
      </c>
      <c r="L890">
        <v>794.25</v>
      </c>
      <c r="M890">
        <v>17</v>
      </c>
      <c r="N890">
        <v>2023</v>
      </c>
      <c r="O890">
        <v>1</v>
      </c>
      <c r="P890" t="s">
        <v>61</v>
      </c>
      <c r="Q890">
        <v>162.5</v>
      </c>
      <c r="R890" t="s">
        <v>29</v>
      </c>
      <c r="S890">
        <v>4.8876923076923076</v>
      </c>
      <c r="T890" t="s">
        <v>78</v>
      </c>
    </row>
    <row r="891" spans="1:20" x14ac:dyDescent="0.25">
      <c r="A891" s="11">
        <v>45001</v>
      </c>
      <c r="B891" t="s">
        <v>35</v>
      </c>
      <c r="C891" t="s">
        <v>36</v>
      </c>
      <c r="D891" t="s">
        <v>49</v>
      </c>
      <c r="E891" t="s">
        <v>50</v>
      </c>
      <c r="F891">
        <v>139</v>
      </c>
      <c r="G891">
        <v>9.31</v>
      </c>
      <c r="H891">
        <v>1294.0899999999999</v>
      </c>
      <c r="I891" t="s">
        <v>33</v>
      </c>
      <c r="J891" t="s">
        <v>40</v>
      </c>
      <c r="K891" t="s">
        <v>41</v>
      </c>
      <c r="L891">
        <v>1131.6500000000001</v>
      </c>
      <c r="M891">
        <v>12.6</v>
      </c>
      <c r="N891">
        <v>2023</v>
      </c>
      <c r="O891">
        <v>1</v>
      </c>
      <c r="P891" t="s">
        <v>62</v>
      </c>
      <c r="Q891">
        <v>162.44</v>
      </c>
      <c r="R891" t="s">
        <v>29</v>
      </c>
      <c r="S891">
        <v>6.966572272839203</v>
      </c>
      <c r="T891" t="s">
        <v>78</v>
      </c>
    </row>
    <row r="892" spans="1:20" x14ac:dyDescent="0.25">
      <c r="A892" s="11">
        <v>45032</v>
      </c>
      <c r="B892" t="s">
        <v>42</v>
      </c>
      <c r="C892" t="s">
        <v>43</v>
      </c>
      <c r="D892" t="s">
        <v>48</v>
      </c>
      <c r="E892" t="s">
        <v>38</v>
      </c>
      <c r="F892">
        <v>260</v>
      </c>
      <c r="G892">
        <v>3.31</v>
      </c>
      <c r="H892">
        <v>860.6</v>
      </c>
      <c r="I892" t="s">
        <v>33</v>
      </c>
      <c r="J892" t="s">
        <v>47</v>
      </c>
      <c r="K892" t="s">
        <v>28</v>
      </c>
      <c r="L892">
        <v>698.67</v>
      </c>
      <c r="M892">
        <v>18.8</v>
      </c>
      <c r="N892">
        <v>2023</v>
      </c>
      <c r="O892">
        <v>2</v>
      </c>
      <c r="P892" t="s">
        <v>63</v>
      </c>
      <c r="Q892">
        <v>161.93</v>
      </c>
      <c r="R892" t="s">
        <v>29</v>
      </c>
      <c r="S892">
        <v>4.3146421293151356</v>
      </c>
      <c r="T892" t="s">
        <v>78</v>
      </c>
    </row>
    <row r="893" spans="1:20" x14ac:dyDescent="0.25">
      <c r="A893" s="11">
        <v>45103</v>
      </c>
      <c r="B893" t="s">
        <v>42</v>
      </c>
      <c r="C893" t="s">
        <v>43</v>
      </c>
      <c r="D893" t="s">
        <v>49</v>
      </c>
      <c r="E893" t="s">
        <v>50</v>
      </c>
      <c r="F893">
        <v>75</v>
      </c>
      <c r="G893">
        <v>7.93</v>
      </c>
      <c r="H893">
        <v>594.75</v>
      </c>
      <c r="I893" t="s">
        <v>39</v>
      </c>
      <c r="J893" t="s">
        <v>47</v>
      </c>
      <c r="K893" t="s">
        <v>23</v>
      </c>
      <c r="L893">
        <v>433.29</v>
      </c>
      <c r="M893">
        <v>27.1</v>
      </c>
      <c r="N893">
        <v>2024</v>
      </c>
      <c r="O893">
        <v>2</v>
      </c>
      <c r="P893" t="s">
        <v>24</v>
      </c>
      <c r="Q893">
        <v>161.46</v>
      </c>
      <c r="R893" t="s">
        <v>25</v>
      </c>
      <c r="S893">
        <v>2.6835748792270531</v>
      </c>
      <c r="T893" t="s">
        <v>78</v>
      </c>
    </row>
    <row r="894" spans="1:20" x14ac:dyDescent="0.25">
      <c r="A894" s="11">
        <v>45069</v>
      </c>
      <c r="B894" t="s">
        <v>17</v>
      </c>
      <c r="C894" t="s">
        <v>18</v>
      </c>
      <c r="D894" t="s">
        <v>49</v>
      </c>
      <c r="E894" t="s">
        <v>50</v>
      </c>
      <c r="F894">
        <v>125</v>
      </c>
      <c r="G894">
        <v>7.66</v>
      </c>
      <c r="H894">
        <v>957.5</v>
      </c>
      <c r="I894" t="s">
        <v>46</v>
      </c>
      <c r="J894" t="s">
        <v>40</v>
      </c>
      <c r="K894" t="s">
        <v>28</v>
      </c>
      <c r="L894">
        <v>796.13</v>
      </c>
      <c r="M894">
        <v>16.899999999999999</v>
      </c>
      <c r="N894">
        <v>2023</v>
      </c>
      <c r="O894">
        <v>2</v>
      </c>
      <c r="P894" t="s">
        <v>66</v>
      </c>
      <c r="Q894">
        <v>161.37</v>
      </c>
      <c r="R894" t="s">
        <v>29</v>
      </c>
      <c r="S894">
        <v>4.9335688170043994</v>
      </c>
      <c r="T894" t="s">
        <v>78</v>
      </c>
    </row>
    <row r="895" spans="1:20" x14ac:dyDescent="0.25">
      <c r="A895" s="11">
        <v>44951</v>
      </c>
      <c r="B895" t="s">
        <v>58</v>
      </c>
      <c r="C895" t="s">
        <v>59</v>
      </c>
      <c r="D895" t="s">
        <v>37</v>
      </c>
      <c r="E895" t="s">
        <v>38</v>
      </c>
      <c r="F895">
        <v>88</v>
      </c>
      <c r="G895">
        <v>8.92</v>
      </c>
      <c r="H895">
        <v>784.96</v>
      </c>
      <c r="I895" t="s">
        <v>26</v>
      </c>
      <c r="J895" t="s">
        <v>47</v>
      </c>
      <c r="K895" t="s">
        <v>23</v>
      </c>
      <c r="L895">
        <v>625.24</v>
      </c>
      <c r="M895">
        <v>20.3</v>
      </c>
      <c r="N895">
        <v>2023</v>
      </c>
      <c r="O895">
        <v>1</v>
      </c>
      <c r="P895" t="s">
        <v>24</v>
      </c>
      <c r="Q895">
        <v>159.72</v>
      </c>
      <c r="R895" t="s">
        <v>29</v>
      </c>
      <c r="S895">
        <v>3.9146005509641872</v>
      </c>
      <c r="T895" t="s">
        <v>78</v>
      </c>
    </row>
    <row r="896" spans="1:20" x14ac:dyDescent="0.25">
      <c r="A896" s="11">
        <v>44955</v>
      </c>
      <c r="B896" t="s">
        <v>42</v>
      </c>
      <c r="C896" t="s">
        <v>43</v>
      </c>
      <c r="D896" t="s">
        <v>49</v>
      </c>
      <c r="E896" t="s">
        <v>50</v>
      </c>
      <c r="F896">
        <v>281</v>
      </c>
      <c r="G896">
        <v>3.98</v>
      </c>
      <c r="H896">
        <v>1118.3800000000001</v>
      </c>
      <c r="I896" t="s">
        <v>55</v>
      </c>
      <c r="J896" t="s">
        <v>40</v>
      </c>
      <c r="K896" t="s">
        <v>23</v>
      </c>
      <c r="L896">
        <v>962.47</v>
      </c>
      <c r="M896">
        <v>13.9</v>
      </c>
      <c r="N896">
        <v>2023</v>
      </c>
      <c r="O896">
        <v>1</v>
      </c>
      <c r="P896" t="s">
        <v>60</v>
      </c>
      <c r="Q896">
        <v>155.91</v>
      </c>
      <c r="R896" t="s">
        <v>29</v>
      </c>
      <c r="S896">
        <v>6.1732409723558463</v>
      </c>
      <c r="T896" t="s">
        <v>78</v>
      </c>
    </row>
    <row r="897" spans="1:20" x14ac:dyDescent="0.25">
      <c r="A897" s="11">
        <v>45121</v>
      </c>
      <c r="B897" t="s">
        <v>58</v>
      </c>
      <c r="C897" t="s">
        <v>59</v>
      </c>
      <c r="D897" t="s">
        <v>48</v>
      </c>
      <c r="E897" t="s">
        <v>38</v>
      </c>
      <c r="F897">
        <v>592</v>
      </c>
      <c r="G897">
        <v>2.37</v>
      </c>
      <c r="H897">
        <v>1403.04</v>
      </c>
      <c r="I897" t="s">
        <v>57</v>
      </c>
      <c r="J897" t="s">
        <v>22</v>
      </c>
      <c r="K897" t="s">
        <v>41</v>
      </c>
      <c r="L897">
        <v>1247.57</v>
      </c>
      <c r="M897">
        <v>11.1</v>
      </c>
      <c r="N897">
        <v>2024</v>
      </c>
      <c r="O897">
        <v>3</v>
      </c>
      <c r="P897" t="s">
        <v>66</v>
      </c>
      <c r="Q897">
        <v>155.47</v>
      </c>
      <c r="R897" t="s">
        <v>29</v>
      </c>
      <c r="S897">
        <v>8.0245063356274517</v>
      </c>
      <c r="T897" t="s">
        <v>78</v>
      </c>
    </row>
    <row r="898" spans="1:20" x14ac:dyDescent="0.25">
      <c r="A898" s="11">
        <v>45014</v>
      </c>
      <c r="B898" t="s">
        <v>42</v>
      </c>
      <c r="C898" t="s">
        <v>43</v>
      </c>
      <c r="D898" t="s">
        <v>45</v>
      </c>
      <c r="E898" t="s">
        <v>20</v>
      </c>
      <c r="F898">
        <v>166</v>
      </c>
      <c r="G898">
        <v>8.64</v>
      </c>
      <c r="H898">
        <v>1434.24</v>
      </c>
      <c r="I898" t="s">
        <v>54</v>
      </c>
      <c r="J898" t="s">
        <v>56</v>
      </c>
      <c r="K898" t="s">
        <v>23</v>
      </c>
      <c r="L898">
        <v>1279.92</v>
      </c>
      <c r="M898">
        <v>10.8</v>
      </c>
      <c r="N898">
        <v>2023</v>
      </c>
      <c r="O898">
        <v>1</v>
      </c>
      <c r="P898" t="s">
        <v>62</v>
      </c>
      <c r="Q898">
        <v>154.32</v>
      </c>
      <c r="R898" t="s">
        <v>29</v>
      </c>
      <c r="S898">
        <v>8.2939346811819608</v>
      </c>
      <c r="T898" t="s">
        <v>78</v>
      </c>
    </row>
    <row r="899" spans="1:20" x14ac:dyDescent="0.25">
      <c r="A899" s="11">
        <v>45063</v>
      </c>
      <c r="B899" t="s">
        <v>42</v>
      </c>
      <c r="C899" t="s">
        <v>43</v>
      </c>
      <c r="D899" t="s">
        <v>44</v>
      </c>
      <c r="E899" t="s">
        <v>38</v>
      </c>
      <c r="F899">
        <v>65</v>
      </c>
      <c r="G899">
        <v>10.08</v>
      </c>
      <c r="H899">
        <v>655.20000000000005</v>
      </c>
      <c r="I899" t="s">
        <v>39</v>
      </c>
      <c r="J899" t="s">
        <v>56</v>
      </c>
      <c r="K899" t="s">
        <v>23</v>
      </c>
      <c r="L899">
        <v>502.94</v>
      </c>
      <c r="M899">
        <v>23.2</v>
      </c>
      <c r="N899">
        <v>2023</v>
      </c>
      <c r="O899">
        <v>2</v>
      </c>
      <c r="P899" t="s">
        <v>65</v>
      </c>
      <c r="Q899">
        <v>152.26</v>
      </c>
      <c r="R899" t="s">
        <v>29</v>
      </c>
      <c r="S899">
        <v>3.3031656377249443</v>
      </c>
      <c r="T899" t="s">
        <v>78</v>
      </c>
    </row>
    <row r="900" spans="1:20" x14ac:dyDescent="0.25">
      <c r="A900" s="11">
        <v>45060</v>
      </c>
      <c r="B900" t="s">
        <v>30</v>
      </c>
      <c r="C900" t="s">
        <v>31</v>
      </c>
      <c r="D900" t="s">
        <v>37</v>
      </c>
      <c r="E900" t="s">
        <v>38</v>
      </c>
      <c r="F900">
        <v>182</v>
      </c>
      <c r="G900">
        <v>2.36</v>
      </c>
      <c r="H900">
        <v>429.52</v>
      </c>
      <c r="I900" t="s">
        <v>39</v>
      </c>
      <c r="J900" t="s">
        <v>27</v>
      </c>
      <c r="K900" t="s">
        <v>23</v>
      </c>
      <c r="L900">
        <v>278.63</v>
      </c>
      <c r="M900">
        <v>35.1</v>
      </c>
      <c r="N900">
        <v>2023</v>
      </c>
      <c r="O900">
        <v>2</v>
      </c>
      <c r="P900" t="s">
        <v>65</v>
      </c>
      <c r="Q900">
        <v>150.88999999999999</v>
      </c>
      <c r="R900" t="s">
        <v>25</v>
      </c>
      <c r="S900">
        <v>1.8465769766054743</v>
      </c>
      <c r="T900" t="s">
        <v>78</v>
      </c>
    </row>
    <row r="901" spans="1:20" x14ac:dyDescent="0.25">
      <c r="A901" s="11">
        <v>44928</v>
      </c>
      <c r="B901" t="s">
        <v>30</v>
      </c>
      <c r="C901" t="s">
        <v>31</v>
      </c>
      <c r="D901" t="s">
        <v>45</v>
      </c>
      <c r="E901" t="s">
        <v>20</v>
      </c>
      <c r="F901">
        <v>142</v>
      </c>
      <c r="G901">
        <v>2.72</v>
      </c>
      <c r="H901">
        <v>386.24</v>
      </c>
      <c r="I901" t="s">
        <v>21</v>
      </c>
      <c r="J901" t="s">
        <v>47</v>
      </c>
      <c r="K901" t="s">
        <v>41</v>
      </c>
      <c r="L901">
        <v>235.66</v>
      </c>
      <c r="M901">
        <v>39</v>
      </c>
      <c r="N901">
        <v>2023</v>
      </c>
      <c r="O901">
        <v>1</v>
      </c>
      <c r="P901" t="s">
        <v>24</v>
      </c>
      <c r="Q901">
        <v>150.58000000000001</v>
      </c>
      <c r="R901" t="s">
        <v>25</v>
      </c>
      <c r="S901">
        <v>1.5650152742728116</v>
      </c>
      <c r="T901" t="s">
        <v>78</v>
      </c>
    </row>
    <row r="902" spans="1:20" x14ac:dyDescent="0.25">
      <c r="A902" s="11">
        <v>44934</v>
      </c>
      <c r="B902" t="s">
        <v>17</v>
      </c>
      <c r="C902" t="s">
        <v>18</v>
      </c>
      <c r="D902" t="s">
        <v>37</v>
      </c>
      <c r="E902" t="s">
        <v>38</v>
      </c>
      <c r="F902">
        <v>218</v>
      </c>
      <c r="G902">
        <v>2.79</v>
      </c>
      <c r="H902">
        <v>608.22</v>
      </c>
      <c r="I902" t="s">
        <v>39</v>
      </c>
      <c r="J902" t="s">
        <v>56</v>
      </c>
      <c r="K902" t="s">
        <v>23</v>
      </c>
      <c r="L902">
        <v>458.11</v>
      </c>
      <c r="M902">
        <v>24.7</v>
      </c>
      <c r="N902">
        <v>2023</v>
      </c>
      <c r="O902">
        <v>1</v>
      </c>
      <c r="P902" t="s">
        <v>24</v>
      </c>
      <c r="Q902">
        <v>150.11000000000001</v>
      </c>
      <c r="R902" t="s">
        <v>29</v>
      </c>
      <c r="S902">
        <v>3.0518286589834118</v>
      </c>
      <c r="T902" t="s">
        <v>78</v>
      </c>
    </row>
    <row r="903" spans="1:20" x14ac:dyDescent="0.25">
      <c r="A903" s="11">
        <v>45030</v>
      </c>
      <c r="B903" t="s">
        <v>17</v>
      </c>
      <c r="C903" t="s">
        <v>18</v>
      </c>
      <c r="D903" t="s">
        <v>32</v>
      </c>
      <c r="E903" t="s">
        <v>20</v>
      </c>
      <c r="F903">
        <v>233</v>
      </c>
      <c r="G903">
        <v>6.18</v>
      </c>
      <c r="H903">
        <v>1439.94</v>
      </c>
      <c r="I903" t="s">
        <v>46</v>
      </c>
      <c r="J903" t="s">
        <v>40</v>
      </c>
      <c r="K903" t="s">
        <v>28</v>
      </c>
      <c r="L903">
        <v>1292.8800000000001</v>
      </c>
      <c r="M903">
        <v>10.199999999999999</v>
      </c>
      <c r="N903">
        <v>2023</v>
      </c>
      <c r="O903">
        <v>2</v>
      </c>
      <c r="P903" t="s">
        <v>63</v>
      </c>
      <c r="Q903">
        <v>147.06</v>
      </c>
      <c r="R903" t="s">
        <v>29</v>
      </c>
      <c r="S903">
        <v>8.7915136678906567</v>
      </c>
      <c r="T903" t="s">
        <v>78</v>
      </c>
    </row>
    <row r="904" spans="1:20" x14ac:dyDescent="0.25">
      <c r="A904" s="11">
        <v>44987</v>
      </c>
      <c r="B904" t="s">
        <v>35</v>
      </c>
      <c r="C904" t="s">
        <v>36</v>
      </c>
      <c r="D904" t="s">
        <v>44</v>
      </c>
      <c r="E904" t="s">
        <v>38</v>
      </c>
      <c r="F904">
        <v>91</v>
      </c>
      <c r="G904">
        <v>4.68</v>
      </c>
      <c r="H904">
        <v>425.88</v>
      </c>
      <c r="I904" t="s">
        <v>39</v>
      </c>
      <c r="J904" t="s">
        <v>22</v>
      </c>
      <c r="K904" t="s">
        <v>28</v>
      </c>
      <c r="L904">
        <v>280.68</v>
      </c>
      <c r="M904">
        <v>34.1</v>
      </c>
      <c r="N904">
        <v>2023</v>
      </c>
      <c r="O904">
        <v>1</v>
      </c>
      <c r="P904" t="s">
        <v>61</v>
      </c>
      <c r="Q904">
        <v>145.19999999999999</v>
      </c>
      <c r="R904" t="s">
        <v>25</v>
      </c>
      <c r="S904">
        <v>1.9330578512396697</v>
      </c>
      <c r="T904" t="s">
        <v>78</v>
      </c>
    </row>
    <row r="905" spans="1:20" x14ac:dyDescent="0.25">
      <c r="A905" s="11">
        <v>44958</v>
      </c>
      <c r="B905" t="s">
        <v>42</v>
      </c>
      <c r="C905" t="s">
        <v>43</v>
      </c>
      <c r="D905" t="s">
        <v>53</v>
      </c>
      <c r="E905" t="s">
        <v>50</v>
      </c>
      <c r="F905">
        <v>307</v>
      </c>
      <c r="G905">
        <v>2.3199999999999998</v>
      </c>
      <c r="H905">
        <v>712.24</v>
      </c>
      <c r="I905" t="s">
        <v>21</v>
      </c>
      <c r="J905" t="s">
        <v>56</v>
      </c>
      <c r="K905" t="s">
        <v>28</v>
      </c>
      <c r="L905">
        <v>568.07000000000005</v>
      </c>
      <c r="M905">
        <v>20.2</v>
      </c>
      <c r="N905">
        <v>2023</v>
      </c>
      <c r="O905">
        <v>1</v>
      </c>
      <c r="P905" t="s">
        <v>60</v>
      </c>
      <c r="Q905">
        <v>144.16999999999999</v>
      </c>
      <c r="R905" t="s">
        <v>29</v>
      </c>
      <c r="S905">
        <v>3.9402788374835271</v>
      </c>
      <c r="T905" t="s">
        <v>78</v>
      </c>
    </row>
    <row r="906" spans="1:20" x14ac:dyDescent="0.25">
      <c r="A906" s="11">
        <v>45039</v>
      </c>
      <c r="B906" t="s">
        <v>17</v>
      </c>
      <c r="C906" t="s">
        <v>18</v>
      </c>
      <c r="D906" t="s">
        <v>44</v>
      </c>
      <c r="E906" t="s">
        <v>38</v>
      </c>
      <c r="F906">
        <v>152</v>
      </c>
      <c r="G906">
        <v>7.83</v>
      </c>
      <c r="H906">
        <v>1190.1600000000001</v>
      </c>
      <c r="I906" t="s">
        <v>33</v>
      </c>
      <c r="J906" t="s">
        <v>56</v>
      </c>
      <c r="K906" t="s">
        <v>41</v>
      </c>
      <c r="L906">
        <v>1048.1300000000001</v>
      </c>
      <c r="M906">
        <v>11.9</v>
      </c>
      <c r="N906">
        <v>2023</v>
      </c>
      <c r="O906">
        <v>2</v>
      </c>
      <c r="P906" t="s">
        <v>63</v>
      </c>
      <c r="Q906">
        <v>142.03</v>
      </c>
      <c r="R906" t="s">
        <v>29</v>
      </c>
      <c r="S906">
        <v>7.3796381046257844</v>
      </c>
      <c r="T906" t="s">
        <v>78</v>
      </c>
    </row>
    <row r="907" spans="1:20" x14ac:dyDescent="0.25">
      <c r="A907" s="11">
        <v>45060</v>
      </c>
      <c r="B907" t="s">
        <v>58</v>
      </c>
      <c r="C907" t="s">
        <v>59</v>
      </c>
      <c r="D907" t="s">
        <v>53</v>
      </c>
      <c r="E907" t="s">
        <v>50</v>
      </c>
      <c r="F907">
        <v>101</v>
      </c>
      <c r="G907">
        <v>4.04</v>
      </c>
      <c r="H907">
        <v>408.04</v>
      </c>
      <c r="I907" t="s">
        <v>54</v>
      </c>
      <c r="J907" t="s">
        <v>47</v>
      </c>
      <c r="K907" t="s">
        <v>41</v>
      </c>
      <c r="L907">
        <v>266.69</v>
      </c>
      <c r="M907">
        <v>34.6</v>
      </c>
      <c r="N907">
        <v>2023</v>
      </c>
      <c r="O907">
        <v>2</v>
      </c>
      <c r="P907" t="s">
        <v>65</v>
      </c>
      <c r="Q907">
        <v>141.35</v>
      </c>
      <c r="R907" t="s">
        <v>25</v>
      </c>
      <c r="S907">
        <v>1.8867350548284401</v>
      </c>
      <c r="T907" t="s">
        <v>78</v>
      </c>
    </row>
    <row r="908" spans="1:20" x14ac:dyDescent="0.25">
      <c r="A908" s="11">
        <v>45110</v>
      </c>
      <c r="B908" t="s">
        <v>58</v>
      </c>
      <c r="C908" t="s">
        <v>59</v>
      </c>
      <c r="D908" t="s">
        <v>53</v>
      </c>
      <c r="E908" t="s">
        <v>50</v>
      </c>
      <c r="F908">
        <v>198</v>
      </c>
      <c r="G908">
        <v>3.19</v>
      </c>
      <c r="H908">
        <v>631.62</v>
      </c>
      <c r="I908" t="s">
        <v>46</v>
      </c>
      <c r="J908" t="s">
        <v>47</v>
      </c>
      <c r="K908" t="s">
        <v>23</v>
      </c>
      <c r="L908">
        <v>490.4</v>
      </c>
      <c r="M908">
        <v>22.4</v>
      </c>
      <c r="N908">
        <v>2024</v>
      </c>
      <c r="O908">
        <v>3</v>
      </c>
      <c r="P908" t="s">
        <v>61</v>
      </c>
      <c r="Q908">
        <v>141.22</v>
      </c>
      <c r="R908" t="s">
        <v>29</v>
      </c>
      <c r="S908">
        <v>3.4725959495822121</v>
      </c>
      <c r="T908" t="s">
        <v>78</v>
      </c>
    </row>
    <row r="909" spans="1:20" x14ac:dyDescent="0.25">
      <c r="A909" s="11">
        <v>44973</v>
      </c>
      <c r="B909" t="s">
        <v>51</v>
      </c>
      <c r="C909" t="s">
        <v>52</v>
      </c>
      <c r="D909" t="s">
        <v>44</v>
      </c>
      <c r="E909" t="s">
        <v>38</v>
      </c>
      <c r="F909">
        <v>65</v>
      </c>
      <c r="G909">
        <v>8.0299999999999994</v>
      </c>
      <c r="H909">
        <v>521.95000000000005</v>
      </c>
      <c r="I909" t="s">
        <v>46</v>
      </c>
      <c r="J909" t="s">
        <v>40</v>
      </c>
      <c r="K909" t="s">
        <v>41</v>
      </c>
      <c r="L909">
        <v>382.39</v>
      </c>
      <c r="M909">
        <v>26.7</v>
      </c>
      <c r="N909">
        <v>2023</v>
      </c>
      <c r="O909">
        <v>1</v>
      </c>
      <c r="P909" t="s">
        <v>60</v>
      </c>
      <c r="Q909">
        <v>139.56</v>
      </c>
      <c r="R909" t="s">
        <v>25</v>
      </c>
      <c r="S909">
        <v>2.7399684723416451</v>
      </c>
      <c r="T909" t="s">
        <v>78</v>
      </c>
    </row>
    <row r="910" spans="1:20" x14ac:dyDescent="0.25">
      <c r="A910" s="11">
        <v>44969</v>
      </c>
      <c r="B910" t="s">
        <v>58</v>
      </c>
      <c r="C910" t="s">
        <v>59</v>
      </c>
      <c r="D910" t="s">
        <v>53</v>
      </c>
      <c r="E910" t="s">
        <v>50</v>
      </c>
      <c r="F910">
        <v>139</v>
      </c>
      <c r="G910">
        <v>5.37</v>
      </c>
      <c r="H910">
        <v>746.43</v>
      </c>
      <c r="I910" t="s">
        <v>55</v>
      </c>
      <c r="J910" t="s">
        <v>22</v>
      </c>
      <c r="K910" t="s">
        <v>23</v>
      </c>
      <c r="L910">
        <v>607.48</v>
      </c>
      <c r="M910">
        <v>18.600000000000001</v>
      </c>
      <c r="N910">
        <v>2023</v>
      </c>
      <c r="O910">
        <v>1</v>
      </c>
      <c r="P910" t="s">
        <v>60</v>
      </c>
      <c r="Q910">
        <v>138.94999999999999</v>
      </c>
      <c r="R910" t="s">
        <v>29</v>
      </c>
      <c r="S910">
        <v>4.3719323497661033</v>
      </c>
      <c r="T910" t="s">
        <v>78</v>
      </c>
    </row>
    <row r="911" spans="1:20" x14ac:dyDescent="0.25">
      <c r="A911" s="11">
        <v>45019</v>
      </c>
      <c r="B911" t="s">
        <v>58</v>
      </c>
      <c r="C911" t="s">
        <v>59</v>
      </c>
      <c r="D911" t="s">
        <v>19</v>
      </c>
      <c r="E911" t="s">
        <v>20</v>
      </c>
      <c r="F911">
        <v>118</v>
      </c>
      <c r="G911">
        <v>9.0299999999999994</v>
      </c>
      <c r="H911">
        <v>1065.54</v>
      </c>
      <c r="I911" t="s">
        <v>55</v>
      </c>
      <c r="J911" t="s">
        <v>56</v>
      </c>
      <c r="K911" t="s">
        <v>41</v>
      </c>
      <c r="L911">
        <v>927.88</v>
      </c>
      <c r="M911">
        <v>12.9</v>
      </c>
      <c r="N911">
        <v>2023</v>
      </c>
      <c r="O911">
        <v>2</v>
      </c>
      <c r="P911" t="s">
        <v>62</v>
      </c>
      <c r="Q911">
        <v>137.66</v>
      </c>
      <c r="R911" t="s">
        <v>29</v>
      </c>
      <c r="S911">
        <v>6.7403748365538281</v>
      </c>
      <c r="T911" t="s">
        <v>78</v>
      </c>
    </row>
    <row r="912" spans="1:20" x14ac:dyDescent="0.25">
      <c r="A912" s="11">
        <v>45114</v>
      </c>
      <c r="B912" t="s">
        <v>42</v>
      </c>
      <c r="C912" t="s">
        <v>43</v>
      </c>
      <c r="D912" t="s">
        <v>37</v>
      </c>
      <c r="E912" t="s">
        <v>38</v>
      </c>
      <c r="F912">
        <v>102</v>
      </c>
      <c r="G912">
        <v>5.49</v>
      </c>
      <c r="H912">
        <v>559.98</v>
      </c>
      <c r="I912" t="s">
        <v>46</v>
      </c>
      <c r="J912" t="s">
        <v>22</v>
      </c>
      <c r="K912" t="s">
        <v>23</v>
      </c>
      <c r="L912">
        <v>425.39</v>
      </c>
      <c r="M912">
        <v>24</v>
      </c>
      <c r="N912">
        <v>2024</v>
      </c>
      <c r="O912">
        <v>3</v>
      </c>
      <c r="P912" t="s">
        <v>62</v>
      </c>
      <c r="Q912">
        <v>134.59</v>
      </c>
      <c r="R912" t="s">
        <v>29</v>
      </c>
      <c r="S912">
        <v>3.1606360056467788</v>
      </c>
      <c r="T912" t="s">
        <v>78</v>
      </c>
    </row>
    <row r="913" spans="1:20" x14ac:dyDescent="0.25">
      <c r="A913" s="11">
        <v>45004</v>
      </c>
      <c r="B913" t="s">
        <v>30</v>
      </c>
      <c r="C913" t="s">
        <v>31</v>
      </c>
      <c r="D913" t="s">
        <v>37</v>
      </c>
      <c r="E913" t="s">
        <v>38</v>
      </c>
      <c r="F913">
        <v>100</v>
      </c>
      <c r="G913">
        <v>4.88</v>
      </c>
      <c r="H913">
        <v>488</v>
      </c>
      <c r="I913" t="s">
        <v>55</v>
      </c>
      <c r="J913" t="s">
        <v>40</v>
      </c>
      <c r="K913" t="s">
        <v>28</v>
      </c>
      <c r="L913">
        <v>353.65</v>
      </c>
      <c r="M913">
        <v>27.5</v>
      </c>
      <c r="N913">
        <v>2023</v>
      </c>
      <c r="O913">
        <v>1</v>
      </c>
      <c r="P913" t="s">
        <v>62</v>
      </c>
      <c r="Q913">
        <v>134.35</v>
      </c>
      <c r="R913" t="s">
        <v>25</v>
      </c>
      <c r="S913">
        <v>2.6323036844064012</v>
      </c>
      <c r="T913" t="s">
        <v>78</v>
      </c>
    </row>
    <row r="914" spans="1:20" x14ac:dyDescent="0.25">
      <c r="A914" s="11">
        <v>45041</v>
      </c>
      <c r="B914" t="s">
        <v>51</v>
      </c>
      <c r="C914" t="s">
        <v>52</v>
      </c>
      <c r="D914" t="s">
        <v>44</v>
      </c>
      <c r="E914" t="s">
        <v>38</v>
      </c>
      <c r="F914">
        <v>87</v>
      </c>
      <c r="G914">
        <v>5.09</v>
      </c>
      <c r="H914">
        <v>442.83</v>
      </c>
      <c r="I914" t="s">
        <v>33</v>
      </c>
      <c r="J914" t="s">
        <v>34</v>
      </c>
      <c r="K914" t="s">
        <v>23</v>
      </c>
      <c r="L914">
        <v>309.17</v>
      </c>
      <c r="M914">
        <v>30.2</v>
      </c>
      <c r="N914">
        <v>2023</v>
      </c>
      <c r="O914">
        <v>2</v>
      </c>
      <c r="P914" t="s">
        <v>64</v>
      </c>
      <c r="Q914">
        <v>133.66</v>
      </c>
      <c r="R914" t="s">
        <v>25</v>
      </c>
      <c r="S914">
        <v>2.313107885680084</v>
      </c>
      <c r="T914" t="s">
        <v>78</v>
      </c>
    </row>
    <row r="915" spans="1:20" x14ac:dyDescent="0.25">
      <c r="A915" s="11">
        <v>45091</v>
      </c>
      <c r="B915" t="s">
        <v>35</v>
      </c>
      <c r="C915" t="s">
        <v>36</v>
      </c>
      <c r="D915" t="s">
        <v>32</v>
      </c>
      <c r="E915" t="s">
        <v>20</v>
      </c>
      <c r="F915">
        <v>75</v>
      </c>
      <c r="G915">
        <v>9.2200000000000006</v>
      </c>
      <c r="H915">
        <v>691.5</v>
      </c>
      <c r="I915" t="s">
        <v>26</v>
      </c>
      <c r="J915" t="s">
        <v>56</v>
      </c>
      <c r="K915" t="s">
        <v>41</v>
      </c>
      <c r="L915">
        <v>558.44000000000005</v>
      </c>
      <c r="M915">
        <v>19.2</v>
      </c>
      <c r="N915">
        <v>2023</v>
      </c>
      <c r="O915">
        <v>2</v>
      </c>
      <c r="P915" t="s">
        <v>70</v>
      </c>
      <c r="Q915">
        <v>133.06</v>
      </c>
      <c r="R915" t="s">
        <v>29</v>
      </c>
      <c r="S915">
        <v>4.1969036524875998</v>
      </c>
      <c r="T915" t="s">
        <v>78</v>
      </c>
    </row>
    <row r="916" spans="1:20" x14ac:dyDescent="0.25">
      <c r="A916" s="11">
        <v>45015</v>
      </c>
      <c r="B916" t="s">
        <v>35</v>
      </c>
      <c r="C916" t="s">
        <v>36</v>
      </c>
      <c r="D916" t="s">
        <v>53</v>
      </c>
      <c r="E916" t="s">
        <v>50</v>
      </c>
      <c r="F916">
        <v>104</v>
      </c>
      <c r="G916">
        <v>3.74</v>
      </c>
      <c r="H916">
        <v>388.96</v>
      </c>
      <c r="I916" t="s">
        <v>55</v>
      </c>
      <c r="J916" t="s">
        <v>34</v>
      </c>
      <c r="K916" t="s">
        <v>41</v>
      </c>
      <c r="L916">
        <v>256.39</v>
      </c>
      <c r="M916">
        <v>34.1</v>
      </c>
      <c r="N916">
        <v>2023</v>
      </c>
      <c r="O916">
        <v>1</v>
      </c>
      <c r="P916" t="s">
        <v>62</v>
      </c>
      <c r="Q916">
        <v>132.57</v>
      </c>
      <c r="R916" t="s">
        <v>25</v>
      </c>
      <c r="S916">
        <v>1.9339971335898016</v>
      </c>
      <c r="T916" t="s">
        <v>78</v>
      </c>
    </row>
    <row r="917" spans="1:20" x14ac:dyDescent="0.25">
      <c r="A917" s="11">
        <v>44949</v>
      </c>
      <c r="B917" t="s">
        <v>30</v>
      </c>
      <c r="C917" t="s">
        <v>31</v>
      </c>
      <c r="D917" t="s">
        <v>48</v>
      </c>
      <c r="E917" t="s">
        <v>38</v>
      </c>
      <c r="F917">
        <v>169</v>
      </c>
      <c r="G917">
        <v>2.95</v>
      </c>
      <c r="H917">
        <v>498.55</v>
      </c>
      <c r="I917" t="s">
        <v>33</v>
      </c>
      <c r="J917" t="s">
        <v>56</v>
      </c>
      <c r="K917" t="s">
        <v>28</v>
      </c>
      <c r="L917">
        <v>366.82</v>
      </c>
      <c r="M917">
        <v>26.4</v>
      </c>
      <c r="N917">
        <v>2023</v>
      </c>
      <c r="O917">
        <v>1</v>
      </c>
      <c r="P917" t="s">
        <v>24</v>
      </c>
      <c r="Q917">
        <v>131.72999999999999</v>
      </c>
      <c r="R917" t="s">
        <v>25</v>
      </c>
      <c r="S917">
        <v>2.7846352387459197</v>
      </c>
      <c r="T917" t="s">
        <v>78</v>
      </c>
    </row>
    <row r="918" spans="1:20" x14ac:dyDescent="0.25">
      <c r="A918" s="11">
        <v>45023</v>
      </c>
      <c r="B918" t="s">
        <v>35</v>
      </c>
      <c r="C918" t="s">
        <v>36</v>
      </c>
      <c r="D918" t="s">
        <v>44</v>
      </c>
      <c r="E918" t="s">
        <v>38</v>
      </c>
      <c r="F918">
        <v>315</v>
      </c>
      <c r="G918">
        <v>3.83</v>
      </c>
      <c r="H918">
        <v>1206.45</v>
      </c>
      <c r="I918" t="s">
        <v>54</v>
      </c>
      <c r="J918" t="s">
        <v>22</v>
      </c>
      <c r="K918" t="s">
        <v>23</v>
      </c>
      <c r="L918">
        <v>1074.81</v>
      </c>
      <c r="M918">
        <v>10.9</v>
      </c>
      <c r="N918">
        <v>2023</v>
      </c>
      <c r="O918">
        <v>2</v>
      </c>
      <c r="P918" t="s">
        <v>63</v>
      </c>
      <c r="Q918">
        <v>131.63999999999999</v>
      </c>
      <c r="R918" t="s">
        <v>29</v>
      </c>
      <c r="S918">
        <v>8.1647675478577941</v>
      </c>
      <c r="T918" t="s">
        <v>78</v>
      </c>
    </row>
    <row r="919" spans="1:20" x14ac:dyDescent="0.25">
      <c r="A919" s="11">
        <v>45012</v>
      </c>
      <c r="B919" t="s">
        <v>30</v>
      </c>
      <c r="C919" t="s">
        <v>31</v>
      </c>
      <c r="D919" t="s">
        <v>53</v>
      </c>
      <c r="E919" t="s">
        <v>50</v>
      </c>
      <c r="F919">
        <v>86</v>
      </c>
      <c r="G919">
        <v>4.41</v>
      </c>
      <c r="H919">
        <v>379.26</v>
      </c>
      <c r="I919" t="s">
        <v>54</v>
      </c>
      <c r="J919" t="s">
        <v>22</v>
      </c>
      <c r="K919" t="s">
        <v>28</v>
      </c>
      <c r="L919">
        <v>248.61</v>
      </c>
      <c r="M919">
        <v>34.4</v>
      </c>
      <c r="N919">
        <v>2023</v>
      </c>
      <c r="O919">
        <v>1</v>
      </c>
      <c r="P919" t="s">
        <v>62</v>
      </c>
      <c r="Q919">
        <v>130.65</v>
      </c>
      <c r="R919" t="s">
        <v>25</v>
      </c>
      <c r="S919">
        <v>1.9028702640642938</v>
      </c>
      <c r="T919" t="s">
        <v>78</v>
      </c>
    </row>
    <row r="920" spans="1:20" x14ac:dyDescent="0.25">
      <c r="A920" s="11">
        <v>45126</v>
      </c>
      <c r="B920" t="s">
        <v>58</v>
      </c>
      <c r="C920" t="s">
        <v>59</v>
      </c>
      <c r="D920" t="s">
        <v>44</v>
      </c>
      <c r="E920" t="s">
        <v>38</v>
      </c>
      <c r="F920">
        <v>179</v>
      </c>
      <c r="G920">
        <v>2.46</v>
      </c>
      <c r="H920">
        <v>440.34</v>
      </c>
      <c r="I920" t="s">
        <v>39</v>
      </c>
      <c r="J920" t="s">
        <v>34</v>
      </c>
      <c r="K920" t="s">
        <v>23</v>
      </c>
      <c r="L920">
        <v>311.89999999999998</v>
      </c>
      <c r="M920">
        <v>29.2</v>
      </c>
      <c r="N920">
        <v>2024</v>
      </c>
      <c r="O920">
        <v>3</v>
      </c>
      <c r="P920" t="s">
        <v>70</v>
      </c>
      <c r="Q920">
        <v>128.44</v>
      </c>
      <c r="R920" t="s">
        <v>25</v>
      </c>
      <c r="S920">
        <v>2.4283712239177824</v>
      </c>
      <c r="T920" t="s">
        <v>78</v>
      </c>
    </row>
    <row r="921" spans="1:20" x14ac:dyDescent="0.25">
      <c r="A921" s="11">
        <v>45109</v>
      </c>
      <c r="B921" t="s">
        <v>30</v>
      </c>
      <c r="C921" t="s">
        <v>31</v>
      </c>
      <c r="D921" t="s">
        <v>53</v>
      </c>
      <c r="E921" t="s">
        <v>50</v>
      </c>
      <c r="F921">
        <v>73</v>
      </c>
      <c r="G921">
        <v>5.12</v>
      </c>
      <c r="H921">
        <v>373.76</v>
      </c>
      <c r="I921" t="s">
        <v>33</v>
      </c>
      <c r="J921" t="s">
        <v>27</v>
      </c>
      <c r="K921" t="s">
        <v>23</v>
      </c>
      <c r="L921">
        <v>245.79</v>
      </c>
      <c r="M921">
        <v>34.200000000000003</v>
      </c>
      <c r="N921">
        <v>2024</v>
      </c>
      <c r="O921">
        <v>3</v>
      </c>
      <c r="P921" t="s">
        <v>61</v>
      </c>
      <c r="Q921">
        <v>127.97</v>
      </c>
      <c r="R921" t="s">
        <v>25</v>
      </c>
      <c r="S921">
        <v>1.9206845354379933</v>
      </c>
      <c r="T921" t="s">
        <v>78</v>
      </c>
    </row>
    <row r="922" spans="1:20" x14ac:dyDescent="0.25">
      <c r="A922" s="11">
        <v>45056</v>
      </c>
      <c r="B922" t="s">
        <v>35</v>
      </c>
      <c r="C922" t="s">
        <v>36</v>
      </c>
      <c r="D922" t="s">
        <v>53</v>
      </c>
      <c r="E922" t="s">
        <v>50</v>
      </c>
      <c r="F922">
        <v>89</v>
      </c>
      <c r="G922">
        <v>5.48</v>
      </c>
      <c r="H922">
        <v>487.72</v>
      </c>
      <c r="I922" t="s">
        <v>39</v>
      </c>
      <c r="J922" t="s">
        <v>56</v>
      </c>
      <c r="K922" t="s">
        <v>23</v>
      </c>
      <c r="L922">
        <v>365.64</v>
      </c>
      <c r="M922">
        <v>25</v>
      </c>
      <c r="N922">
        <v>2023</v>
      </c>
      <c r="O922">
        <v>2</v>
      </c>
      <c r="P922" t="s">
        <v>65</v>
      </c>
      <c r="Q922">
        <v>122.08</v>
      </c>
      <c r="R922" t="s">
        <v>29</v>
      </c>
      <c r="S922">
        <v>2.9950851900393185</v>
      </c>
      <c r="T922" t="s">
        <v>78</v>
      </c>
    </row>
    <row r="923" spans="1:20" x14ac:dyDescent="0.25">
      <c r="A923" s="11">
        <v>45097</v>
      </c>
      <c r="B923" t="s">
        <v>58</v>
      </c>
      <c r="C923" t="s">
        <v>59</v>
      </c>
      <c r="D923" t="s">
        <v>53</v>
      </c>
      <c r="E923" t="s">
        <v>50</v>
      </c>
      <c r="F923">
        <v>182</v>
      </c>
      <c r="G923">
        <v>4.9400000000000004</v>
      </c>
      <c r="H923">
        <v>899.08</v>
      </c>
      <c r="I923" t="s">
        <v>39</v>
      </c>
      <c r="J923" t="s">
        <v>34</v>
      </c>
      <c r="K923" t="s">
        <v>23</v>
      </c>
      <c r="L923">
        <v>778.2</v>
      </c>
      <c r="M923">
        <v>13.4</v>
      </c>
      <c r="N923">
        <v>2023</v>
      </c>
      <c r="O923">
        <v>2</v>
      </c>
      <c r="P923" t="s">
        <v>70</v>
      </c>
      <c r="Q923">
        <v>120.88</v>
      </c>
      <c r="R923" t="s">
        <v>29</v>
      </c>
      <c r="S923">
        <v>6.4377895433487762</v>
      </c>
      <c r="T923" t="s">
        <v>78</v>
      </c>
    </row>
    <row r="924" spans="1:20" x14ac:dyDescent="0.25">
      <c r="A924" s="11">
        <v>45039</v>
      </c>
      <c r="B924" t="s">
        <v>35</v>
      </c>
      <c r="C924" t="s">
        <v>36</v>
      </c>
      <c r="D924" t="s">
        <v>45</v>
      </c>
      <c r="E924" t="s">
        <v>20</v>
      </c>
      <c r="F924">
        <v>76</v>
      </c>
      <c r="G924">
        <v>5.8</v>
      </c>
      <c r="H924">
        <v>440.8</v>
      </c>
      <c r="I924" t="s">
        <v>54</v>
      </c>
      <c r="J924" t="s">
        <v>22</v>
      </c>
      <c r="K924" t="s">
        <v>23</v>
      </c>
      <c r="L924">
        <v>320.5</v>
      </c>
      <c r="M924">
        <v>27.3</v>
      </c>
      <c r="N924">
        <v>2023</v>
      </c>
      <c r="O924">
        <v>2</v>
      </c>
      <c r="P924" t="s">
        <v>63</v>
      </c>
      <c r="Q924">
        <v>120.3</v>
      </c>
      <c r="R924" t="s">
        <v>25</v>
      </c>
      <c r="S924">
        <v>2.6641729010806317</v>
      </c>
      <c r="T924" t="s">
        <v>78</v>
      </c>
    </row>
    <row r="925" spans="1:20" x14ac:dyDescent="0.25">
      <c r="A925" s="11">
        <v>45005</v>
      </c>
      <c r="B925" t="s">
        <v>17</v>
      </c>
      <c r="C925" t="s">
        <v>18</v>
      </c>
      <c r="D925" t="s">
        <v>48</v>
      </c>
      <c r="E925" t="s">
        <v>38</v>
      </c>
      <c r="F925">
        <v>129</v>
      </c>
      <c r="G925">
        <v>5.04</v>
      </c>
      <c r="H925">
        <v>650.16</v>
      </c>
      <c r="I925" t="s">
        <v>46</v>
      </c>
      <c r="J925" t="s">
        <v>56</v>
      </c>
      <c r="K925" t="s">
        <v>28</v>
      </c>
      <c r="L925">
        <v>529.94000000000005</v>
      </c>
      <c r="M925">
        <v>18.5</v>
      </c>
      <c r="N925">
        <v>2023</v>
      </c>
      <c r="O925">
        <v>1</v>
      </c>
      <c r="P925" t="s">
        <v>62</v>
      </c>
      <c r="Q925">
        <v>120.22</v>
      </c>
      <c r="R925" t="s">
        <v>29</v>
      </c>
      <c r="S925">
        <v>4.4080851771751792</v>
      </c>
      <c r="T925" t="s">
        <v>78</v>
      </c>
    </row>
    <row r="926" spans="1:20" x14ac:dyDescent="0.25">
      <c r="A926" s="11">
        <v>45010</v>
      </c>
      <c r="B926" t="s">
        <v>30</v>
      </c>
      <c r="C926" t="s">
        <v>31</v>
      </c>
      <c r="D926" t="s">
        <v>32</v>
      </c>
      <c r="E926" t="s">
        <v>20</v>
      </c>
      <c r="F926">
        <v>200</v>
      </c>
      <c r="G926">
        <v>2.0699999999999998</v>
      </c>
      <c r="H926">
        <v>414</v>
      </c>
      <c r="I926" t="s">
        <v>39</v>
      </c>
      <c r="J926" t="s">
        <v>27</v>
      </c>
      <c r="K926" t="s">
        <v>41</v>
      </c>
      <c r="L926">
        <v>295.68</v>
      </c>
      <c r="M926">
        <v>28.6</v>
      </c>
      <c r="N926">
        <v>2023</v>
      </c>
      <c r="O926">
        <v>1</v>
      </c>
      <c r="P926" t="s">
        <v>62</v>
      </c>
      <c r="Q926">
        <v>118.32</v>
      </c>
      <c r="R926" t="s">
        <v>25</v>
      </c>
      <c r="S926">
        <v>2.4989858012170387</v>
      </c>
      <c r="T926" t="s">
        <v>78</v>
      </c>
    </row>
    <row r="927" spans="1:20" x14ac:dyDescent="0.25">
      <c r="A927" s="11">
        <v>45101</v>
      </c>
      <c r="B927" t="s">
        <v>51</v>
      </c>
      <c r="C927" t="s">
        <v>52</v>
      </c>
      <c r="D927" t="s">
        <v>49</v>
      </c>
      <c r="E927" t="s">
        <v>50</v>
      </c>
      <c r="F927">
        <v>297</v>
      </c>
      <c r="G927">
        <v>2.4300000000000002</v>
      </c>
      <c r="H927">
        <v>721.71</v>
      </c>
      <c r="I927" t="s">
        <v>21</v>
      </c>
      <c r="J927" t="s">
        <v>34</v>
      </c>
      <c r="K927" t="s">
        <v>23</v>
      </c>
      <c r="L927">
        <v>606.23</v>
      </c>
      <c r="M927">
        <v>16</v>
      </c>
      <c r="N927">
        <v>2024</v>
      </c>
      <c r="O927">
        <v>2</v>
      </c>
      <c r="P927" t="s">
        <v>24</v>
      </c>
      <c r="Q927">
        <v>115.48</v>
      </c>
      <c r="R927" t="s">
        <v>29</v>
      </c>
      <c r="S927">
        <v>5.2496536196744028</v>
      </c>
      <c r="T927" t="s">
        <v>78</v>
      </c>
    </row>
    <row r="928" spans="1:20" x14ac:dyDescent="0.25">
      <c r="A928" s="11">
        <v>45069</v>
      </c>
      <c r="B928" t="s">
        <v>17</v>
      </c>
      <c r="C928" t="s">
        <v>18</v>
      </c>
      <c r="D928" t="s">
        <v>19</v>
      </c>
      <c r="E928" t="s">
        <v>20</v>
      </c>
      <c r="F928">
        <v>238</v>
      </c>
      <c r="G928">
        <v>3.43</v>
      </c>
      <c r="H928">
        <v>816.34</v>
      </c>
      <c r="I928" t="s">
        <v>57</v>
      </c>
      <c r="J928" t="s">
        <v>40</v>
      </c>
      <c r="K928" t="s">
        <v>23</v>
      </c>
      <c r="L928">
        <v>701.58</v>
      </c>
      <c r="M928">
        <v>14.1</v>
      </c>
      <c r="N928">
        <v>2023</v>
      </c>
      <c r="O928">
        <v>2</v>
      </c>
      <c r="P928" t="s">
        <v>66</v>
      </c>
      <c r="Q928">
        <v>114.76</v>
      </c>
      <c r="R928" t="s">
        <v>29</v>
      </c>
      <c r="S928">
        <v>6.1134541652143604</v>
      </c>
      <c r="T928" t="s">
        <v>78</v>
      </c>
    </row>
    <row r="929" spans="1:20" x14ac:dyDescent="0.25">
      <c r="A929" s="11">
        <v>45055</v>
      </c>
      <c r="B929" t="s">
        <v>35</v>
      </c>
      <c r="C929" t="s">
        <v>36</v>
      </c>
      <c r="D929" t="s">
        <v>37</v>
      </c>
      <c r="E929" t="s">
        <v>38</v>
      </c>
      <c r="F929">
        <v>62</v>
      </c>
      <c r="G929">
        <v>9.6300000000000008</v>
      </c>
      <c r="H929">
        <v>597.05999999999995</v>
      </c>
      <c r="I929" t="s">
        <v>55</v>
      </c>
      <c r="J929" t="s">
        <v>34</v>
      </c>
      <c r="K929" t="s">
        <v>28</v>
      </c>
      <c r="L929">
        <v>483.71</v>
      </c>
      <c r="M929">
        <v>19</v>
      </c>
      <c r="N929">
        <v>2023</v>
      </c>
      <c r="O929">
        <v>2</v>
      </c>
      <c r="P929" t="s">
        <v>65</v>
      </c>
      <c r="Q929">
        <v>113.35</v>
      </c>
      <c r="R929" t="s">
        <v>29</v>
      </c>
      <c r="S929">
        <v>4.2674018526687254</v>
      </c>
      <c r="T929" t="s">
        <v>78</v>
      </c>
    </row>
    <row r="930" spans="1:20" x14ac:dyDescent="0.25">
      <c r="A930" s="11">
        <v>44979</v>
      </c>
      <c r="B930" t="s">
        <v>17</v>
      </c>
      <c r="C930" t="s">
        <v>18</v>
      </c>
      <c r="D930" t="s">
        <v>44</v>
      </c>
      <c r="E930" t="s">
        <v>38</v>
      </c>
      <c r="F930">
        <v>60</v>
      </c>
      <c r="G930">
        <v>6.53</v>
      </c>
      <c r="H930">
        <v>391.8</v>
      </c>
      <c r="I930" t="s">
        <v>33</v>
      </c>
      <c r="J930" t="s">
        <v>47</v>
      </c>
      <c r="K930" t="s">
        <v>28</v>
      </c>
      <c r="L930">
        <v>278.58</v>
      </c>
      <c r="M930">
        <v>28.9</v>
      </c>
      <c r="N930">
        <v>2023</v>
      </c>
      <c r="O930">
        <v>1</v>
      </c>
      <c r="P930" t="s">
        <v>61</v>
      </c>
      <c r="Q930">
        <v>113.22</v>
      </c>
      <c r="R930" t="s">
        <v>25</v>
      </c>
      <c r="S930">
        <v>2.460519342872284</v>
      </c>
      <c r="T930" t="s">
        <v>78</v>
      </c>
    </row>
    <row r="931" spans="1:20" x14ac:dyDescent="0.25">
      <c r="A931" s="11">
        <v>45090</v>
      </c>
      <c r="B931" t="s">
        <v>51</v>
      </c>
      <c r="C931" t="s">
        <v>52</v>
      </c>
      <c r="D931" t="s">
        <v>48</v>
      </c>
      <c r="E931" t="s">
        <v>38</v>
      </c>
      <c r="F931">
        <v>149</v>
      </c>
      <c r="G931">
        <v>5.08</v>
      </c>
      <c r="H931">
        <v>756.92</v>
      </c>
      <c r="I931" t="s">
        <v>57</v>
      </c>
      <c r="J931" t="s">
        <v>27</v>
      </c>
      <c r="K931" t="s">
        <v>23</v>
      </c>
      <c r="L931">
        <v>644.88</v>
      </c>
      <c r="M931">
        <v>14.8</v>
      </c>
      <c r="N931">
        <v>2023</v>
      </c>
      <c r="O931">
        <v>2</v>
      </c>
      <c r="P931" t="s">
        <v>69</v>
      </c>
      <c r="Q931">
        <v>112.04</v>
      </c>
      <c r="R931" t="s">
        <v>29</v>
      </c>
      <c r="S931">
        <v>5.7558014994644768</v>
      </c>
      <c r="T931" t="s">
        <v>78</v>
      </c>
    </row>
    <row r="932" spans="1:20" x14ac:dyDescent="0.25">
      <c r="A932" s="11">
        <v>45047</v>
      </c>
      <c r="B932" t="s">
        <v>30</v>
      </c>
      <c r="C932" t="s">
        <v>31</v>
      </c>
      <c r="D932" t="s">
        <v>49</v>
      </c>
      <c r="E932" t="s">
        <v>50</v>
      </c>
      <c r="F932">
        <v>168</v>
      </c>
      <c r="G932">
        <v>4.32</v>
      </c>
      <c r="H932">
        <v>725.76</v>
      </c>
      <c r="I932" t="s">
        <v>57</v>
      </c>
      <c r="J932" t="s">
        <v>22</v>
      </c>
      <c r="K932" t="s">
        <v>28</v>
      </c>
      <c r="L932">
        <v>613.84</v>
      </c>
      <c r="M932">
        <v>15.4</v>
      </c>
      <c r="N932">
        <v>2023</v>
      </c>
      <c r="O932">
        <v>2</v>
      </c>
      <c r="P932" t="s">
        <v>64</v>
      </c>
      <c r="Q932">
        <v>111.92</v>
      </c>
      <c r="R932" t="s">
        <v>29</v>
      </c>
      <c r="S932">
        <v>5.4846318799142244</v>
      </c>
      <c r="T932" t="s">
        <v>78</v>
      </c>
    </row>
    <row r="933" spans="1:20" x14ac:dyDescent="0.25">
      <c r="A933" s="11">
        <v>44957</v>
      </c>
      <c r="B933" t="s">
        <v>42</v>
      </c>
      <c r="C933" t="s">
        <v>43</v>
      </c>
      <c r="D933" t="s">
        <v>19</v>
      </c>
      <c r="E933" t="s">
        <v>20</v>
      </c>
      <c r="F933">
        <v>338</v>
      </c>
      <c r="G933">
        <v>2.08</v>
      </c>
      <c r="H933">
        <v>703.04</v>
      </c>
      <c r="I933" t="s">
        <v>55</v>
      </c>
      <c r="J933" t="s">
        <v>47</v>
      </c>
      <c r="K933" t="s">
        <v>28</v>
      </c>
      <c r="L933">
        <v>591.15</v>
      </c>
      <c r="M933">
        <v>15.9</v>
      </c>
      <c r="N933">
        <v>2023</v>
      </c>
      <c r="O933">
        <v>1</v>
      </c>
      <c r="P933" t="s">
        <v>60</v>
      </c>
      <c r="Q933">
        <v>111.89</v>
      </c>
      <c r="R933" t="s">
        <v>29</v>
      </c>
      <c r="S933">
        <v>5.2833139690767714</v>
      </c>
      <c r="T933" t="s">
        <v>78</v>
      </c>
    </row>
    <row r="934" spans="1:20" x14ac:dyDescent="0.25">
      <c r="A934" s="11">
        <v>45105</v>
      </c>
      <c r="B934" t="s">
        <v>17</v>
      </c>
      <c r="C934" t="s">
        <v>18</v>
      </c>
      <c r="D934" t="s">
        <v>44</v>
      </c>
      <c r="E934" t="s">
        <v>38</v>
      </c>
      <c r="F934">
        <v>153</v>
      </c>
      <c r="G934">
        <v>3.02</v>
      </c>
      <c r="H934">
        <v>462.06</v>
      </c>
      <c r="I934" t="s">
        <v>55</v>
      </c>
      <c r="J934" t="s">
        <v>40</v>
      </c>
      <c r="K934" t="s">
        <v>28</v>
      </c>
      <c r="L934">
        <v>350.82</v>
      </c>
      <c r="M934">
        <v>24.1</v>
      </c>
      <c r="N934">
        <v>2024</v>
      </c>
      <c r="O934">
        <v>2</v>
      </c>
      <c r="P934" t="s">
        <v>60</v>
      </c>
      <c r="Q934">
        <v>111.24</v>
      </c>
      <c r="R934" t="s">
        <v>29</v>
      </c>
      <c r="S934">
        <v>3.1537216828478964</v>
      </c>
      <c r="T934" t="s">
        <v>78</v>
      </c>
    </row>
    <row r="935" spans="1:20" x14ac:dyDescent="0.25">
      <c r="A935" s="11">
        <v>45030</v>
      </c>
      <c r="B935" t="s">
        <v>17</v>
      </c>
      <c r="C935" t="s">
        <v>18</v>
      </c>
      <c r="D935" t="s">
        <v>44</v>
      </c>
      <c r="E935" t="s">
        <v>38</v>
      </c>
      <c r="F935">
        <v>158</v>
      </c>
      <c r="G935">
        <v>3.79</v>
      </c>
      <c r="H935">
        <v>598.82000000000005</v>
      </c>
      <c r="I935" t="s">
        <v>33</v>
      </c>
      <c r="J935" t="s">
        <v>27</v>
      </c>
      <c r="K935" t="s">
        <v>23</v>
      </c>
      <c r="L935">
        <v>487.71</v>
      </c>
      <c r="M935">
        <v>18.600000000000001</v>
      </c>
      <c r="N935">
        <v>2023</v>
      </c>
      <c r="O935">
        <v>2</v>
      </c>
      <c r="P935" t="s">
        <v>63</v>
      </c>
      <c r="Q935">
        <v>111.11</v>
      </c>
      <c r="R935" t="s">
        <v>29</v>
      </c>
      <c r="S935">
        <v>4.3894338943389428</v>
      </c>
      <c r="T935" t="s">
        <v>78</v>
      </c>
    </row>
    <row r="936" spans="1:20" x14ac:dyDescent="0.25">
      <c r="A936" s="11">
        <v>44966</v>
      </c>
      <c r="B936" t="s">
        <v>58</v>
      </c>
      <c r="C936" t="s">
        <v>59</v>
      </c>
      <c r="D936" t="s">
        <v>32</v>
      </c>
      <c r="E936" t="s">
        <v>20</v>
      </c>
      <c r="F936">
        <v>91</v>
      </c>
      <c r="G936">
        <v>3.3</v>
      </c>
      <c r="H936">
        <v>300.3</v>
      </c>
      <c r="I936" t="s">
        <v>26</v>
      </c>
      <c r="J936" t="s">
        <v>56</v>
      </c>
      <c r="K936" t="s">
        <v>41</v>
      </c>
      <c r="L936">
        <v>189.58</v>
      </c>
      <c r="M936">
        <v>36.9</v>
      </c>
      <c r="N936">
        <v>2023</v>
      </c>
      <c r="O936">
        <v>1</v>
      </c>
      <c r="P936" t="s">
        <v>60</v>
      </c>
      <c r="Q936">
        <v>110.72</v>
      </c>
      <c r="R936" t="s">
        <v>25</v>
      </c>
      <c r="S936">
        <v>1.7122471098265897</v>
      </c>
      <c r="T936" t="s">
        <v>78</v>
      </c>
    </row>
    <row r="937" spans="1:20" x14ac:dyDescent="0.25">
      <c r="A937" s="11">
        <v>44943</v>
      </c>
      <c r="B937" t="s">
        <v>30</v>
      </c>
      <c r="C937" t="s">
        <v>31</v>
      </c>
      <c r="D937" t="s">
        <v>37</v>
      </c>
      <c r="E937" t="s">
        <v>38</v>
      </c>
      <c r="F937">
        <v>57</v>
      </c>
      <c r="G937">
        <v>11.24</v>
      </c>
      <c r="H937">
        <v>640.67999999999995</v>
      </c>
      <c r="I937" t="s">
        <v>39</v>
      </c>
      <c r="J937" t="s">
        <v>22</v>
      </c>
      <c r="K937" t="s">
        <v>41</v>
      </c>
      <c r="L937">
        <v>531.42999999999995</v>
      </c>
      <c r="M937">
        <v>17.100000000000001</v>
      </c>
      <c r="N937">
        <v>2023</v>
      </c>
      <c r="O937">
        <v>1</v>
      </c>
      <c r="P937" t="s">
        <v>24</v>
      </c>
      <c r="Q937">
        <v>109.25</v>
      </c>
      <c r="R937" t="s">
        <v>29</v>
      </c>
      <c r="S937">
        <v>4.8643478260869557</v>
      </c>
      <c r="T937" t="s">
        <v>78</v>
      </c>
    </row>
    <row r="938" spans="1:20" x14ac:dyDescent="0.25">
      <c r="A938" s="11">
        <v>45123</v>
      </c>
      <c r="B938" t="s">
        <v>30</v>
      </c>
      <c r="C938" t="s">
        <v>31</v>
      </c>
      <c r="D938" t="s">
        <v>45</v>
      </c>
      <c r="E938" t="s">
        <v>20</v>
      </c>
      <c r="F938">
        <v>100</v>
      </c>
      <c r="G938">
        <v>9.99</v>
      </c>
      <c r="H938">
        <v>999</v>
      </c>
      <c r="I938" t="s">
        <v>21</v>
      </c>
      <c r="J938" t="s">
        <v>56</v>
      </c>
      <c r="K938" t="s">
        <v>41</v>
      </c>
      <c r="L938">
        <v>889.83</v>
      </c>
      <c r="M938">
        <v>10.9</v>
      </c>
      <c r="N938">
        <v>2024</v>
      </c>
      <c r="O938">
        <v>3</v>
      </c>
      <c r="P938" t="s">
        <v>67</v>
      </c>
      <c r="Q938">
        <v>109.17</v>
      </c>
      <c r="R938" t="s">
        <v>29</v>
      </c>
      <c r="S938">
        <v>8.1508656224237424</v>
      </c>
      <c r="T938" t="s">
        <v>78</v>
      </c>
    </row>
    <row r="939" spans="1:20" x14ac:dyDescent="0.25">
      <c r="A939" s="11">
        <v>45078</v>
      </c>
      <c r="B939" t="s">
        <v>17</v>
      </c>
      <c r="C939" t="s">
        <v>18</v>
      </c>
      <c r="D939" t="s">
        <v>45</v>
      </c>
      <c r="E939" t="s">
        <v>20</v>
      </c>
      <c r="F939">
        <v>124</v>
      </c>
      <c r="G939">
        <v>7.53</v>
      </c>
      <c r="H939">
        <v>933.72</v>
      </c>
      <c r="I939" t="s">
        <v>39</v>
      </c>
      <c r="J939" t="s">
        <v>47</v>
      </c>
      <c r="K939" t="s">
        <v>23</v>
      </c>
      <c r="L939">
        <v>824.79</v>
      </c>
      <c r="M939">
        <v>11.7</v>
      </c>
      <c r="N939">
        <v>2023</v>
      </c>
      <c r="O939">
        <v>2</v>
      </c>
      <c r="P939" t="s">
        <v>67</v>
      </c>
      <c r="Q939">
        <v>108.93</v>
      </c>
      <c r="R939" t="s">
        <v>29</v>
      </c>
      <c r="S939">
        <v>7.5717433213990626</v>
      </c>
      <c r="T939" t="s">
        <v>78</v>
      </c>
    </row>
    <row r="940" spans="1:20" x14ac:dyDescent="0.25">
      <c r="A940" s="11">
        <v>45132</v>
      </c>
      <c r="B940" t="s">
        <v>58</v>
      </c>
      <c r="C940" t="s">
        <v>59</v>
      </c>
      <c r="D940" t="s">
        <v>49</v>
      </c>
      <c r="E940" t="s">
        <v>50</v>
      </c>
      <c r="F940">
        <v>66</v>
      </c>
      <c r="G940">
        <v>7.82</v>
      </c>
      <c r="H940">
        <v>516.12</v>
      </c>
      <c r="I940" t="s">
        <v>55</v>
      </c>
      <c r="J940" t="s">
        <v>47</v>
      </c>
      <c r="K940" t="s">
        <v>23</v>
      </c>
      <c r="L940">
        <v>407.7</v>
      </c>
      <c r="M940">
        <v>21</v>
      </c>
      <c r="N940">
        <v>2025</v>
      </c>
      <c r="O940">
        <v>3</v>
      </c>
      <c r="P940" t="s">
        <v>68</v>
      </c>
      <c r="Q940">
        <v>108.42</v>
      </c>
      <c r="R940" t="s">
        <v>29</v>
      </c>
      <c r="S940">
        <v>3.7603763143331488</v>
      </c>
      <c r="T940" t="s">
        <v>78</v>
      </c>
    </row>
    <row r="941" spans="1:20" x14ac:dyDescent="0.25">
      <c r="A941" s="11">
        <v>44953</v>
      </c>
      <c r="B941" t="s">
        <v>30</v>
      </c>
      <c r="C941" t="s">
        <v>31</v>
      </c>
      <c r="D941" t="s">
        <v>45</v>
      </c>
      <c r="E941" t="s">
        <v>20</v>
      </c>
      <c r="F941">
        <v>159</v>
      </c>
      <c r="G941">
        <v>2.14</v>
      </c>
      <c r="H941">
        <v>340.26</v>
      </c>
      <c r="I941" t="s">
        <v>26</v>
      </c>
      <c r="J941" t="s">
        <v>56</v>
      </c>
      <c r="K941" t="s">
        <v>28</v>
      </c>
      <c r="L941">
        <v>232.66</v>
      </c>
      <c r="M941">
        <v>31.6</v>
      </c>
      <c r="N941">
        <v>2023</v>
      </c>
      <c r="O941">
        <v>1</v>
      </c>
      <c r="P941" t="s">
        <v>24</v>
      </c>
      <c r="Q941">
        <v>107.6</v>
      </c>
      <c r="R941" t="s">
        <v>25</v>
      </c>
      <c r="S941">
        <v>2.1622676579925653</v>
      </c>
      <c r="T941" t="s">
        <v>78</v>
      </c>
    </row>
    <row r="942" spans="1:20" x14ac:dyDescent="0.25">
      <c r="A942" s="11">
        <v>44945</v>
      </c>
      <c r="B942" t="s">
        <v>35</v>
      </c>
      <c r="C942" t="s">
        <v>36</v>
      </c>
      <c r="D942" t="s">
        <v>53</v>
      </c>
      <c r="E942" t="s">
        <v>50</v>
      </c>
      <c r="F942">
        <v>265</v>
      </c>
      <c r="G942">
        <v>3.15</v>
      </c>
      <c r="H942">
        <v>834.75</v>
      </c>
      <c r="I942" t="s">
        <v>21</v>
      </c>
      <c r="J942" t="s">
        <v>56</v>
      </c>
      <c r="K942" t="s">
        <v>23</v>
      </c>
      <c r="L942">
        <v>733.01</v>
      </c>
      <c r="M942">
        <v>12.2</v>
      </c>
      <c r="N942">
        <v>2023</v>
      </c>
      <c r="O942">
        <v>1</v>
      </c>
      <c r="P942" t="s">
        <v>24</v>
      </c>
      <c r="Q942">
        <v>101.74</v>
      </c>
      <c r="R942" t="s">
        <v>29</v>
      </c>
      <c r="S942">
        <v>7.204737566345587</v>
      </c>
      <c r="T942" t="s">
        <v>78</v>
      </c>
    </row>
    <row r="943" spans="1:20" x14ac:dyDescent="0.25">
      <c r="A943" s="11">
        <v>44927</v>
      </c>
      <c r="B943" t="s">
        <v>35</v>
      </c>
      <c r="C943" t="s">
        <v>36</v>
      </c>
      <c r="D943" t="s">
        <v>37</v>
      </c>
      <c r="E943" t="s">
        <v>38</v>
      </c>
      <c r="F943">
        <v>241</v>
      </c>
      <c r="G943">
        <v>2.4900000000000002</v>
      </c>
      <c r="H943">
        <v>600.09</v>
      </c>
      <c r="I943" t="s">
        <v>39</v>
      </c>
      <c r="J943" t="s">
        <v>40</v>
      </c>
      <c r="K943" t="s">
        <v>41</v>
      </c>
      <c r="L943">
        <v>499.8</v>
      </c>
      <c r="M943">
        <v>16.7</v>
      </c>
      <c r="N943">
        <v>2023</v>
      </c>
      <c r="O943">
        <v>1</v>
      </c>
      <c r="P943" t="s">
        <v>24</v>
      </c>
      <c r="Q943">
        <v>100.29</v>
      </c>
      <c r="R943" t="s">
        <v>29</v>
      </c>
      <c r="S943">
        <v>4.9835477116362545</v>
      </c>
      <c r="T943" t="s">
        <v>78</v>
      </c>
    </row>
    <row r="944" spans="1:20" x14ac:dyDescent="0.25">
      <c r="A944" s="11">
        <v>44937</v>
      </c>
      <c r="B944" t="s">
        <v>51</v>
      </c>
      <c r="C944" t="s">
        <v>52</v>
      </c>
      <c r="D944" t="s">
        <v>48</v>
      </c>
      <c r="E944" t="s">
        <v>38</v>
      </c>
      <c r="F944">
        <v>170</v>
      </c>
      <c r="G944">
        <v>4.62</v>
      </c>
      <c r="H944">
        <v>785.4</v>
      </c>
      <c r="I944" t="s">
        <v>26</v>
      </c>
      <c r="J944" t="s">
        <v>40</v>
      </c>
      <c r="K944" t="s">
        <v>41</v>
      </c>
      <c r="L944">
        <v>686.44</v>
      </c>
      <c r="M944">
        <v>12.6</v>
      </c>
      <c r="N944">
        <v>2023</v>
      </c>
      <c r="O944">
        <v>1</v>
      </c>
      <c r="P944" t="s">
        <v>24</v>
      </c>
      <c r="Q944">
        <v>98.96</v>
      </c>
      <c r="R944" t="s">
        <v>29</v>
      </c>
      <c r="S944">
        <v>6.9365400161681494</v>
      </c>
      <c r="T944" t="s">
        <v>78</v>
      </c>
    </row>
    <row r="945" spans="1:20" x14ac:dyDescent="0.25">
      <c r="A945" s="11">
        <v>44968</v>
      </c>
      <c r="B945" t="s">
        <v>58</v>
      </c>
      <c r="C945" t="s">
        <v>59</v>
      </c>
      <c r="D945" t="s">
        <v>49</v>
      </c>
      <c r="E945" t="s">
        <v>50</v>
      </c>
      <c r="F945">
        <v>106</v>
      </c>
      <c r="G945">
        <v>2.8</v>
      </c>
      <c r="H945">
        <v>296.8</v>
      </c>
      <c r="I945" t="s">
        <v>55</v>
      </c>
      <c r="J945" t="s">
        <v>27</v>
      </c>
      <c r="K945" t="s">
        <v>28</v>
      </c>
      <c r="L945">
        <v>199.01</v>
      </c>
      <c r="M945">
        <v>32.9</v>
      </c>
      <c r="N945">
        <v>2023</v>
      </c>
      <c r="O945">
        <v>1</v>
      </c>
      <c r="P945" t="s">
        <v>60</v>
      </c>
      <c r="Q945">
        <v>97.79</v>
      </c>
      <c r="R945" t="s">
        <v>25</v>
      </c>
      <c r="S945">
        <v>2.0350751610594129</v>
      </c>
      <c r="T945" t="s">
        <v>78</v>
      </c>
    </row>
    <row r="946" spans="1:20" x14ac:dyDescent="0.25">
      <c r="A946" s="11">
        <v>45018</v>
      </c>
      <c r="B946" t="s">
        <v>17</v>
      </c>
      <c r="C946" t="s">
        <v>18</v>
      </c>
      <c r="D946" t="s">
        <v>49</v>
      </c>
      <c r="E946" t="s">
        <v>50</v>
      </c>
      <c r="F946">
        <v>134</v>
      </c>
      <c r="G946">
        <v>4.03</v>
      </c>
      <c r="H946">
        <v>540.02</v>
      </c>
      <c r="I946" t="s">
        <v>55</v>
      </c>
      <c r="J946" t="s">
        <v>22</v>
      </c>
      <c r="K946" t="s">
        <v>28</v>
      </c>
      <c r="L946">
        <v>443.28</v>
      </c>
      <c r="M946">
        <v>17.899999999999999</v>
      </c>
      <c r="N946">
        <v>2023</v>
      </c>
      <c r="O946">
        <v>2</v>
      </c>
      <c r="P946" t="s">
        <v>62</v>
      </c>
      <c r="Q946">
        <v>96.74</v>
      </c>
      <c r="R946" t="s">
        <v>29</v>
      </c>
      <c r="S946">
        <v>4.5821790365929296</v>
      </c>
      <c r="T946" t="s">
        <v>78</v>
      </c>
    </row>
    <row r="947" spans="1:20" x14ac:dyDescent="0.25">
      <c r="A947" s="11">
        <v>45066</v>
      </c>
      <c r="B947" t="s">
        <v>35</v>
      </c>
      <c r="C947" t="s">
        <v>36</v>
      </c>
      <c r="D947" t="s">
        <v>45</v>
      </c>
      <c r="E947" t="s">
        <v>20</v>
      </c>
      <c r="F947">
        <v>52</v>
      </c>
      <c r="G947">
        <v>5.86</v>
      </c>
      <c r="H947">
        <v>304.72000000000003</v>
      </c>
      <c r="I947" t="s">
        <v>46</v>
      </c>
      <c r="J947" t="s">
        <v>40</v>
      </c>
      <c r="K947" t="s">
        <v>23</v>
      </c>
      <c r="L947">
        <v>210.53</v>
      </c>
      <c r="M947">
        <v>30.9</v>
      </c>
      <c r="N947">
        <v>2023</v>
      </c>
      <c r="O947">
        <v>2</v>
      </c>
      <c r="P947" t="s">
        <v>66</v>
      </c>
      <c r="Q947">
        <v>94.19</v>
      </c>
      <c r="R947" t="s">
        <v>25</v>
      </c>
      <c r="S947">
        <v>2.2351629684679901</v>
      </c>
      <c r="T947" t="s">
        <v>78</v>
      </c>
    </row>
    <row r="948" spans="1:20" x14ac:dyDescent="0.25">
      <c r="A948" s="11">
        <v>45067</v>
      </c>
      <c r="B948" t="s">
        <v>58</v>
      </c>
      <c r="C948" t="s">
        <v>59</v>
      </c>
      <c r="D948" t="s">
        <v>49</v>
      </c>
      <c r="E948" t="s">
        <v>50</v>
      </c>
      <c r="F948">
        <v>78</v>
      </c>
      <c r="G948">
        <v>5.91</v>
      </c>
      <c r="H948">
        <v>460.98</v>
      </c>
      <c r="I948" t="s">
        <v>55</v>
      </c>
      <c r="J948" t="s">
        <v>56</v>
      </c>
      <c r="K948" t="s">
        <v>28</v>
      </c>
      <c r="L948">
        <v>369.27</v>
      </c>
      <c r="M948">
        <v>19.899999999999999</v>
      </c>
      <c r="N948">
        <v>2023</v>
      </c>
      <c r="O948">
        <v>2</v>
      </c>
      <c r="P948" t="s">
        <v>66</v>
      </c>
      <c r="Q948">
        <v>91.71</v>
      </c>
      <c r="R948" t="s">
        <v>29</v>
      </c>
      <c r="S948">
        <v>4.0264965652600591</v>
      </c>
      <c r="T948" t="s">
        <v>78</v>
      </c>
    </row>
    <row r="949" spans="1:20" x14ac:dyDescent="0.25">
      <c r="A949" s="11">
        <v>44928</v>
      </c>
      <c r="B949" t="s">
        <v>17</v>
      </c>
      <c r="C949" t="s">
        <v>18</v>
      </c>
      <c r="D949" t="s">
        <v>48</v>
      </c>
      <c r="E949" t="s">
        <v>38</v>
      </c>
      <c r="F949">
        <v>342</v>
      </c>
      <c r="G949">
        <v>2.33</v>
      </c>
      <c r="H949">
        <v>796.86</v>
      </c>
      <c r="I949" t="s">
        <v>21</v>
      </c>
      <c r="J949" t="s">
        <v>40</v>
      </c>
      <c r="K949" t="s">
        <v>41</v>
      </c>
      <c r="L949">
        <v>706.57</v>
      </c>
      <c r="M949">
        <v>11.3</v>
      </c>
      <c r="N949">
        <v>2023</v>
      </c>
      <c r="O949">
        <v>1</v>
      </c>
      <c r="P949" t="s">
        <v>24</v>
      </c>
      <c r="Q949">
        <v>90.29</v>
      </c>
      <c r="R949" t="s">
        <v>29</v>
      </c>
      <c r="S949">
        <v>7.8255620777494741</v>
      </c>
      <c r="T949" t="s">
        <v>78</v>
      </c>
    </row>
    <row r="950" spans="1:20" x14ac:dyDescent="0.25">
      <c r="A950" s="11">
        <v>44928</v>
      </c>
      <c r="B950" t="s">
        <v>42</v>
      </c>
      <c r="C950" t="s">
        <v>43</v>
      </c>
      <c r="D950" t="s">
        <v>49</v>
      </c>
      <c r="E950" t="s">
        <v>50</v>
      </c>
      <c r="F950">
        <v>58</v>
      </c>
      <c r="G950">
        <v>5.67</v>
      </c>
      <c r="H950">
        <v>328.86</v>
      </c>
      <c r="I950" t="s">
        <v>26</v>
      </c>
      <c r="J950" t="s">
        <v>34</v>
      </c>
      <c r="K950" t="s">
        <v>23</v>
      </c>
      <c r="L950">
        <v>239.36</v>
      </c>
      <c r="M950">
        <v>27.2</v>
      </c>
      <c r="N950">
        <v>2023</v>
      </c>
      <c r="O950">
        <v>1</v>
      </c>
      <c r="P950" t="s">
        <v>24</v>
      </c>
      <c r="Q950">
        <v>89.5</v>
      </c>
      <c r="R950" t="s">
        <v>25</v>
      </c>
      <c r="S950">
        <v>2.6744134078212292</v>
      </c>
      <c r="T950" t="s">
        <v>78</v>
      </c>
    </row>
    <row r="951" spans="1:20" x14ac:dyDescent="0.25">
      <c r="A951" s="11">
        <v>45128</v>
      </c>
      <c r="B951" t="s">
        <v>30</v>
      </c>
      <c r="C951" t="s">
        <v>31</v>
      </c>
      <c r="D951" t="s">
        <v>45</v>
      </c>
      <c r="E951" t="s">
        <v>20</v>
      </c>
      <c r="F951">
        <v>69</v>
      </c>
      <c r="G951">
        <v>4.4400000000000004</v>
      </c>
      <c r="H951">
        <v>306.36</v>
      </c>
      <c r="I951" t="s">
        <v>46</v>
      </c>
      <c r="J951" t="s">
        <v>27</v>
      </c>
      <c r="K951" t="s">
        <v>28</v>
      </c>
      <c r="L951">
        <v>217.28</v>
      </c>
      <c r="M951">
        <v>29.1</v>
      </c>
      <c r="N951">
        <v>2025</v>
      </c>
      <c r="O951">
        <v>3</v>
      </c>
      <c r="P951" t="s">
        <v>60</v>
      </c>
      <c r="Q951">
        <v>89.08</v>
      </c>
      <c r="R951" t="s">
        <v>25</v>
      </c>
      <c r="S951">
        <v>2.439155814997755</v>
      </c>
      <c r="T951" t="s">
        <v>78</v>
      </c>
    </row>
    <row r="952" spans="1:20" x14ac:dyDescent="0.25">
      <c r="A952" s="11">
        <v>45097</v>
      </c>
      <c r="B952" t="s">
        <v>35</v>
      </c>
      <c r="C952" t="s">
        <v>36</v>
      </c>
      <c r="D952" t="s">
        <v>53</v>
      </c>
      <c r="E952" t="s">
        <v>50</v>
      </c>
      <c r="F952">
        <v>170</v>
      </c>
      <c r="G952">
        <v>3.67</v>
      </c>
      <c r="H952">
        <v>623.9</v>
      </c>
      <c r="I952" t="s">
        <v>39</v>
      </c>
      <c r="J952" t="s">
        <v>56</v>
      </c>
      <c r="K952" t="s">
        <v>41</v>
      </c>
      <c r="L952">
        <v>535.39</v>
      </c>
      <c r="M952">
        <v>14.2</v>
      </c>
      <c r="N952">
        <v>2023</v>
      </c>
      <c r="O952">
        <v>2</v>
      </c>
      <c r="P952" t="s">
        <v>70</v>
      </c>
      <c r="Q952">
        <v>88.51</v>
      </c>
      <c r="R952" t="s">
        <v>29</v>
      </c>
      <c r="S952">
        <v>6.0489210258727821</v>
      </c>
      <c r="T952" t="s">
        <v>78</v>
      </c>
    </row>
    <row r="953" spans="1:20" x14ac:dyDescent="0.25">
      <c r="A953" s="11">
        <v>45084</v>
      </c>
      <c r="B953" t="s">
        <v>58</v>
      </c>
      <c r="C953" t="s">
        <v>59</v>
      </c>
      <c r="D953" t="s">
        <v>32</v>
      </c>
      <c r="E953" t="s">
        <v>20</v>
      </c>
      <c r="F953">
        <v>78</v>
      </c>
      <c r="G953">
        <v>6.76</v>
      </c>
      <c r="H953">
        <v>527.28</v>
      </c>
      <c r="I953" t="s">
        <v>54</v>
      </c>
      <c r="J953" t="s">
        <v>27</v>
      </c>
      <c r="K953" t="s">
        <v>41</v>
      </c>
      <c r="L953">
        <v>441.36</v>
      </c>
      <c r="M953">
        <v>16.3</v>
      </c>
      <c r="N953">
        <v>2023</v>
      </c>
      <c r="O953">
        <v>2</v>
      </c>
      <c r="P953" t="s">
        <v>68</v>
      </c>
      <c r="Q953">
        <v>85.92</v>
      </c>
      <c r="R953" t="s">
        <v>29</v>
      </c>
      <c r="S953">
        <v>5.1368715083798886</v>
      </c>
      <c r="T953" t="s">
        <v>78</v>
      </c>
    </row>
    <row r="954" spans="1:20" x14ac:dyDescent="0.25">
      <c r="A954" s="11">
        <v>45025</v>
      </c>
      <c r="B954" t="s">
        <v>58</v>
      </c>
      <c r="C954" t="s">
        <v>59</v>
      </c>
      <c r="D954" t="s">
        <v>49</v>
      </c>
      <c r="E954" t="s">
        <v>50</v>
      </c>
      <c r="F954">
        <v>129</v>
      </c>
      <c r="G954">
        <v>3.08</v>
      </c>
      <c r="H954">
        <v>397.32</v>
      </c>
      <c r="I954" t="s">
        <v>54</v>
      </c>
      <c r="J954" t="s">
        <v>27</v>
      </c>
      <c r="K954" t="s">
        <v>28</v>
      </c>
      <c r="L954">
        <v>311.79000000000002</v>
      </c>
      <c r="M954">
        <v>21.5</v>
      </c>
      <c r="N954">
        <v>2023</v>
      </c>
      <c r="O954">
        <v>2</v>
      </c>
      <c r="P954" t="s">
        <v>63</v>
      </c>
      <c r="Q954">
        <v>85.53</v>
      </c>
      <c r="R954" t="s">
        <v>29</v>
      </c>
      <c r="S954">
        <v>3.6453875833041041</v>
      </c>
      <c r="T954" t="s">
        <v>78</v>
      </c>
    </row>
    <row r="955" spans="1:20" x14ac:dyDescent="0.25">
      <c r="A955" s="11">
        <v>44999</v>
      </c>
      <c r="B955" t="s">
        <v>42</v>
      </c>
      <c r="C955" t="s">
        <v>43</v>
      </c>
      <c r="D955" t="s">
        <v>37</v>
      </c>
      <c r="E955" t="s">
        <v>38</v>
      </c>
      <c r="F955">
        <v>216</v>
      </c>
      <c r="G955">
        <v>2.4700000000000002</v>
      </c>
      <c r="H955">
        <v>533.52</v>
      </c>
      <c r="I955" t="s">
        <v>55</v>
      </c>
      <c r="J955" t="s">
        <v>27</v>
      </c>
      <c r="K955" t="s">
        <v>23</v>
      </c>
      <c r="L955">
        <v>448.85</v>
      </c>
      <c r="M955">
        <v>15.9</v>
      </c>
      <c r="N955">
        <v>2023</v>
      </c>
      <c r="O955">
        <v>1</v>
      </c>
      <c r="P955" t="s">
        <v>61</v>
      </c>
      <c r="Q955">
        <v>84.67</v>
      </c>
      <c r="R955" t="s">
        <v>29</v>
      </c>
      <c r="S955">
        <v>5.301169245305303</v>
      </c>
      <c r="T955" t="s">
        <v>78</v>
      </c>
    </row>
    <row r="956" spans="1:20" x14ac:dyDescent="0.25">
      <c r="A956" s="11">
        <v>44951</v>
      </c>
      <c r="B956" t="s">
        <v>35</v>
      </c>
      <c r="C956" t="s">
        <v>36</v>
      </c>
      <c r="D956" t="s">
        <v>32</v>
      </c>
      <c r="E956" t="s">
        <v>20</v>
      </c>
      <c r="F956">
        <v>67</v>
      </c>
      <c r="G956">
        <v>7.68</v>
      </c>
      <c r="H956">
        <v>514.55999999999995</v>
      </c>
      <c r="I956" t="s">
        <v>39</v>
      </c>
      <c r="J956" t="s">
        <v>56</v>
      </c>
      <c r="K956" t="s">
        <v>23</v>
      </c>
      <c r="L956">
        <v>432.39</v>
      </c>
      <c r="M956">
        <v>16</v>
      </c>
      <c r="N956">
        <v>2023</v>
      </c>
      <c r="O956">
        <v>1</v>
      </c>
      <c r="P956" t="s">
        <v>24</v>
      </c>
      <c r="Q956">
        <v>82.17</v>
      </c>
      <c r="R956" t="s">
        <v>29</v>
      </c>
      <c r="S956">
        <v>5.262139466958744</v>
      </c>
      <c r="T956" t="s">
        <v>78</v>
      </c>
    </row>
    <row r="957" spans="1:20" x14ac:dyDescent="0.25">
      <c r="A957" s="11">
        <v>44996</v>
      </c>
      <c r="B957" t="s">
        <v>51</v>
      </c>
      <c r="C957" t="s">
        <v>52</v>
      </c>
      <c r="D957" t="s">
        <v>32</v>
      </c>
      <c r="E957" t="s">
        <v>20</v>
      </c>
      <c r="F957">
        <v>112</v>
      </c>
      <c r="G957">
        <v>3.06</v>
      </c>
      <c r="H957">
        <v>342.72</v>
      </c>
      <c r="I957" t="s">
        <v>55</v>
      </c>
      <c r="J957" t="s">
        <v>27</v>
      </c>
      <c r="K957" t="s">
        <v>41</v>
      </c>
      <c r="L957">
        <v>260.56</v>
      </c>
      <c r="M957">
        <v>24</v>
      </c>
      <c r="N957">
        <v>2023</v>
      </c>
      <c r="O957">
        <v>1</v>
      </c>
      <c r="P957" t="s">
        <v>61</v>
      </c>
      <c r="Q957">
        <v>82.16</v>
      </c>
      <c r="R957" t="s">
        <v>29</v>
      </c>
      <c r="S957">
        <v>3.1713729308666019</v>
      </c>
      <c r="T957" t="s">
        <v>78</v>
      </c>
    </row>
    <row r="958" spans="1:20" x14ac:dyDescent="0.25">
      <c r="A958" s="11">
        <v>45125</v>
      </c>
      <c r="B958" t="s">
        <v>30</v>
      </c>
      <c r="C958" t="s">
        <v>31</v>
      </c>
      <c r="D958" t="s">
        <v>44</v>
      </c>
      <c r="E958" t="s">
        <v>38</v>
      </c>
      <c r="F958">
        <v>91</v>
      </c>
      <c r="G958">
        <v>2.25</v>
      </c>
      <c r="H958">
        <v>204.75</v>
      </c>
      <c r="I958" t="s">
        <v>33</v>
      </c>
      <c r="J958" t="s">
        <v>40</v>
      </c>
      <c r="K958" t="s">
        <v>28</v>
      </c>
      <c r="L958">
        <v>124.5</v>
      </c>
      <c r="M958">
        <v>39.200000000000003</v>
      </c>
      <c r="N958">
        <v>2024</v>
      </c>
      <c r="O958">
        <v>3</v>
      </c>
      <c r="P958" t="s">
        <v>69</v>
      </c>
      <c r="Q958">
        <v>80.25</v>
      </c>
      <c r="R958" t="s">
        <v>25</v>
      </c>
      <c r="S958">
        <v>1.5514018691588785</v>
      </c>
      <c r="T958" t="s">
        <v>78</v>
      </c>
    </row>
    <row r="959" spans="1:20" x14ac:dyDescent="0.25">
      <c r="A959" s="11">
        <v>45096</v>
      </c>
      <c r="B959" t="s">
        <v>30</v>
      </c>
      <c r="C959" t="s">
        <v>31</v>
      </c>
      <c r="D959" t="s">
        <v>48</v>
      </c>
      <c r="E959" t="s">
        <v>38</v>
      </c>
      <c r="F959">
        <v>153</v>
      </c>
      <c r="G959">
        <v>4.8499999999999996</v>
      </c>
      <c r="H959">
        <v>742.05</v>
      </c>
      <c r="I959" t="s">
        <v>55</v>
      </c>
      <c r="J959" t="s">
        <v>56</v>
      </c>
      <c r="K959" t="s">
        <v>28</v>
      </c>
      <c r="L959">
        <v>663.85</v>
      </c>
      <c r="M959">
        <v>10.5</v>
      </c>
      <c r="N959">
        <v>2023</v>
      </c>
      <c r="O959">
        <v>2</v>
      </c>
      <c r="P959" t="s">
        <v>70</v>
      </c>
      <c r="Q959">
        <v>78.2</v>
      </c>
      <c r="R959" t="s">
        <v>29</v>
      </c>
      <c r="S959">
        <v>8.4891304347826093</v>
      </c>
      <c r="T959" t="s">
        <v>78</v>
      </c>
    </row>
    <row r="960" spans="1:20" x14ac:dyDescent="0.25">
      <c r="A960" s="11">
        <v>44938</v>
      </c>
      <c r="B960" t="s">
        <v>30</v>
      </c>
      <c r="C960" t="s">
        <v>31</v>
      </c>
      <c r="D960" t="s">
        <v>45</v>
      </c>
      <c r="E960" t="s">
        <v>20</v>
      </c>
      <c r="F960">
        <v>61</v>
      </c>
      <c r="G960">
        <v>5.92</v>
      </c>
      <c r="H960">
        <v>361.12</v>
      </c>
      <c r="I960" t="s">
        <v>55</v>
      </c>
      <c r="J960" t="s">
        <v>47</v>
      </c>
      <c r="K960" t="s">
        <v>23</v>
      </c>
      <c r="L960">
        <v>283.35000000000002</v>
      </c>
      <c r="M960">
        <v>21.5</v>
      </c>
      <c r="N960">
        <v>2023</v>
      </c>
      <c r="O960">
        <v>1</v>
      </c>
      <c r="P960" t="s">
        <v>24</v>
      </c>
      <c r="Q960">
        <v>77.77</v>
      </c>
      <c r="R960" t="s">
        <v>29</v>
      </c>
      <c r="S960">
        <v>3.6434357721486439</v>
      </c>
      <c r="T960" t="s">
        <v>78</v>
      </c>
    </row>
    <row r="961" spans="1:20" x14ac:dyDescent="0.25">
      <c r="A961" s="11">
        <v>45083</v>
      </c>
      <c r="B961" t="s">
        <v>30</v>
      </c>
      <c r="C961" t="s">
        <v>31</v>
      </c>
      <c r="D961" t="s">
        <v>37</v>
      </c>
      <c r="E961" t="s">
        <v>38</v>
      </c>
      <c r="F961">
        <v>58</v>
      </c>
      <c r="G961">
        <v>7.4</v>
      </c>
      <c r="H961">
        <v>429.2</v>
      </c>
      <c r="I961" t="s">
        <v>39</v>
      </c>
      <c r="J961" t="s">
        <v>56</v>
      </c>
      <c r="K961" t="s">
        <v>28</v>
      </c>
      <c r="L961">
        <v>352.99</v>
      </c>
      <c r="M961">
        <v>17.8</v>
      </c>
      <c r="N961">
        <v>2023</v>
      </c>
      <c r="O961">
        <v>2</v>
      </c>
      <c r="P961" t="s">
        <v>68</v>
      </c>
      <c r="Q961">
        <v>76.209999999999994</v>
      </c>
      <c r="R961" t="s">
        <v>29</v>
      </c>
      <c r="S961">
        <v>4.6318068494948177</v>
      </c>
      <c r="T961" t="s">
        <v>78</v>
      </c>
    </row>
    <row r="962" spans="1:20" x14ac:dyDescent="0.25">
      <c r="A962" s="11">
        <v>45012</v>
      </c>
      <c r="B962" t="s">
        <v>51</v>
      </c>
      <c r="C962" t="s">
        <v>52</v>
      </c>
      <c r="D962" t="s">
        <v>45</v>
      </c>
      <c r="E962" t="s">
        <v>20</v>
      </c>
      <c r="F962">
        <v>194</v>
      </c>
      <c r="G962">
        <v>3.49</v>
      </c>
      <c r="H962">
        <v>677.06</v>
      </c>
      <c r="I962" t="s">
        <v>46</v>
      </c>
      <c r="J962" t="s">
        <v>40</v>
      </c>
      <c r="K962" t="s">
        <v>41</v>
      </c>
      <c r="L962">
        <v>601.16</v>
      </c>
      <c r="M962">
        <v>11.2</v>
      </c>
      <c r="N962">
        <v>2023</v>
      </c>
      <c r="O962">
        <v>1</v>
      </c>
      <c r="P962" t="s">
        <v>62</v>
      </c>
      <c r="Q962">
        <v>75.900000000000006</v>
      </c>
      <c r="R962" t="s">
        <v>29</v>
      </c>
      <c r="S962">
        <v>7.9204216073781284</v>
      </c>
      <c r="T962" t="s">
        <v>78</v>
      </c>
    </row>
    <row r="963" spans="1:20" x14ac:dyDescent="0.25">
      <c r="A963" s="11">
        <v>45067</v>
      </c>
      <c r="B963" t="s">
        <v>42</v>
      </c>
      <c r="C963" t="s">
        <v>43</v>
      </c>
      <c r="D963" t="s">
        <v>44</v>
      </c>
      <c r="E963" t="s">
        <v>38</v>
      </c>
      <c r="F963">
        <v>95</v>
      </c>
      <c r="G963">
        <v>3.24</v>
      </c>
      <c r="H963">
        <v>307.8</v>
      </c>
      <c r="I963" t="s">
        <v>33</v>
      </c>
      <c r="J963" t="s">
        <v>22</v>
      </c>
      <c r="K963" t="s">
        <v>41</v>
      </c>
      <c r="L963">
        <v>234.19</v>
      </c>
      <c r="M963">
        <v>23.9</v>
      </c>
      <c r="N963">
        <v>2023</v>
      </c>
      <c r="O963">
        <v>2</v>
      </c>
      <c r="P963" t="s">
        <v>66</v>
      </c>
      <c r="Q963">
        <v>73.61</v>
      </c>
      <c r="R963" t="s">
        <v>29</v>
      </c>
      <c r="S963">
        <v>3.1814970792011956</v>
      </c>
      <c r="T963" t="s">
        <v>78</v>
      </c>
    </row>
    <row r="964" spans="1:20" x14ac:dyDescent="0.25">
      <c r="A964" s="11">
        <v>44966</v>
      </c>
      <c r="B964" t="s">
        <v>30</v>
      </c>
      <c r="C964" t="s">
        <v>31</v>
      </c>
      <c r="D964" t="s">
        <v>49</v>
      </c>
      <c r="E964" t="s">
        <v>50</v>
      </c>
      <c r="F964">
        <v>359</v>
      </c>
      <c r="G964">
        <v>2.02</v>
      </c>
      <c r="H964">
        <v>725.18</v>
      </c>
      <c r="I964" t="s">
        <v>21</v>
      </c>
      <c r="J964" t="s">
        <v>22</v>
      </c>
      <c r="K964" t="s">
        <v>41</v>
      </c>
      <c r="L964">
        <v>652.4</v>
      </c>
      <c r="M964">
        <v>10</v>
      </c>
      <c r="N964">
        <v>2023</v>
      </c>
      <c r="O964">
        <v>1</v>
      </c>
      <c r="P964" t="s">
        <v>60</v>
      </c>
      <c r="Q964">
        <v>72.78</v>
      </c>
      <c r="R964" t="s">
        <v>29</v>
      </c>
      <c r="S964">
        <v>8.9640010992030774</v>
      </c>
      <c r="T964" t="s">
        <v>78</v>
      </c>
    </row>
    <row r="965" spans="1:20" x14ac:dyDescent="0.25">
      <c r="A965" s="11">
        <v>45040</v>
      </c>
      <c r="B965" t="s">
        <v>58</v>
      </c>
      <c r="C965" t="s">
        <v>59</v>
      </c>
      <c r="D965" t="s">
        <v>32</v>
      </c>
      <c r="E965" t="s">
        <v>20</v>
      </c>
      <c r="F965">
        <v>131</v>
      </c>
      <c r="G965">
        <v>3.34</v>
      </c>
      <c r="H965">
        <v>437.54</v>
      </c>
      <c r="I965" t="s">
        <v>21</v>
      </c>
      <c r="J965" t="s">
        <v>47</v>
      </c>
      <c r="K965" t="s">
        <v>28</v>
      </c>
      <c r="L965">
        <v>364.85</v>
      </c>
      <c r="M965">
        <v>16.600000000000001</v>
      </c>
      <c r="N965">
        <v>2023</v>
      </c>
      <c r="O965">
        <v>2</v>
      </c>
      <c r="P965" t="s">
        <v>63</v>
      </c>
      <c r="Q965">
        <v>72.69</v>
      </c>
      <c r="R965" t="s">
        <v>29</v>
      </c>
      <c r="S965">
        <v>5.0192598706837259</v>
      </c>
      <c r="T965" t="s">
        <v>78</v>
      </c>
    </row>
    <row r="966" spans="1:20" x14ac:dyDescent="0.25">
      <c r="A966" s="11">
        <v>44968</v>
      </c>
      <c r="B966" t="s">
        <v>30</v>
      </c>
      <c r="C966" t="s">
        <v>31</v>
      </c>
      <c r="D966" t="s">
        <v>49</v>
      </c>
      <c r="E966" t="s">
        <v>50</v>
      </c>
      <c r="F966">
        <v>54</v>
      </c>
      <c r="G966">
        <v>4.6100000000000003</v>
      </c>
      <c r="H966">
        <v>248.94</v>
      </c>
      <c r="I966" t="s">
        <v>39</v>
      </c>
      <c r="J966" t="s">
        <v>34</v>
      </c>
      <c r="K966" t="s">
        <v>23</v>
      </c>
      <c r="L966">
        <v>178.14</v>
      </c>
      <c r="M966">
        <v>28.4</v>
      </c>
      <c r="N966">
        <v>2023</v>
      </c>
      <c r="O966">
        <v>1</v>
      </c>
      <c r="P966" t="s">
        <v>60</v>
      </c>
      <c r="Q966">
        <v>70.8</v>
      </c>
      <c r="R966" t="s">
        <v>25</v>
      </c>
      <c r="S966">
        <v>2.5161016949152541</v>
      </c>
      <c r="T966" t="s">
        <v>78</v>
      </c>
    </row>
    <row r="967" spans="1:20" x14ac:dyDescent="0.25">
      <c r="A967" s="11">
        <v>44932</v>
      </c>
      <c r="B967" t="s">
        <v>30</v>
      </c>
      <c r="C967" t="s">
        <v>31</v>
      </c>
      <c r="D967" t="s">
        <v>53</v>
      </c>
      <c r="E967" t="s">
        <v>50</v>
      </c>
      <c r="F967">
        <v>63</v>
      </c>
      <c r="G967">
        <v>3.41</v>
      </c>
      <c r="H967">
        <v>214.83</v>
      </c>
      <c r="I967" t="s">
        <v>21</v>
      </c>
      <c r="J967" t="s">
        <v>22</v>
      </c>
      <c r="K967" t="s">
        <v>23</v>
      </c>
      <c r="L967">
        <v>144.49</v>
      </c>
      <c r="M967">
        <v>32.700000000000003</v>
      </c>
      <c r="N967">
        <v>2023</v>
      </c>
      <c r="O967">
        <v>1</v>
      </c>
      <c r="P967" t="s">
        <v>24</v>
      </c>
      <c r="Q967">
        <v>70.34</v>
      </c>
      <c r="R967" t="s">
        <v>25</v>
      </c>
      <c r="S967">
        <v>2.0541654819448394</v>
      </c>
      <c r="T967" t="s">
        <v>78</v>
      </c>
    </row>
    <row r="968" spans="1:20" x14ac:dyDescent="0.25">
      <c r="A968" s="11">
        <v>45078</v>
      </c>
      <c r="B968" t="s">
        <v>30</v>
      </c>
      <c r="C968" t="s">
        <v>31</v>
      </c>
      <c r="D968" t="s">
        <v>19</v>
      </c>
      <c r="E968" t="s">
        <v>20</v>
      </c>
      <c r="F968">
        <v>51</v>
      </c>
      <c r="G968">
        <v>11.14</v>
      </c>
      <c r="H968">
        <v>568.14</v>
      </c>
      <c r="I968" t="s">
        <v>26</v>
      </c>
      <c r="J968" t="s">
        <v>27</v>
      </c>
      <c r="K968" t="s">
        <v>28</v>
      </c>
      <c r="L968">
        <v>498.07</v>
      </c>
      <c r="M968">
        <v>12.3</v>
      </c>
      <c r="N968">
        <v>2023</v>
      </c>
      <c r="O968">
        <v>2</v>
      </c>
      <c r="P968" t="s">
        <v>68</v>
      </c>
      <c r="Q968">
        <v>70.069999999999993</v>
      </c>
      <c r="R968" t="s">
        <v>29</v>
      </c>
      <c r="S968">
        <v>7.1081775367489657</v>
      </c>
      <c r="T968" t="s">
        <v>78</v>
      </c>
    </row>
    <row r="969" spans="1:20" x14ac:dyDescent="0.25">
      <c r="A969" s="11">
        <v>44999</v>
      </c>
      <c r="B969" t="s">
        <v>51</v>
      </c>
      <c r="C969" t="s">
        <v>52</v>
      </c>
      <c r="D969" t="s">
        <v>44</v>
      </c>
      <c r="E969" t="s">
        <v>38</v>
      </c>
      <c r="F969">
        <v>77</v>
      </c>
      <c r="G969">
        <v>7.32</v>
      </c>
      <c r="H969">
        <v>563.64</v>
      </c>
      <c r="I969" t="s">
        <v>21</v>
      </c>
      <c r="J969" t="s">
        <v>40</v>
      </c>
      <c r="K969" t="s">
        <v>41</v>
      </c>
      <c r="L969">
        <v>494.28</v>
      </c>
      <c r="M969">
        <v>12.3</v>
      </c>
      <c r="N969">
        <v>2023</v>
      </c>
      <c r="O969">
        <v>1</v>
      </c>
      <c r="P969" t="s">
        <v>61</v>
      </c>
      <c r="Q969">
        <v>69.36</v>
      </c>
      <c r="R969" t="s">
        <v>29</v>
      </c>
      <c r="S969">
        <v>7.1262975778546709</v>
      </c>
      <c r="T969" t="s">
        <v>78</v>
      </c>
    </row>
    <row r="970" spans="1:20" x14ac:dyDescent="0.25">
      <c r="A970" s="11">
        <v>45088</v>
      </c>
      <c r="B970" t="s">
        <v>35</v>
      </c>
      <c r="C970" t="s">
        <v>36</v>
      </c>
      <c r="D970" t="s">
        <v>48</v>
      </c>
      <c r="E970" t="s">
        <v>38</v>
      </c>
      <c r="F970">
        <v>96</v>
      </c>
      <c r="G970">
        <v>7.01</v>
      </c>
      <c r="H970">
        <v>672.96</v>
      </c>
      <c r="I970" t="s">
        <v>57</v>
      </c>
      <c r="J970" t="s">
        <v>22</v>
      </c>
      <c r="K970" t="s">
        <v>28</v>
      </c>
      <c r="L970">
        <v>604.1</v>
      </c>
      <c r="M970">
        <v>10.199999999999999</v>
      </c>
      <c r="N970">
        <v>2023</v>
      </c>
      <c r="O970">
        <v>2</v>
      </c>
      <c r="P970" t="s">
        <v>69</v>
      </c>
      <c r="Q970">
        <v>68.86</v>
      </c>
      <c r="R970" t="s">
        <v>29</v>
      </c>
      <c r="S970">
        <v>8.7728724949172232</v>
      </c>
      <c r="T970" t="s">
        <v>78</v>
      </c>
    </row>
    <row r="971" spans="1:20" x14ac:dyDescent="0.25">
      <c r="A971" s="11">
        <v>44954</v>
      </c>
      <c r="B971" t="s">
        <v>58</v>
      </c>
      <c r="C971" t="s">
        <v>59</v>
      </c>
      <c r="D971" t="s">
        <v>45</v>
      </c>
      <c r="E971" t="s">
        <v>20</v>
      </c>
      <c r="F971">
        <v>74</v>
      </c>
      <c r="G971">
        <v>6.21</v>
      </c>
      <c r="H971">
        <v>459.54</v>
      </c>
      <c r="I971" t="s">
        <v>55</v>
      </c>
      <c r="J971" t="s">
        <v>47</v>
      </c>
      <c r="K971" t="s">
        <v>28</v>
      </c>
      <c r="L971">
        <v>392.54</v>
      </c>
      <c r="M971">
        <v>14.6</v>
      </c>
      <c r="N971">
        <v>2023</v>
      </c>
      <c r="O971">
        <v>1</v>
      </c>
      <c r="P971" t="s">
        <v>24</v>
      </c>
      <c r="Q971">
        <v>67</v>
      </c>
      <c r="R971" t="s">
        <v>29</v>
      </c>
      <c r="S971">
        <v>5.8588059701492536</v>
      </c>
      <c r="T971" t="s">
        <v>78</v>
      </c>
    </row>
    <row r="972" spans="1:20" x14ac:dyDescent="0.25">
      <c r="A972" s="11">
        <v>45099</v>
      </c>
      <c r="B972" t="s">
        <v>51</v>
      </c>
      <c r="C972" t="s">
        <v>52</v>
      </c>
      <c r="D972" t="s">
        <v>37</v>
      </c>
      <c r="E972" t="s">
        <v>38</v>
      </c>
      <c r="F972">
        <v>113</v>
      </c>
      <c r="G972">
        <v>4.38</v>
      </c>
      <c r="H972">
        <v>494.94</v>
      </c>
      <c r="I972" t="s">
        <v>55</v>
      </c>
      <c r="J972" t="s">
        <v>56</v>
      </c>
      <c r="K972" t="s">
        <v>28</v>
      </c>
      <c r="L972">
        <v>429.29</v>
      </c>
      <c r="M972">
        <v>13.3</v>
      </c>
      <c r="N972">
        <v>2024</v>
      </c>
      <c r="O972">
        <v>2</v>
      </c>
      <c r="P972" t="s">
        <v>24</v>
      </c>
      <c r="Q972">
        <v>65.650000000000006</v>
      </c>
      <c r="R972" t="s">
        <v>29</v>
      </c>
      <c r="S972">
        <v>6.5390708301599387</v>
      </c>
      <c r="T972" t="s">
        <v>78</v>
      </c>
    </row>
    <row r="973" spans="1:20" x14ac:dyDescent="0.25">
      <c r="A973" s="11">
        <v>45027</v>
      </c>
      <c r="B973" t="s">
        <v>17</v>
      </c>
      <c r="C973" t="s">
        <v>18</v>
      </c>
      <c r="D973" t="s">
        <v>44</v>
      </c>
      <c r="E973" t="s">
        <v>38</v>
      </c>
      <c r="F973">
        <v>68</v>
      </c>
      <c r="G973">
        <v>2.75</v>
      </c>
      <c r="H973">
        <v>187</v>
      </c>
      <c r="I973" t="s">
        <v>39</v>
      </c>
      <c r="J973" t="s">
        <v>40</v>
      </c>
      <c r="K973" t="s">
        <v>28</v>
      </c>
      <c r="L973">
        <v>122.31</v>
      </c>
      <c r="M973">
        <v>34.6</v>
      </c>
      <c r="N973">
        <v>2023</v>
      </c>
      <c r="O973">
        <v>2</v>
      </c>
      <c r="P973" t="s">
        <v>63</v>
      </c>
      <c r="Q973">
        <v>64.69</v>
      </c>
      <c r="R973" t="s">
        <v>25</v>
      </c>
      <c r="S973">
        <v>1.8907095377956409</v>
      </c>
      <c r="T973" t="s">
        <v>78</v>
      </c>
    </row>
    <row r="974" spans="1:20" x14ac:dyDescent="0.25">
      <c r="A974" s="11">
        <v>44988</v>
      </c>
      <c r="B974" t="s">
        <v>17</v>
      </c>
      <c r="C974" t="s">
        <v>18</v>
      </c>
      <c r="D974" t="s">
        <v>32</v>
      </c>
      <c r="E974" t="s">
        <v>20</v>
      </c>
      <c r="F974">
        <v>150</v>
      </c>
      <c r="G974">
        <v>3.27</v>
      </c>
      <c r="H974">
        <v>490.5</v>
      </c>
      <c r="I974" t="s">
        <v>57</v>
      </c>
      <c r="J974" t="s">
        <v>47</v>
      </c>
      <c r="K974" t="s">
        <v>41</v>
      </c>
      <c r="L974">
        <v>426.44</v>
      </c>
      <c r="M974">
        <v>13.1</v>
      </c>
      <c r="N974">
        <v>2023</v>
      </c>
      <c r="O974">
        <v>1</v>
      </c>
      <c r="P974" t="s">
        <v>61</v>
      </c>
      <c r="Q974">
        <v>64.06</v>
      </c>
      <c r="R974" t="s">
        <v>29</v>
      </c>
      <c r="S974">
        <v>6.6568841710896036</v>
      </c>
      <c r="T974" t="s">
        <v>78</v>
      </c>
    </row>
    <row r="975" spans="1:20" x14ac:dyDescent="0.25">
      <c r="A975" s="11">
        <v>45105</v>
      </c>
      <c r="B975" t="s">
        <v>35</v>
      </c>
      <c r="C975" t="s">
        <v>36</v>
      </c>
      <c r="D975" t="s">
        <v>37</v>
      </c>
      <c r="E975" t="s">
        <v>38</v>
      </c>
      <c r="F975">
        <v>210</v>
      </c>
      <c r="G975">
        <v>2.5099999999999998</v>
      </c>
      <c r="H975">
        <v>527.1</v>
      </c>
      <c r="I975" t="s">
        <v>26</v>
      </c>
      <c r="J975" t="s">
        <v>27</v>
      </c>
      <c r="K975" t="s">
        <v>23</v>
      </c>
      <c r="L975">
        <v>464.62</v>
      </c>
      <c r="M975">
        <v>11.9</v>
      </c>
      <c r="N975">
        <v>2024</v>
      </c>
      <c r="O975">
        <v>2</v>
      </c>
      <c r="P975" t="s">
        <v>60</v>
      </c>
      <c r="Q975">
        <v>62.48</v>
      </c>
      <c r="R975" t="s">
        <v>29</v>
      </c>
      <c r="S975">
        <v>7.4362996158770809</v>
      </c>
      <c r="T975" t="s">
        <v>78</v>
      </c>
    </row>
    <row r="976" spans="1:20" x14ac:dyDescent="0.25">
      <c r="A976" s="11">
        <v>45117</v>
      </c>
      <c r="B976" t="s">
        <v>58</v>
      </c>
      <c r="C976" t="s">
        <v>59</v>
      </c>
      <c r="D976" t="s">
        <v>53</v>
      </c>
      <c r="E976" t="s">
        <v>50</v>
      </c>
      <c r="F976">
        <v>58</v>
      </c>
      <c r="G976">
        <v>2.73</v>
      </c>
      <c r="H976">
        <v>158.34</v>
      </c>
      <c r="I976" t="s">
        <v>33</v>
      </c>
      <c r="J976" t="s">
        <v>34</v>
      </c>
      <c r="K976" t="s">
        <v>23</v>
      </c>
      <c r="L976">
        <v>99.51</v>
      </c>
      <c r="M976">
        <v>37.200000000000003</v>
      </c>
      <c r="N976">
        <v>2024</v>
      </c>
      <c r="O976">
        <v>3</v>
      </c>
      <c r="P976" t="s">
        <v>63</v>
      </c>
      <c r="Q976">
        <v>58.83</v>
      </c>
      <c r="R976" t="s">
        <v>25</v>
      </c>
      <c r="S976">
        <v>1.6914839367669559</v>
      </c>
      <c r="T976" t="s">
        <v>78</v>
      </c>
    </row>
    <row r="977" spans="1:20" x14ac:dyDescent="0.25">
      <c r="A977" s="11">
        <v>45043</v>
      </c>
      <c r="B977" t="s">
        <v>42</v>
      </c>
      <c r="C977" t="s">
        <v>43</v>
      </c>
      <c r="D977" t="s">
        <v>49</v>
      </c>
      <c r="E977" t="s">
        <v>50</v>
      </c>
      <c r="F977">
        <v>50</v>
      </c>
      <c r="G977">
        <v>11.62</v>
      </c>
      <c r="H977">
        <v>581</v>
      </c>
      <c r="I977" t="s">
        <v>26</v>
      </c>
      <c r="J977" t="s">
        <v>56</v>
      </c>
      <c r="K977" t="s">
        <v>41</v>
      </c>
      <c r="L977">
        <v>522.27</v>
      </c>
      <c r="M977">
        <v>10.1</v>
      </c>
      <c r="N977">
        <v>2023</v>
      </c>
      <c r="O977">
        <v>2</v>
      </c>
      <c r="P977" t="s">
        <v>64</v>
      </c>
      <c r="Q977">
        <v>58.73</v>
      </c>
      <c r="R977" t="s">
        <v>29</v>
      </c>
      <c r="S977">
        <v>8.8927294398092975</v>
      </c>
      <c r="T977" t="s">
        <v>78</v>
      </c>
    </row>
    <row r="978" spans="1:20" x14ac:dyDescent="0.25">
      <c r="A978" s="11">
        <v>45127</v>
      </c>
      <c r="B978" t="s">
        <v>58</v>
      </c>
      <c r="C978" t="s">
        <v>59</v>
      </c>
      <c r="D978" t="s">
        <v>45</v>
      </c>
      <c r="E978" t="s">
        <v>20</v>
      </c>
      <c r="F978">
        <v>52</v>
      </c>
      <c r="G978">
        <v>9.65</v>
      </c>
      <c r="H978">
        <v>501.8</v>
      </c>
      <c r="I978" t="s">
        <v>39</v>
      </c>
      <c r="J978" t="s">
        <v>22</v>
      </c>
      <c r="K978" t="s">
        <v>28</v>
      </c>
      <c r="L978">
        <v>445.51</v>
      </c>
      <c r="M978">
        <v>11.2</v>
      </c>
      <c r="N978">
        <v>2025</v>
      </c>
      <c r="O978">
        <v>3</v>
      </c>
      <c r="P978" t="s">
        <v>24</v>
      </c>
      <c r="Q978">
        <v>56.29</v>
      </c>
      <c r="R978" t="s">
        <v>29</v>
      </c>
      <c r="S978">
        <v>7.9145496535796767</v>
      </c>
      <c r="T978" t="s">
        <v>78</v>
      </c>
    </row>
    <row r="979" spans="1:20" x14ac:dyDescent="0.25">
      <c r="A979" s="11">
        <v>45064</v>
      </c>
      <c r="B979" t="s">
        <v>35</v>
      </c>
      <c r="C979" t="s">
        <v>36</v>
      </c>
      <c r="D979" t="s">
        <v>48</v>
      </c>
      <c r="E979" t="s">
        <v>38</v>
      </c>
      <c r="F979">
        <v>177</v>
      </c>
      <c r="G979">
        <v>2.68</v>
      </c>
      <c r="H979">
        <v>474.36</v>
      </c>
      <c r="I979" t="s">
        <v>55</v>
      </c>
      <c r="J979" t="s">
        <v>27</v>
      </c>
      <c r="K979" t="s">
        <v>28</v>
      </c>
      <c r="L979">
        <v>418.65</v>
      </c>
      <c r="M979">
        <v>11.7</v>
      </c>
      <c r="N979">
        <v>2023</v>
      </c>
      <c r="O979">
        <v>2</v>
      </c>
      <c r="P979" t="s">
        <v>65</v>
      </c>
      <c r="Q979">
        <v>55.71</v>
      </c>
      <c r="R979" t="s">
        <v>29</v>
      </c>
      <c r="S979">
        <v>7.5148088314485726</v>
      </c>
      <c r="T979" t="s">
        <v>78</v>
      </c>
    </row>
    <row r="980" spans="1:20" x14ac:dyDescent="0.25">
      <c r="A980" s="11">
        <v>44940</v>
      </c>
      <c r="B980" t="s">
        <v>51</v>
      </c>
      <c r="C980" t="s">
        <v>52</v>
      </c>
      <c r="D980" t="s">
        <v>44</v>
      </c>
      <c r="E980" t="s">
        <v>38</v>
      </c>
      <c r="F980">
        <v>51</v>
      </c>
      <c r="G980">
        <v>5.41</v>
      </c>
      <c r="H980">
        <v>275.91000000000003</v>
      </c>
      <c r="I980" t="s">
        <v>57</v>
      </c>
      <c r="J980" t="s">
        <v>40</v>
      </c>
      <c r="K980" t="s">
        <v>23</v>
      </c>
      <c r="L980">
        <v>220.91</v>
      </c>
      <c r="M980">
        <v>19.899999999999999</v>
      </c>
      <c r="N980">
        <v>2023</v>
      </c>
      <c r="O980">
        <v>1</v>
      </c>
      <c r="P980" t="s">
        <v>24</v>
      </c>
      <c r="Q980">
        <v>55</v>
      </c>
      <c r="R980" t="s">
        <v>29</v>
      </c>
      <c r="S980">
        <v>4.0165454545454544</v>
      </c>
      <c r="T980" t="s">
        <v>78</v>
      </c>
    </row>
    <row r="981" spans="1:20" x14ac:dyDescent="0.25">
      <c r="A981" s="11">
        <v>45013</v>
      </c>
      <c r="B981" t="s">
        <v>17</v>
      </c>
      <c r="C981" t="s">
        <v>18</v>
      </c>
      <c r="D981" t="s">
        <v>53</v>
      </c>
      <c r="E981" t="s">
        <v>50</v>
      </c>
      <c r="F981">
        <v>111</v>
      </c>
      <c r="G981">
        <v>4.07</v>
      </c>
      <c r="H981">
        <v>451.77</v>
      </c>
      <c r="I981" t="s">
        <v>54</v>
      </c>
      <c r="J981" t="s">
        <v>47</v>
      </c>
      <c r="K981" t="s">
        <v>41</v>
      </c>
      <c r="L981">
        <v>397.17</v>
      </c>
      <c r="M981">
        <v>12.1</v>
      </c>
      <c r="N981">
        <v>2023</v>
      </c>
      <c r="O981">
        <v>1</v>
      </c>
      <c r="P981" t="s">
        <v>62</v>
      </c>
      <c r="Q981">
        <v>54.6</v>
      </c>
      <c r="R981" t="s">
        <v>29</v>
      </c>
      <c r="S981">
        <v>7.2741758241758241</v>
      </c>
      <c r="T981" t="s">
        <v>78</v>
      </c>
    </row>
    <row r="982" spans="1:20" x14ac:dyDescent="0.25">
      <c r="A982" s="11">
        <v>45013</v>
      </c>
      <c r="B982" t="s">
        <v>51</v>
      </c>
      <c r="C982" t="s">
        <v>52</v>
      </c>
      <c r="D982" t="s">
        <v>53</v>
      </c>
      <c r="E982" t="s">
        <v>50</v>
      </c>
      <c r="F982">
        <v>56</v>
      </c>
      <c r="G982">
        <v>6.07</v>
      </c>
      <c r="H982">
        <v>339.92</v>
      </c>
      <c r="I982" t="s">
        <v>46</v>
      </c>
      <c r="J982" t="s">
        <v>56</v>
      </c>
      <c r="K982" t="s">
        <v>41</v>
      </c>
      <c r="L982">
        <v>286.89999999999998</v>
      </c>
      <c r="M982">
        <v>15.6</v>
      </c>
      <c r="N982">
        <v>2023</v>
      </c>
      <c r="O982">
        <v>1</v>
      </c>
      <c r="P982" t="s">
        <v>62</v>
      </c>
      <c r="Q982">
        <v>53.02</v>
      </c>
      <c r="R982" t="s">
        <v>29</v>
      </c>
      <c r="S982">
        <v>5.4111655978875888</v>
      </c>
      <c r="T982" t="s">
        <v>78</v>
      </c>
    </row>
    <row r="983" spans="1:20" x14ac:dyDescent="0.25">
      <c r="A983" s="11">
        <v>44945</v>
      </c>
      <c r="B983" t="s">
        <v>30</v>
      </c>
      <c r="C983" t="s">
        <v>31</v>
      </c>
      <c r="D983" t="s">
        <v>44</v>
      </c>
      <c r="E983" t="s">
        <v>38</v>
      </c>
      <c r="F983">
        <v>69</v>
      </c>
      <c r="G983">
        <v>5.15</v>
      </c>
      <c r="H983">
        <v>355.35</v>
      </c>
      <c r="I983" t="s">
        <v>54</v>
      </c>
      <c r="J983" t="s">
        <v>34</v>
      </c>
      <c r="K983" t="s">
        <v>41</v>
      </c>
      <c r="L983">
        <v>303.2</v>
      </c>
      <c r="M983">
        <v>14.7</v>
      </c>
      <c r="N983">
        <v>2023</v>
      </c>
      <c r="O983">
        <v>1</v>
      </c>
      <c r="P983" t="s">
        <v>24</v>
      </c>
      <c r="Q983">
        <v>52.15</v>
      </c>
      <c r="R983" t="s">
        <v>29</v>
      </c>
      <c r="S983">
        <v>5.8139980824544581</v>
      </c>
      <c r="T983" t="s">
        <v>78</v>
      </c>
    </row>
    <row r="984" spans="1:20" x14ac:dyDescent="0.25">
      <c r="A984" s="11">
        <v>45117</v>
      </c>
      <c r="B984" t="s">
        <v>17</v>
      </c>
      <c r="C984" t="s">
        <v>18</v>
      </c>
      <c r="D984" t="s">
        <v>45</v>
      </c>
      <c r="E984" t="s">
        <v>20</v>
      </c>
      <c r="F984">
        <v>60</v>
      </c>
      <c r="G984">
        <v>4.29</v>
      </c>
      <c r="H984">
        <v>257.39999999999998</v>
      </c>
      <c r="I984" t="s">
        <v>55</v>
      </c>
      <c r="J984" t="s">
        <v>56</v>
      </c>
      <c r="K984" t="s">
        <v>23</v>
      </c>
      <c r="L984">
        <v>208.49</v>
      </c>
      <c r="M984">
        <v>19</v>
      </c>
      <c r="N984">
        <v>2024</v>
      </c>
      <c r="O984">
        <v>3</v>
      </c>
      <c r="P984" t="s">
        <v>64</v>
      </c>
      <c r="Q984">
        <v>48.91</v>
      </c>
      <c r="R984" t="s">
        <v>29</v>
      </c>
      <c r="S984">
        <v>4.262727458597424</v>
      </c>
      <c r="T984" t="s">
        <v>78</v>
      </c>
    </row>
    <row r="985" spans="1:20" x14ac:dyDescent="0.25">
      <c r="A985" s="11">
        <v>44955</v>
      </c>
      <c r="B985" t="s">
        <v>35</v>
      </c>
      <c r="C985" t="s">
        <v>36</v>
      </c>
      <c r="D985" t="s">
        <v>48</v>
      </c>
      <c r="E985" t="s">
        <v>38</v>
      </c>
      <c r="F985">
        <v>106</v>
      </c>
      <c r="G985">
        <v>3.97</v>
      </c>
      <c r="H985">
        <v>420.82</v>
      </c>
      <c r="I985" t="s">
        <v>26</v>
      </c>
      <c r="J985" t="s">
        <v>47</v>
      </c>
      <c r="K985" t="s">
        <v>28</v>
      </c>
      <c r="L985">
        <v>372.62</v>
      </c>
      <c r="M985">
        <v>11.5</v>
      </c>
      <c r="N985">
        <v>2023</v>
      </c>
      <c r="O985">
        <v>1</v>
      </c>
      <c r="P985" t="s">
        <v>60</v>
      </c>
      <c r="Q985">
        <v>48.2</v>
      </c>
      <c r="R985" t="s">
        <v>29</v>
      </c>
      <c r="S985">
        <v>7.7307053941908714</v>
      </c>
      <c r="T985" t="s">
        <v>78</v>
      </c>
    </row>
    <row r="986" spans="1:20" x14ac:dyDescent="0.25">
      <c r="A986" s="11">
        <v>45116</v>
      </c>
      <c r="B986" t="s">
        <v>51</v>
      </c>
      <c r="C986" t="s">
        <v>52</v>
      </c>
      <c r="D986" t="s">
        <v>19</v>
      </c>
      <c r="E986" t="s">
        <v>20</v>
      </c>
      <c r="F986">
        <v>57</v>
      </c>
      <c r="G986">
        <v>3.68</v>
      </c>
      <c r="H986">
        <v>209.76</v>
      </c>
      <c r="I986" t="s">
        <v>54</v>
      </c>
      <c r="J986" t="s">
        <v>22</v>
      </c>
      <c r="K986" t="s">
        <v>28</v>
      </c>
      <c r="L986">
        <v>162.22999999999999</v>
      </c>
      <c r="M986">
        <v>22.7</v>
      </c>
      <c r="N986">
        <v>2024</v>
      </c>
      <c r="O986">
        <v>3</v>
      </c>
      <c r="P986" t="s">
        <v>63</v>
      </c>
      <c r="Q986">
        <v>47.53</v>
      </c>
      <c r="R986" t="s">
        <v>29</v>
      </c>
      <c r="S986">
        <v>3.4132127077635173</v>
      </c>
      <c r="T986" t="s">
        <v>78</v>
      </c>
    </row>
    <row r="987" spans="1:20" x14ac:dyDescent="0.25">
      <c r="A987" s="11">
        <v>45044</v>
      </c>
      <c r="B987" t="s">
        <v>30</v>
      </c>
      <c r="C987" t="s">
        <v>31</v>
      </c>
      <c r="D987" t="s">
        <v>45</v>
      </c>
      <c r="E987" t="s">
        <v>20</v>
      </c>
      <c r="F987">
        <v>66</v>
      </c>
      <c r="G987">
        <v>2.0299999999999998</v>
      </c>
      <c r="H987">
        <v>133.97999999999999</v>
      </c>
      <c r="I987" t="s">
        <v>46</v>
      </c>
      <c r="J987" t="s">
        <v>56</v>
      </c>
      <c r="K987" t="s">
        <v>41</v>
      </c>
      <c r="L987">
        <v>86.52</v>
      </c>
      <c r="M987">
        <v>35.4</v>
      </c>
      <c r="N987">
        <v>2023</v>
      </c>
      <c r="O987">
        <v>2</v>
      </c>
      <c r="P987" t="s">
        <v>64</v>
      </c>
      <c r="Q987">
        <v>47.46</v>
      </c>
      <c r="R987" t="s">
        <v>25</v>
      </c>
      <c r="S987">
        <v>1.8230088495575221</v>
      </c>
      <c r="T987" t="s">
        <v>78</v>
      </c>
    </row>
    <row r="988" spans="1:20" x14ac:dyDescent="0.25">
      <c r="A988" s="11">
        <v>45094</v>
      </c>
      <c r="B988" t="s">
        <v>51</v>
      </c>
      <c r="C988" t="s">
        <v>52</v>
      </c>
      <c r="D988" t="s">
        <v>45</v>
      </c>
      <c r="E988" t="s">
        <v>20</v>
      </c>
      <c r="F988">
        <v>119</v>
      </c>
      <c r="G988">
        <v>3.12</v>
      </c>
      <c r="H988">
        <v>371.28</v>
      </c>
      <c r="I988" t="s">
        <v>21</v>
      </c>
      <c r="J988" t="s">
        <v>27</v>
      </c>
      <c r="K988" t="s">
        <v>41</v>
      </c>
      <c r="L988">
        <v>323.86</v>
      </c>
      <c r="M988">
        <v>12.8</v>
      </c>
      <c r="N988">
        <v>2023</v>
      </c>
      <c r="O988">
        <v>2</v>
      </c>
      <c r="P988" t="s">
        <v>70</v>
      </c>
      <c r="Q988">
        <v>47.42</v>
      </c>
      <c r="R988" t="s">
        <v>29</v>
      </c>
      <c r="S988">
        <v>6.8296077604386332</v>
      </c>
      <c r="T988" t="s">
        <v>78</v>
      </c>
    </row>
    <row r="989" spans="1:20" x14ac:dyDescent="0.25">
      <c r="A989" s="11">
        <v>45042</v>
      </c>
      <c r="B989" t="s">
        <v>30</v>
      </c>
      <c r="C989" t="s">
        <v>31</v>
      </c>
      <c r="D989" t="s">
        <v>32</v>
      </c>
      <c r="E989" t="s">
        <v>20</v>
      </c>
      <c r="F989">
        <v>53</v>
      </c>
      <c r="G989">
        <v>6.14</v>
      </c>
      <c r="H989">
        <v>325.42</v>
      </c>
      <c r="I989" t="s">
        <v>39</v>
      </c>
      <c r="J989" t="s">
        <v>22</v>
      </c>
      <c r="K989" t="s">
        <v>23</v>
      </c>
      <c r="L989">
        <v>280.25</v>
      </c>
      <c r="M989">
        <v>13.9</v>
      </c>
      <c r="N989">
        <v>2023</v>
      </c>
      <c r="O989">
        <v>2</v>
      </c>
      <c r="P989" t="s">
        <v>64</v>
      </c>
      <c r="Q989">
        <v>45.17</v>
      </c>
      <c r="R989" t="s">
        <v>29</v>
      </c>
      <c r="S989">
        <v>6.2043391631613902</v>
      </c>
      <c r="T989" t="s">
        <v>78</v>
      </c>
    </row>
    <row r="990" spans="1:20" x14ac:dyDescent="0.25">
      <c r="A990" s="11">
        <v>45050</v>
      </c>
      <c r="B990" t="s">
        <v>30</v>
      </c>
      <c r="C990" t="s">
        <v>31</v>
      </c>
      <c r="D990" t="s">
        <v>53</v>
      </c>
      <c r="E990" t="s">
        <v>50</v>
      </c>
      <c r="F990">
        <v>101</v>
      </c>
      <c r="G990">
        <v>2.23</v>
      </c>
      <c r="H990">
        <v>225.23</v>
      </c>
      <c r="I990" t="s">
        <v>33</v>
      </c>
      <c r="J990" t="s">
        <v>34</v>
      </c>
      <c r="K990" t="s">
        <v>41</v>
      </c>
      <c r="L990">
        <v>180.6</v>
      </c>
      <c r="M990">
        <v>19.8</v>
      </c>
      <c r="N990">
        <v>2023</v>
      </c>
      <c r="O990">
        <v>2</v>
      </c>
      <c r="P990" t="s">
        <v>64</v>
      </c>
      <c r="Q990">
        <v>44.63</v>
      </c>
      <c r="R990" t="s">
        <v>29</v>
      </c>
      <c r="S990">
        <v>4.0466054223616394</v>
      </c>
      <c r="T990" t="s">
        <v>78</v>
      </c>
    </row>
    <row r="991" spans="1:20" x14ac:dyDescent="0.25">
      <c r="A991" s="11">
        <v>44977</v>
      </c>
      <c r="B991" t="s">
        <v>30</v>
      </c>
      <c r="C991" t="s">
        <v>31</v>
      </c>
      <c r="D991" t="s">
        <v>37</v>
      </c>
      <c r="E991" t="s">
        <v>38</v>
      </c>
      <c r="F991">
        <v>89</v>
      </c>
      <c r="G991">
        <v>3.54</v>
      </c>
      <c r="H991">
        <v>315.06</v>
      </c>
      <c r="I991" t="s">
        <v>21</v>
      </c>
      <c r="J991" t="s">
        <v>47</v>
      </c>
      <c r="K991" t="s">
        <v>28</v>
      </c>
      <c r="L991">
        <v>275.10000000000002</v>
      </c>
      <c r="M991">
        <v>12.7</v>
      </c>
      <c r="N991">
        <v>2023</v>
      </c>
      <c r="O991">
        <v>1</v>
      </c>
      <c r="P991" t="s">
        <v>60</v>
      </c>
      <c r="Q991">
        <v>39.96</v>
      </c>
      <c r="R991" t="s">
        <v>29</v>
      </c>
      <c r="S991">
        <v>6.8843843843843846</v>
      </c>
      <c r="T991" t="s">
        <v>78</v>
      </c>
    </row>
    <row r="992" spans="1:20" x14ac:dyDescent="0.25">
      <c r="A992" s="11">
        <v>45015</v>
      </c>
      <c r="B992" t="s">
        <v>17</v>
      </c>
      <c r="C992" t="s">
        <v>18</v>
      </c>
      <c r="D992" t="s">
        <v>45</v>
      </c>
      <c r="E992" t="s">
        <v>20</v>
      </c>
      <c r="F992">
        <v>91</v>
      </c>
      <c r="G992">
        <v>2.16</v>
      </c>
      <c r="H992">
        <v>196.56</v>
      </c>
      <c r="I992" t="s">
        <v>39</v>
      </c>
      <c r="J992" t="s">
        <v>40</v>
      </c>
      <c r="K992" t="s">
        <v>41</v>
      </c>
      <c r="L992">
        <v>161.65</v>
      </c>
      <c r="M992">
        <v>17.8</v>
      </c>
      <c r="N992">
        <v>2023</v>
      </c>
      <c r="O992">
        <v>1</v>
      </c>
      <c r="P992" t="s">
        <v>62</v>
      </c>
      <c r="Q992">
        <v>34.909999999999997</v>
      </c>
      <c r="R992" t="s">
        <v>29</v>
      </c>
      <c r="S992">
        <v>4.630478372959038</v>
      </c>
      <c r="T992" t="s">
        <v>78</v>
      </c>
    </row>
    <row r="993" spans="1:20" x14ac:dyDescent="0.25">
      <c r="A993" s="11">
        <v>44969</v>
      </c>
      <c r="B993" t="s">
        <v>42</v>
      </c>
      <c r="C993" t="s">
        <v>43</v>
      </c>
      <c r="D993" t="s">
        <v>19</v>
      </c>
      <c r="E993" t="s">
        <v>20</v>
      </c>
      <c r="F993">
        <v>62</v>
      </c>
      <c r="G993">
        <v>3.69</v>
      </c>
      <c r="H993">
        <v>228.78</v>
      </c>
      <c r="I993" t="s">
        <v>54</v>
      </c>
      <c r="J993" t="s">
        <v>56</v>
      </c>
      <c r="K993" t="s">
        <v>41</v>
      </c>
      <c r="L993">
        <v>196.13</v>
      </c>
      <c r="M993">
        <v>14.3</v>
      </c>
      <c r="N993">
        <v>2023</v>
      </c>
      <c r="O993">
        <v>1</v>
      </c>
      <c r="P993" t="s">
        <v>60</v>
      </c>
      <c r="Q993">
        <v>32.65</v>
      </c>
      <c r="R993" t="s">
        <v>29</v>
      </c>
      <c r="S993">
        <v>6.0070444104134761</v>
      </c>
      <c r="T993" t="s">
        <v>78</v>
      </c>
    </row>
    <row r="994" spans="1:20" x14ac:dyDescent="0.25">
      <c r="A994" s="11">
        <v>45035</v>
      </c>
      <c r="B994" t="s">
        <v>17</v>
      </c>
      <c r="C994" t="s">
        <v>18</v>
      </c>
      <c r="D994" t="s">
        <v>44</v>
      </c>
      <c r="E994" t="s">
        <v>38</v>
      </c>
      <c r="F994">
        <v>63</v>
      </c>
      <c r="G994">
        <v>3.33</v>
      </c>
      <c r="H994">
        <v>209.79</v>
      </c>
      <c r="I994" t="s">
        <v>39</v>
      </c>
      <c r="J994" t="s">
        <v>34</v>
      </c>
      <c r="K994" t="s">
        <v>28</v>
      </c>
      <c r="L994">
        <v>188.44</v>
      </c>
      <c r="M994">
        <v>10.199999999999999</v>
      </c>
      <c r="N994">
        <v>2023</v>
      </c>
      <c r="O994">
        <v>2</v>
      </c>
      <c r="P994" t="s">
        <v>63</v>
      </c>
      <c r="Q994">
        <v>21.35</v>
      </c>
      <c r="R994" t="s">
        <v>29</v>
      </c>
      <c r="S994">
        <v>8.8262295081967199</v>
      </c>
      <c r="T994" t="s">
        <v>78</v>
      </c>
    </row>
    <row r="995" spans="1:20" x14ac:dyDescent="0.25">
      <c r="O995">
        <v>1</v>
      </c>
      <c r="S995" t="e">
        <v>#DIV/0!</v>
      </c>
      <c r="T995" t="s">
        <v>82</v>
      </c>
    </row>
    <row r="996" spans="1:20" x14ac:dyDescent="0.25">
      <c r="O996">
        <v>1</v>
      </c>
      <c r="S996" t="e">
        <v>#DIV/0!</v>
      </c>
      <c r="T996" t="s">
        <v>82</v>
      </c>
    </row>
    <row r="997" spans="1:20" x14ac:dyDescent="0.25">
      <c r="O997">
        <v>1</v>
      </c>
      <c r="S997" t="e">
        <v>#DIV/0!</v>
      </c>
      <c r="T997" t="s">
        <v>82</v>
      </c>
    </row>
    <row r="998" spans="1:20" x14ac:dyDescent="0.25">
      <c r="O998">
        <v>1</v>
      </c>
      <c r="S998" t="e">
        <v>#DIV/0!</v>
      </c>
      <c r="T998" t="s">
        <v>82</v>
      </c>
    </row>
    <row r="999" spans="1:20" x14ac:dyDescent="0.25">
      <c r="O999">
        <v>1</v>
      </c>
      <c r="S999" t="e">
        <v>#DIV/0!</v>
      </c>
      <c r="T999" t="s">
        <v>82</v>
      </c>
    </row>
    <row r="1000" spans="1:20" x14ac:dyDescent="0.25">
      <c r="O1000">
        <v>1</v>
      </c>
      <c r="S1000" t="e">
        <v>#DIV/0!</v>
      </c>
      <c r="T1000" t="s">
        <v>82</v>
      </c>
    </row>
    <row r="1001" spans="1:20" x14ac:dyDescent="0.25">
      <c r="O1001">
        <v>1</v>
      </c>
      <c r="S1001" t="e">
        <v>#DIV/0!</v>
      </c>
      <c r="T1001" t="s">
        <v>82</v>
      </c>
    </row>
    <row r="1002" spans="1:20" x14ac:dyDescent="0.25">
      <c r="O1002">
        <v>1</v>
      </c>
      <c r="S1002" t="e">
        <v>#DIV/0!</v>
      </c>
      <c r="T1002" t="s">
        <v>82</v>
      </c>
    </row>
    <row r="1003" spans="1:20" x14ac:dyDescent="0.25">
      <c r="O1003">
        <v>1</v>
      </c>
      <c r="S1003" t="e">
        <v>#DIV/0!</v>
      </c>
      <c r="T1003" t="s">
        <v>82</v>
      </c>
    </row>
    <row r="1004" spans="1:20" x14ac:dyDescent="0.25">
      <c r="O1004">
        <v>1</v>
      </c>
      <c r="S1004" t="e">
        <v>#DIV/0!</v>
      </c>
      <c r="T1004" t="s">
        <v>82</v>
      </c>
    </row>
    <row r="1005" spans="1:20" x14ac:dyDescent="0.25">
      <c r="O1005">
        <v>1</v>
      </c>
      <c r="S1005" t="e">
        <v>#DIV/0!</v>
      </c>
      <c r="T1005" t="s">
        <v>82</v>
      </c>
    </row>
    <row r="1006" spans="1:20" x14ac:dyDescent="0.25">
      <c r="O1006">
        <v>1</v>
      </c>
      <c r="S1006" t="e">
        <v>#DIV/0!</v>
      </c>
      <c r="T1006" t="s">
        <v>82</v>
      </c>
    </row>
    <row r="1007" spans="1:20" x14ac:dyDescent="0.25">
      <c r="O1007">
        <v>1</v>
      </c>
      <c r="S1007" t="e">
        <v>#DIV/0!</v>
      </c>
      <c r="T1007" t="s">
        <v>82</v>
      </c>
    </row>
    <row r="1008" spans="1:20" x14ac:dyDescent="0.25">
      <c r="O1008">
        <v>1</v>
      </c>
      <c r="S1008" t="e">
        <v>#DIV/0!</v>
      </c>
      <c r="T1008" t="s">
        <v>82</v>
      </c>
    </row>
    <row r="1009" spans="15:20" x14ac:dyDescent="0.25">
      <c r="O1009">
        <v>1</v>
      </c>
      <c r="S1009" t="e">
        <v>#DIV/0!</v>
      </c>
      <c r="T1009" t="s">
        <v>82</v>
      </c>
    </row>
    <row r="1010" spans="15:20" x14ac:dyDescent="0.25">
      <c r="O1010">
        <v>1</v>
      </c>
      <c r="S1010" t="e">
        <v>#DIV/0!</v>
      </c>
      <c r="T1010" t="s">
        <v>82</v>
      </c>
    </row>
    <row r="1011" spans="15:20" x14ac:dyDescent="0.25">
      <c r="O1011">
        <v>1</v>
      </c>
      <c r="S1011" t="e">
        <v>#DIV/0!</v>
      </c>
      <c r="T1011" t="s">
        <v>82</v>
      </c>
    </row>
    <row r="1012" spans="15:20" x14ac:dyDescent="0.25">
      <c r="O1012">
        <v>1</v>
      </c>
      <c r="S1012" t="e">
        <v>#DIV/0!</v>
      </c>
      <c r="T1012" t="s">
        <v>82</v>
      </c>
    </row>
    <row r="1013" spans="15:20" x14ac:dyDescent="0.25">
      <c r="O1013">
        <v>1</v>
      </c>
      <c r="S1013" t="e">
        <v>#DIV/0!</v>
      </c>
      <c r="T1013" t="s">
        <v>82</v>
      </c>
    </row>
    <row r="1014" spans="15:20" x14ac:dyDescent="0.25">
      <c r="O1014">
        <v>1</v>
      </c>
      <c r="S1014" t="e">
        <v>#DIV/0!</v>
      </c>
      <c r="T1014" t="s">
        <v>82</v>
      </c>
    </row>
    <row r="1015" spans="15:20" x14ac:dyDescent="0.25">
      <c r="O1015">
        <v>1</v>
      </c>
      <c r="S1015" t="e">
        <v>#DIV/0!</v>
      </c>
      <c r="T1015" t="s">
        <v>82</v>
      </c>
    </row>
    <row r="1016" spans="15:20" x14ac:dyDescent="0.25">
      <c r="O1016">
        <v>1</v>
      </c>
      <c r="S1016" t="e">
        <v>#DIV/0!</v>
      </c>
      <c r="T1016" t="s">
        <v>82</v>
      </c>
    </row>
    <row r="1017" spans="15:20" x14ac:dyDescent="0.25">
      <c r="O1017">
        <v>1</v>
      </c>
      <c r="S1017" t="e">
        <v>#DIV/0!</v>
      </c>
      <c r="T1017" t="s">
        <v>82</v>
      </c>
    </row>
    <row r="1018" spans="15:20" x14ac:dyDescent="0.25">
      <c r="O1018">
        <v>1</v>
      </c>
      <c r="S1018" t="e">
        <v>#DIV/0!</v>
      </c>
      <c r="T1018" t="s">
        <v>82</v>
      </c>
    </row>
    <row r="1019" spans="15:20" x14ac:dyDescent="0.25">
      <c r="O1019">
        <v>1</v>
      </c>
      <c r="S1019" t="e">
        <v>#DIV/0!</v>
      </c>
      <c r="T1019" t="s">
        <v>82</v>
      </c>
    </row>
    <row r="1020" spans="15:20" x14ac:dyDescent="0.25">
      <c r="O1020">
        <v>1</v>
      </c>
      <c r="S1020" t="e">
        <v>#DIV/0!</v>
      </c>
      <c r="T1020" t="s">
        <v>82</v>
      </c>
    </row>
    <row r="1021" spans="15:20" x14ac:dyDescent="0.25">
      <c r="O1021">
        <v>1</v>
      </c>
      <c r="S1021" t="e">
        <v>#DIV/0!</v>
      </c>
      <c r="T1021" t="s">
        <v>82</v>
      </c>
    </row>
    <row r="1022" spans="15:20" x14ac:dyDescent="0.25">
      <c r="O1022">
        <v>1</v>
      </c>
      <c r="S1022" t="e">
        <v>#DIV/0!</v>
      </c>
      <c r="T1022" t="s">
        <v>82</v>
      </c>
    </row>
    <row r="1023" spans="15:20" x14ac:dyDescent="0.25">
      <c r="O1023">
        <v>1</v>
      </c>
      <c r="S1023" t="e">
        <v>#DIV/0!</v>
      </c>
      <c r="T1023" t="s">
        <v>82</v>
      </c>
    </row>
    <row r="1024" spans="15:20" x14ac:dyDescent="0.25">
      <c r="O1024">
        <v>1</v>
      </c>
      <c r="S1024" t="e">
        <v>#DIV/0!</v>
      </c>
      <c r="T1024" t="s">
        <v>82</v>
      </c>
    </row>
    <row r="1025" spans="15:20" x14ac:dyDescent="0.25">
      <c r="O1025">
        <v>1</v>
      </c>
      <c r="S1025" t="e">
        <v>#DIV/0!</v>
      </c>
      <c r="T1025" t="s">
        <v>82</v>
      </c>
    </row>
    <row r="1026" spans="15:20" x14ac:dyDescent="0.25">
      <c r="O1026">
        <v>1</v>
      </c>
      <c r="S1026" t="e">
        <v>#DIV/0!</v>
      </c>
      <c r="T1026" t="s">
        <v>82</v>
      </c>
    </row>
    <row r="1027" spans="15:20" x14ac:dyDescent="0.25">
      <c r="O1027">
        <v>1</v>
      </c>
      <c r="S1027" t="e">
        <v>#DIV/0!</v>
      </c>
      <c r="T1027" t="s">
        <v>82</v>
      </c>
    </row>
    <row r="1028" spans="15:20" x14ac:dyDescent="0.25">
      <c r="O1028">
        <v>1</v>
      </c>
      <c r="S1028" t="e">
        <v>#DIV/0!</v>
      </c>
      <c r="T1028" t="s">
        <v>82</v>
      </c>
    </row>
    <row r="1029" spans="15:20" x14ac:dyDescent="0.25">
      <c r="O1029">
        <v>1</v>
      </c>
      <c r="S1029" t="e">
        <v>#DIV/0!</v>
      </c>
      <c r="T1029" t="s">
        <v>82</v>
      </c>
    </row>
    <row r="1030" spans="15:20" x14ac:dyDescent="0.25">
      <c r="O1030">
        <v>1</v>
      </c>
      <c r="S1030" t="e">
        <v>#DIV/0!</v>
      </c>
      <c r="T1030" t="s">
        <v>82</v>
      </c>
    </row>
    <row r="1031" spans="15:20" x14ac:dyDescent="0.25">
      <c r="O1031">
        <v>1</v>
      </c>
      <c r="S1031" t="e">
        <v>#DIV/0!</v>
      </c>
      <c r="T1031" t="s">
        <v>82</v>
      </c>
    </row>
    <row r="1032" spans="15:20" x14ac:dyDescent="0.25">
      <c r="O1032">
        <v>1</v>
      </c>
      <c r="S1032" t="e">
        <v>#DIV/0!</v>
      </c>
      <c r="T1032" t="s">
        <v>82</v>
      </c>
    </row>
    <row r="1033" spans="15:20" x14ac:dyDescent="0.25">
      <c r="O1033">
        <v>1</v>
      </c>
      <c r="S1033" t="e">
        <v>#DIV/0!</v>
      </c>
      <c r="T1033" t="s">
        <v>82</v>
      </c>
    </row>
    <row r="1034" spans="15:20" x14ac:dyDescent="0.25">
      <c r="O1034">
        <v>1</v>
      </c>
      <c r="S1034" t="e">
        <v>#DIV/0!</v>
      </c>
      <c r="T1034" t="s">
        <v>82</v>
      </c>
    </row>
    <row r="1035" spans="15:20" x14ac:dyDescent="0.25">
      <c r="O1035">
        <v>1</v>
      </c>
      <c r="S1035" t="e">
        <v>#DIV/0!</v>
      </c>
      <c r="T1035" t="s">
        <v>82</v>
      </c>
    </row>
    <row r="1036" spans="15:20" x14ac:dyDescent="0.25">
      <c r="O1036">
        <v>1</v>
      </c>
      <c r="S1036" t="e">
        <v>#DIV/0!</v>
      </c>
      <c r="T1036" t="s">
        <v>82</v>
      </c>
    </row>
    <row r="1037" spans="15:20" x14ac:dyDescent="0.25">
      <c r="O1037">
        <v>1</v>
      </c>
      <c r="S1037" t="e">
        <v>#DIV/0!</v>
      </c>
      <c r="T1037" t="s">
        <v>82</v>
      </c>
    </row>
    <row r="1038" spans="15:20" x14ac:dyDescent="0.25">
      <c r="O1038">
        <v>1</v>
      </c>
      <c r="S1038" t="e">
        <v>#DIV/0!</v>
      </c>
      <c r="T1038" t="s">
        <v>82</v>
      </c>
    </row>
    <row r="1039" spans="15:20" x14ac:dyDescent="0.25">
      <c r="O1039">
        <v>1</v>
      </c>
      <c r="S1039" t="e">
        <v>#DIV/0!</v>
      </c>
      <c r="T1039" t="s">
        <v>82</v>
      </c>
    </row>
    <row r="1040" spans="15:20" x14ac:dyDescent="0.25">
      <c r="O1040">
        <v>1</v>
      </c>
      <c r="S1040" t="e">
        <v>#DIV/0!</v>
      </c>
      <c r="T1040" t="s">
        <v>82</v>
      </c>
    </row>
    <row r="1041" spans="15:20" x14ac:dyDescent="0.25">
      <c r="O1041">
        <v>1</v>
      </c>
      <c r="S1041" t="e">
        <v>#DIV/0!</v>
      </c>
      <c r="T1041" t="s">
        <v>82</v>
      </c>
    </row>
    <row r="1042" spans="15:20" x14ac:dyDescent="0.25">
      <c r="O1042">
        <v>1</v>
      </c>
      <c r="S1042" t="e">
        <v>#DIV/0!</v>
      </c>
      <c r="T1042" t="s">
        <v>82</v>
      </c>
    </row>
    <row r="1043" spans="15:20" x14ac:dyDescent="0.25">
      <c r="O1043">
        <v>1</v>
      </c>
      <c r="S1043" t="e">
        <v>#DIV/0!</v>
      </c>
      <c r="T1043" t="s">
        <v>82</v>
      </c>
    </row>
    <row r="1044" spans="15:20" x14ac:dyDescent="0.25">
      <c r="O1044">
        <v>1</v>
      </c>
      <c r="S1044" t="e">
        <v>#DIV/0!</v>
      </c>
      <c r="T1044" t="s">
        <v>82</v>
      </c>
    </row>
    <row r="1045" spans="15:20" x14ac:dyDescent="0.25">
      <c r="O1045">
        <v>1</v>
      </c>
      <c r="S1045" t="e">
        <v>#DIV/0!</v>
      </c>
      <c r="T1045" t="s">
        <v>82</v>
      </c>
    </row>
    <row r="1046" spans="15:20" x14ac:dyDescent="0.25">
      <c r="O1046">
        <v>1</v>
      </c>
      <c r="S1046" t="e">
        <v>#DIV/0!</v>
      </c>
      <c r="T1046" t="s">
        <v>82</v>
      </c>
    </row>
    <row r="1047" spans="15:20" x14ac:dyDescent="0.25">
      <c r="O1047">
        <v>1</v>
      </c>
      <c r="S1047" t="e">
        <v>#DIV/0!</v>
      </c>
      <c r="T1047" t="s">
        <v>82</v>
      </c>
    </row>
    <row r="1048" spans="15:20" x14ac:dyDescent="0.25">
      <c r="O1048">
        <v>1</v>
      </c>
      <c r="S1048" t="e">
        <v>#DIV/0!</v>
      </c>
      <c r="T1048" t="s">
        <v>82</v>
      </c>
    </row>
    <row r="1049" spans="15:20" x14ac:dyDescent="0.25">
      <c r="O1049">
        <v>1</v>
      </c>
      <c r="S1049" t="e">
        <v>#DIV/0!</v>
      </c>
      <c r="T1049" t="s">
        <v>82</v>
      </c>
    </row>
    <row r="1050" spans="15:20" x14ac:dyDescent="0.25">
      <c r="O1050">
        <v>1</v>
      </c>
      <c r="S1050" t="e">
        <v>#DIV/0!</v>
      </c>
      <c r="T1050" t="s">
        <v>82</v>
      </c>
    </row>
    <row r="1051" spans="15:20" x14ac:dyDescent="0.25">
      <c r="O1051">
        <v>1</v>
      </c>
      <c r="S1051" t="e">
        <v>#DIV/0!</v>
      </c>
      <c r="T1051" t="s">
        <v>82</v>
      </c>
    </row>
    <row r="1052" spans="15:20" x14ac:dyDescent="0.25">
      <c r="O1052">
        <v>1</v>
      </c>
      <c r="S1052" t="e">
        <v>#DIV/0!</v>
      </c>
      <c r="T1052" t="s">
        <v>82</v>
      </c>
    </row>
    <row r="1053" spans="15:20" x14ac:dyDescent="0.25">
      <c r="O1053">
        <v>1</v>
      </c>
      <c r="S1053" t="e">
        <v>#DIV/0!</v>
      </c>
      <c r="T1053" t="s">
        <v>82</v>
      </c>
    </row>
    <row r="1054" spans="15:20" x14ac:dyDescent="0.25">
      <c r="O1054">
        <v>1</v>
      </c>
      <c r="S1054" t="e">
        <v>#DIV/0!</v>
      </c>
      <c r="T1054" t="s">
        <v>82</v>
      </c>
    </row>
    <row r="1055" spans="15:20" x14ac:dyDescent="0.25">
      <c r="O1055">
        <v>1</v>
      </c>
      <c r="S1055" t="e">
        <v>#DIV/0!</v>
      </c>
      <c r="T1055" t="s">
        <v>82</v>
      </c>
    </row>
    <row r="1056" spans="15:20" x14ac:dyDescent="0.25">
      <c r="O1056">
        <v>1</v>
      </c>
      <c r="S1056" t="e">
        <v>#DIV/0!</v>
      </c>
      <c r="T1056" t="s">
        <v>82</v>
      </c>
    </row>
    <row r="1057" spans="15:20" x14ac:dyDescent="0.25">
      <c r="O1057">
        <v>1</v>
      </c>
      <c r="S1057" t="e">
        <v>#DIV/0!</v>
      </c>
      <c r="T1057" t="s">
        <v>82</v>
      </c>
    </row>
    <row r="1058" spans="15:20" x14ac:dyDescent="0.25">
      <c r="O1058">
        <v>1</v>
      </c>
      <c r="S1058" t="e">
        <v>#DIV/0!</v>
      </c>
      <c r="T1058" t="s">
        <v>82</v>
      </c>
    </row>
    <row r="1059" spans="15:20" x14ac:dyDescent="0.25">
      <c r="O1059">
        <v>1</v>
      </c>
      <c r="S1059" t="e">
        <v>#DIV/0!</v>
      </c>
      <c r="T1059" t="s">
        <v>82</v>
      </c>
    </row>
    <row r="1060" spans="15:20" x14ac:dyDescent="0.25">
      <c r="O1060">
        <v>1</v>
      </c>
      <c r="S1060" t="e">
        <v>#DIV/0!</v>
      </c>
      <c r="T1060" t="s">
        <v>82</v>
      </c>
    </row>
    <row r="1061" spans="15:20" x14ac:dyDescent="0.25">
      <c r="O1061">
        <v>1</v>
      </c>
      <c r="S1061" t="e">
        <v>#DIV/0!</v>
      </c>
      <c r="T1061" t="s">
        <v>82</v>
      </c>
    </row>
    <row r="1062" spans="15:20" x14ac:dyDescent="0.25">
      <c r="O1062">
        <v>1</v>
      </c>
      <c r="S1062" t="e">
        <v>#DIV/0!</v>
      </c>
      <c r="T1062" t="s">
        <v>82</v>
      </c>
    </row>
    <row r="1063" spans="15:20" x14ac:dyDescent="0.25">
      <c r="O1063">
        <v>1</v>
      </c>
      <c r="S1063" t="e">
        <v>#DIV/0!</v>
      </c>
      <c r="T1063" t="s">
        <v>82</v>
      </c>
    </row>
    <row r="1064" spans="15:20" x14ac:dyDescent="0.25">
      <c r="O1064">
        <v>1</v>
      </c>
      <c r="S1064" t="e">
        <v>#DIV/0!</v>
      </c>
      <c r="T1064" t="s">
        <v>82</v>
      </c>
    </row>
    <row r="1065" spans="15:20" x14ac:dyDescent="0.25">
      <c r="O1065">
        <v>1</v>
      </c>
      <c r="S1065" t="e">
        <v>#DIV/0!</v>
      </c>
      <c r="T1065" t="s">
        <v>82</v>
      </c>
    </row>
    <row r="1066" spans="15:20" x14ac:dyDescent="0.25">
      <c r="O1066">
        <v>1</v>
      </c>
      <c r="S1066" t="e">
        <v>#DIV/0!</v>
      </c>
      <c r="T1066" t="s">
        <v>82</v>
      </c>
    </row>
    <row r="1067" spans="15:20" x14ac:dyDescent="0.25">
      <c r="O1067">
        <v>1</v>
      </c>
      <c r="S1067" t="e">
        <v>#DIV/0!</v>
      </c>
      <c r="T1067" t="s">
        <v>82</v>
      </c>
    </row>
    <row r="1068" spans="15:20" x14ac:dyDescent="0.25">
      <c r="O1068">
        <v>1</v>
      </c>
      <c r="S1068" t="e">
        <v>#DIV/0!</v>
      </c>
      <c r="T1068" t="s">
        <v>82</v>
      </c>
    </row>
    <row r="1069" spans="15:20" x14ac:dyDescent="0.25">
      <c r="O1069">
        <v>1</v>
      </c>
      <c r="S1069" t="e">
        <v>#DIV/0!</v>
      </c>
      <c r="T1069" t="s">
        <v>82</v>
      </c>
    </row>
    <row r="1070" spans="15:20" x14ac:dyDescent="0.25">
      <c r="O1070">
        <v>1</v>
      </c>
      <c r="S1070" t="e">
        <v>#DIV/0!</v>
      </c>
      <c r="T1070" t="s">
        <v>82</v>
      </c>
    </row>
    <row r="1071" spans="15:20" x14ac:dyDescent="0.25">
      <c r="O1071">
        <v>1</v>
      </c>
      <c r="S1071" t="e">
        <v>#DIV/0!</v>
      </c>
      <c r="T1071" t="s">
        <v>82</v>
      </c>
    </row>
    <row r="1072" spans="15:20" x14ac:dyDescent="0.25">
      <c r="O1072">
        <v>1</v>
      </c>
      <c r="S1072" t="e">
        <v>#DIV/0!</v>
      </c>
      <c r="T1072" t="s">
        <v>82</v>
      </c>
    </row>
    <row r="1073" spans="15:20" x14ac:dyDescent="0.25">
      <c r="O1073">
        <v>1</v>
      </c>
      <c r="S1073" t="e">
        <v>#DIV/0!</v>
      </c>
      <c r="T1073" t="s">
        <v>82</v>
      </c>
    </row>
    <row r="1074" spans="15:20" x14ac:dyDescent="0.25">
      <c r="O1074">
        <v>1</v>
      </c>
      <c r="S1074" t="e">
        <v>#DIV/0!</v>
      </c>
      <c r="T1074" t="s">
        <v>82</v>
      </c>
    </row>
    <row r="1075" spans="15:20" x14ac:dyDescent="0.25">
      <c r="O1075">
        <v>1</v>
      </c>
      <c r="S1075" t="e">
        <v>#DIV/0!</v>
      </c>
      <c r="T1075" t="s">
        <v>82</v>
      </c>
    </row>
    <row r="1076" spans="15:20" x14ac:dyDescent="0.25">
      <c r="O1076">
        <v>1</v>
      </c>
      <c r="S1076" t="e">
        <v>#DIV/0!</v>
      </c>
      <c r="T1076" t="s">
        <v>82</v>
      </c>
    </row>
    <row r="1077" spans="15:20" x14ac:dyDescent="0.25">
      <c r="O1077">
        <v>1</v>
      </c>
      <c r="S1077" t="e">
        <v>#DIV/0!</v>
      </c>
      <c r="T1077" t="s">
        <v>82</v>
      </c>
    </row>
    <row r="1078" spans="15:20" x14ac:dyDescent="0.25">
      <c r="O1078">
        <v>1</v>
      </c>
      <c r="S1078" t="e">
        <v>#DIV/0!</v>
      </c>
      <c r="T1078" t="s">
        <v>82</v>
      </c>
    </row>
    <row r="1079" spans="15:20" x14ac:dyDescent="0.25">
      <c r="O1079">
        <v>1</v>
      </c>
      <c r="S1079" t="e">
        <v>#DIV/0!</v>
      </c>
      <c r="T1079" t="s">
        <v>82</v>
      </c>
    </row>
    <row r="1080" spans="15:20" x14ac:dyDescent="0.25">
      <c r="O1080">
        <v>1</v>
      </c>
      <c r="S1080" t="e">
        <v>#DIV/0!</v>
      </c>
      <c r="T1080" t="s">
        <v>82</v>
      </c>
    </row>
    <row r="1081" spans="15:20" x14ac:dyDescent="0.25">
      <c r="O1081">
        <v>1</v>
      </c>
      <c r="S1081" t="e">
        <v>#DIV/0!</v>
      </c>
      <c r="T1081" t="s">
        <v>82</v>
      </c>
    </row>
    <row r="1082" spans="15:20" x14ac:dyDescent="0.25">
      <c r="O1082">
        <v>1</v>
      </c>
      <c r="S1082" t="e">
        <v>#DIV/0!</v>
      </c>
      <c r="T1082" t="s">
        <v>82</v>
      </c>
    </row>
    <row r="1083" spans="15:20" x14ac:dyDescent="0.25">
      <c r="O1083">
        <v>1</v>
      </c>
      <c r="S1083" t="e">
        <v>#DIV/0!</v>
      </c>
      <c r="T1083" t="s">
        <v>82</v>
      </c>
    </row>
    <row r="1084" spans="15:20" x14ac:dyDescent="0.25">
      <c r="O1084">
        <v>1</v>
      </c>
      <c r="S1084" t="e">
        <v>#DIV/0!</v>
      </c>
      <c r="T1084" t="s">
        <v>82</v>
      </c>
    </row>
    <row r="1085" spans="15:20" x14ac:dyDescent="0.25">
      <c r="O1085">
        <v>1</v>
      </c>
      <c r="S1085" t="e">
        <v>#DIV/0!</v>
      </c>
      <c r="T1085" t="s">
        <v>82</v>
      </c>
    </row>
    <row r="1086" spans="15:20" x14ac:dyDescent="0.25">
      <c r="O1086">
        <v>1</v>
      </c>
      <c r="S1086" t="e">
        <v>#DIV/0!</v>
      </c>
      <c r="T1086" t="s">
        <v>82</v>
      </c>
    </row>
    <row r="1087" spans="15:20" x14ac:dyDescent="0.25">
      <c r="O1087">
        <v>1</v>
      </c>
      <c r="S1087" t="e">
        <v>#DIV/0!</v>
      </c>
      <c r="T1087" t="s">
        <v>82</v>
      </c>
    </row>
    <row r="1088" spans="15:20" x14ac:dyDescent="0.25">
      <c r="O1088">
        <v>1</v>
      </c>
      <c r="S1088" t="e">
        <v>#DIV/0!</v>
      </c>
      <c r="T1088" t="s">
        <v>82</v>
      </c>
    </row>
    <row r="1089" spans="15:20" x14ac:dyDescent="0.25">
      <c r="O1089">
        <v>1</v>
      </c>
      <c r="S1089" t="e">
        <v>#DIV/0!</v>
      </c>
      <c r="T1089" t="s">
        <v>82</v>
      </c>
    </row>
    <row r="1090" spans="15:20" x14ac:dyDescent="0.25">
      <c r="O1090">
        <v>1</v>
      </c>
      <c r="S1090" t="e">
        <v>#DIV/0!</v>
      </c>
      <c r="T1090" t="s">
        <v>82</v>
      </c>
    </row>
    <row r="1091" spans="15:20" x14ac:dyDescent="0.25">
      <c r="O1091">
        <v>1</v>
      </c>
      <c r="S1091" t="e">
        <v>#DIV/0!</v>
      </c>
      <c r="T1091" t="s">
        <v>82</v>
      </c>
    </row>
    <row r="1092" spans="15:20" x14ac:dyDescent="0.25">
      <c r="O1092">
        <v>1</v>
      </c>
      <c r="S1092" t="e">
        <v>#DIV/0!</v>
      </c>
      <c r="T1092" t="s">
        <v>82</v>
      </c>
    </row>
    <row r="1093" spans="15:20" x14ac:dyDescent="0.25">
      <c r="O1093">
        <v>1</v>
      </c>
      <c r="S1093" t="e">
        <v>#DIV/0!</v>
      </c>
      <c r="T1093" t="s">
        <v>82</v>
      </c>
    </row>
    <row r="1094" spans="15:20" x14ac:dyDescent="0.25">
      <c r="O1094">
        <v>1</v>
      </c>
      <c r="S1094" t="e">
        <v>#DIV/0!</v>
      </c>
      <c r="T1094" t="s">
        <v>82</v>
      </c>
    </row>
    <row r="1095" spans="15:20" x14ac:dyDescent="0.25">
      <c r="O1095">
        <v>1</v>
      </c>
      <c r="S1095" t="e">
        <v>#DIV/0!</v>
      </c>
      <c r="T1095" t="s">
        <v>82</v>
      </c>
    </row>
    <row r="1096" spans="15:20" x14ac:dyDescent="0.25">
      <c r="O1096">
        <v>1</v>
      </c>
      <c r="S1096" t="e">
        <v>#DIV/0!</v>
      </c>
      <c r="T1096" t="s">
        <v>82</v>
      </c>
    </row>
    <row r="1097" spans="15:20" x14ac:dyDescent="0.25">
      <c r="O1097">
        <v>1</v>
      </c>
      <c r="S1097" t="e">
        <v>#DIV/0!</v>
      </c>
      <c r="T1097" t="s">
        <v>82</v>
      </c>
    </row>
    <row r="1098" spans="15:20" x14ac:dyDescent="0.25">
      <c r="O1098">
        <v>1</v>
      </c>
      <c r="S1098" t="e">
        <v>#DIV/0!</v>
      </c>
      <c r="T1098" t="s">
        <v>82</v>
      </c>
    </row>
    <row r="1099" spans="15:20" x14ac:dyDescent="0.25">
      <c r="O1099">
        <v>1</v>
      </c>
      <c r="S1099" t="e">
        <v>#DIV/0!</v>
      </c>
      <c r="T1099" t="s">
        <v>82</v>
      </c>
    </row>
    <row r="1100" spans="15:20" x14ac:dyDescent="0.25">
      <c r="O1100">
        <v>1</v>
      </c>
      <c r="S1100" t="e">
        <v>#DIV/0!</v>
      </c>
      <c r="T1100" t="s">
        <v>82</v>
      </c>
    </row>
    <row r="1101" spans="15:20" x14ac:dyDescent="0.25">
      <c r="O1101">
        <v>1</v>
      </c>
      <c r="S1101" t="e">
        <v>#DIV/0!</v>
      </c>
      <c r="T1101" t="s">
        <v>82</v>
      </c>
    </row>
    <row r="1102" spans="15:20" x14ac:dyDescent="0.25">
      <c r="O1102">
        <v>1</v>
      </c>
      <c r="S1102" t="e">
        <v>#DIV/0!</v>
      </c>
      <c r="T1102" t="s">
        <v>82</v>
      </c>
    </row>
    <row r="1103" spans="15:20" x14ac:dyDescent="0.25">
      <c r="O1103">
        <v>1</v>
      </c>
      <c r="S1103" t="e">
        <v>#DIV/0!</v>
      </c>
      <c r="T1103" t="s">
        <v>82</v>
      </c>
    </row>
    <row r="1104" spans="15:20" x14ac:dyDescent="0.25">
      <c r="O1104">
        <v>1</v>
      </c>
      <c r="S1104" t="e">
        <v>#DIV/0!</v>
      </c>
      <c r="T1104" t="s">
        <v>82</v>
      </c>
    </row>
    <row r="1105" spans="15:20" x14ac:dyDescent="0.25">
      <c r="O1105">
        <v>1</v>
      </c>
      <c r="S1105" t="e">
        <v>#DIV/0!</v>
      </c>
      <c r="T1105" t="s">
        <v>82</v>
      </c>
    </row>
    <row r="1106" spans="15:20" x14ac:dyDescent="0.25">
      <c r="O1106">
        <v>1</v>
      </c>
      <c r="S1106" t="e">
        <v>#DIV/0!</v>
      </c>
      <c r="T1106" t="s">
        <v>82</v>
      </c>
    </row>
    <row r="1107" spans="15:20" x14ac:dyDescent="0.25">
      <c r="O1107">
        <v>1</v>
      </c>
      <c r="S1107" t="e">
        <v>#DIV/0!</v>
      </c>
      <c r="T1107" t="s">
        <v>82</v>
      </c>
    </row>
    <row r="1108" spans="15:20" x14ac:dyDescent="0.25">
      <c r="O1108">
        <v>1</v>
      </c>
      <c r="S1108" t="e">
        <v>#DIV/0!</v>
      </c>
      <c r="T1108" t="s">
        <v>82</v>
      </c>
    </row>
    <row r="1109" spans="15:20" x14ac:dyDescent="0.25">
      <c r="O1109">
        <v>1</v>
      </c>
      <c r="S1109" t="e">
        <v>#DIV/0!</v>
      </c>
      <c r="T1109" t="s">
        <v>82</v>
      </c>
    </row>
    <row r="1110" spans="15:20" x14ac:dyDescent="0.25">
      <c r="O1110">
        <v>1</v>
      </c>
      <c r="S1110" t="e">
        <v>#DIV/0!</v>
      </c>
      <c r="T1110" t="s">
        <v>82</v>
      </c>
    </row>
    <row r="1111" spans="15:20" x14ac:dyDescent="0.25">
      <c r="O1111">
        <v>1</v>
      </c>
      <c r="S1111" t="e">
        <v>#DIV/0!</v>
      </c>
      <c r="T1111" t="s">
        <v>82</v>
      </c>
    </row>
    <row r="1112" spans="15:20" x14ac:dyDescent="0.25">
      <c r="O1112">
        <v>1</v>
      </c>
      <c r="S1112" t="e">
        <v>#DIV/0!</v>
      </c>
      <c r="T1112" t="s">
        <v>82</v>
      </c>
    </row>
    <row r="1113" spans="15:20" x14ac:dyDescent="0.25">
      <c r="O1113">
        <v>1</v>
      </c>
      <c r="S1113" t="e">
        <v>#DIV/0!</v>
      </c>
      <c r="T1113" t="s">
        <v>82</v>
      </c>
    </row>
    <row r="1114" spans="15:20" x14ac:dyDescent="0.25">
      <c r="O1114">
        <v>1</v>
      </c>
      <c r="S1114" t="e">
        <v>#DIV/0!</v>
      </c>
      <c r="T1114" t="s">
        <v>82</v>
      </c>
    </row>
    <row r="1115" spans="15:20" x14ac:dyDescent="0.25">
      <c r="O1115">
        <v>1</v>
      </c>
      <c r="S1115" t="e">
        <v>#DIV/0!</v>
      </c>
      <c r="T1115" t="s">
        <v>82</v>
      </c>
    </row>
    <row r="1116" spans="15:20" x14ac:dyDescent="0.25">
      <c r="O1116">
        <v>1</v>
      </c>
      <c r="S1116" t="e">
        <v>#DIV/0!</v>
      </c>
      <c r="T1116" t="s">
        <v>82</v>
      </c>
    </row>
    <row r="1117" spans="15:20" x14ac:dyDescent="0.25">
      <c r="O1117">
        <v>1</v>
      </c>
      <c r="S1117" t="e">
        <v>#DIV/0!</v>
      </c>
      <c r="T1117" t="s">
        <v>82</v>
      </c>
    </row>
    <row r="1118" spans="15:20" x14ac:dyDescent="0.25">
      <c r="O1118">
        <v>1</v>
      </c>
      <c r="S1118" t="e">
        <v>#DIV/0!</v>
      </c>
      <c r="T1118" t="s">
        <v>82</v>
      </c>
    </row>
    <row r="1119" spans="15:20" x14ac:dyDescent="0.25">
      <c r="O1119">
        <v>1</v>
      </c>
      <c r="S1119" t="e">
        <v>#DIV/0!</v>
      </c>
      <c r="T1119" t="s">
        <v>82</v>
      </c>
    </row>
    <row r="1120" spans="15:20" x14ac:dyDescent="0.25">
      <c r="O1120">
        <v>1</v>
      </c>
      <c r="S1120" t="e">
        <v>#DIV/0!</v>
      </c>
      <c r="T1120" t="s">
        <v>82</v>
      </c>
    </row>
    <row r="1121" spans="15:20" x14ac:dyDescent="0.25">
      <c r="O1121">
        <v>1</v>
      </c>
      <c r="S1121" t="e">
        <v>#DIV/0!</v>
      </c>
      <c r="T1121" t="s">
        <v>82</v>
      </c>
    </row>
    <row r="1122" spans="15:20" x14ac:dyDescent="0.25">
      <c r="O1122">
        <v>1</v>
      </c>
      <c r="S1122" t="e">
        <v>#DIV/0!</v>
      </c>
      <c r="T1122" t="s">
        <v>82</v>
      </c>
    </row>
    <row r="1123" spans="15:20" x14ac:dyDescent="0.25">
      <c r="O1123">
        <v>1</v>
      </c>
      <c r="S1123" t="e">
        <v>#DIV/0!</v>
      </c>
      <c r="T1123" t="s">
        <v>82</v>
      </c>
    </row>
    <row r="1124" spans="15:20" x14ac:dyDescent="0.25">
      <c r="O1124">
        <v>1</v>
      </c>
      <c r="S1124" t="e">
        <v>#DIV/0!</v>
      </c>
      <c r="T1124" t="s">
        <v>82</v>
      </c>
    </row>
    <row r="1125" spans="15:20" x14ac:dyDescent="0.25">
      <c r="O1125">
        <v>1</v>
      </c>
      <c r="S1125" t="e">
        <v>#DIV/0!</v>
      </c>
      <c r="T1125" t="s">
        <v>82</v>
      </c>
    </row>
    <row r="1126" spans="15:20" x14ac:dyDescent="0.25">
      <c r="O1126">
        <v>1</v>
      </c>
      <c r="S1126" t="e">
        <v>#DIV/0!</v>
      </c>
      <c r="T1126" t="s">
        <v>82</v>
      </c>
    </row>
    <row r="1127" spans="15:20" x14ac:dyDescent="0.25">
      <c r="O1127">
        <v>1</v>
      </c>
      <c r="S1127" t="e">
        <v>#DIV/0!</v>
      </c>
      <c r="T1127" t="s">
        <v>82</v>
      </c>
    </row>
    <row r="1128" spans="15:20" x14ac:dyDescent="0.25">
      <c r="O1128">
        <v>1</v>
      </c>
      <c r="S1128" t="e">
        <v>#DIV/0!</v>
      </c>
      <c r="T1128" t="s">
        <v>82</v>
      </c>
    </row>
    <row r="1129" spans="15:20" x14ac:dyDescent="0.25">
      <c r="O1129">
        <v>1</v>
      </c>
      <c r="S1129" t="e">
        <v>#DIV/0!</v>
      </c>
      <c r="T1129" t="s">
        <v>82</v>
      </c>
    </row>
    <row r="1130" spans="15:20" x14ac:dyDescent="0.25">
      <c r="O1130">
        <v>1</v>
      </c>
      <c r="S1130" t="e">
        <v>#DIV/0!</v>
      </c>
      <c r="T1130" t="s">
        <v>82</v>
      </c>
    </row>
    <row r="1131" spans="15:20" x14ac:dyDescent="0.25">
      <c r="O1131">
        <v>1</v>
      </c>
      <c r="S1131" t="e">
        <v>#DIV/0!</v>
      </c>
      <c r="T1131" t="s">
        <v>82</v>
      </c>
    </row>
    <row r="1132" spans="15:20" x14ac:dyDescent="0.25">
      <c r="O1132">
        <v>1</v>
      </c>
      <c r="S1132" t="e">
        <v>#DIV/0!</v>
      </c>
      <c r="T1132" t="s">
        <v>82</v>
      </c>
    </row>
    <row r="1133" spans="15:20" x14ac:dyDescent="0.25">
      <c r="O1133">
        <v>1</v>
      </c>
      <c r="S1133" t="e">
        <v>#DIV/0!</v>
      </c>
      <c r="T1133" t="s">
        <v>82</v>
      </c>
    </row>
    <row r="1134" spans="15:20" x14ac:dyDescent="0.25">
      <c r="O1134">
        <v>1</v>
      </c>
      <c r="S1134" t="e">
        <v>#DIV/0!</v>
      </c>
      <c r="T1134" t="s">
        <v>82</v>
      </c>
    </row>
    <row r="1135" spans="15:20" x14ac:dyDescent="0.25">
      <c r="O1135">
        <v>1</v>
      </c>
      <c r="S1135" t="e">
        <v>#DIV/0!</v>
      </c>
      <c r="T1135" t="s">
        <v>82</v>
      </c>
    </row>
    <row r="1136" spans="15:20" x14ac:dyDescent="0.25">
      <c r="O1136">
        <v>1</v>
      </c>
      <c r="S1136" t="e">
        <v>#DIV/0!</v>
      </c>
      <c r="T1136" t="s">
        <v>82</v>
      </c>
    </row>
    <row r="1137" spans="15:20" x14ac:dyDescent="0.25">
      <c r="O1137">
        <v>1</v>
      </c>
      <c r="S1137" t="e">
        <v>#DIV/0!</v>
      </c>
      <c r="T1137" t="s">
        <v>82</v>
      </c>
    </row>
    <row r="1138" spans="15:20" x14ac:dyDescent="0.25">
      <c r="O1138">
        <v>1</v>
      </c>
      <c r="S1138" t="e">
        <v>#DIV/0!</v>
      </c>
      <c r="T1138" t="s">
        <v>82</v>
      </c>
    </row>
    <row r="1139" spans="15:20" x14ac:dyDescent="0.25">
      <c r="O1139">
        <v>1</v>
      </c>
      <c r="S1139" t="e">
        <v>#DIV/0!</v>
      </c>
      <c r="T1139" t="s">
        <v>82</v>
      </c>
    </row>
    <row r="1140" spans="15:20" x14ac:dyDescent="0.25">
      <c r="O1140">
        <v>1</v>
      </c>
      <c r="S1140" t="e">
        <v>#DIV/0!</v>
      </c>
      <c r="T1140" t="s">
        <v>82</v>
      </c>
    </row>
    <row r="1141" spans="15:20" x14ac:dyDescent="0.25">
      <c r="O1141">
        <v>1</v>
      </c>
      <c r="S1141" t="e">
        <v>#DIV/0!</v>
      </c>
      <c r="T1141" t="s">
        <v>82</v>
      </c>
    </row>
    <row r="1142" spans="15:20" x14ac:dyDescent="0.25">
      <c r="O1142">
        <v>1</v>
      </c>
      <c r="S1142" t="e">
        <v>#DIV/0!</v>
      </c>
      <c r="T1142" t="s">
        <v>82</v>
      </c>
    </row>
    <row r="1143" spans="15:20" x14ac:dyDescent="0.25">
      <c r="O1143">
        <v>1</v>
      </c>
      <c r="S1143" t="e">
        <v>#DIV/0!</v>
      </c>
      <c r="T1143" t="s">
        <v>82</v>
      </c>
    </row>
    <row r="1144" spans="15:20" x14ac:dyDescent="0.25">
      <c r="O1144">
        <v>1</v>
      </c>
      <c r="S1144" t="e">
        <v>#DIV/0!</v>
      </c>
      <c r="T1144" t="s">
        <v>82</v>
      </c>
    </row>
    <row r="1145" spans="15:20" x14ac:dyDescent="0.25">
      <c r="O1145">
        <v>1</v>
      </c>
      <c r="S1145" t="e">
        <v>#DIV/0!</v>
      </c>
      <c r="T1145" t="s">
        <v>82</v>
      </c>
    </row>
    <row r="1146" spans="15:20" x14ac:dyDescent="0.25">
      <c r="O1146">
        <v>1</v>
      </c>
      <c r="S1146" t="e">
        <v>#DIV/0!</v>
      </c>
      <c r="T1146" t="s">
        <v>82</v>
      </c>
    </row>
    <row r="1147" spans="15:20" x14ac:dyDescent="0.25">
      <c r="O1147">
        <v>1</v>
      </c>
      <c r="S1147" t="e">
        <v>#DIV/0!</v>
      </c>
      <c r="T1147" t="s">
        <v>82</v>
      </c>
    </row>
    <row r="1148" spans="15:20" x14ac:dyDescent="0.25">
      <c r="O1148">
        <v>1</v>
      </c>
      <c r="S1148" t="e">
        <v>#DIV/0!</v>
      </c>
      <c r="T1148" t="s">
        <v>82</v>
      </c>
    </row>
    <row r="1149" spans="15:20" x14ac:dyDescent="0.25">
      <c r="O1149">
        <v>1</v>
      </c>
      <c r="S1149" t="e">
        <v>#DIV/0!</v>
      </c>
      <c r="T1149" t="s">
        <v>82</v>
      </c>
    </row>
    <row r="1150" spans="15:20" x14ac:dyDescent="0.25">
      <c r="O1150">
        <v>1</v>
      </c>
      <c r="S1150" t="e">
        <v>#DIV/0!</v>
      </c>
      <c r="T1150" t="s">
        <v>82</v>
      </c>
    </row>
    <row r="1151" spans="15:20" x14ac:dyDescent="0.25">
      <c r="O1151">
        <v>1</v>
      </c>
      <c r="S1151" t="e">
        <v>#DIV/0!</v>
      </c>
      <c r="T1151" t="s">
        <v>82</v>
      </c>
    </row>
    <row r="1152" spans="15:20" x14ac:dyDescent="0.25">
      <c r="O1152">
        <v>1</v>
      </c>
      <c r="S1152" t="e">
        <v>#DIV/0!</v>
      </c>
      <c r="T1152" t="s">
        <v>82</v>
      </c>
    </row>
    <row r="1153" spans="15:20" x14ac:dyDescent="0.25">
      <c r="O1153">
        <v>1</v>
      </c>
      <c r="S1153" t="e">
        <v>#DIV/0!</v>
      </c>
      <c r="T1153" t="s">
        <v>82</v>
      </c>
    </row>
    <row r="1154" spans="15:20" x14ac:dyDescent="0.25">
      <c r="O1154">
        <v>1</v>
      </c>
      <c r="S1154" t="e">
        <v>#DIV/0!</v>
      </c>
      <c r="T1154" t="s">
        <v>82</v>
      </c>
    </row>
    <row r="1155" spans="15:20" x14ac:dyDescent="0.25">
      <c r="O1155">
        <v>1</v>
      </c>
      <c r="S1155" t="e">
        <v>#DIV/0!</v>
      </c>
      <c r="T1155" t="s">
        <v>82</v>
      </c>
    </row>
    <row r="1156" spans="15:20" x14ac:dyDescent="0.25">
      <c r="O1156">
        <v>1</v>
      </c>
      <c r="S1156" t="e">
        <v>#DIV/0!</v>
      </c>
      <c r="T1156" t="s">
        <v>82</v>
      </c>
    </row>
    <row r="1157" spans="15:20" x14ac:dyDescent="0.25">
      <c r="O1157">
        <v>1</v>
      </c>
      <c r="S1157" t="e">
        <v>#DIV/0!</v>
      </c>
      <c r="T1157" t="s">
        <v>82</v>
      </c>
    </row>
    <row r="1158" spans="15:20" x14ac:dyDescent="0.25">
      <c r="O1158">
        <v>1</v>
      </c>
      <c r="S1158" t="e">
        <v>#DIV/0!</v>
      </c>
      <c r="T1158" t="s">
        <v>82</v>
      </c>
    </row>
    <row r="1159" spans="15:20" x14ac:dyDescent="0.25">
      <c r="O1159">
        <v>1</v>
      </c>
      <c r="S1159" t="e">
        <v>#DIV/0!</v>
      </c>
      <c r="T1159" t="s">
        <v>82</v>
      </c>
    </row>
    <row r="1160" spans="15:20" x14ac:dyDescent="0.25">
      <c r="O1160">
        <v>1</v>
      </c>
      <c r="S1160" t="e">
        <v>#DIV/0!</v>
      </c>
      <c r="T1160" t="s">
        <v>82</v>
      </c>
    </row>
    <row r="1161" spans="15:20" x14ac:dyDescent="0.25">
      <c r="O1161">
        <v>1</v>
      </c>
      <c r="S1161" t="e">
        <v>#DIV/0!</v>
      </c>
      <c r="T1161" t="s">
        <v>82</v>
      </c>
    </row>
    <row r="1162" spans="15:20" x14ac:dyDescent="0.25">
      <c r="O1162">
        <v>1</v>
      </c>
      <c r="S1162" t="e">
        <v>#DIV/0!</v>
      </c>
      <c r="T1162" t="s">
        <v>82</v>
      </c>
    </row>
    <row r="1163" spans="15:20" x14ac:dyDescent="0.25">
      <c r="O1163">
        <v>1</v>
      </c>
      <c r="S1163" t="e">
        <v>#DIV/0!</v>
      </c>
      <c r="T1163" t="s">
        <v>82</v>
      </c>
    </row>
    <row r="1164" spans="15:20" x14ac:dyDescent="0.25">
      <c r="O1164">
        <v>1</v>
      </c>
      <c r="S1164" t="e">
        <v>#DIV/0!</v>
      </c>
      <c r="T1164" t="s">
        <v>82</v>
      </c>
    </row>
    <row r="1165" spans="15:20" x14ac:dyDescent="0.25">
      <c r="O1165">
        <v>1</v>
      </c>
      <c r="S1165" t="e">
        <v>#DIV/0!</v>
      </c>
      <c r="T1165" t="s">
        <v>82</v>
      </c>
    </row>
    <row r="1166" spans="15:20" x14ac:dyDescent="0.25">
      <c r="O1166">
        <v>1</v>
      </c>
      <c r="S1166" t="e">
        <v>#DIV/0!</v>
      </c>
      <c r="T1166" t="s">
        <v>82</v>
      </c>
    </row>
    <row r="1167" spans="15:20" x14ac:dyDescent="0.25">
      <c r="O1167">
        <v>1</v>
      </c>
      <c r="S1167" t="e">
        <v>#DIV/0!</v>
      </c>
      <c r="T1167" t="s">
        <v>82</v>
      </c>
    </row>
    <row r="1168" spans="15:20" x14ac:dyDescent="0.25">
      <c r="O1168">
        <v>1</v>
      </c>
      <c r="S1168" t="e">
        <v>#DIV/0!</v>
      </c>
      <c r="T1168" t="s">
        <v>82</v>
      </c>
    </row>
    <row r="1169" spans="15:20" x14ac:dyDescent="0.25">
      <c r="O1169">
        <v>1</v>
      </c>
      <c r="S1169" t="e">
        <v>#DIV/0!</v>
      </c>
      <c r="T1169" t="s">
        <v>82</v>
      </c>
    </row>
    <row r="1170" spans="15:20" x14ac:dyDescent="0.25">
      <c r="O1170">
        <v>1</v>
      </c>
      <c r="S1170" t="e">
        <v>#DIV/0!</v>
      </c>
      <c r="T1170" t="s">
        <v>82</v>
      </c>
    </row>
    <row r="1171" spans="15:20" x14ac:dyDescent="0.25">
      <c r="O1171">
        <v>1</v>
      </c>
      <c r="S1171" t="e">
        <v>#DIV/0!</v>
      </c>
      <c r="T1171" t="s">
        <v>82</v>
      </c>
    </row>
    <row r="1172" spans="15:20" x14ac:dyDescent="0.25">
      <c r="O1172">
        <v>1</v>
      </c>
      <c r="S1172" t="e">
        <v>#DIV/0!</v>
      </c>
      <c r="T1172" t="s">
        <v>82</v>
      </c>
    </row>
    <row r="1173" spans="15:20" x14ac:dyDescent="0.25">
      <c r="O1173">
        <v>1</v>
      </c>
      <c r="S1173" t="e">
        <v>#DIV/0!</v>
      </c>
      <c r="T1173" t="s">
        <v>82</v>
      </c>
    </row>
    <row r="1174" spans="15:20" x14ac:dyDescent="0.25">
      <c r="O1174">
        <v>1</v>
      </c>
      <c r="S1174" t="e">
        <v>#DIV/0!</v>
      </c>
      <c r="T1174" t="s">
        <v>82</v>
      </c>
    </row>
    <row r="1175" spans="15:20" x14ac:dyDescent="0.25">
      <c r="O1175">
        <v>1</v>
      </c>
      <c r="S1175" t="e">
        <v>#DIV/0!</v>
      </c>
      <c r="T1175" t="s">
        <v>82</v>
      </c>
    </row>
    <row r="1176" spans="15:20" x14ac:dyDescent="0.25">
      <c r="O1176">
        <v>1</v>
      </c>
      <c r="S1176" t="e">
        <v>#DIV/0!</v>
      </c>
      <c r="T1176" t="s">
        <v>82</v>
      </c>
    </row>
    <row r="1177" spans="15:20" x14ac:dyDescent="0.25">
      <c r="O1177">
        <v>1</v>
      </c>
      <c r="S1177" t="e">
        <v>#DIV/0!</v>
      </c>
      <c r="T1177" t="s">
        <v>82</v>
      </c>
    </row>
    <row r="1178" spans="15:20" x14ac:dyDescent="0.25">
      <c r="O1178">
        <v>1</v>
      </c>
      <c r="S1178" t="e">
        <v>#DIV/0!</v>
      </c>
      <c r="T1178" t="s">
        <v>82</v>
      </c>
    </row>
    <row r="1179" spans="15:20" x14ac:dyDescent="0.25">
      <c r="O1179">
        <v>1</v>
      </c>
      <c r="S1179" t="e">
        <v>#DIV/0!</v>
      </c>
      <c r="T1179" t="s">
        <v>82</v>
      </c>
    </row>
    <row r="1180" spans="15:20" x14ac:dyDescent="0.25">
      <c r="O1180">
        <v>1</v>
      </c>
      <c r="S1180" t="e">
        <v>#DIV/0!</v>
      </c>
      <c r="T1180" t="s">
        <v>82</v>
      </c>
    </row>
    <row r="1181" spans="15:20" x14ac:dyDescent="0.25">
      <c r="O1181">
        <v>1</v>
      </c>
      <c r="S1181" t="e">
        <v>#DIV/0!</v>
      </c>
      <c r="T1181" t="s">
        <v>82</v>
      </c>
    </row>
    <row r="1182" spans="15:20" x14ac:dyDescent="0.25">
      <c r="O1182">
        <v>1</v>
      </c>
      <c r="S1182" t="e">
        <v>#DIV/0!</v>
      </c>
      <c r="T1182" t="s">
        <v>82</v>
      </c>
    </row>
    <row r="1183" spans="15:20" x14ac:dyDescent="0.25">
      <c r="O1183">
        <v>1</v>
      </c>
      <c r="S1183" t="e">
        <v>#DIV/0!</v>
      </c>
      <c r="T1183" t="s">
        <v>82</v>
      </c>
    </row>
    <row r="1184" spans="15:20" x14ac:dyDescent="0.25">
      <c r="O1184">
        <v>1</v>
      </c>
      <c r="S1184" t="e">
        <v>#DIV/0!</v>
      </c>
      <c r="T1184" t="s">
        <v>82</v>
      </c>
    </row>
    <row r="1185" spans="15:20" x14ac:dyDescent="0.25">
      <c r="O1185">
        <v>1</v>
      </c>
      <c r="S1185" t="e">
        <v>#DIV/0!</v>
      </c>
      <c r="T1185" t="s">
        <v>82</v>
      </c>
    </row>
    <row r="1186" spans="15:20" x14ac:dyDescent="0.25">
      <c r="O1186">
        <v>1</v>
      </c>
      <c r="S1186" t="e">
        <v>#DIV/0!</v>
      </c>
      <c r="T1186" t="s">
        <v>82</v>
      </c>
    </row>
    <row r="1187" spans="15:20" x14ac:dyDescent="0.25">
      <c r="O1187">
        <v>1</v>
      </c>
      <c r="S1187" t="e">
        <v>#DIV/0!</v>
      </c>
      <c r="T1187" t="s">
        <v>82</v>
      </c>
    </row>
    <row r="1188" spans="15:20" x14ac:dyDescent="0.25">
      <c r="O1188">
        <v>1</v>
      </c>
      <c r="S1188" t="e">
        <v>#DIV/0!</v>
      </c>
      <c r="T1188" t="s">
        <v>82</v>
      </c>
    </row>
    <row r="1189" spans="15:20" x14ac:dyDescent="0.25">
      <c r="O1189">
        <v>1</v>
      </c>
      <c r="S1189" t="e">
        <v>#DIV/0!</v>
      </c>
      <c r="T1189" t="s">
        <v>82</v>
      </c>
    </row>
    <row r="1190" spans="15:20" x14ac:dyDescent="0.25">
      <c r="O1190">
        <v>1</v>
      </c>
      <c r="S1190" t="e">
        <v>#DIV/0!</v>
      </c>
      <c r="T1190" t="s">
        <v>82</v>
      </c>
    </row>
    <row r="1191" spans="15:20" x14ac:dyDescent="0.25">
      <c r="O1191">
        <v>1</v>
      </c>
      <c r="S1191" t="e">
        <v>#DIV/0!</v>
      </c>
      <c r="T1191" t="s">
        <v>82</v>
      </c>
    </row>
    <row r="1192" spans="15:20" x14ac:dyDescent="0.25">
      <c r="O1192">
        <v>1</v>
      </c>
      <c r="S1192" t="e">
        <v>#DIV/0!</v>
      </c>
      <c r="T1192" t="s">
        <v>82</v>
      </c>
    </row>
    <row r="1193" spans="15:20" x14ac:dyDescent="0.25">
      <c r="O1193">
        <v>1</v>
      </c>
      <c r="S1193" t="e">
        <v>#DIV/0!</v>
      </c>
      <c r="T1193" t="s">
        <v>82</v>
      </c>
    </row>
    <row r="1194" spans="15:20" x14ac:dyDescent="0.25">
      <c r="O1194">
        <v>1</v>
      </c>
      <c r="S1194" t="e">
        <v>#DIV/0!</v>
      </c>
      <c r="T1194" t="s">
        <v>82</v>
      </c>
    </row>
    <row r="1195" spans="15:20" x14ac:dyDescent="0.25">
      <c r="O1195">
        <v>1</v>
      </c>
      <c r="S1195" t="e">
        <v>#DIV/0!</v>
      </c>
      <c r="T1195" t="s">
        <v>82</v>
      </c>
    </row>
    <row r="1196" spans="15:20" x14ac:dyDescent="0.25">
      <c r="O1196">
        <v>1</v>
      </c>
      <c r="S1196" t="e">
        <v>#DIV/0!</v>
      </c>
      <c r="T1196" t="s">
        <v>82</v>
      </c>
    </row>
    <row r="1197" spans="15:20" x14ac:dyDescent="0.25">
      <c r="O1197">
        <v>1</v>
      </c>
      <c r="S1197" t="e">
        <v>#DIV/0!</v>
      </c>
      <c r="T1197" t="s">
        <v>82</v>
      </c>
    </row>
    <row r="1198" spans="15:20" x14ac:dyDescent="0.25">
      <c r="O1198">
        <v>1</v>
      </c>
      <c r="S1198" t="e">
        <v>#DIV/0!</v>
      </c>
      <c r="T1198" t="s">
        <v>82</v>
      </c>
    </row>
    <row r="1199" spans="15:20" x14ac:dyDescent="0.25">
      <c r="O1199">
        <v>1</v>
      </c>
      <c r="S1199" t="e">
        <v>#DIV/0!</v>
      </c>
      <c r="T1199" t="s">
        <v>82</v>
      </c>
    </row>
    <row r="1200" spans="15:20" x14ac:dyDescent="0.25">
      <c r="O1200">
        <v>1</v>
      </c>
      <c r="S1200" t="e">
        <v>#DIV/0!</v>
      </c>
      <c r="T1200" t="s">
        <v>82</v>
      </c>
    </row>
    <row r="1201" spans="15:20" x14ac:dyDescent="0.25">
      <c r="O1201">
        <v>1</v>
      </c>
      <c r="S1201" t="e">
        <v>#DIV/0!</v>
      </c>
      <c r="T1201" t="s">
        <v>82</v>
      </c>
    </row>
    <row r="1202" spans="15:20" x14ac:dyDescent="0.25">
      <c r="O1202">
        <v>1</v>
      </c>
      <c r="S1202" t="e">
        <v>#DIV/0!</v>
      </c>
      <c r="T1202" t="s">
        <v>82</v>
      </c>
    </row>
    <row r="1203" spans="15:20" x14ac:dyDescent="0.25">
      <c r="O1203">
        <v>1</v>
      </c>
      <c r="S1203" t="e">
        <v>#DIV/0!</v>
      </c>
      <c r="T1203" t="s">
        <v>82</v>
      </c>
    </row>
    <row r="1204" spans="15:20" x14ac:dyDescent="0.25">
      <c r="O1204">
        <v>1</v>
      </c>
      <c r="S1204" t="e">
        <v>#DIV/0!</v>
      </c>
      <c r="T1204" t="s">
        <v>82</v>
      </c>
    </row>
    <row r="1205" spans="15:20" x14ac:dyDescent="0.25">
      <c r="O1205">
        <v>1</v>
      </c>
      <c r="S1205" t="e">
        <v>#DIV/0!</v>
      </c>
      <c r="T1205" t="s">
        <v>82</v>
      </c>
    </row>
    <row r="1206" spans="15:20" x14ac:dyDescent="0.25">
      <c r="O1206">
        <v>1</v>
      </c>
      <c r="S1206" t="e">
        <v>#DIV/0!</v>
      </c>
      <c r="T1206" t="s">
        <v>82</v>
      </c>
    </row>
    <row r="1207" spans="15:20" x14ac:dyDescent="0.25">
      <c r="O1207">
        <v>1</v>
      </c>
      <c r="S1207" t="e">
        <v>#DIV/0!</v>
      </c>
      <c r="T1207" t="s">
        <v>82</v>
      </c>
    </row>
    <row r="1208" spans="15:20" x14ac:dyDescent="0.25">
      <c r="O1208">
        <v>1</v>
      </c>
      <c r="S1208" t="e">
        <v>#DIV/0!</v>
      </c>
      <c r="T1208" t="s">
        <v>82</v>
      </c>
    </row>
    <row r="1209" spans="15:20" x14ac:dyDescent="0.25">
      <c r="O1209">
        <v>1</v>
      </c>
      <c r="S1209" t="e">
        <v>#DIV/0!</v>
      </c>
      <c r="T1209" t="s">
        <v>82</v>
      </c>
    </row>
    <row r="1210" spans="15:20" x14ac:dyDescent="0.25">
      <c r="O1210">
        <v>1</v>
      </c>
      <c r="S1210" t="e">
        <v>#DIV/0!</v>
      </c>
      <c r="T1210" t="s">
        <v>82</v>
      </c>
    </row>
    <row r="1211" spans="15:20" x14ac:dyDescent="0.25">
      <c r="O1211">
        <v>1</v>
      </c>
      <c r="S1211" t="e">
        <v>#DIV/0!</v>
      </c>
      <c r="T1211" t="s">
        <v>82</v>
      </c>
    </row>
    <row r="1212" spans="15:20" x14ac:dyDescent="0.25">
      <c r="O1212">
        <v>1</v>
      </c>
      <c r="S1212" t="e">
        <v>#DIV/0!</v>
      </c>
      <c r="T1212" t="s">
        <v>82</v>
      </c>
    </row>
    <row r="1213" spans="15:20" x14ac:dyDescent="0.25">
      <c r="O1213">
        <v>1</v>
      </c>
      <c r="S1213" t="e">
        <v>#DIV/0!</v>
      </c>
      <c r="T1213" t="s">
        <v>82</v>
      </c>
    </row>
    <row r="1214" spans="15:20" x14ac:dyDescent="0.25">
      <c r="O1214">
        <v>1</v>
      </c>
      <c r="S1214" t="e">
        <v>#DIV/0!</v>
      </c>
      <c r="T1214" t="s">
        <v>82</v>
      </c>
    </row>
    <row r="1215" spans="15:20" x14ac:dyDescent="0.25">
      <c r="O1215">
        <v>1</v>
      </c>
      <c r="S1215" t="e">
        <v>#DIV/0!</v>
      </c>
      <c r="T1215" t="s">
        <v>82</v>
      </c>
    </row>
    <row r="1216" spans="15:20" x14ac:dyDescent="0.25">
      <c r="O1216">
        <v>1</v>
      </c>
      <c r="S1216" t="e">
        <v>#DIV/0!</v>
      </c>
      <c r="T1216" t="s">
        <v>82</v>
      </c>
    </row>
    <row r="1217" spans="15:20" x14ac:dyDescent="0.25">
      <c r="O1217">
        <v>1</v>
      </c>
      <c r="S1217" t="e">
        <v>#DIV/0!</v>
      </c>
      <c r="T1217" t="s">
        <v>82</v>
      </c>
    </row>
    <row r="1218" spans="15:20" x14ac:dyDescent="0.25">
      <c r="O1218">
        <v>1</v>
      </c>
      <c r="S1218" t="e">
        <v>#DIV/0!</v>
      </c>
      <c r="T1218" t="s">
        <v>82</v>
      </c>
    </row>
    <row r="1219" spans="15:20" x14ac:dyDescent="0.25">
      <c r="O1219">
        <v>1</v>
      </c>
      <c r="S1219" t="e">
        <v>#DIV/0!</v>
      </c>
      <c r="T1219" t="s">
        <v>82</v>
      </c>
    </row>
    <row r="1220" spans="15:20" x14ac:dyDescent="0.25">
      <c r="O1220">
        <v>1</v>
      </c>
      <c r="S1220" t="e">
        <v>#DIV/0!</v>
      </c>
      <c r="T1220" t="s">
        <v>82</v>
      </c>
    </row>
    <row r="1221" spans="15:20" x14ac:dyDescent="0.25">
      <c r="O1221">
        <v>1</v>
      </c>
      <c r="S1221" t="e">
        <v>#DIV/0!</v>
      </c>
      <c r="T1221" t="s">
        <v>82</v>
      </c>
    </row>
    <row r="1222" spans="15:20" x14ac:dyDescent="0.25">
      <c r="O1222">
        <v>1</v>
      </c>
      <c r="S1222" t="e">
        <v>#DIV/0!</v>
      </c>
      <c r="T1222" t="s">
        <v>82</v>
      </c>
    </row>
    <row r="1223" spans="15:20" x14ac:dyDescent="0.25">
      <c r="O1223">
        <v>1</v>
      </c>
      <c r="S1223" t="e">
        <v>#DIV/0!</v>
      </c>
      <c r="T1223" t="s">
        <v>82</v>
      </c>
    </row>
    <row r="1224" spans="15:20" x14ac:dyDescent="0.25">
      <c r="O1224">
        <v>1</v>
      </c>
      <c r="S1224" t="e">
        <v>#DIV/0!</v>
      </c>
      <c r="T1224" t="s">
        <v>82</v>
      </c>
    </row>
    <row r="1225" spans="15:20" x14ac:dyDescent="0.25">
      <c r="O1225">
        <v>1</v>
      </c>
      <c r="S1225" t="e">
        <v>#DIV/0!</v>
      </c>
      <c r="T1225" t="s">
        <v>82</v>
      </c>
    </row>
    <row r="1226" spans="15:20" x14ac:dyDescent="0.25">
      <c r="O1226">
        <v>1</v>
      </c>
      <c r="S1226" t="e">
        <v>#DIV/0!</v>
      </c>
      <c r="T1226" t="s">
        <v>82</v>
      </c>
    </row>
    <row r="1227" spans="15:20" x14ac:dyDescent="0.25">
      <c r="O1227">
        <v>1</v>
      </c>
      <c r="S1227" t="e">
        <v>#DIV/0!</v>
      </c>
      <c r="T1227" t="s">
        <v>82</v>
      </c>
    </row>
    <row r="1228" spans="15:20" x14ac:dyDescent="0.25">
      <c r="O1228">
        <v>1</v>
      </c>
      <c r="S1228" t="e">
        <v>#DIV/0!</v>
      </c>
      <c r="T1228" t="s">
        <v>82</v>
      </c>
    </row>
    <row r="1229" spans="15:20" x14ac:dyDescent="0.25">
      <c r="O1229">
        <v>1</v>
      </c>
      <c r="S1229" t="e">
        <v>#DIV/0!</v>
      </c>
      <c r="T1229" t="s">
        <v>82</v>
      </c>
    </row>
    <row r="1230" spans="15:20" x14ac:dyDescent="0.25">
      <c r="O1230">
        <v>1</v>
      </c>
      <c r="S1230" t="e">
        <v>#DIV/0!</v>
      </c>
      <c r="T1230" t="s">
        <v>82</v>
      </c>
    </row>
    <row r="1231" spans="15:20" x14ac:dyDescent="0.25">
      <c r="O1231">
        <v>1</v>
      </c>
      <c r="S1231" t="e">
        <v>#DIV/0!</v>
      </c>
      <c r="T1231" t="s">
        <v>82</v>
      </c>
    </row>
    <row r="1232" spans="15:20" x14ac:dyDescent="0.25">
      <c r="O1232">
        <v>1</v>
      </c>
      <c r="S1232" t="e">
        <v>#DIV/0!</v>
      </c>
      <c r="T1232" t="s">
        <v>82</v>
      </c>
    </row>
    <row r="1233" spans="15:20" x14ac:dyDescent="0.25">
      <c r="O1233">
        <v>1</v>
      </c>
      <c r="S1233" t="e">
        <v>#DIV/0!</v>
      </c>
      <c r="T1233" t="s">
        <v>82</v>
      </c>
    </row>
    <row r="1234" spans="15:20" x14ac:dyDescent="0.25">
      <c r="O1234">
        <v>1</v>
      </c>
      <c r="S1234" t="e">
        <v>#DIV/0!</v>
      </c>
      <c r="T1234" t="s">
        <v>82</v>
      </c>
    </row>
    <row r="1235" spans="15:20" x14ac:dyDescent="0.25">
      <c r="O1235">
        <v>1</v>
      </c>
      <c r="S1235" t="e">
        <v>#DIV/0!</v>
      </c>
      <c r="T1235" t="s">
        <v>82</v>
      </c>
    </row>
    <row r="1236" spans="15:20" x14ac:dyDescent="0.25">
      <c r="O1236">
        <v>1</v>
      </c>
      <c r="S1236" t="e">
        <v>#DIV/0!</v>
      </c>
      <c r="T1236" t="s">
        <v>82</v>
      </c>
    </row>
    <row r="1237" spans="15:20" x14ac:dyDescent="0.25">
      <c r="O1237">
        <v>1</v>
      </c>
      <c r="S1237" t="e">
        <v>#DIV/0!</v>
      </c>
      <c r="T1237" t="s">
        <v>82</v>
      </c>
    </row>
    <row r="1238" spans="15:20" x14ac:dyDescent="0.25">
      <c r="O1238">
        <v>1</v>
      </c>
      <c r="S1238" t="e">
        <v>#DIV/0!</v>
      </c>
      <c r="T1238" t="s">
        <v>82</v>
      </c>
    </row>
    <row r="1239" spans="15:20" x14ac:dyDescent="0.25">
      <c r="O1239">
        <v>1</v>
      </c>
      <c r="S1239" t="e">
        <v>#DIV/0!</v>
      </c>
      <c r="T1239" t="s">
        <v>82</v>
      </c>
    </row>
    <row r="1240" spans="15:20" x14ac:dyDescent="0.25">
      <c r="O1240">
        <v>1</v>
      </c>
      <c r="S1240" t="e">
        <v>#DIV/0!</v>
      </c>
      <c r="T1240" t="s">
        <v>82</v>
      </c>
    </row>
    <row r="1241" spans="15:20" x14ac:dyDescent="0.25">
      <c r="O1241">
        <v>1</v>
      </c>
      <c r="S1241" t="e">
        <v>#DIV/0!</v>
      </c>
      <c r="T1241" t="s">
        <v>82</v>
      </c>
    </row>
    <row r="1242" spans="15:20" x14ac:dyDescent="0.25">
      <c r="O1242">
        <v>1</v>
      </c>
      <c r="S1242" t="e">
        <v>#DIV/0!</v>
      </c>
      <c r="T1242" t="s">
        <v>82</v>
      </c>
    </row>
    <row r="1243" spans="15:20" x14ac:dyDescent="0.25">
      <c r="O1243">
        <v>1</v>
      </c>
      <c r="S1243" t="e">
        <v>#DIV/0!</v>
      </c>
      <c r="T1243" t="s">
        <v>82</v>
      </c>
    </row>
    <row r="1244" spans="15:20" x14ac:dyDescent="0.25">
      <c r="O1244">
        <v>1</v>
      </c>
      <c r="S1244" t="e">
        <v>#DIV/0!</v>
      </c>
      <c r="T1244" t="s">
        <v>82</v>
      </c>
    </row>
    <row r="1245" spans="15:20" x14ac:dyDescent="0.25">
      <c r="O1245">
        <v>1</v>
      </c>
      <c r="S1245" t="e">
        <v>#DIV/0!</v>
      </c>
      <c r="T1245" t="s">
        <v>82</v>
      </c>
    </row>
    <row r="1246" spans="15:20" x14ac:dyDescent="0.25">
      <c r="O1246">
        <v>1</v>
      </c>
      <c r="S1246" t="e">
        <v>#DIV/0!</v>
      </c>
      <c r="T1246" t="s">
        <v>82</v>
      </c>
    </row>
    <row r="1247" spans="15:20" x14ac:dyDescent="0.25">
      <c r="O1247">
        <v>1</v>
      </c>
      <c r="S1247" t="e">
        <v>#DIV/0!</v>
      </c>
      <c r="T1247" t="s">
        <v>82</v>
      </c>
    </row>
    <row r="1248" spans="15:20" x14ac:dyDescent="0.25">
      <c r="O1248">
        <v>1</v>
      </c>
      <c r="S1248" t="e">
        <v>#DIV/0!</v>
      </c>
      <c r="T1248" t="s">
        <v>82</v>
      </c>
    </row>
    <row r="1249" spans="15:20" x14ac:dyDescent="0.25">
      <c r="O1249">
        <v>1</v>
      </c>
      <c r="S1249" t="e">
        <v>#DIV/0!</v>
      </c>
      <c r="T1249" t="s">
        <v>82</v>
      </c>
    </row>
    <row r="1250" spans="15:20" x14ac:dyDescent="0.25">
      <c r="O1250">
        <v>1</v>
      </c>
      <c r="S1250" t="e">
        <v>#DIV/0!</v>
      </c>
      <c r="T1250" t="s">
        <v>82</v>
      </c>
    </row>
    <row r="1251" spans="15:20" x14ac:dyDescent="0.25">
      <c r="O1251">
        <v>1</v>
      </c>
      <c r="S1251" t="e">
        <v>#DIV/0!</v>
      </c>
      <c r="T1251" t="s">
        <v>82</v>
      </c>
    </row>
    <row r="1252" spans="15:20" x14ac:dyDescent="0.25">
      <c r="O1252">
        <v>1</v>
      </c>
      <c r="S1252" t="e">
        <v>#DIV/0!</v>
      </c>
      <c r="T1252" t="s">
        <v>82</v>
      </c>
    </row>
    <row r="1253" spans="15:20" x14ac:dyDescent="0.25">
      <c r="O1253">
        <v>1</v>
      </c>
      <c r="S1253" t="e">
        <v>#DIV/0!</v>
      </c>
      <c r="T1253" t="s">
        <v>82</v>
      </c>
    </row>
    <row r="1254" spans="15:20" x14ac:dyDescent="0.25">
      <c r="O1254">
        <v>1</v>
      </c>
      <c r="S1254" t="e">
        <v>#DIV/0!</v>
      </c>
      <c r="T1254" t="s">
        <v>82</v>
      </c>
    </row>
    <row r="1255" spans="15:20" x14ac:dyDescent="0.25">
      <c r="O1255">
        <v>1</v>
      </c>
      <c r="S1255" t="e">
        <v>#DIV/0!</v>
      </c>
      <c r="T1255" t="s">
        <v>82</v>
      </c>
    </row>
    <row r="1256" spans="15:20" x14ac:dyDescent="0.25">
      <c r="O1256">
        <v>1</v>
      </c>
      <c r="S1256" t="e">
        <v>#DIV/0!</v>
      </c>
      <c r="T1256" t="s">
        <v>82</v>
      </c>
    </row>
    <row r="1257" spans="15:20" x14ac:dyDescent="0.25">
      <c r="O1257">
        <v>1</v>
      </c>
      <c r="S1257" t="e">
        <v>#DIV/0!</v>
      </c>
      <c r="T1257" t="s">
        <v>82</v>
      </c>
    </row>
    <row r="1258" spans="15:20" x14ac:dyDescent="0.25">
      <c r="O1258">
        <v>1</v>
      </c>
      <c r="S1258" t="e">
        <v>#DIV/0!</v>
      </c>
      <c r="T1258" t="s">
        <v>82</v>
      </c>
    </row>
    <row r="1259" spans="15:20" x14ac:dyDescent="0.25">
      <c r="O1259">
        <v>1</v>
      </c>
      <c r="S1259" t="e">
        <v>#DIV/0!</v>
      </c>
      <c r="T1259" t="s">
        <v>82</v>
      </c>
    </row>
    <row r="1260" spans="15:20" x14ac:dyDescent="0.25">
      <c r="O1260">
        <v>1</v>
      </c>
      <c r="S1260" t="e">
        <v>#DIV/0!</v>
      </c>
      <c r="T1260" t="s">
        <v>82</v>
      </c>
    </row>
    <row r="1261" spans="15:20" x14ac:dyDescent="0.25">
      <c r="O1261">
        <v>1</v>
      </c>
      <c r="S1261" t="e">
        <v>#DIV/0!</v>
      </c>
      <c r="T1261" t="s">
        <v>82</v>
      </c>
    </row>
    <row r="1262" spans="15:20" x14ac:dyDescent="0.25">
      <c r="O1262">
        <v>1</v>
      </c>
      <c r="S1262" t="e">
        <v>#DIV/0!</v>
      </c>
      <c r="T1262" t="s">
        <v>82</v>
      </c>
    </row>
    <row r="1263" spans="15:20" x14ac:dyDescent="0.25">
      <c r="O1263">
        <v>1</v>
      </c>
      <c r="S1263" t="e">
        <v>#DIV/0!</v>
      </c>
      <c r="T1263" t="s">
        <v>82</v>
      </c>
    </row>
    <row r="1264" spans="15:20" x14ac:dyDescent="0.25">
      <c r="O1264">
        <v>1</v>
      </c>
      <c r="S1264" t="e">
        <v>#DIV/0!</v>
      </c>
      <c r="T1264" t="s">
        <v>82</v>
      </c>
    </row>
    <row r="1265" spans="15:20" x14ac:dyDescent="0.25">
      <c r="O1265">
        <v>1</v>
      </c>
      <c r="S1265" t="e">
        <v>#DIV/0!</v>
      </c>
      <c r="T1265" t="s">
        <v>82</v>
      </c>
    </row>
    <row r="1266" spans="15:20" x14ac:dyDescent="0.25">
      <c r="O1266">
        <v>1</v>
      </c>
      <c r="S1266" t="e">
        <v>#DIV/0!</v>
      </c>
      <c r="T1266" t="s">
        <v>82</v>
      </c>
    </row>
    <row r="1267" spans="15:20" x14ac:dyDescent="0.25">
      <c r="O1267">
        <v>1</v>
      </c>
      <c r="S1267" t="e">
        <v>#DIV/0!</v>
      </c>
      <c r="T1267" t="s">
        <v>82</v>
      </c>
    </row>
    <row r="1268" spans="15:20" x14ac:dyDescent="0.25">
      <c r="O1268">
        <v>1</v>
      </c>
      <c r="S1268" t="e">
        <v>#DIV/0!</v>
      </c>
      <c r="T1268" t="s">
        <v>82</v>
      </c>
    </row>
    <row r="1269" spans="15:20" x14ac:dyDescent="0.25">
      <c r="O1269">
        <v>1</v>
      </c>
      <c r="S1269" t="e">
        <v>#DIV/0!</v>
      </c>
      <c r="T1269" t="s">
        <v>82</v>
      </c>
    </row>
    <row r="1270" spans="15:20" x14ac:dyDescent="0.25">
      <c r="O1270">
        <v>1</v>
      </c>
      <c r="S1270" t="e">
        <v>#DIV/0!</v>
      </c>
      <c r="T1270" t="s">
        <v>82</v>
      </c>
    </row>
    <row r="1271" spans="15:20" x14ac:dyDescent="0.25">
      <c r="O1271">
        <v>1</v>
      </c>
      <c r="S1271" t="e">
        <v>#DIV/0!</v>
      </c>
      <c r="T1271" t="s">
        <v>82</v>
      </c>
    </row>
    <row r="1272" spans="15:20" x14ac:dyDescent="0.25">
      <c r="O1272">
        <v>1</v>
      </c>
      <c r="S1272" t="e">
        <v>#DIV/0!</v>
      </c>
      <c r="T1272" t="s">
        <v>82</v>
      </c>
    </row>
    <row r="1273" spans="15:20" x14ac:dyDescent="0.25">
      <c r="O1273">
        <v>1</v>
      </c>
      <c r="S1273" t="e">
        <v>#DIV/0!</v>
      </c>
      <c r="T1273" t="s">
        <v>82</v>
      </c>
    </row>
    <row r="1274" spans="15:20" x14ac:dyDescent="0.25">
      <c r="O1274">
        <v>1</v>
      </c>
      <c r="S1274" t="e">
        <v>#DIV/0!</v>
      </c>
      <c r="T1274" t="s">
        <v>82</v>
      </c>
    </row>
    <row r="1275" spans="15:20" x14ac:dyDescent="0.25">
      <c r="O1275">
        <v>1</v>
      </c>
      <c r="S1275" t="e">
        <v>#DIV/0!</v>
      </c>
      <c r="T1275" t="s">
        <v>82</v>
      </c>
    </row>
    <row r="1276" spans="15:20" x14ac:dyDescent="0.25">
      <c r="O1276">
        <v>1</v>
      </c>
      <c r="S1276" t="e">
        <v>#DIV/0!</v>
      </c>
      <c r="T1276" t="s">
        <v>82</v>
      </c>
    </row>
    <row r="1277" spans="15:20" x14ac:dyDescent="0.25">
      <c r="O1277">
        <v>1</v>
      </c>
      <c r="S1277" t="e">
        <v>#DIV/0!</v>
      </c>
      <c r="T1277" t="s">
        <v>82</v>
      </c>
    </row>
    <row r="1278" spans="15:20" x14ac:dyDescent="0.25">
      <c r="O1278">
        <v>1</v>
      </c>
      <c r="S1278" t="e">
        <v>#DIV/0!</v>
      </c>
      <c r="T1278" t="s">
        <v>82</v>
      </c>
    </row>
    <row r="1279" spans="15:20" x14ac:dyDescent="0.25">
      <c r="O1279">
        <v>1</v>
      </c>
      <c r="S1279" t="e">
        <v>#DIV/0!</v>
      </c>
      <c r="T1279" t="s">
        <v>82</v>
      </c>
    </row>
    <row r="1280" spans="15:20" x14ac:dyDescent="0.25">
      <c r="O1280">
        <v>1</v>
      </c>
      <c r="S1280" t="e">
        <v>#DIV/0!</v>
      </c>
      <c r="T1280" t="s">
        <v>82</v>
      </c>
    </row>
    <row r="1281" spans="15:20" x14ac:dyDescent="0.25">
      <c r="O1281">
        <v>1</v>
      </c>
      <c r="S1281" t="e">
        <v>#DIV/0!</v>
      </c>
      <c r="T1281" t="s">
        <v>82</v>
      </c>
    </row>
    <row r="1282" spans="15:20" x14ac:dyDescent="0.25">
      <c r="O1282">
        <v>1</v>
      </c>
      <c r="S1282" t="e">
        <v>#DIV/0!</v>
      </c>
      <c r="T1282" t="s">
        <v>82</v>
      </c>
    </row>
    <row r="1283" spans="15:20" x14ac:dyDescent="0.25">
      <c r="O1283">
        <v>1</v>
      </c>
      <c r="S1283" t="e">
        <v>#DIV/0!</v>
      </c>
      <c r="T1283" t="s">
        <v>82</v>
      </c>
    </row>
    <row r="1284" spans="15:20" x14ac:dyDescent="0.25">
      <c r="O1284">
        <v>1</v>
      </c>
      <c r="S1284" t="e">
        <v>#DIV/0!</v>
      </c>
      <c r="T1284" t="s">
        <v>82</v>
      </c>
    </row>
    <row r="1285" spans="15:20" x14ac:dyDescent="0.25">
      <c r="O1285">
        <v>1</v>
      </c>
      <c r="S1285" t="e">
        <v>#DIV/0!</v>
      </c>
      <c r="T1285" t="s">
        <v>82</v>
      </c>
    </row>
    <row r="1286" spans="15:20" x14ac:dyDescent="0.25">
      <c r="O1286">
        <v>1</v>
      </c>
      <c r="S1286" t="e">
        <v>#DIV/0!</v>
      </c>
      <c r="T1286" t="s">
        <v>82</v>
      </c>
    </row>
    <row r="1287" spans="15:20" x14ac:dyDescent="0.25">
      <c r="O1287">
        <v>1</v>
      </c>
      <c r="S1287" t="e">
        <v>#DIV/0!</v>
      </c>
      <c r="T1287" t="s">
        <v>82</v>
      </c>
    </row>
    <row r="1288" spans="15:20" x14ac:dyDescent="0.25">
      <c r="O1288">
        <v>1</v>
      </c>
      <c r="S1288" t="e">
        <v>#DIV/0!</v>
      </c>
      <c r="T1288" t="s">
        <v>82</v>
      </c>
    </row>
    <row r="1289" spans="15:20" x14ac:dyDescent="0.25">
      <c r="O1289">
        <v>1</v>
      </c>
      <c r="S1289" t="e">
        <v>#DIV/0!</v>
      </c>
      <c r="T1289" t="s">
        <v>82</v>
      </c>
    </row>
    <row r="1290" spans="15:20" x14ac:dyDescent="0.25">
      <c r="O1290">
        <v>1</v>
      </c>
      <c r="S1290" t="e">
        <v>#DIV/0!</v>
      </c>
      <c r="T1290" t="s">
        <v>82</v>
      </c>
    </row>
    <row r="1291" spans="15:20" x14ac:dyDescent="0.25">
      <c r="O1291">
        <v>1</v>
      </c>
      <c r="S1291" t="e">
        <v>#DIV/0!</v>
      </c>
      <c r="T1291" t="s">
        <v>82</v>
      </c>
    </row>
    <row r="1292" spans="15:20" x14ac:dyDescent="0.25">
      <c r="O1292">
        <v>1</v>
      </c>
      <c r="S1292" t="e">
        <v>#DIV/0!</v>
      </c>
      <c r="T1292" t="s">
        <v>82</v>
      </c>
    </row>
    <row r="1293" spans="15:20" x14ac:dyDescent="0.25">
      <c r="O1293">
        <v>1</v>
      </c>
      <c r="S1293" t="e">
        <v>#DIV/0!</v>
      </c>
      <c r="T1293" t="s">
        <v>82</v>
      </c>
    </row>
    <row r="1294" spans="15:20" x14ac:dyDescent="0.25">
      <c r="O1294">
        <v>1</v>
      </c>
      <c r="S1294" t="e">
        <v>#DIV/0!</v>
      </c>
      <c r="T1294" t="s">
        <v>82</v>
      </c>
    </row>
    <row r="1295" spans="15:20" x14ac:dyDescent="0.25">
      <c r="O1295">
        <v>1</v>
      </c>
      <c r="S1295" t="e">
        <v>#DIV/0!</v>
      </c>
      <c r="T1295" t="s">
        <v>82</v>
      </c>
    </row>
    <row r="1296" spans="15:20" x14ac:dyDescent="0.25">
      <c r="O1296">
        <v>1</v>
      </c>
      <c r="S1296" t="e">
        <v>#DIV/0!</v>
      </c>
      <c r="T1296" t="s">
        <v>82</v>
      </c>
    </row>
    <row r="1297" spans="15:20" x14ac:dyDescent="0.25">
      <c r="O1297">
        <v>1</v>
      </c>
      <c r="S1297" t="e">
        <v>#DIV/0!</v>
      </c>
      <c r="T1297" t="s">
        <v>82</v>
      </c>
    </row>
    <row r="1298" spans="15:20" x14ac:dyDescent="0.25">
      <c r="O1298">
        <v>1</v>
      </c>
      <c r="S1298" t="e">
        <v>#DIV/0!</v>
      </c>
      <c r="T1298" t="s">
        <v>82</v>
      </c>
    </row>
    <row r="1299" spans="15:20" x14ac:dyDescent="0.25">
      <c r="O1299">
        <v>1</v>
      </c>
      <c r="S1299" t="e">
        <v>#DIV/0!</v>
      </c>
      <c r="T1299" t="s">
        <v>82</v>
      </c>
    </row>
    <row r="1300" spans="15:20" x14ac:dyDescent="0.25">
      <c r="O1300">
        <v>1</v>
      </c>
      <c r="S1300" t="e">
        <v>#DIV/0!</v>
      </c>
      <c r="T1300" t="s">
        <v>82</v>
      </c>
    </row>
    <row r="1301" spans="15:20" x14ac:dyDescent="0.25">
      <c r="O1301">
        <v>1</v>
      </c>
      <c r="S1301" t="e">
        <v>#DIV/0!</v>
      </c>
      <c r="T1301" t="s">
        <v>82</v>
      </c>
    </row>
    <row r="1302" spans="15:20" x14ac:dyDescent="0.25">
      <c r="O1302">
        <v>1</v>
      </c>
      <c r="S1302" t="e">
        <v>#DIV/0!</v>
      </c>
      <c r="T1302" t="s">
        <v>82</v>
      </c>
    </row>
    <row r="1303" spans="15:20" x14ac:dyDescent="0.25">
      <c r="O1303">
        <v>1</v>
      </c>
      <c r="S1303" t="e">
        <v>#DIV/0!</v>
      </c>
      <c r="T1303" t="s">
        <v>82</v>
      </c>
    </row>
    <row r="1304" spans="15:20" x14ac:dyDescent="0.25">
      <c r="O1304">
        <v>1</v>
      </c>
      <c r="S1304" t="e">
        <v>#DIV/0!</v>
      </c>
      <c r="T1304" t="s">
        <v>82</v>
      </c>
    </row>
    <row r="1305" spans="15:20" x14ac:dyDescent="0.25">
      <c r="O1305">
        <v>1</v>
      </c>
      <c r="S1305" t="e">
        <v>#DIV/0!</v>
      </c>
      <c r="T1305" t="s">
        <v>82</v>
      </c>
    </row>
    <row r="1306" spans="15:20" x14ac:dyDescent="0.25">
      <c r="O1306">
        <v>1</v>
      </c>
      <c r="S1306" t="e">
        <v>#DIV/0!</v>
      </c>
      <c r="T1306" t="s">
        <v>82</v>
      </c>
    </row>
    <row r="1307" spans="15:20" x14ac:dyDescent="0.25">
      <c r="O1307">
        <v>1</v>
      </c>
      <c r="S1307" t="e">
        <v>#DIV/0!</v>
      </c>
      <c r="T1307" t="s">
        <v>82</v>
      </c>
    </row>
    <row r="1308" spans="15:20" x14ac:dyDescent="0.25">
      <c r="O1308">
        <v>1</v>
      </c>
      <c r="S1308" t="e">
        <v>#DIV/0!</v>
      </c>
      <c r="T1308" t="s">
        <v>82</v>
      </c>
    </row>
    <row r="1309" spans="15:20" x14ac:dyDescent="0.25">
      <c r="O1309">
        <v>1</v>
      </c>
      <c r="S1309" t="e">
        <v>#DIV/0!</v>
      </c>
      <c r="T1309" t="s">
        <v>82</v>
      </c>
    </row>
    <row r="1310" spans="15:20" x14ac:dyDescent="0.25">
      <c r="O1310">
        <v>1</v>
      </c>
      <c r="S1310" t="e">
        <v>#DIV/0!</v>
      </c>
      <c r="T1310" t="s">
        <v>82</v>
      </c>
    </row>
    <row r="1311" spans="15:20" x14ac:dyDescent="0.25">
      <c r="O1311">
        <v>1</v>
      </c>
      <c r="S1311" t="e">
        <v>#DIV/0!</v>
      </c>
      <c r="T1311" t="s">
        <v>82</v>
      </c>
    </row>
    <row r="1312" spans="15:20" x14ac:dyDescent="0.25">
      <c r="O1312">
        <v>1</v>
      </c>
      <c r="S1312" t="e">
        <v>#DIV/0!</v>
      </c>
      <c r="T1312" t="s">
        <v>82</v>
      </c>
    </row>
    <row r="1313" spans="15:20" x14ac:dyDescent="0.25">
      <c r="O1313">
        <v>1</v>
      </c>
      <c r="S1313" t="e">
        <v>#DIV/0!</v>
      </c>
      <c r="T1313" t="s">
        <v>82</v>
      </c>
    </row>
    <row r="1314" spans="15:20" x14ac:dyDescent="0.25">
      <c r="O1314">
        <v>1</v>
      </c>
      <c r="S1314" t="e">
        <v>#DIV/0!</v>
      </c>
      <c r="T1314" t="s">
        <v>82</v>
      </c>
    </row>
    <row r="1315" spans="15:20" x14ac:dyDescent="0.25">
      <c r="O1315">
        <v>1</v>
      </c>
      <c r="S1315" t="e">
        <v>#DIV/0!</v>
      </c>
      <c r="T1315" t="s">
        <v>82</v>
      </c>
    </row>
    <row r="1316" spans="15:20" x14ac:dyDescent="0.25">
      <c r="O1316">
        <v>1</v>
      </c>
      <c r="S1316" t="e">
        <v>#DIV/0!</v>
      </c>
      <c r="T1316" t="s">
        <v>82</v>
      </c>
    </row>
    <row r="1317" spans="15:20" x14ac:dyDescent="0.25">
      <c r="O1317">
        <v>1</v>
      </c>
      <c r="S1317" t="e">
        <v>#DIV/0!</v>
      </c>
      <c r="T1317" t="s">
        <v>82</v>
      </c>
    </row>
    <row r="1318" spans="15:20" x14ac:dyDescent="0.25">
      <c r="O1318">
        <v>1</v>
      </c>
      <c r="S1318" t="e">
        <v>#DIV/0!</v>
      </c>
      <c r="T1318" t="s">
        <v>82</v>
      </c>
    </row>
    <row r="1319" spans="15:20" x14ac:dyDescent="0.25">
      <c r="O1319">
        <v>1</v>
      </c>
      <c r="S1319" t="e">
        <v>#DIV/0!</v>
      </c>
      <c r="T1319" t="s">
        <v>82</v>
      </c>
    </row>
    <row r="1320" spans="15:20" x14ac:dyDescent="0.25">
      <c r="O1320">
        <v>1</v>
      </c>
      <c r="S1320" t="e">
        <v>#DIV/0!</v>
      </c>
      <c r="T1320" t="s">
        <v>82</v>
      </c>
    </row>
    <row r="1321" spans="15:20" x14ac:dyDescent="0.25">
      <c r="O1321">
        <v>1</v>
      </c>
      <c r="S1321" t="e">
        <v>#DIV/0!</v>
      </c>
      <c r="T1321" t="s">
        <v>82</v>
      </c>
    </row>
    <row r="1322" spans="15:20" x14ac:dyDescent="0.25">
      <c r="O1322">
        <v>1</v>
      </c>
      <c r="S1322" t="e">
        <v>#DIV/0!</v>
      </c>
      <c r="T1322" t="s">
        <v>82</v>
      </c>
    </row>
    <row r="1323" spans="15:20" x14ac:dyDescent="0.25">
      <c r="O1323">
        <v>1</v>
      </c>
      <c r="S1323" t="e">
        <v>#DIV/0!</v>
      </c>
      <c r="T1323" t="s">
        <v>82</v>
      </c>
    </row>
    <row r="1324" spans="15:20" x14ac:dyDescent="0.25">
      <c r="O1324">
        <v>1</v>
      </c>
      <c r="S1324" t="e">
        <v>#DIV/0!</v>
      </c>
      <c r="T1324" t="s">
        <v>82</v>
      </c>
    </row>
    <row r="1325" spans="15:20" x14ac:dyDescent="0.25">
      <c r="O1325">
        <v>1</v>
      </c>
      <c r="S1325" t="e">
        <v>#DIV/0!</v>
      </c>
      <c r="T1325" t="s">
        <v>82</v>
      </c>
    </row>
    <row r="1326" spans="15:20" x14ac:dyDescent="0.25">
      <c r="O1326">
        <v>1</v>
      </c>
      <c r="S1326" t="e">
        <v>#DIV/0!</v>
      </c>
      <c r="T1326" t="s">
        <v>82</v>
      </c>
    </row>
    <row r="1327" spans="15:20" x14ac:dyDescent="0.25">
      <c r="O1327">
        <v>1</v>
      </c>
      <c r="S1327" t="e">
        <v>#DIV/0!</v>
      </c>
      <c r="T1327" t="s">
        <v>82</v>
      </c>
    </row>
    <row r="1328" spans="15:20" x14ac:dyDescent="0.25">
      <c r="O1328">
        <v>1</v>
      </c>
      <c r="S1328" t="e">
        <v>#DIV/0!</v>
      </c>
      <c r="T1328" t="s">
        <v>82</v>
      </c>
    </row>
    <row r="1329" spans="15:20" x14ac:dyDescent="0.25">
      <c r="O1329">
        <v>1</v>
      </c>
      <c r="S1329" t="e">
        <v>#DIV/0!</v>
      </c>
      <c r="T1329" t="s">
        <v>82</v>
      </c>
    </row>
    <row r="1330" spans="15:20" x14ac:dyDescent="0.25">
      <c r="O1330">
        <v>1</v>
      </c>
      <c r="S1330" t="e">
        <v>#DIV/0!</v>
      </c>
      <c r="T1330" t="s">
        <v>82</v>
      </c>
    </row>
    <row r="1331" spans="15:20" x14ac:dyDescent="0.25">
      <c r="O1331">
        <v>1</v>
      </c>
      <c r="S1331" t="e">
        <v>#DIV/0!</v>
      </c>
      <c r="T1331" t="s">
        <v>82</v>
      </c>
    </row>
    <row r="1332" spans="15:20" x14ac:dyDescent="0.25">
      <c r="O1332">
        <v>1</v>
      </c>
      <c r="S1332" t="e">
        <v>#DIV/0!</v>
      </c>
      <c r="T1332" t="s">
        <v>82</v>
      </c>
    </row>
    <row r="1333" spans="15:20" x14ac:dyDescent="0.25">
      <c r="O1333">
        <v>1</v>
      </c>
      <c r="S1333" t="e">
        <v>#DIV/0!</v>
      </c>
      <c r="T1333" t="s">
        <v>82</v>
      </c>
    </row>
    <row r="1334" spans="15:20" x14ac:dyDescent="0.25">
      <c r="O1334">
        <v>1</v>
      </c>
      <c r="S1334" t="e">
        <v>#DIV/0!</v>
      </c>
      <c r="T1334" t="s">
        <v>82</v>
      </c>
    </row>
    <row r="1335" spans="15:20" x14ac:dyDescent="0.25">
      <c r="O1335">
        <v>1</v>
      </c>
      <c r="S1335" t="e">
        <v>#DIV/0!</v>
      </c>
      <c r="T1335" t="s">
        <v>82</v>
      </c>
    </row>
    <row r="1336" spans="15:20" x14ac:dyDescent="0.25">
      <c r="O1336">
        <v>1</v>
      </c>
      <c r="S1336" t="e">
        <v>#DIV/0!</v>
      </c>
      <c r="T1336" t="s">
        <v>82</v>
      </c>
    </row>
    <row r="1337" spans="15:20" x14ac:dyDescent="0.25">
      <c r="O1337">
        <v>1</v>
      </c>
      <c r="S1337" t="e">
        <v>#DIV/0!</v>
      </c>
      <c r="T1337" t="s">
        <v>82</v>
      </c>
    </row>
    <row r="1338" spans="15:20" x14ac:dyDescent="0.25">
      <c r="O1338">
        <v>1</v>
      </c>
      <c r="S1338" t="e">
        <v>#DIV/0!</v>
      </c>
      <c r="T1338" t="s">
        <v>82</v>
      </c>
    </row>
    <row r="1339" spans="15:20" x14ac:dyDescent="0.25">
      <c r="O1339">
        <v>1</v>
      </c>
      <c r="S1339" t="e">
        <v>#DIV/0!</v>
      </c>
      <c r="T1339" t="s">
        <v>82</v>
      </c>
    </row>
    <row r="1340" spans="15:20" x14ac:dyDescent="0.25">
      <c r="O1340">
        <v>1</v>
      </c>
      <c r="S1340" t="e">
        <v>#DIV/0!</v>
      </c>
      <c r="T1340" t="s">
        <v>82</v>
      </c>
    </row>
    <row r="1341" spans="15:20" x14ac:dyDescent="0.25">
      <c r="O1341">
        <v>1</v>
      </c>
      <c r="S1341" t="e">
        <v>#DIV/0!</v>
      </c>
      <c r="T1341" t="s">
        <v>82</v>
      </c>
    </row>
    <row r="1342" spans="15:20" x14ac:dyDescent="0.25">
      <c r="O1342">
        <v>1</v>
      </c>
      <c r="S1342" t="e">
        <v>#DIV/0!</v>
      </c>
      <c r="T1342" t="s">
        <v>82</v>
      </c>
    </row>
    <row r="1343" spans="15:20" x14ac:dyDescent="0.25">
      <c r="O1343">
        <v>1</v>
      </c>
      <c r="S1343" t="e">
        <v>#DIV/0!</v>
      </c>
      <c r="T1343" t="s">
        <v>82</v>
      </c>
    </row>
    <row r="1344" spans="15:20" x14ac:dyDescent="0.25">
      <c r="O1344">
        <v>1</v>
      </c>
      <c r="S1344" t="e">
        <v>#DIV/0!</v>
      </c>
      <c r="T1344" t="s">
        <v>82</v>
      </c>
    </row>
    <row r="1345" spans="15:20" x14ac:dyDescent="0.25">
      <c r="O1345">
        <v>1</v>
      </c>
      <c r="S1345" t="e">
        <v>#DIV/0!</v>
      </c>
      <c r="T1345" t="s">
        <v>82</v>
      </c>
    </row>
    <row r="1346" spans="15:20" x14ac:dyDescent="0.25">
      <c r="O1346">
        <v>1</v>
      </c>
      <c r="S1346" t="e">
        <v>#DIV/0!</v>
      </c>
      <c r="T1346" t="s">
        <v>82</v>
      </c>
    </row>
    <row r="1347" spans="15:20" x14ac:dyDescent="0.25">
      <c r="O1347">
        <v>1</v>
      </c>
      <c r="S1347" t="e">
        <v>#DIV/0!</v>
      </c>
      <c r="T1347" t="s">
        <v>82</v>
      </c>
    </row>
    <row r="1348" spans="15:20" x14ac:dyDescent="0.25">
      <c r="O1348">
        <v>1</v>
      </c>
      <c r="S1348" t="e">
        <v>#DIV/0!</v>
      </c>
      <c r="T1348" t="s">
        <v>82</v>
      </c>
    </row>
    <row r="1349" spans="15:20" x14ac:dyDescent="0.25">
      <c r="O1349">
        <v>1</v>
      </c>
      <c r="S1349" t="e">
        <v>#DIV/0!</v>
      </c>
      <c r="T1349" t="s">
        <v>82</v>
      </c>
    </row>
    <row r="1350" spans="15:20" x14ac:dyDescent="0.25">
      <c r="O1350">
        <v>1</v>
      </c>
      <c r="S1350" t="e">
        <v>#DIV/0!</v>
      </c>
      <c r="T1350" t="s">
        <v>82</v>
      </c>
    </row>
    <row r="1351" spans="15:20" x14ac:dyDescent="0.25">
      <c r="O1351">
        <v>1</v>
      </c>
      <c r="S1351" t="e">
        <v>#DIV/0!</v>
      </c>
      <c r="T1351" t="s">
        <v>82</v>
      </c>
    </row>
    <row r="1352" spans="15:20" x14ac:dyDescent="0.25">
      <c r="O1352">
        <v>1</v>
      </c>
      <c r="S1352" t="e">
        <v>#DIV/0!</v>
      </c>
      <c r="T1352" t="s">
        <v>82</v>
      </c>
    </row>
    <row r="1353" spans="15:20" x14ac:dyDescent="0.25">
      <c r="O1353">
        <v>1</v>
      </c>
      <c r="S1353" t="e">
        <v>#DIV/0!</v>
      </c>
      <c r="T1353" t="s">
        <v>82</v>
      </c>
    </row>
    <row r="1354" spans="15:20" x14ac:dyDescent="0.25">
      <c r="O1354">
        <v>1</v>
      </c>
      <c r="S1354" t="e">
        <v>#DIV/0!</v>
      </c>
      <c r="T1354" t="s">
        <v>82</v>
      </c>
    </row>
    <row r="1355" spans="15:20" x14ac:dyDescent="0.25">
      <c r="O1355">
        <v>1</v>
      </c>
      <c r="S1355" t="e">
        <v>#DIV/0!</v>
      </c>
      <c r="T1355" t="s">
        <v>82</v>
      </c>
    </row>
    <row r="1356" spans="15:20" x14ac:dyDescent="0.25">
      <c r="O1356">
        <v>1</v>
      </c>
      <c r="S1356" t="e">
        <v>#DIV/0!</v>
      </c>
      <c r="T1356" t="s">
        <v>82</v>
      </c>
    </row>
    <row r="1357" spans="15:20" x14ac:dyDescent="0.25">
      <c r="O1357">
        <v>1</v>
      </c>
      <c r="S1357" t="e">
        <v>#DIV/0!</v>
      </c>
      <c r="T1357" t="s">
        <v>82</v>
      </c>
    </row>
    <row r="1358" spans="15:20" x14ac:dyDescent="0.25">
      <c r="O1358">
        <v>1</v>
      </c>
      <c r="S1358" t="e">
        <v>#DIV/0!</v>
      </c>
      <c r="T1358" t="s">
        <v>82</v>
      </c>
    </row>
    <row r="1359" spans="15:20" x14ac:dyDescent="0.25">
      <c r="O1359">
        <v>1</v>
      </c>
      <c r="S1359" t="e">
        <v>#DIV/0!</v>
      </c>
      <c r="T1359" t="s">
        <v>82</v>
      </c>
    </row>
    <row r="1360" spans="15:20" x14ac:dyDescent="0.25">
      <c r="O1360">
        <v>1</v>
      </c>
      <c r="S1360" t="e">
        <v>#DIV/0!</v>
      </c>
      <c r="T1360" t="s">
        <v>82</v>
      </c>
    </row>
    <row r="1361" spans="15:20" x14ac:dyDescent="0.25">
      <c r="O1361">
        <v>1</v>
      </c>
      <c r="S1361" t="e">
        <v>#DIV/0!</v>
      </c>
      <c r="T1361" t="s">
        <v>82</v>
      </c>
    </row>
    <row r="1362" spans="15:20" x14ac:dyDescent="0.25">
      <c r="O1362">
        <v>1</v>
      </c>
      <c r="S1362" t="e">
        <v>#DIV/0!</v>
      </c>
      <c r="T1362" t="s">
        <v>82</v>
      </c>
    </row>
    <row r="1363" spans="15:20" x14ac:dyDescent="0.25">
      <c r="O1363">
        <v>1</v>
      </c>
      <c r="S1363" t="e">
        <v>#DIV/0!</v>
      </c>
      <c r="T1363" t="s">
        <v>82</v>
      </c>
    </row>
    <row r="1364" spans="15:20" x14ac:dyDescent="0.25">
      <c r="O1364">
        <v>1</v>
      </c>
      <c r="S1364" t="e">
        <v>#DIV/0!</v>
      </c>
      <c r="T1364" t="s">
        <v>82</v>
      </c>
    </row>
    <row r="1365" spans="15:20" x14ac:dyDescent="0.25">
      <c r="O1365">
        <v>1</v>
      </c>
      <c r="S1365" t="e">
        <v>#DIV/0!</v>
      </c>
      <c r="T1365" t="s">
        <v>82</v>
      </c>
    </row>
    <row r="1366" spans="15:20" x14ac:dyDescent="0.25">
      <c r="O1366">
        <v>1</v>
      </c>
      <c r="S1366" t="e">
        <v>#DIV/0!</v>
      </c>
      <c r="T1366" t="s">
        <v>82</v>
      </c>
    </row>
    <row r="1367" spans="15:20" x14ac:dyDescent="0.25">
      <c r="O1367">
        <v>1</v>
      </c>
      <c r="S1367" t="e">
        <v>#DIV/0!</v>
      </c>
      <c r="T1367" t="s">
        <v>82</v>
      </c>
    </row>
    <row r="1368" spans="15:20" x14ac:dyDescent="0.25">
      <c r="O1368">
        <v>1</v>
      </c>
      <c r="S1368" t="e">
        <v>#DIV/0!</v>
      </c>
      <c r="T1368" t="s">
        <v>82</v>
      </c>
    </row>
    <row r="1369" spans="15:20" x14ac:dyDescent="0.25">
      <c r="O1369">
        <v>1</v>
      </c>
      <c r="S1369" t="e">
        <v>#DIV/0!</v>
      </c>
      <c r="T1369" t="s">
        <v>82</v>
      </c>
    </row>
    <row r="1370" spans="15:20" x14ac:dyDescent="0.25">
      <c r="O1370">
        <v>1</v>
      </c>
      <c r="S1370" t="e">
        <v>#DIV/0!</v>
      </c>
      <c r="T1370" t="s">
        <v>82</v>
      </c>
    </row>
    <row r="1371" spans="15:20" x14ac:dyDescent="0.25">
      <c r="O1371">
        <v>1</v>
      </c>
      <c r="S1371" t="e">
        <v>#DIV/0!</v>
      </c>
      <c r="T1371" t="s">
        <v>82</v>
      </c>
    </row>
    <row r="1372" spans="15:20" x14ac:dyDescent="0.25">
      <c r="O1372">
        <v>1</v>
      </c>
      <c r="S1372" t="e">
        <v>#DIV/0!</v>
      </c>
      <c r="T1372" t="s">
        <v>82</v>
      </c>
    </row>
    <row r="1373" spans="15:20" x14ac:dyDescent="0.25">
      <c r="O1373">
        <v>1</v>
      </c>
      <c r="S1373" t="e">
        <v>#DIV/0!</v>
      </c>
      <c r="T1373" t="s">
        <v>82</v>
      </c>
    </row>
    <row r="1374" spans="15:20" x14ac:dyDescent="0.25">
      <c r="O1374">
        <v>1</v>
      </c>
      <c r="S1374" t="e">
        <v>#DIV/0!</v>
      </c>
      <c r="T1374" t="s">
        <v>82</v>
      </c>
    </row>
    <row r="1375" spans="15:20" x14ac:dyDescent="0.25">
      <c r="O1375">
        <v>1</v>
      </c>
      <c r="S1375" t="e">
        <v>#DIV/0!</v>
      </c>
      <c r="T1375" t="s">
        <v>82</v>
      </c>
    </row>
    <row r="1376" spans="15:20" x14ac:dyDescent="0.25">
      <c r="O1376">
        <v>1</v>
      </c>
      <c r="S1376" t="e">
        <v>#DIV/0!</v>
      </c>
      <c r="T1376" t="s">
        <v>82</v>
      </c>
    </row>
    <row r="1377" spans="15:20" x14ac:dyDescent="0.25">
      <c r="O1377">
        <v>1</v>
      </c>
      <c r="S1377" t="e">
        <v>#DIV/0!</v>
      </c>
      <c r="T1377" t="s">
        <v>82</v>
      </c>
    </row>
    <row r="1378" spans="15:20" x14ac:dyDescent="0.25">
      <c r="O1378">
        <v>1</v>
      </c>
      <c r="S1378" t="e">
        <v>#DIV/0!</v>
      </c>
      <c r="T1378" t="s">
        <v>82</v>
      </c>
    </row>
    <row r="1379" spans="15:20" x14ac:dyDescent="0.25">
      <c r="O1379">
        <v>1</v>
      </c>
      <c r="S1379" t="e">
        <v>#DIV/0!</v>
      </c>
      <c r="T1379" t="s">
        <v>82</v>
      </c>
    </row>
    <row r="1380" spans="15:20" x14ac:dyDescent="0.25">
      <c r="O1380">
        <v>1</v>
      </c>
      <c r="S1380" t="e">
        <v>#DIV/0!</v>
      </c>
      <c r="T1380" t="s">
        <v>82</v>
      </c>
    </row>
    <row r="1381" spans="15:20" x14ac:dyDescent="0.25">
      <c r="O1381">
        <v>1</v>
      </c>
      <c r="S1381" t="e">
        <v>#DIV/0!</v>
      </c>
      <c r="T1381" t="s">
        <v>82</v>
      </c>
    </row>
    <row r="1382" spans="15:20" x14ac:dyDescent="0.25">
      <c r="O1382">
        <v>1</v>
      </c>
      <c r="S1382" t="e">
        <v>#DIV/0!</v>
      </c>
      <c r="T1382" t="s">
        <v>82</v>
      </c>
    </row>
    <row r="1383" spans="15:20" x14ac:dyDescent="0.25">
      <c r="O1383">
        <v>1</v>
      </c>
      <c r="S1383" t="e">
        <v>#DIV/0!</v>
      </c>
      <c r="T1383" t="s">
        <v>82</v>
      </c>
    </row>
    <row r="1384" spans="15:20" x14ac:dyDescent="0.25">
      <c r="O1384">
        <v>1</v>
      </c>
      <c r="S1384" t="e">
        <v>#DIV/0!</v>
      </c>
      <c r="T1384" t="s">
        <v>82</v>
      </c>
    </row>
    <row r="1385" spans="15:20" x14ac:dyDescent="0.25">
      <c r="O1385">
        <v>1</v>
      </c>
      <c r="S1385" t="e">
        <v>#DIV/0!</v>
      </c>
      <c r="T1385" t="s">
        <v>82</v>
      </c>
    </row>
    <row r="1386" spans="15:20" x14ac:dyDescent="0.25">
      <c r="O1386">
        <v>1</v>
      </c>
      <c r="S1386" t="e">
        <v>#DIV/0!</v>
      </c>
      <c r="T1386" t="s">
        <v>82</v>
      </c>
    </row>
    <row r="1387" spans="15:20" x14ac:dyDescent="0.25">
      <c r="O1387">
        <v>1</v>
      </c>
      <c r="S1387" t="e">
        <v>#DIV/0!</v>
      </c>
      <c r="T1387" t="s">
        <v>82</v>
      </c>
    </row>
    <row r="1388" spans="15:20" x14ac:dyDescent="0.25">
      <c r="O1388">
        <v>1</v>
      </c>
      <c r="S1388" t="e">
        <v>#DIV/0!</v>
      </c>
      <c r="T1388" t="s">
        <v>82</v>
      </c>
    </row>
    <row r="1389" spans="15:20" x14ac:dyDescent="0.25">
      <c r="O1389">
        <v>1</v>
      </c>
      <c r="S1389" t="e">
        <v>#DIV/0!</v>
      </c>
      <c r="T1389" t="s">
        <v>82</v>
      </c>
    </row>
    <row r="1390" spans="15:20" x14ac:dyDescent="0.25">
      <c r="O1390">
        <v>1</v>
      </c>
      <c r="S1390" t="e">
        <v>#DIV/0!</v>
      </c>
      <c r="T1390" t="s">
        <v>82</v>
      </c>
    </row>
    <row r="1391" spans="15:20" x14ac:dyDescent="0.25">
      <c r="O1391">
        <v>1</v>
      </c>
      <c r="S1391" t="e">
        <v>#DIV/0!</v>
      </c>
      <c r="T1391" t="s">
        <v>82</v>
      </c>
    </row>
    <row r="1392" spans="15:20" x14ac:dyDescent="0.25">
      <c r="O1392">
        <v>1</v>
      </c>
      <c r="S1392" t="e">
        <v>#DIV/0!</v>
      </c>
      <c r="T1392" t="s">
        <v>82</v>
      </c>
    </row>
    <row r="1393" spans="15:20" x14ac:dyDescent="0.25">
      <c r="O1393">
        <v>1</v>
      </c>
      <c r="S1393" t="e">
        <v>#DIV/0!</v>
      </c>
      <c r="T1393" t="s">
        <v>82</v>
      </c>
    </row>
    <row r="1394" spans="15:20" x14ac:dyDescent="0.25">
      <c r="O1394">
        <v>1</v>
      </c>
      <c r="S1394" t="e">
        <v>#DIV/0!</v>
      </c>
      <c r="T1394" t="s">
        <v>82</v>
      </c>
    </row>
    <row r="1395" spans="15:20" x14ac:dyDescent="0.25">
      <c r="O1395">
        <v>1</v>
      </c>
      <c r="S1395" t="e">
        <v>#DIV/0!</v>
      </c>
      <c r="T1395" t="s">
        <v>82</v>
      </c>
    </row>
    <row r="1396" spans="15:20" x14ac:dyDescent="0.25">
      <c r="O1396">
        <v>1</v>
      </c>
      <c r="S1396" t="e">
        <v>#DIV/0!</v>
      </c>
      <c r="T1396" t="s">
        <v>82</v>
      </c>
    </row>
    <row r="1397" spans="15:20" x14ac:dyDescent="0.25">
      <c r="O1397">
        <v>1</v>
      </c>
      <c r="S1397" t="e">
        <v>#DIV/0!</v>
      </c>
      <c r="T1397" t="s">
        <v>82</v>
      </c>
    </row>
    <row r="1398" spans="15:20" x14ac:dyDescent="0.25">
      <c r="O1398">
        <v>1</v>
      </c>
      <c r="S1398" t="e">
        <v>#DIV/0!</v>
      </c>
      <c r="T1398" t="s">
        <v>82</v>
      </c>
    </row>
    <row r="1399" spans="15:20" x14ac:dyDescent="0.25">
      <c r="O1399">
        <v>1</v>
      </c>
      <c r="S1399" t="e">
        <v>#DIV/0!</v>
      </c>
      <c r="T1399" t="s">
        <v>82</v>
      </c>
    </row>
    <row r="1400" spans="15:20" x14ac:dyDescent="0.25">
      <c r="O1400">
        <v>1</v>
      </c>
      <c r="S1400" t="e">
        <v>#DIV/0!</v>
      </c>
      <c r="T1400" t="s">
        <v>82</v>
      </c>
    </row>
    <row r="1401" spans="15:20" x14ac:dyDescent="0.25">
      <c r="O1401">
        <v>1</v>
      </c>
      <c r="S1401" t="e">
        <v>#DIV/0!</v>
      </c>
      <c r="T1401" t="s">
        <v>82</v>
      </c>
    </row>
    <row r="1402" spans="15:20" x14ac:dyDescent="0.25">
      <c r="O1402">
        <v>1</v>
      </c>
      <c r="S1402" t="e">
        <v>#DIV/0!</v>
      </c>
      <c r="T1402" t="s">
        <v>82</v>
      </c>
    </row>
    <row r="1403" spans="15:20" x14ac:dyDescent="0.25">
      <c r="O1403">
        <v>1</v>
      </c>
      <c r="S1403" t="e">
        <v>#DIV/0!</v>
      </c>
      <c r="T1403" t="s">
        <v>82</v>
      </c>
    </row>
    <row r="1404" spans="15:20" x14ac:dyDescent="0.25">
      <c r="O1404">
        <v>1</v>
      </c>
      <c r="S1404" t="e">
        <v>#DIV/0!</v>
      </c>
      <c r="T1404" t="s">
        <v>82</v>
      </c>
    </row>
    <row r="1405" spans="15:20" x14ac:dyDescent="0.25">
      <c r="O1405">
        <v>1</v>
      </c>
      <c r="S1405" t="e">
        <v>#DIV/0!</v>
      </c>
      <c r="T1405" t="s">
        <v>82</v>
      </c>
    </row>
    <row r="1406" spans="15:20" x14ac:dyDescent="0.25">
      <c r="O1406">
        <v>1</v>
      </c>
      <c r="S1406" t="e">
        <v>#DIV/0!</v>
      </c>
      <c r="T1406" t="s">
        <v>82</v>
      </c>
    </row>
    <row r="1407" spans="15:20" x14ac:dyDescent="0.25">
      <c r="O1407">
        <v>1</v>
      </c>
      <c r="S1407" t="e">
        <v>#DIV/0!</v>
      </c>
      <c r="T1407" t="s">
        <v>82</v>
      </c>
    </row>
    <row r="1408" spans="15:20" x14ac:dyDescent="0.25">
      <c r="O1408">
        <v>1</v>
      </c>
      <c r="S1408" t="e">
        <v>#DIV/0!</v>
      </c>
      <c r="T1408" t="s">
        <v>82</v>
      </c>
    </row>
    <row r="1409" spans="15:20" x14ac:dyDescent="0.25">
      <c r="O1409">
        <v>1</v>
      </c>
      <c r="S1409" t="e">
        <v>#DIV/0!</v>
      </c>
      <c r="T1409" t="s">
        <v>82</v>
      </c>
    </row>
    <row r="1410" spans="15:20" x14ac:dyDescent="0.25">
      <c r="O1410">
        <v>1</v>
      </c>
      <c r="S1410" t="e">
        <v>#DIV/0!</v>
      </c>
      <c r="T1410" t="s">
        <v>82</v>
      </c>
    </row>
    <row r="1411" spans="15:20" x14ac:dyDescent="0.25">
      <c r="O1411">
        <v>1</v>
      </c>
      <c r="S1411" t="e">
        <v>#DIV/0!</v>
      </c>
      <c r="T1411" t="s">
        <v>82</v>
      </c>
    </row>
    <row r="1412" spans="15:20" x14ac:dyDescent="0.25">
      <c r="O1412">
        <v>1</v>
      </c>
      <c r="S1412" t="e">
        <v>#DIV/0!</v>
      </c>
      <c r="T1412" t="s">
        <v>82</v>
      </c>
    </row>
    <row r="1413" spans="15:20" x14ac:dyDescent="0.25">
      <c r="O1413">
        <v>1</v>
      </c>
      <c r="S1413" t="e">
        <v>#DIV/0!</v>
      </c>
      <c r="T1413" t="s">
        <v>82</v>
      </c>
    </row>
    <row r="1414" spans="15:20" x14ac:dyDescent="0.25">
      <c r="O1414">
        <v>1</v>
      </c>
      <c r="S1414" t="e">
        <v>#DIV/0!</v>
      </c>
      <c r="T1414" t="s">
        <v>82</v>
      </c>
    </row>
    <row r="1415" spans="15:20" x14ac:dyDescent="0.25">
      <c r="O1415">
        <v>1</v>
      </c>
      <c r="S1415" t="e">
        <v>#DIV/0!</v>
      </c>
      <c r="T1415" t="s">
        <v>82</v>
      </c>
    </row>
    <row r="1416" spans="15:20" x14ac:dyDescent="0.25">
      <c r="O1416">
        <v>1</v>
      </c>
      <c r="S1416" t="e">
        <v>#DIV/0!</v>
      </c>
      <c r="T1416" t="s">
        <v>82</v>
      </c>
    </row>
    <row r="1417" spans="15:20" x14ac:dyDescent="0.25">
      <c r="O1417">
        <v>1</v>
      </c>
      <c r="S1417" t="e">
        <v>#DIV/0!</v>
      </c>
      <c r="T1417" t="s">
        <v>82</v>
      </c>
    </row>
    <row r="1418" spans="15:20" x14ac:dyDescent="0.25">
      <c r="O1418">
        <v>1</v>
      </c>
      <c r="S1418" t="e">
        <v>#DIV/0!</v>
      </c>
      <c r="T1418" t="s">
        <v>82</v>
      </c>
    </row>
    <row r="1419" spans="15:20" x14ac:dyDescent="0.25">
      <c r="O1419">
        <v>1</v>
      </c>
      <c r="S1419" t="e">
        <v>#DIV/0!</v>
      </c>
      <c r="T1419" t="s">
        <v>82</v>
      </c>
    </row>
    <row r="1420" spans="15:20" x14ac:dyDescent="0.25">
      <c r="O1420">
        <v>1</v>
      </c>
      <c r="S1420" t="e">
        <v>#DIV/0!</v>
      </c>
      <c r="T1420" t="s">
        <v>82</v>
      </c>
    </row>
    <row r="1421" spans="15:20" x14ac:dyDescent="0.25">
      <c r="O1421">
        <v>1</v>
      </c>
      <c r="S1421" t="e">
        <v>#DIV/0!</v>
      </c>
      <c r="T1421" t="s">
        <v>82</v>
      </c>
    </row>
    <row r="1422" spans="15:20" x14ac:dyDescent="0.25">
      <c r="O1422">
        <v>1</v>
      </c>
      <c r="S1422" t="e">
        <v>#DIV/0!</v>
      </c>
      <c r="T1422" t="s">
        <v>82</v>
      </c>
    </row>
    <row r="1423" spans="15:20" x14ac:dyDescent="0.25">
      <c r="O1423">
        <v>1</v>
      </c>
      <c r="S1423" t="e">
        <v>#DIV/0!</v>
      </c>
      <c r="T1423" t="s">
        <v>82</v>
      </c>
    </row>
    <row r="1424" spans="15:20" x14ac:dyDescent="0.25">
      <c r="O1424">
        <v>1</v>
      </c>
      <c r="S1424" t="e">
        <v>#DIV/0!</v>
      </c>
      <c r="T1424" t="s">
        <v>82</v>
      </c>
    </row>
    <row r="1425" spans="15:20" x14ac:dyDescent="0.25">
      <c r="O1425">
        <v>1</v>
      </c>
      <c r="S1425" t="e">
        <v>#DIV/0!</v>
      </c>
      <c r="T1425" t="s">
        <v>82</v>
      </c>
    </row>
    <row r="1426" spans="15:20" x14ac:dyDescent="0.25">
      <c r="O1426">
        <v>1</v>
      </c>
      <c r="S1426" t="e">
        <v>#DIV/0!</v>
      </c>
      <c r="T1426" t="s">
        <v>82</v>
      </c>
    </row>
    <row r="1427" spans="15:20" x14ac:dyDescent="0.25">
      <c r="O1427">
        <v>1</v>
      </c>
      <c r="S1427" t="e">
        <v>#DIV/0!</v>
      </c>
      <c r="T1427" t="s">
        <v>82</v>
      </c>
    </row>
    <row r="1428" spans="15:20" x14ac:dyDescent="0.25">
      <c r="O1428">
        <v>1</v>
      </c>
      <c r="S1428" t="e">
        <v>#DIV/0!</v>
      </c>
      <c r="T1428" t="s">
        <v>82</v>
      </c>
    </row>
    <row r="1429" spans="15:20" x14ac:dyDescent="0.25">
      <c r="O1429">
        <v>1</v>
      </c>
      <c r="S1429" t="e">
        <v>#DIV/0!</v>
      </c>
      <c r="T1429" t="s">
        <v>82</v>
      </c>
    </row>
    <row r="1430" spans="15:20" x14ac:dyDescent="0.25">
      <c r="O1430">
        <v>1</v>
      </c>
      <c r="S1430" t="e">
        <v>#DIV/0!</v>
      </c>
      <c r="T1430" t="s">
        <v>82</v>
      </c>
    </row>
    <row r="1431" spans="15:20" x14ac:dyDescent="0.25">
      <c r="O1431">
        <v>1</v>
      </c>
      <c r="S1431" t="e">
        <v>#DIV/0!</v>
      </c>
      <c r="T1431" t="s">
        <v>82</v>
      </c>
    </row>
    <row r="1432" spans="15:20" x14ac:dyDescent="0.25">
      <c r="O1432">
        <v>1</v>
      </c>
      <c r="S1432" t="e">
        <v>#DIV/0!</v>
      </c>
      <c r="T1432" t="s">
        <v>82</v>
      </c>
    </row>
    <row r="1433" spans="15:20" x14ac:dyDescent="0.25">
      <c r="O1433">
        <v>1</v>
      </c>
      <c r="S1433" t="e">
        <v>#DIV/0!</v>
      </c>
      <c r="T1433" t="s">
        <v>82</v>
      </c>
    </row>
    <row r="1434" spans="15:20" x14ac:dyDescent="0.25">
      <c r="O1434">
        <v>1</v>
      </c>
      <c r="S1434" t="e">
        <v>#DIV/0!</v>
      </c>
      <c r="T1434" t="s">
        <v>82</v>
      </c>
    </row>
    <row r="1435" spans="15:20" x14ac:dyDescent="0.25">
      <c r="O1435">
        <v>1</v>
      </c>
      <c r="S1435" t="e">
        <v>#DIV/0!</v>
      </c>
      <c r="T1435" t="s">
        <v>82</v>
      </c>
    </row>
    <row r="1436" spans="15:20" x14ac:dyDescent="0.25">
      <c r="O1436">
        <v>1</v>
      </c>
      <c r="S1436" t="e">
        <v>#DIV/0!</v>
      </c>
      <c r="T1436" t="s">
        <v>82</v>
      </c>
    </row>
    <row r="1437" spans="15:20" x14ac:dyDescent="0.25">
      <c r="O1437">
        <v>1</v>
      </c>
      <c r="S1437" t="e">
        <v>#DIV/0!</v>
      </c>
      <c r="T1437" t="s">
        <v>82</v>
      </c>
    </row>
    <row r="1438" spans="15:20" x14ac:dyDescent="0.25">
      <c r="O1438">
        <v>1</v>
      </c>
      <c r="S1438" t="e">
        <v>#DIV/0!</v>
      </c>
      <c r="T1438" t="s">
        <v>82</v>
      </c>
    </row>
    <row r="1439" spans="15:20" x14ac:dyDescent="0.25">
      <c r="O1439">
        <v>1</v>
      </c>
      <c r="S1439" t="e">
        <v>#DIV/0!</v>
      </c>
      <c r="T1439" t="s">
        <v>82</v>
      </c>
    </row>
    <row r="1440" spans="15:20" x14ac:dyDescent="0.25">
      <c r="O1440">
        <v>1</v>
      </c>
      <c r="S1440" t="e">
        <v>#DIV/0!</v>
      </c>
      <c r="T1440" t="s">
        <v>82</v>
      </c>
    </row>
    <row r="1441" spans="15:20" x14ac:dyDescent="0.25">
      <c r="O1441">
        <v>1</v>
      </c>
      <c r="S1441" t="e">
        <v>#DIV/0!</v>
      </c>
      <c r="T1441" t="s">
        <v>82</v>
      </c>
    </row>
    <row r="1442" spans="15:20" x14ac:dyDescent="0.25">
      <c r="O1442">
        <v>1</v>
      </c>
      <c r="S1442" t="e">
        <v>#DIV/0!</v>
      </c>
      <c r="T1442" t="s">
        <v>82</v>
      </c>
    </row>
    <row r="1443" spans="15:20" x14ac:dyDescent="0.25">
      <c r="O1443">
        <v>1</v>
      </c>
      <c r="S1443" t="e">
        <v>#DIV/0!</v>
      </c>
      <c r="T1443" t="s">
        <v>82</v>
      </c>
    </row>
    <row r="1444" spans="15:20" x14ac:dyDescent="0.25">
      <c r="O1444">
        <v>1</v>
      </c>
      <c r="S1444" t="e">
        <v>#DIV/0!</v>
      </c>
      <c r="T1444" t="s">
        <v>82</v>
      </c>
    </row>
    <row r="1445" spans="15:20" x14ac:dyDescent="0.25">
      <c r="O1445">
        <v>1</v>
      </c>
      <c r="S1445" t="e">
        <v>#DIV/0!</v>
      </c>
      <c r="T1445" t="s">
        <v>82</v>
      </c>
    </row>
    <row r="1446" spans="15:20" x14ac:dyDescent="0.25">
      <c r="O1446">
        <v>1</v>
      </c>
      <c r="S1446" t="e">
        <v>#DIV/0!</v>
      </c>
      <c r="T1446" t="s">
        <v>82</v>
      </c>
    </row>
    <row r="1447" spans="15:20" x14ac:dyDescent="0.25">
      <c r="O1447">
        <v>1</v>
      </c>
      <c r="S1447" t="e">
        <v>#DIV/0!</v>
      </c>
      <c r="T1447" t="s">
        <v>82</v>
      </c>
    </row>
    <row r="1448" spans="15:20" x14ac:dyDescent="0.25">
      <c r="O1448">
        <v>1</v>
      </c>
      <c r="S1448" t="e">
        <v>#DIV/0!</v>
      </c>
      <c r="T1448" t="s">
        <v>82</v>
      </c>
    </row>
    <row r="1449" spans="15:20" x14ac:dyDescent="0.25">
      <c r="O1449">
        <v>1</v>
      </c>
      <c r="S1449" t="e">
        <v>#DIV/0!</v>
      </c>
      <c r="T1449" t="s">
        <v>82</v>
      </c>
    </row>
    <row r="1450" spans="15:20" x14ac:dyDescent="0.25">
      <c r="O1450">
        <v>1</v>
      </c>
      <c r="S1450" t="e">
        <v>#DIV/0!</v>
      </c>
      <c r="T1450" t="s">
        <v>82</v>
      </c>
    </row>
    <row r="1451" spans="15:20" x14ac:dyDescent="0.25">
      <c r="O1451">
        <v>1</v>
      </c>
      <c r="S1451" t="e">
        <v>#DIV/0!</v>
      </c>
      <c r="T1451" t="s">
        <v>82</v>
      </c>
    </row>
    <row r="1452" spans="15:20" x14ac:dyDescent="0.25">
      <c r="O1452">
        <v>1</v>
      </c>
      <c r="S1452" t="e">
        <v>#DIV/0!</v>
      </c>
      <c r="T1452" t="s">
        <v>82</v>
      </c>
    </row>
    <row r="1453" spans="15:20" x14ac:dyDescent="0.25">
      <c r="O1453">
        <v>1</v>
      </c>
      <c r="S1453" t="e">
        <v>#DIV/0!</v>
      </c>
      <c r="T1453" t="s">
        <v>82</v>
      </c>
    </row>
    <row r="1454" spans="15:20" x14ac:dyDescent="0.25">
      <c r="O1454">
        <v>1</v>
      </c>
      <c r="S1454" t="e">
        <v>#DIV/0!</v>
      </c>
      <c r="T1454" t="s">
        <v>82</v>
      </c>
    </row>
    <row r="1455" spans="15:20" x14ac:dyDescent="0.25">
      <c r="O1455">
        <v>1</v>
      </c>
      <c r="S1455" t="e">
        <v>#DIV/0!</v>
      </c>
      <c r="T1455" t="s">
        <v>82</v>
      </c>
    </row>
    <row r="1456" spans="15:20" x14ac:dyDescent="0.25">
      <c r="O1456">
        <v>1</v>
      </c>
      <c r="S1456" t="e">
        <v>#DIV/0!</v>
      </c>
      <c r="T1456" t="s">
        <v>82</v>
      </c>
    </row>
    <row r="1457" spans="15:20" x14ac:dyDescent="0.25">
      <c r="O1457">
        <v>1</v>
      </c>
      <c r="S1457" t="e">
        <v>#DIV/0!</v>
      </c>
      <c r="T1457" t="s">
        <v>82</v>
      </c>
    </row>
    <row r="1458" spans="15:20" x14ac:dyDescent="0.25">
      <c r="O1458">
        <v>1</v>
      </c>
      <c r="S1458" t="e">
        <v>#DIV/0!</v>
      </c>
      <c r="T1458" t="s">
        <v>82</v>
      </c>
    </row>
    <row r="1459" spans="15:20" x14ac:dyDescent="0.25">
      <c r="O1459">
        <v>1</v>
      </c>
      <c r="S1459" t="e">
        <v>#DIV/0!</v>
      </c>
      <c r="T1459" t="s">
        <v>82</v>
      </c>
    </row>
    <row r="1460" spans="15:20" x14ac:dyDescent="0.25">
      <c r="O1460">
        <v>1</v>
      </c>
      <c r="S1460" t="e">
        <v>#DIV/0!</v>
      </c>
      <c r="T1460" t="s">
        <v>82</v>
      </c>
    </row>
    <row r="1461" spans="15:20" x14ac:dyDescent="0.25">
      <c r="O1461">
        <v>1</v>
      </c>
      <c r="S1461" t="e">
        <v>#DIV/0!</v>
      </c>
      <c r="T1461" t="s">
        <v>82</v>
      </c>
    </row>
    <row r="1462" spans="15:20" x14ac:dyDescent="0.25">
      <c r="O1462">
        <v>1</v>
      </c>
      <c r="S1462" t="e">
        <v>#DIV/0!</v>
      </c>
      <c r="T1462" t="s">
        <v>82</v>
      </c>
    </row>
    <row r="1463" spans="15:20" x14ac:dyDescent="0.25">
      <c r="O1463">
        <v>1</v>
      </c>
      <c r="S1463" t="e">
        <v>#DIV/0!</v>
      </c>
      <c r="T1463" t="s">
        <v>82</v>
      </c>
    </row>
    <row r="1464" spans="15:20" x14ac:dyDescent="0.25">
      <c r="O1464">
        <v>1</v>
      </c>
      <c r="S1464" t="e">
        <v>#DIV/0!</v>
      </c>
      <c r="T1464" t="s">
        <v>82</v>
      </c>
    </row>
    <row r="1465" spans="15:20" x14ac:dyDescent="0.25">
      <c r="O1465">
        <v>1</v>
      </c>
      <c r="S1465" t="e">
        <v>#DIV/0!</v>
      </c>
      <c r="T1465" t="s">
        <v>82</v>
      </c>
    </row>
    <row r="1466" spans="15:20" x14ac:dyDescent="0.25">
      <c r="O1466">
        <v>1</v>
      </c>
      <c r="S1466" t="e">
        <v>#DIV/0!</v>
      </c>
      <c r="T1466" t="s">
        <v>82</v>
      </c>
    </row>
    <row r="1467" spans="15:20" x14ac:dyDescent="0.25">
      <c r="O1467">
        <v>1</v>
      </c>
      <c r="S1467" t="e">
        <v>#DIV/0!</v>
      </c>
      <c r="T1467" t="s">
        <v>82</v>
      </c>
    </row>
    <row r="1468" spans="15:20" x14ac:dyDescent="0.25">
      <c r="O1468">
        <v>1</v>
      </c>
      <c r="S1468" t="e">
        <v>#DIV/0!</v>
      </c>
      <c r="T1468" t="s">
        <v>82</v>
      </c>
    </row>
    <row r="1469" spans="15:20" x14ac:dyDescent="0.25">
      <c r="O1469">
        <v>1</v>
      </c>
      <c r="S1469" t="e">
        <v>#DIV/0!</v>
      </c>
      <c r="T1469" t="s">
        <v>82</v>
      </c>
    </row>
    <row r="1470" spans="15:20" x14ac:dyDescent="0.25">
      <c r="O1470">
        <v>1</v>
      </c>
      <c r="S1470" t="e">
        <v>#DIV/0!</v>
      </c>
      <c r="T1470" t="s">
        <v>82</v>
      </c>
    </row>
    <row r="1471" spans="15:20" x14ac:dyDescent="0.25">
      <c r="O1471">
        <v>1</v>
      </c>
      <c r="S1471" t="e">
        <v>#DIV/0!</v>
      </c>
      <c r="T1471" t="s">
        <v>82</v>
      </c>
    </row>
    <row r="1472" spans="15:20" x14ac:dyDescent="0.25">
      <c r="O1472">
        <v>1</v>
      </c>
      <c r="S1472" t="e">
        <v>#DIV/0!</v>
      </c>
      <c r="T1472" t="s">
        <v>82</v>
      </c>
    </row>
    <row r="1473" spans="15:20" x14ac:dyDescent="0.25">
      <c r="O1473">
        <v>1</v>
      </c>
      <c r="S1473" t="e">
        <v>#DIV/0!</v>
      </c>
      <c r="T1473" t="s">
        <v>82</v>
      </c>
    </row>
    <row r="1474" spans="15:20" x14ac:dyDescent="0.25">
      <c r="O1474">
        <v>1</v>
      </c>
      <c r="S1474" t="e">
        <v>#DIV/0!</v>
      </c>
      <c r="T1474" t="s">
        <v>82</v>
      </c>
    </row>
    <row r="1475" spans="15:20" x14ac:dyDescent="0.25">
      <c r="O1475">
        <v>1</v>
      </c>
      <c r="S1475" t="e">
        <v>#DIV/0!</v>
      </c>
      <c r="T1475" t="s">
        <v>82</v>
      </c>
    </row>
    <row r="1476" spans="15:20" x14ac:dyDescent="0.25">
      <c r="O1476">
        <v>1</v>
      </c>
      <c r="S1476" t="e">
        <v>#DIV/0!</v>
      </c>
      <c r="T1476" t="s">
        <v>82</v>
      </c>
    </row>
    <row r="1477" spans="15:20" x14ac:dyDescent="0.25">
      <c r="O1477">
        <v>1</v>
      </c>
      <c r="S1477" t="e">
        <v>#DIV/0!</v>
      </c>
      <c r="T1477" t="s">
        <v>82</v>
      </c>
    </row>
    <row r="1478" spans="15:20" x14ac:dyDescent="0.25">
      <c r="O1478">
        <v>1</v>
      </c>
      <c r="S1478" t="e">
        <v>#DIV/0!</v>
      </c>
      <c r="T1478" t="s">
        <v>82</v>
      </c>
    </row>
    <row r="1479" spans="15:20" x14ac:dyDescent="0.25">
      <c r="O1479">
        <v>1</v>
      </c>
      <c r="S1479" t="e">
        <v>#DIV/0!</v>
      </c>
      <c r="T1479" t="s">
        <v>82</v>
      </c>
    </row>
    <row r="1480" spans="15:20" x14ac:dyDescent="0.25">
      <c r="O1480">
        <v>1</v>
      </c>
      <c r="S1480" t="e">
        <v>#DIV/0!</v>
      </c>
      <c r="T1480" t="s">
        <v>82</v>
      </c>
    </row>
    <row r="1481" spans="15:20" x14ac:dyDescent="0.25">
      <c r="O1481">
        <v>1</v>
      </c>
      <c r="S1481" t="e">
        <v>#DIV/0!</v>
      </c>
      <c r="T1481" t="s">
        <v>82</v>
      </c>
    </row>
    <row r="1482" spans="15:20" x14ac:dyDescent="0.25">
      <c r="O1482">
        <v>1</v>
      </c>
      <c r="S1482" t="e">
        <v>#DIV/0!</v>
      </c>
      <c r="T1482" t="s">
        <v>82</v>
      </c>
    </row>
    <row r="1483" spans="15:20" x14ac:dyDescent="0.25">
      <c r="O1483">
        <v>1</v>
      </c>
      <c r="S1483" t="e">
        <v>#DIV/0!</v>
      </c>
      <c r="T1483" t="s">
        <v>82</v>
      </c>
    </row>
    <row r="1484" spans="15:20" x14ac:dyDescent="0.25">
      <c r="O1484">
        <v>1</v>
      </c>
      <c r="S1484" t="e">
        <v>#DIV/0!</v>
      </c>
      <c r="T1484" t="s">
        <v>82</v>
      </c>
    </row>
    <row r="1485" spans="15:20" x14ac:dyDescent="0.25">
      <c r="O1485">
        <v>1</v>
      </c>
      <c r="S1485" t="e">
        <v>#DIV/0!</v>
      </c>
      <c r="T1485" t="s">
        <v>82</v>
      </c>
    </row>
    <row r="1486" spans="15:20" x14ac:dyDescent="0.25">
      <c r="O1486">
        <v>1</v>
      </c>
      <c r="S1486" t="e">
        <v>#DIV/0!</v>
      </c>
      <c r="T1486" t="s">
        <v>82</v>
      </c>
    </row>
    <row r="1487" spans="15:20" x14ac:dyDescent="0.25">
      <c r="O1487">
        <v>1</v>
      </c>
      <c r="S1487" t="e">
        <v>#DIV/0!</v>
      </c>
      <c r="T1487" t="s">
        <v>82</v>
      </c>
    </row>
    <row r="1488" spans="15:20" x14ac:dyDescent="0.25">
      <c r="O1488">
        <v>1</v>
      </c>
      <c r="S1488" t="e">
        <v>#DIV/0!</v>
      </c>
      <c r="T1488" t="s">
        <v>82</v>
      </c>
    </row>
    <row r="1489" spans="15:20" x14ac:dyDescent="0.25">
      <c r="O1489">
        <v>1</v>
      </c>
      <c r="S1489" t="e">
        <v>#DIV/0!</v>
      </c>
      <c r="T1489" t="s">
        <v>82</v>
      </c>
    </row>
    <row r="1490" spans="15:20" x14ac:dyDescent="0.25">
      <c r="O1490">
        <v>1</v>
      </c>
      <c r="S1490" t="e">
        <v>#DIV/0!</v>
      </c>
      <c r="T1490" t="s">
        <v>82</v>
      </c>
    </row>
    <row r="1491" spans="15:20" x14ac:dyDescent="0.25">
      <c r="O1491">
        <v>1</v>
      </c>
      <c r="S1491" t="e">
        <v>#DIV/0!</v>
      </c>
      <c r="T1491" t="s">
        <v>82</v>
      </c>
    </row>
    <row r="1492" spans="15:20" x14ac:dyDescent="0.25">
      <c r="O1492">
        <v>1</v>
      </c>
      <c r="S1492" t="e">
        <v>#DIV/0!</v>
      </c>
      <c r="T1492" t="s">
        <v>82</v>
      </c>
    </row>
    <row r="1493" spans="15:20" x14ac:dyDescent="0.25">
      <c r="O1493">
        <v>1</v>
      </c>
      <c r="S1493" t="e">
        <v>#DIV/0!</v>
      </c>
      <c r="T1493" t="s">
        <v>82</v>
      </c>
    </row>
    <row r="1494" spans="15:20" x14ac:dyDescent="0.25">
      <c r="O1494">
        <v>1</v>
      </c>
      <c r="S1494" t="e">
        <v>#DIV/0!</v>
      </c>
      <c r="T1494" t="s">
        <v>82</v>
      </c>
    </row>
    <row r="1495" spans="15:20" x14ac:dyDescent="0.25">
      <c r="O1495">
        <v>1</v>
      </c>
      <c r="S1495" t="e">
        <v>#DIV/0!</v>
      </c>
      <c r="T1495" t="s">
        <v>82</v>
      </c>
    </row>
    <row r="1496" spans="15:20" x14ac:dyDescent="0.25">
      <c r="O1496">
        <v>1</v>
      </c>
      <c r="S1496" t="e">
        <v>#DIV/0!</v>
      </c>
      <c r="T1496" t="s">
        <v>82</v>
      </c>
    </row>
    <row r="1497" spans="15:20" x14ac:dyDescent="0.25">
      <c r="O1497">
        <v>1</v>
      </c>
      <c r="S1497" t="e">
        <v>#DIV/0!</v>
      </c>
      <c r="T1497" t="s">
        <v>82</v>
      </c>
    </row>
    <row r="1498" spans="15:20" x14ac:dyDescent="0.25">
      <c r="O1498">
        <v>1</v>
      </c>
      <c r="S1498" t="e">
        <v>#DIV/0!</v>
      </c>
      <c r="T1498" t="s">
        <v>82</v>
      </c>
    </row>
    <row r="1499" spans="15:20" x14ac:dyDescent="0.25">
      <c r="O1499">
        <v>1</v>
      </c>
      <c r="S1499" t="e">
        <v>#DIV/0!</v>
      </c>
      <c r="T1499" t="s">
        <v>82</v>
      </c>
    </row>
    <row r="1500" spans="15:20" x14ac:dyDescent="0.25">
      <c r="O1500">
        <v>1</v>
      </c>
      <c r="S1500" t="e">
        <v>#DIV/0!</v>
      </c>
      <c r="T1500" t="s">
        <v>82</v>
      </c>
    </row>
    <row r="1501" spans="15:20" x14ac:dyDescent="0.25">
      <c r="O1501">
        <v>1</v>
      </c>
      <c r="S1501" t="e">
        <v>#DIV/0!</v>
      </c>
      <c r="T1501" t="s">
        <v>82</v>
      </c>
    </row>
    <row r="1502" spans="15:20" x14ac:dyDescent="0.25">
      <c r="O1502">
        <v>1</v>
      </c>
      <c r="S1502" t="e">
        <v>#DIV/0!</v>
      </c>
      <c r="T1502" t="s">
        <v>82</v>
      </c>
    </row>
    <row r="1503" spans="15:20" x14ac:dyDescent="0.25">
      <c r="O1503">
        <v>1</v>
      </c>
      <c r="S1503" t="e">
        <v>#DIV/0!</v>
      </c>
      <c r="T1503" t="s">
        <v>82</v>
      </c>
    </row>
    <row r="1504" spans="15:20" x14ac:dyDescent="0.25">
      <c r="O1504">
        <v>1</v>
      </c>
      <c r="S1504" t="e">
        <v>#DIV/0!</v>
      </c>
      <c r="T1504" t="s">
        <v>82</v>
      </c>
    </row>
    <row r="1505" spans="15:20" x14ac:dyDescent="0.25">
      <c r="O1505">
        <v>1</v>
      </c>
      <c r="S1505" t="e">
        <v>#DIV/0!</v>
      </c>
      <c r="T1505" t="s">
        <v>82</v>
      </c>
    </row>
    <row r="1506" spans="15:20" x14ac:dyDescent="0.25">
      <c r="O1506">
        <v>1</v>
      </c>
      <c r="S1506" t="e">
        <v>#DIV/0!</v>
      </c>
      <c r="T1506" t="s">
        <v>82</v>
      </c>
    </row>
    <row r="1507" spans="15:20" x14ac:dyDescent="0.25">
      <c r="O1507">
        <v>1</v>
      </c>
      <c r="S1507" t="e">
        <v>#DIV/0!</v>
      </c>
      <c r="T1507" t="s">
        <v>82</v>
      </c>
    </row>
    <row r="1508" spans="15:20" x14ac:dyDescent="0.25">
      <c r="O1508">
        <v>1</v>
      </c>
      <c r="S1508" t="e">
        <v>#DIV/0!</v>
      </c>
      <c r="T1508" t="s">
        <v>82</v>
      </c>
    </row>
    <row r="1509" spans="15:20" x14ac:dyDescent="0.25">
      <c r="O1509">
        <v>1</v>
      </c>
      <c r="S1509" t="e">
        <v>#DIV/0!</v>
      </c>
      <c r="T1509" t="s">
        <v>82</v>
      </c>
    </row>
    <row r="1510" spans="15:20" x14ac:dyDescent="0.25">
      <c r="O1510">
        <v>1</v>
      </c>
      <c r="S1510" t="e">
        <v>#DIV/0!</v>
      </c>
      <c r="T1510" t="s">
        <v>82</v>
      </c>
    </row>
    <row r="1511" spans="15:20" x14ac:dyDescent="0.25">
      <c r="O1511">
        <v>1</v>
      </c>
      <c r="S1511" t="e">
        <v>#DIV/0!</v>
      </c>
      <c r="T1511" t="s">
        <v>82</v>
      </c>
    </row>
    <row r="1512" spans="15:20" x14ac:dyDescent="0.25">
      <c r="O1512">
        <v>1</v>
      </c>
      <c r="S1512" t="e">
        <v>#DIV/0!</v>
      </c>
      <c r="T1512" t="s">
        <v>82</v>
      </c>
    </row>
    <row r="1513" spans="15:20" x14ac:dyDescent="0.25">
      <c r="O1513">
        <v>1</v>
      </c>
      <c r="S1513" t="e">
        <v>#DIV/0!</v>
      </c>
      <c r="T1513" t="s">
        <v>82</v>
      </c>
    </row>
    <row r="1514" spans="15:20" x14ac:dyDescent="0.25">
      <c r="O1514">
        <v>1</v>
      </c>
      <c r="S1514" t="e">
        <v>#DIV/0!</v>
      </c>
      <c r="T1514" t="s">
        <v>82</v>
      </c>
    </row>
    <row r="1515" spans="15:20" x14ac:dyDescent="0.25">
      <c r="O1515">
        <v>1</v>
      </c>
      <c r="S1515" t="e">
        <v>#DIV/0!</v>
      </c>
      <c r="T1515" t="s">
        <v>82</v>
      </c>
    </row>
    <row r="1516" spans="15:20" x14ac:dyDescent="0.25">
      <c r="O1516">
        <v>1</v>
      </c>
      <c r="S1516" t="e">
        <v>#DIV/0!</v>
      </c>
      <c r="T1516" t="s">
        <v>82</v>
      </c>
    </row>
    <row r="1517" spans="15:20" x14ac:dyDescent="0.25">
      <c r="O1517">
        <v>1</v>
      </c>
      <c r="S1517" t="e">
        <v>#DIV/0!</v>
      </c>
      <c r="T1517" t="s">
        <v>82</v>
      </c>
    </row>
    <row r="1518" spans="15:20" x14ac:dyDescent="0.25">
      <c r="O1518">
        <v>1</v>
      </c>
      <c r="S1518" t="e">
        <v>#DIV/0!</v>
      </c>
      <c r="T1518" t="s">
        <v>82</v>
      </c>
    </row>
    <row r="1519" spans="15:20" x14ac:dyDescent="0.25">
      <c r="O1519">
        <v>1</v>
      </c>
      <c r="S1519" t="e">
        <v>#DIV/0!</v>
      </c>
      <c r="T1519" t="s">
        <v>82</v>
      </c>
    </row>
    <row r="1520" spans="15:20" x14ac:dyDescent="0.25">
      <c r="O1520">
        <v>1</v>
      </c>
      <c r="S1520" t="e">
        <v>#DIV/0!</v>
      </c>
      <c r="T1520" t="s">
        <v>82</v>
      </c>
    </row>
    <row r="1521" spans="15:20" x14ac:dyDescent="0.25">
      <c r="O1521">
        <v>1</v>
      </c>
      <c r="S1521" t="e">
        <v>#DIV/0!</v>
      </c>
      <c r="T1521" t="s">
        <v>82</v>
      </c>
    </row>
    <row r="1522" spans="15:20" x14ac:dyDescent="0.25">
      <c r="O1522">
        <v>1</v>
      </c>
      <c r="S1522" t="e">
        <v>#DIV/0!</v>
      </c>
      <c r="T1522" t="s">
        <v>82</v>
      </c>
    </row>
    <row r="1523" spans="15:20" x14ac:dyDescent="0.25">
      <c r="O1523">
        <v>1</v>
      </c>
      <c r="S1523" t="e">
        <v>#DIV/0!</v>
      </c>
      <c r="T1523" t="s">
        <v>82</v>
      </c>
    </row>
    <row r="1524" spans="15:20" x14ac:dyDescent="0.25">
      <c r="O1524">
        <v>1</v>
      </c>
      <c r="S1524" t="e">
        <v>#DIV/0!</v>
      </c>
      <c r="T1524" t="s">
        <v>82</v>
      </c>
    </row>
    <row r="1525" spans="15:20" x14ac:dyDescent="0.25">
      <c r="O1525">
        <v>1</v>
      </c>
      <c r="S1525" t="e">
        <v>#DIV/0!</v>
      </c>
      <c r="T1525" t="s">
        <v>82</v>
      </c>
    </row>
    <row r="1526" spans="15:20" x14ac:dyDescent="0.25">
      <c r="O1526">
        <v>1</v>
      </c>
      <c r="S1526" t="e">
        <v>#DIV/0!</v>
      </c>
      <c r="T1526" t="s">
        <v>82</v>
      </c>
    </row>
    <row r="1527" spans="15:20" x14ac:dyDescent="0.25">
      <c r="O1527">
        <v>1</v>
      </c>
      <c r="S1527" t="e">
        <v>#DIV/0!</v>
      </c>
      <c r="T1527" t="s">
        <v>82</v>
      </c>
    </row>
    <row r="1528" spans="15:20" x14ac:dyDescent="0.25">
      <c r="O1528">
        <v>1</v>
      </c>
      <c r="S1528" t="e">
        <v>#DIV/0!</v>
      </c>
      <c r="T1528" t="s">
        <v>82</v>
      </c>
    </row>
    <row r="1529" spans="15:20" x14ac:dyDescent="0.25">
      <c r="O1529">
        <v>1</v>
      </c>
      <c r="S1529" t="e">
        <v>#DIV/0!</v>
      </c>
      <c r="T1529" t="s">
        <v>82</v>
      </c>
    </row>
    <row r="1530" spans="15:20" x14ac:dyDescent="0.25">
      <c r="O1530">
        <v>1</v>
      </c>
      <c r="S1530" t="e">
        <v>#DIV/0!</v>
      </c>
      <c r="T1530" t="s">
        <v>82</v>
      </c>
    </row>
    <row r="1531" spans="15:20" x14ac:dyDescent="0.25">
      <c r="O1531">
        <v>1</v>
      </c>
      <c r="S1531" t="e">
        <v>#DIV/0!</v>
      </c>
      <c r="T1531" t="s">
        <v>82</v>
      </c>
    </row>
    <row r="1532" spans="15:20" x14ac:dyDescent="0.25">
      <c r="O1532">
        <v>1</v>
      </c>
      <c r="S1532" t="e">
        <v>#DIV/0!</v>
      </c>
      <c r="T1532" t="s">
        <v>82</v>
      </c>
    </row>
    <row r="1533" spans="15:20" x14ac:dyDescent="0.25">
      <c r="O1533">
        <v>1</v>
      </c>
      <c r="S1533" t="e">
        <v>#DIV/0!</v>
      </c>
      <c r="T1533" t="s">
        <v>82</v>
      </c>
    </row>
    <row r="1534" spans="15:20" x14ac:dyDescent="0.25">
      <c r="O1534">
        <v>1</v>
      </c>
      <c r="S1534" t="e">
        <v>#DIV/0!</v>
      </c>
      <c r="T1534" t="s">
        <v>82</v>
      </c>
    </row>
    <row r="1535" spans="15:20" x14ac:dyDescent="0.25">
      <c r="O1535">
        <v>1</v>
      </c>
      <c r="S1535" t="e">
        <v>#DIV/0!</v>
      </c>
      <c r="T1535" t="s">
        <v>82</v>
      </c>
    </row>
    <row r="1536" spans="15:20" x14ac:dyDescent="0.25">
      <c r="O1536">
        <v>1</v>
      </c>
      <c r="S1536" t="e">
        <v>#DIV/0!</v>
      </c>
      <c r="T1536" t="s">
        <v>82</v>
      </c>
    </row>
    <row r="1537" spans="15:20" x14ac:dyDescent="0.25">
      <c r="O1537">
        <v>1</v>
      </c>
      <c r="S1537" t="e">
        <v>#DIV/0!</v>
      </c>
      <c r="T1537" t="s">
        <v>82</v>
      </c>
    </row>
    <row r="1538" spans="15:20" x14ac:dyDescent="0.25">
      <c r="O1538">
        <v>1</v>
      </c>
      <c r="S1538" t="e">
        <v>#DIV/0!</v>
      </c>
      <c r="T1538" t="s">
        <v>82</v>
      </c>
    </row>
    <row r="1539" spans="15:20" x14ac:dyDescent="0.25">
      <c r="O1539">
        <v>1</v>
      </c>
      <c r="S1539" t="e">
        <v>#DIV/0!</v>
      </c>
      <c r="T1539" t="s">
        <v>82</v>
      </c>
    </row>
    <row r="1540" spans="15:20" x14ac:dyDescent="0.25">
      <c r="O1540">
        <v>1</v>
      </c>
      <c r="S1540" t="e">
        <v>#DIV/0!</v>
      </c>
      <c r="T1540" t="s">
        <v>82</v>
      </c>
    </row>
    <row r="1541" spans="15:20" x14ac:dyDescent="0.25">
      <c r="O1541">
        <v>1</v>
      </c>
      <c r="S1541" t="e">
        <v>#DIV/0!</v>
      </c>
      <c r="T1541" t="s">
        <v>82</v>
      </c>
    </row>
    <row r="1542" spans="15:20" x14ac:dyDescent="0.25">
      <c r="O1542">
        <v>1</v>
      </c>
      <c r="S1542" t="e">
        <v>#DIV/0!</v>
      </c>
      <c r="T1542" t="s">
        <v>82</v>
      </c>
    </row>
    <row r="1543" spans="15:20" x14ac:dyDescent="0.25">
      <c r="O1543">
        <v>1</v>
      </c>
      <c r="S1543" t="e">
        <v>#DIV/0!</v>
      </c>
      <c r="T1543" t="s">
        <v>82</v>
      </c>
    </row>
    <row r="1544" spans="15:20" x14ac:dyDescent="0.25">
      <c r="O1544">
        <v>1</v>
      </c>
      <c r="S1544" t="e">
        <v>#DIV/0!</v>
      </c>
      <c r="T1544" t="s">
        <v>82</v>
      </c>
    </row>
    <row r="1545" spans="15:20" x14ac:dyDescent="0.25">
      <c r="O1545">
        <v>1</v>
      </c>
      <c r="S1545" t="e">
        <v>#DIV/0!</v>
      </c>
      <c r="T1545" t="s">
        <v>82</v>
      </c>
    </row>
    <row r="1546" spans="15:20" x14ac:dyDescent="0.25">
      <c r="O1546">
        <v>1</v>
      </c>
      <c r="S1546" t="e">
        <v>#DIV/0!</v>
      </c>
      <c r="T1546" t="s">
        <v>82</v>
      </c>
    </row>
    <row r="1547" spans="15:20" x14ac:dyDescent="0.25">
      <c r="O1547">
        <v>1</v>
      </c>
      <c r="S1547" t="e">
        <v>#DIV/0!</v>
      </c>
      <c r="T1547" t="s">
        <v>82</v>
      </c>
    </row>
    <row r="1548" spans="15:20" x14ac:dyDescent="0.25">
      <c r="O1548">
        <v>1</v>
      </c>
      <c r="S1548" t="e">
        <v>#DIV/0!</v>
      </c>
      <c r="T1548" t="s">
        <v>82</v>
      </c>
    </row>
    <row r="1549" spans="15:20" x14ac:dyDescent="0.25">
      <c r="O1549">
        <v>1</v>
      </c>
      <c r="S1549" t="e">
        <v>#DIV/0!</v>
      </c>
      <c r="T1549" t="s">
        <v>82</v>
      </c>
    </row>
    <row r="1550" spans="15:20" x14ac:dyDescent="0.25">
      <c r="O1550">
        <v>1</v>
      </c>
      <c r="S1550" t="e">
        <v>#DIV/0!</v>
      </c>
      <c r="T1550" t="s">
        <v>82</v>
      </c>
    </row>
    <row r="1551" spans="15:20" x14ac:dyDescent="0.25">
      <c r="O1551">
        <v>1</v>
      </c>
      <c r="S1551" t="e">
        <v>#DIV/0!</v>
      </c>
      <c r="T1551" t="s">
        <v>82</v>
      </c>
    </row>
    <row r="1552" spans="15:20" x14ac:dyDescent="0.25">
      <c r="O1552">
        <v>1</v>
      </c>
      <c r="S1552" t="e">
        <v>#DIV/0!</v>
      </c>
      <c r="T1552" t="s">
        <v>82</v>
      </c>
    </row>
    <row r="1553" spans="15:20" x14ac:dyDescent="0.25">
      <c r="O1553">
        <v>1</v>
      </c>
      <c r="S1553" t="e">
        <v>#DIV/0!</v>
      </c>
      <c r="T1553" t="s">
        <v>82</v>
      </c>
    </row>
    <row r="1554" spans="15:20" x14ac:dyDescent="0.25">
      <c r="O1554">
        <v>1</v>
      </c>
      <c r="S1554" t="e">
        <v>#DIV/0!</v>
      </c>
      <c r="T1554" t="s">
        <v>82</v>
      </c>
    </row>
    <row r="1555" spans="15:20" x14ac:dyDescent="0.25">
      <c r="O1555">
        <v>1</v>
      </c>
      <c r="S1555" t="e">
        <v>#DIV/0!</v>
      </c>
      <c r="T1555" t="s">
        <v>82</v>
      </c>
    </row>
    <row r="1556" spans="15:20" x14ac:dyDescent="0.25">
      <c r="O1556">
        <v>1</v>
      </c>
      <c r="S1556" t="e">
        <v>#DIV/0!</v>
      </c>
      <c r="T1556" t="s">
        <v>82</v>
      </c>
    </row>
    <row r="1557" spans="15:20" x14ac:dyDescent="0.25">
      <c r="O1557">
        <v>1</v>
      </c>
      <c r="S1557" t="e">
        <v>#DIV/0!</v>
      </c>
      <c r="T1557" t="s">
        <v>82</v>
      </c>
    </row>
    <row r="1558" spans="15:20" x14ac:dyDescent="0.25">
      <c r="O1558">
        <v>1</v>
      </c>
      <c r="S1558" t="e">
        <v>#DIV/0!</v>
      </c>
      <c r="T1558" t="s">
        <v>82</v>
      </c>
    </row>
    <row r="1559" spans="15:20" x14ac:dyDescent="0.25">
      <c r="O1559">
        <v>1</v>
      </c>
      <c r="S1559" t="e">
        <v>#DIV/0!</v>
      </c>
      <c r="T1559" t="s">
        <v>82</v>
      </c>
    </row>
    <row r="1560" spans="15:20" x14ac:dyDescent="0.25">
      <c r="O1560">
        <v>1</v>
      </c>
      <c r="S1560" t="e">
        <v>#DIV/0!</v>
      </c>
      <c r="T1560" t="s">
        <v>82</v>
      </c>
    </row>
    <row r="1561" spans="15:20" x14ac:dyDescent="0.25">
      <c r="O1561">
        <v>1</v>
      </c>
      <c r="S1561" t="e">
        <v>#DIV/0!</v>
      </c>
      <c r="T1561" t="s">
        <v>82</v>
      </c>
    </row>
    <row r="1562" spans="15:20" x14ac:dyDescent="0.25">
      <c r="O1562">
        <v>1</v>
      </c>
      <c r="S1562" t="e">
        <v>#DIV/0!</v>
      </c>
      <c r="T1562" t="s">
        <v>82</v>
      </c>
    </row>
    <row r="1563" spans="15:20" x14ac:dyDescent="0.25">
      <c r="O1563">
        <v>1</v>
      </c>
      <c r="S1563" t="e">
        <v>#DIV/0!</v>
      </c>
      <c r="T1563" t="s">
        <v>82</v>
      </c>
    </row>
    <row r="1564" spans="15:20" x14ac:dyDescent="0.25">
      <c r="O1564">
        <v>1</v>
      </c>
      <c r="S1564" t="e">
        <v>#DIV/0!</v>
      </c>
      <c r="T1564" t="s">
        <v>82</v>
      </c>
    </row>
    <row r="1565" spans="15:20" x14ac:dyDescent="0.25">
      <c r="O1565">
        <v>1</v>
      </c>
      <c r="S1565" t="e">
        <v>#DIV/0!</v>
      </c>
      <c r="T1565" t="s">
        <v>82</v>
      </c>
    </row>
    <row r="1566" spans="15:20" x14ac:dyDescent="0.25">
      <c r="O1566">
        <v>1</v>
      </c>
      <c r="S1566" t="e">
        <v>#DIV/0!</v>
      </c>
      <c r="T1566" t="s">
        <v>82</v>
      </c>
    </row>
    <row r="1567" spans="15:20" x14ac:dyDescent="0.25">
      <c r="O1567">
        <v>1</v>
      </c>
      <c r="S1567" t="e">
        <v>#DIV/0!</v>
      </c>
      <c r="T1567" t="s">
        <v>82</v>
      </c>
    </row>
    <row r="1568" spans="15:20" x14ac:dyDescent="0.25">
      <c r="O1568">
        <v>1</v>
      </c>
      <c r="S1568" t="e">
        <v>#DIV/0!</v>
      </c>
      <c r="T1568" t="s">
        <v>82</v>
      </c>
    </row>
    <row r="1569" spans="15:20" x14ac:dyDescent="0.25">
      <c r="O1569">
        <v>1</v>
      </c>
      <c r="S1569" t="e">
        <v>#DIV/0!</v>
      </c>
      <c r="T1569" t="s">
        <v>82</v>
      </c>
    </row>
    <row r="1570" spans="15:20" x14ac:dyDescent="0.25">
      <c r="O1570">
        <v>1</v>
      </c>
      <c r="S1570" t="e">
        <v>#DIV/0!</v>
      </c>
      <c r="T1570" t="s">
        <v>82</v>
      </c>
    </row>
    <row r="1571" spans="15:20" x14ac:dyDescent="0.25">
      <c r="O1571">
        <v>1</v>
      </c>
      <c r="S1571" t="e">
        <v>#DIV/0!</v>
      </c>
      <c r="T1571" t="s">
        <v>82</v>
      </c>
    </row>
    <row r="1572" spans="15:20" x14ac:dyDescent="0.25">
      <c r="O1572">
        <v>1</v>
      </c>
      <c r="S1572" t="e">
        <v>#DIV/0!</v>
      </c>
      <c r="T1572" t="s">
        <v>82</v>
      </c>
    </row>
    <row r="1573" spans="15:20" x14ac:dyDescent="0.25">
      <c r="O1573">
        <v>1</v>
      </c>
      <c r="S1573" t="e">
        <v>#DIV/0!</v>
      </c>
      <c r="T1573" t="s">
        <v>82</v>
      </c>
    </row>
    <row r="1574" spans="15:20" x14ac:dyDescent="0.25">
      <c r="O1574">
        <v>1</v>
      </c>
      <c r="S1574" t="e">
        <v>#DIV/0!</v>
      </c>
      <c r="T1574" t="s">
        <v>82</v>
      </c>
    </row>
    <row r="1575" spans="15:20" x14ac:dyDescent="0.25">
      <c r="O1575">
        <v>1</v>
      </c>
      <c r="S1575" t="e">
        <v>#DIV/0!</v>
      </c>
      <c r="T1575" t="s">
        <v>82</v>
      </c>
    </row>
    <row r="1576" spans="15:20" x14ac:dyDescent="0.25">
      <c r="O1576">
        <v>1</v>
      </c>
      <c r="S1576" t="e">
        <v>#DIV/0!</v>
      </c>
      <c r="T1576" t="s">
        <v>82</v>
      </c>
    </row>
    <row r="1577" spans="15:20" x14ac:dyDescent="0.25">
      <c r="O1577">
        <v>1</v>
      </c>
      <c r="S1577" t="e">
        <v>#DIV/0!</v>
      </c>
      <c r="T1577" t="s">
        <v>82</v>
      </c>
    </row>
    <row r="1578" spans="15:20" x14ac:dyDescent="0.25">
      <c r="O1578">
        <v>1</v>
      </c>
      <c r="S1578" t="e">
        <v>#DIV/0!</v>
      </c>
      <c r="T1578" t="s">
        <v>82</v>
      </c>
    </row>
    <row r="1579" spans="15:20" x14ac:dyDescent="0.25">
      <c r="O1579">
        <v>1</v>
      </c>
      <c r="S1579" t="e">
        <v>#DIV/0!</v>
      </c>
      <c r="T1579" t="s">
        <v>82</v>
      </c>
    </row>
    <row r="1580" spans="15:20" x14ac:dyDescent="0.25">
      <c r="O1580">
        <v>1</v>
      </c>
      <c r="S1580" t="e">
        <v>#DIV/0!</v>
      </c>
      <c r="T1580" t="s">
        <v>82</v>
      </c>
    </row>
    <row r="1581" spans="15:20" x14ac:dyDescent="0.25">
      <c r="O1581">
        <v>1</v>
      </c>
      <c r="S1581" t="e">
        <v>#DIV/0!</v>
      </c>
      <c r="T1581" t="s">
        <v>82</v>
      </c>
    </row>
    <row r="1582" spans="15:20" x14ac:dyDescent="0.25">
      <c r="O1582">
        <v>1</v>
      </c>
      <c r="S1582" t="e">
        <v>#DIV/0!</v>
      </c>
      <c r="T1582" t="s">
        <v>82</v>
      </c>
    </row>
    <row r="1583" spans="15:20" x14ac:dyDescent="0.25">
      <c r="O1583">
        <v>1</v>
      </c>
      <c r="S1583" t="e">
        <v>#DIV/0!</v>
      </c>
      <c r="T1583" t="s">
        <v>82</v>
      </c>
    </row>
    <row r="1584" spans="15:20" x14ac:dyDescent="0.25">
      <c r="O1584">
        <v>1</v>
      </c>
      <c r="S1584" t="e">
        <v>#DIV/0!</v>
      </c>
      <c r="T1584" t="s">
        <v>82</v>
      </c>
    </row>
    <row r="1585" spans="15:20" x14ac:dyDescent="0.25">
      <c r="O1585">
        <v>1</v>
      </c>
      <c r="S1585" t="e">
        <v>#DIV/0!</v>
      </c>
      <c r="T1585" t="s">
        <v>82</v>
      </c>
    </row>
    <row r="1586" spans="15:20" x14ac:dyDescent="0.25">
      <c r="O1586">
        <v>1</v>
      </c>
      <c r="S1586" t="e">
        <v>#DIV/0!</v>
      </c>
      <c r="T1586" t="s">
        <v>82</v>
      </c>
    </row>
    <row r="1587" spans="15:20" x14ac:dyDescent="0.25">
      <c r="O1587">
        <v>1</v>
      </c>
      <c r="S1587" t="e">
        <v>#DIV/0!</v>
      </c>
      <c r="T1587" t="s">
        <v>82</v>
      </c>
    </row>
    <row r="1588" spans="15:20" x14ac:dyDescent="0.25">
      <c r="O1588">
        <v>1</v>
      </c>
      <c r="S1588" t="e">
        <v>#DIV/0!</v>
      </c>
      <c r="T1588" t="s">
        <v>82</v>
      </c>
    </row>
    <row r="1589" spans="15:20" x14ac:dyDescent="0.25">
      <c r="O1589">
        <v>1</v>
      </c>
      <c r="S1589" t="e">
        <v>#DIV/0!</v>
      </c>
      <c r="T1589" t="s">
        <v>82</v>
      </c>
    </row>
    <row r="1590" spans="15:20" x14ac:dyDescent="0.25">
      <c r="O1590">
        <v>1</v>
      </c>
      <c r="S1590" t="e">
        <v>#DIV/0!</v>
      </c>
      <c r="T1590" t="s">
        <v>82</v>
      </c>
    </row>
    <row r="1591" spans="15:20" x14ac:dyDescent="0.25">
      <c r="O1591">
        <v>1</v>
      </c>
      <c r="S1591" t="e">
        <v>#DIV/0!</v>
      </c>
      <c r="T1591" t="s">
        <v>82</v>
      </c>
    </row>
    <row r="1592" spans="15:20" x14ac:dyDescent="0.25">
      <c r="O1592">
        <v>1</v>
      </c>
      <c r="S1592" t="e">
        <v>#DIV/0!</v>
      </c>
      <c r="T1592" t="s">
        <v>82</v>
      </c>
    </row>
    <row r="1593" spans="15:20" x14ac:dyDescent="0.25">
      <c r="O1593">
        <v>1</v>
      </c>
      <c r="S1593" t="e">
        <v>#DIV/0!</v>
      </c>
      <c r="T1593" t="s">
        <v>82</v>
      </c>
    </row>
    <row r="1594" spans="15:20" x14ac:dyDescent="0.25">
      <c r="O1594">
        <v>1</v>
      </c>
      <c r="S1594" t="e">
        <v>#DIV/0!</v>
      </c>
      <c r="T1594" t="s">
        <v>82</v>
      </c>
    </row>
    <row r="1595" spans="15:20" x14ac:dyDescent="0.25">
      <c r="O1595">
        <v>1</v>
      </c>
      <c r="S1595" t="e">
        <v>#DIV/0!</v>
      </c>
      <c r="T1595" t="s">
        <v>82</v>
      </c>
    </row>
    <row r="1596" spans="15:20" x14ac:dyDescent="0.25">
      <c r="O1596">
        <v>1</v>
      </c>
      <c r="S1596" t="e">
        <v>#DIV/0!</v>
      </c>
      <c r="T1596" t="s">
        <v>82</v>
      </c>
    </row>
    <row r="1597" spans="15:20" x14ac:dyDescent="0.25">
      <c r="O1597">
        <v>1</v>
      </c>
      <c r="S1597" t="e">
        <v>#DIV/0!</v>
      </c>
      <c r="T1597" t="s">
        <v>82</v>
      </c>
    </row>
    <row r="1598" spans="15:20" x14ac:dyDescent="0.25">
      <c r="O1598">
        <v>1</v>
      </c>
      <c r="S1598" t="e">
        <v>#DIV/0!</v>
      </c>
      <c r="T1598" t="s">
        <v>82</v>
      </c>
    </row>
    <row r="1599" spans="15:20" x14ac:dyDescent="0.25">
      <c r="O1599">
        <v>1</v>
      </c>
      <c r="S1599" t="e">
        <v>#DIV/0!</v>
      </c>
      <c r="T1599" t="s">
        <v>82</v>
      </c>
    </row>
    <row r="1600" spans="15:20" x14ac:dyDescent="0.25">
      <c r="O1600">
        <v>1</v>
      </c>
      <c r="S1600" t="e">
        <v>#DIV/0!</v>
      </c>
      <c r="T1600" t="s">
        <v>82</v>
      </c>
    </row>
    <row r="1601" spans="15:20" x14ac:dyDescent="0.25">
      <c r="O1601">
        <v>1</v>
      </c>
      <c r="S1601" t="e">
        <v>#DIV/0!</v>
      </c>
      <c r="T1601" t="s">
        <v>82</v>
      </c>
    </row>
    <row r="1602" spans="15:20" x14ac:dyDescent="0.25">
      <c r="O1602">
        <v>1</v>
      </c>
      <c r="S1602" t="e">
        <v>#DIV/0!</v>
      </c>
      <c r="T1602" t="s">
        <v>82</v>
      </c>
    </row>
    <row r="1603" spans="15:20" x14ac:dyDescent="0.25">
      <c r="O1603">
        <v>1</v>
      </c>
      <c r="S1603" t="e">
        <v>#DIV/0!</v>
      </c>
      <c r="T1603" t="s">
        <v>82</v>
      </c>
    </row>
    <row r="1604" spans="15:20" x14ac:dyDescent="0.25">
      <c r="O1604">
        <v>1</v>
      </c>
      <c r="S1604" t="e">
        <v>#DIV/0!</v>
      </c>
      <c r="T1604" t="s">
        <v>82</v>
      </c>
    </row>
    <row r="1605" spans="15:20" x14ac:dyDescent="0.25">
      <c r="O1605">
        <v>1</v>
      </c>
      <c r="S1605" t="e">
        <v>#DIV/0!</v>
      </c>
      <c r="T1605" t="s">
        <v>82</v>
      </c>
    </row>
    <row r="1606" spans="15:20" x14ac:dyDescent="0.25">
      <c r="O1606">
        <v>1</v>
      </c>
      <c r="S1606" t="e">
        <v>#DIV/0!</v>
      </c>
      <c r="T1606" t="s">
        <v>82</v>
      </c>
    </row>
    <row r="1607" spans="15:20" x14ac:dyDescent="0.25">
      <c r="O1607">
        <v>1</v>
      </c>
      <c r="S1607" t="e">
        <v>#DIV/0!</v>
      </c>
      <c r="T1607" t="s">
        <v>82</v>
      </c>
    </row>
    <row r="1608" spans="15:20" x14ac:dyDescent="0.25">
      <c r="O1608">
        <v>1</v>
      </c>
      <c r="S1608" t="e">
        <v>#DIV/0!</v>
      </c>
      <c r="T1608" t="s">
        <v>82</v>
      </c>
    </row>
    <row r="1609" spans="15:20" x14ac:dyDescent="0.25">
      <c r="O1609">
        <v>1</v>
      </c>
      <c r="S1609" t="e">
        <v>#DIV/0!</v>
      </c>
      <c r="T1609" t="s">
        <v>82</v>
      </c>
    </row>
    <row r="1610" spans="15:20" x14ac:dyDescent="0.25">
      <c r="O1610">
        <v>1</v>
      </c>
      <c r="S1610" t="e">
        <v>#DIV/0!</v>
      </c>
      <c r="T1610" t="s">
        <v>82</v>
      </c>
    </row>
    <row r="1611" spans="15:20" x14ac:dyDescent="0.25">
      <c r="O1611">
        <v>1</v>
      </c>
      <c r="S1611" t="e">
        <v>#DIV/0!</v>
      </c>
      <c r="T1611" t="s">
        <v>82</v>
      </c>
    </row>
    <row r="1612" spans="15:20" x14ac:dyDescent="0.25">
      <c r="O1612">
        <v>1</v>
      </c>
      <c r="S1612" t="e">
        <v>#DIV/0!</v>
      </c>
      <c r="T1612" t="s">
        <v>82</v>
      </c>
    </row>
    <row r="1613" spans="15:20" x14ac:dyDescent="0.25">
      <c r="O1613">
        <v>1</v>
      </c>
      <c r="S1613" t="e">
        <v>#DIV/0!</v>
      </c>
      <c r="T1613" t="s">
        <v>82</v>
      </c>
    </row>
    <row r="1614" spans="15:20" x14ac:dyDescent="0.25">
      <c r="O1614">
        <v>1</v>
      </c>
      <c r="S1614" t="e">
        <v>#DIV/0!</v>
      </c>
      <c r="T1614" t="s">
        <v>82</v>
      </c>
    </row>
    <row r="1615" spans="15:20" x14ac:dyDescent="0.25">
      <c r="O1615">
        <v>1</v>
      </c>
      <c r="S1615" t="e">
        <v>#DIV/0!</v>
      </c>
      <c r="T1615" t="s">
        <v>82</v>
      </c>
    </row>
    <row r="1616" spans="15:20" x14ac:dyDescent="0.25">
      <c r="O1616">
        <v>1</v>
      </c>
      <c r="S1616" t="e">
        <v>#DIV/0!</v>
      </c>
      <c r="T1616" t="s">
        <v>82</v>
      </c>
    </row>
    <row r="1617" spans="15:20" x14ac:dyDescent="0.25">
      <c r="O1617">
        <v>1</v>
      </c>
      <c r="S1617" t="e">
        <v>#DIV/0!</v>
      </c>
      <c r="T1617" t="s">
        <v>82</v>
      </c>
    </row>
    <row r="1618" spans="15:20" x14ac:dyDescent="0.25">
      <c r="O1618">
        <v>1</v>
      </c>
      <c r="S1618" t="e">
        <v>#DIV/0!</v>
      </c>
      <c r="T1618" t="s">
        <v>82</v>
      </c>
    </row>
    <row r="1619" spans="15:20" x14ac:dyDescent="0.25">
      <c r="O1619">
        <v>1</v>
      </c>
      <c r="S1619" t="e">
        <v>#DIV/0!</v>
      </c>
      <c r="T1619" t="s">
        <v>82</v>
      </c>
    </row>
    <row r="1620" spans="15:20" x14ac:dyDescent="0.25">
      <c r="O1620">
        <v>1</v>
      </c>
      <c r="S1620" t="e">
        <v>#DIV/0!</v>
      </c>
      <c r="T1620" t="s">
        <v>82</v>
      </c>
    </row>
    <row r="1621" spans="15:20" x14ac:dyDescent="0.25">
      <c r="O1621">
        <v>1</v>
      </c>
      <c r="S1621" t="e">
        <v>#DIV/0!</v>
      </c>
      <c r="T1621" t="s">
        <v>82</v>
      </c>
    </row>
    <row r="1622" spans="15:20" x14ac:dyDescent="0.25">
      <c r="O1622">
        <v>1</v>
      </c>
      <c r="S1622" t="e">
        <v>#DIV/0!</v>
      </c>
      <c r="T1622" t="s">
        <v>82</v>
      </c>
    </row>
    <row r="1623" spans="15:20" x14ac:dyDescent="0.25">
      <c r="O1623">
        <v>1</v>
      </c>
      <c r="S1623" t="e">
        <v>#DIV/0!</v>
      </c>
      <c r="T1623" t="s">
        <v>82</v>
      </c>
    </row>
    <row r="1624" spans="15:20" x14ac:dyDescent="0.25">
      <c r="O1624">
        <v>1</v>
      </c>
      <c r="S1624" t="e">
        <v>#DIV/0!</v>
      </c>
      <c r="T1624" t="s">
        <v>82</v>
      </c>
    </row>
    <row r="1625" spans="15:20" x14ac:dyDescent="0.25">
      <c r="O1625">
        <v>1</v>
      </c>
      <c r="S1625" t="e">
        <v>#DIV/0!</v>
      </c>
      <c r="T1625" t="s">
        <v>82</v>
      </c>
    </row>
    <row r="1626" spans="15:20" x14ac:dyDescent="0.25">
      <c r="O1626">
        <v>1</v>
      </c>
      <c r="S1626" t="e">
        <v>#DIV/0!</v>
      </c>
      <c r="T1626" t="s">
        <v>82</v>
      </c>
    </row>
    <row r="1627" spans="15:20" x14ac:dyDescent="0.25">
      <c r="O1627">
        <v>1</v>
      </c>
      <c r="S1627" t="e">
        <v>#DIV/0!</v>
      </c>
      <c r="T1627" t="s">
        <v>82</v>
      </c>
    </row>
    <row r="1628" spans="15:20" x14ac:dyDescent="0.25">
      <c r="O1628">
        <v>1</v>
      </c>
      <c r="S1628" t="e">
        <v>#DIV/0!</v>
      </c>
      <c r="T1628" t="s">
        <v>82</v>
      </c>
    </row>
    <row r="1629" spans="15:20" x14ac:dyDescent="0.25">
      <c r="O1629">
        <v>1</v>
      </c>
      <c r="S1629" t="e">
        <v>#DIV/0!</v>
      </c>
      <c r="T1629" t="s">
        <v>82</v>
      </c>
    </row>
    <row r="1630" spans="15:20" x14ac:dyDescent="0.25">
      <c r="O1630">
        <v>1</v>
      </c>
      <c r="S1630" t="e">
        <v>#DIV/0!</v>
      </c>
      <c r="T1630" t="s">
        <v>82</v>
      </c>
    </row>
    <row r="1631" spans="15:20" x14ac:dyDescent="0.25">
      <c r="O1631">
        <v>1</v>
      </c>
      <c r="S1631" t="e">
        <v>#DIV/0!</v>
      </c>
      <c r="T1631" t="s">
        <v>82</v>
      </c>
    </row>
    <row r="1632" spans="15:20" x14ac:dyDescent="0.25">
      <c r="O1632">
        <v>1</v>
      </c>
      <c r="S1632" t="e">
        <v>#DIV/0!</v>
      </c>
      <c r="T1632" t="s">
        <v>82</v>
      </c>
    </row>
    <row r="1633" spans="15:20" x14ac:dyDescent="0.25">
      <c r="O1633">
        <v>1</v>
      </c>
      <c r="S1633" t="e">
        <v>#DIV/0!</v>
      </c>
      <c r="T1633" t="s">
        <v>82</v>
      </c>
    </row>
    <row r="1634" spans="15:20" x14ac:dyDescent="0.25">
      <c r="O1634">
        <v>1</v>
      </c>
      <c r="S1634" t="e">
        <v>#DIV/0!</v>
      </c>
      <c r="T1634" t="s">
        <v>82</v>
      </c>
    </row>
    <row r="1635" spans="15:20" x14ac:dyDescent="0.25">
      <c r="O1635">
        <v>1</v>
      </c>
      <c r="S1635" t="e">
        <v>#DIV/0!</v>
      </c>
      <c r="T1635" t="s">
        <v>82</v>
      </c>
    </row>
    <row r="1636" spans="15:20" x14ac:dyDescent="0.25">
      <c r="O1636">
        <v>1</v>
      </c>
      <c r="S1636" t="e">
        <v>#DIV/0!</v>
      </c>
      <c r="T1636" t="s">
        <v>82</v>
      </c>
    </row>
    <row r="1637" spans="15:20" x14ac:dyDescent="0.25">
      <c r="O1637">
        <v>1</v>
      </c>
      <c r="S1637" t="e">
        <v>#DIV/0!</v>
      </c>
      <c r="T1637" t="s">
        <v>82</v>
      </c>
    </row>
    <row r="1638" spans="15:20" x14ac:dyDescent="0.25">
      <c r="O1638">
        <v>1</v>
      </c>
      <c r="S1638" t="e">
        <v>#DIV/0!</v>
      </c>
      <c r="T1638" t="s">
        <v>82</v>
      </c>
    </row>
    <row r="1639" spans="15:20" x14ac:dyDescent="0.25">
      <c r="O1639">
        <v>1</v>
      </c>
      <c r="S1639" t="e">
        <v>#DIV/0!</v>
      </c>
      <c r="T1639" t="s">
        <v>82</v>
      </c>
    </row>
    <row r="1640" spans="15:20" x14ac:dyDescent="0.25">
      <c r="O1640">
        <v>1</v>
      </c>
      <c r="S1640" t="e">
        <v>#DIV/0!</v>
      </c>
      <c r="T1640" t="s">
        <v>82</v>
      </c>
    </row>
    <row r="1641" spans="15:20" x14ac:dyDescent="0.25">
      <c r="O1641">
        <v>1</v>
      </c>
      <c r="S1641" t="e">
        <v>#DIV/0!</v>
      </c>
      <c r="T1641" t="s">
        <v>82</v>
      </c>
    </row>
    <row r="1642" spans="15:20" x14ac:dyDescent="0.25">
      <c r="O1642">
        <v>1</v>
      </c>
      <c r="S1642" t="e">
        <v>#DIV/0!</v>
      </c>
      <c r="T1642" t="s">
        <v>82</v>
      </c>
    </row>
    <row r="1643" spans="15:20" x14ac:dyDescent="0.25">
      <c r="O1643">
        <v>1</v>
      </c>
      <c r="S1643" t="e">
        <v>#DIV/0!</v>
      </c>
      <c r="T1643" t="s">
        <v>82</v>
      </c>
    </row>
    <row r="1644" spans="15:20" x14ac:dyDescent="0.25">
      <c r="O1644">
        <v>1</v>
      </c>
      <c r="S1644" t="e">
        <v>#DIV/0!</v>
      </c>
      <c r="T1644" t="s">
        <v>82</v>
      </c>
    </row>
    <row r="1645" spans="15:20" x14ac:dyDescent="0.25">
      <c r="O1645">
        <v>1</v>
      </c>
      <c r="S1645" t="e">
        <v>#DIV/0!</v>
      </c>
      <c r="T1645" t="s">
        <v>82</v>
      </c>
    </row>
    <row r="1646" spans="15:20" x14ac:dyDescent="0.25">
      <c r="O1646">
        <v>1</v>
      </c>
      <c r="S1646" t="e">
        <v>#DIV/0!</v>
      </c>
      <c r="T1646" t="s">
        <v>82</v>
      </c>
    </row>
    <row r="1647" spans="15:20" x14ac:dyDescent="0.25">
      <c r="O1647">
        <v>1</v>
      </c>
      <c r="S1647" t="e">
        <v>#DIV/0!</v>
      </c>
      <c r="T1647" t="s">
        <v>82</v>
      </c>
    </row>
    <row r="1648" spans="15:20" x14ac:dyDescent="0.25">
      <c r="O1648">
        <v>1</v>
      </c>
      <c r="S1648" t="e">
        <v>#DIV/0!</v>
      </c>
      <c r="T1648" t="s">
        <v>82</v>
      </c>
    </row>
    <row r="1649" spans="15:20" x14ac:dyDescent="0.25">
      <c r="O1649">
        <v>1</v>
      </c>
      <c r="S1649" t="e">
        <v>#DIV/0!</v>
      </c>
      <c r="T1649" t="s">
        <v>82</v>
      </c>
    </row>
    <row r="1650" spans="15:20" x14ac:dyDescent="0.25">
      <c r="O1650">
        <v>1</v>
      </c>
      <c r="S1650" t="e">
        <v>#DIV/0!</v>
      </c>
      <c r="T1650" t="s">
        <v>82</v>
      </c>
    </row>
    <row r="1651" spans="15:20" x14ac:dyDescent="0.25">
      <c r="O1651">
        <v>1</v>
      </c>
      <c r="S1651" t="e">
        <v>#DIV/0!</v>
      </c>
      <c r="T1651" t="s">
        <v>82</v>
      </c>
    </row>
    <row r="1652" spans="15:20" x14ac:dyDescent="0.25">
      <c r="O1652">
        <v>1</v>
      </c>
      <c r="S1652" t="e">
        <v>#DIV/0!</v>
      </c>
      <c r="T1652" t="s">
        <v>82</v>
      </c>
    </row>
    <row r="1653" spans="15:20" x14ac:dyDescent="0.25">
      <c r="O1653">
        <v>1</v>
      </c>
      <c r="S1653" t="e">
        <v>#DIV/0!</v>
      </c>
      <c r="T1653" t="s">
        <v>82</v>
      </c>
    </row>
    <row r="1654" spans="15:20" x14ac:dyDescent="0.25">
      <c r="O1654">
        <v>1</v>
      </c>
      <c r="S1654" t="e">
        <v>#DIV/0!</v>
      </c>
      <c r="T1654" t="s">
        <v>82</v>
      </c>
    </row>
    <row r="1655" spans="15:20" x14ac:dyDescent="0.25">
      <c r="O1655">
        <v>1</v>
      </c>
      <c r="S1655" t="e">
        <v>#DIV/0!</v>
      </c>
      <c r="T1655" t="s">
        <v>82</v>
      </c>
    </row>
    <row r="1656" spans="15:20" x14ac:dyDescent="0.25">
      <c r="O1656">
        <v>1</v>
      </c>
      <c r="S1656" t="e">
        <v>#DIV/0!</v>
      </c>
      <c r="T1656" t="s">
        <v>82</v>
      </c>
    </row>
    <row r="1657" spans="15:20" x14ac:dyDescent="0.25">
      <c r="O1657">
        <v>1</v>
      </c>
      <c r="S1657" t="e">
        <v>#DIV/0!</v>
      </c>
      <c r="T1657" t="s">
        <v>82</v>
      </c>
    </row>
    <row r="1658" spans="15:20" x14ac:dyDescent="0.25">
      <c r="O1658">
        <v>1</v>
      </c>
      <c r="S1658" t="e">
        <v>#DIV/0!</v>
      </c>
      <c r="T1658" t="s">
        <v>82</v>
      </c>
    </row>
    <row r="1659" spans="15:20" x14ac:dyDescent="0.25">
      <c r="O1659">
        <v>1</v>
      </c>
      <c r="S1659" t="e">
        <v>#DIV/0!</v>
      </c>
      <c r="T1659" t="s">
        <v>82</v>
      </c>
    </row>
    <row r="1660" spans="15:20" x14ac:dyDescent="0.25">
      <c r="O1660">
        <v>1</v>
      </c>
      <c r="S1660" t="e">
        <v>#DIV/0!</v>
      </c>
      <c r="T1660" t="s">
        <v>82</v>
      </c>
    </row>
    <row r="1661" spans="15:20" x14ac:dyDescent="0.25">
      <c r="O1661">
        <v>1</v>
      </c>
      <c r="S1661" t="e">
        <v>#DIV/0!</v>
      </c>
      <c r="T1661" t="s">
        <v>82</v>
      </c>
    </row>
    <row r="1662" spans="15:20" x14ac:dyDescent="0.25">
      <c r="O1662">
        <v>1</v>
      </c>
      <c r="S1662" t="e">
        <v>#DIV/0!</v>
      </c>
      <c r="T1662" t="s">
        <v>82</v>
      </c>
    </row>
    <row r="1663" spans="15:20" x14ac:dyDescent="0.25">
      <c r="O1663">
        <v>1</v>
      </c>
      <c r="S1663" t="e">
        <v>#DIV/0!</v>
      </c>
      <c r="T1663" t="s">
        <v>82</v>
      </c>
    </row>
    <row r="1664" spans="15:20" x14ac:dyDescent="0.25">
      <c r="O1664">
        <v>1</v>
      </c>
      <c r="S1664" t="e">
        <v>#DIV/0!</v>
      </c>
      <c r="T1664" t="s">
        <v>82</v>
      </c>
    </row>
    <row r="1665" spans="15:20" x14ac:dyDescent="0.25">
      <c r="O1665">
        <v>1</v>
      </c>
      <c r="S1665" t="e">
        <v>#DIV/0!</v>
      </c>
      <c r="T1665" t="s">
        <v>82</v>
      </c>
    </row>
    <row r="1666" spans="15:20" x14ac:dyDescent="0.25">
      <c r="O1666">
        <v>1</v>
      </c>
      <c r="S1666" t="e">
        <v>#DIV/0!</v>
      </c>
      <c r="T1666" t="s">
        <v>82</v>
      </c>
    </row>
    <row r="1667" spans="15:20" x14ac:dyDescent="0.25">
      <c r="O1667">
        <v>1</v>
      </c>
      <c r="S1667" t="e">
        <v>#DIV/0!</v>
      </c>
      <c r="T1667" t="s">
        <v>82</v>
      </c>
    </row>
    <row r="1668" spans="15:20" x14ac:dyDescent="0.25">
      <c r="O1668">
        <v>1</v>
      </c>
      <c r="S1668" t="e">
        <v>#DIV/0!</v>
      </c>
      <c r="T1668" t="s">
        <v>82</v>
      </c>
    </row>
    <row r="1669" spans="15:20" x14ac:dyDescent="0.25">
      <c r="O1669">
        <v>1</v>
      </c>
      <c r="S1669" t="e">
        <v>#DIV/0!</v>
      </c>
      <c r="T1669" t="s">
        <v>82</v>
      </c>
    </row>
    <row r="1670" spans="15:20" x14ac:dyDescent="0.25">
      <c r="O1670">
        <v>1</v>
      </c>
      <c r="S1670" t="e">
        <v>#DIV/0!</v>
      </c>
      <c r="T1670" t="s">
        <v>82</v>
      </c>
    </row>
    <row r="1671" spans="15:20" x14ac:dyDescent="0.25">
      <c r="O1671">
        <v>1</v>
      </c>
      <c r="S1671" t="e">
        <v>#DIV/0!</v>
      </c>
      <c r="T1671" t="s">
        <v>82</v>
      </c>
    </row>
    <row r="1672" spans="15:20" x14ac:dyDescent="0.25">
      <c r="O1672">
        <v>1</v>
      </c>
      <c r="S1672" t="e">
        <v>#DIV/0!</v>
      </c>
      <c r="T1672" t="s">
        <v>82</v>
      </c>
    </row>
    <row r="1673" spans="15:20" x14ac:dyDescent="0.25">
      <c r="O1673">
        <v>1</v>
      </c>
      <c r="S1673" t="e">
        <v>#DIV/0!</v>
      </c>
      <c r="T1673" t="s">
        <v>82</v>
      </c>
    </row>
    <row r="1674" spans="15:20" x14ac:dyDescent="0.25">
      <c r="O1674">
        <v>1</v>
      </c>
      <c r="S1674" t="e">
        <v>#DIV/0!</v>
      </c>
      <c r="T1674" t="s">
        <v>82</v>
      </c>
    </row>
    <row r="1675" spans="15:20" x14ac:dyDescent="0.25">
      <c r="O1675">
        <v>1</v>
      </c>
      <c r="S1675" t="e">
        <v>#DIV/0!</v>
      </c>
      <c r="T1675" t="s">
        <v>82</v>
      </c>
    </row>
    <row r="1676" spans="15:20" x14ac:dyDescent="0.25">
      <c r="O1676">
        <v>1</v>
      </c>
      <c r="S1676" t="e">
        <v>#DIV/0!</v>
      </c>
      <c r="T1676" t="s">
        <v>82</v>
      </c>
    </row>
    <row r="1677" spans="15:20" x14ac:dyDescent="0.25">
      <c r="O1677">
        <v>1</v>
      </c>
      <c r="S1677" t="e">
        <v>#DIV/0!</v>
      </c>
      <c r="T1677" t="s">
        <v>82</v>
      </c>
    </row>
    <row r="1678" spans="15:20" x14ac:dyDescent="0.25">
      <c r="O1678">
        <v>1</v>
      </c>
      <c r="S1678" t="e">
        <v>#DIV/0!</v>
      </c>
      <c r="T1678" t="s">
        <v>82</v>
      </c>
    </row>
    <row r="1679" spans="15:20" x14ac:dyDescent="0.25">
      <c r="O1679">
        <v>1</v>
      </c>
      <c r="S1679" t="e">
        <v>#DIV/0!</v>
      </c>
      <c r="T1679" t="s">
        <v>82</v>
      </c>
    </row>
    <row r="1680" spans="15:20" x14ac:dyDescent="0.25">
      <c r="O1680">
        <v>1</v>
      </c>
      <c r="S1680" t="e">
        <v>#DIV/0!</v>
      </c>
      <c r="T1680" t="s">
        <v>82</v>
      </c>
    </row>
    <row r="1681" spans="15:20" x14ac:dyDescent="0.25">
      <c r="O1681">
        <v>1</v>
      </c>
      <c r="S1681" t="e">
        <v>#DIV/0!</v>
      </c>
      <c r="T1681" t="s">
        <v>82</v>
      </c>
    </row>
    <row r="1682" spans="15:20" x14ac:dyDescent="0.25">
      <c r="O1682">
        <v>1</v>
      </c>
      <c r="S1682" t="e">
        <v>#DIV/0!</v>
      </c>
      <c r="T1682" t="s">
        <v>82</v>
      </c>
    </row>
    <row r="1683" spans="15:20" x14ac:dyDescent="0.25">
      <c r="O1683">
        <v>1</v>
      </c>
      <c r="S1683" t="e">
        <v>#DIV/0!</v>
      </c>
      <c r="T1683" t="s">
        <v>82</v>
      </c>
    </row>
    <row r="1684" spans="15:20" x14ac:dyDescent="0.25">
      <c r="O1684">
        <v>1</v>
      </c>
      <c r="S1684" t="e">
        <v>#DIV/0!</v>
      </c>
      <c r="T1684" t="s">
        <v>82</v>
      </c>
    </row>
    <row r="1685" spans="15:20" x14ac:dyDescent="0.25">
      <c r="O1685">
        <v>1</v>
      </c>
      <c r="S1685" t="e">
        <v>#DIV/0!</v>
      </c>
      <c r="T1685" t="s">
        <v>82</v>
      </c>
    </row>
    <row r="1686" spans="15:20" x14ac:dyDescent="0.25">
      <c r="O1686">
        <v>1</v>
      </c>
      <c r="S1686" t="e">
        <v>#DIV/0!</v>
      </c>
      <c r="T1686" t="s">
        <v>82</v>
      </c>
    </row>
    <row r="1687" spans="15:20" x14ac:dyDescent="0.25">
      <c r="O1687">
        <v>1</v>
      </c>
      <c r="S1687" t="e">
        <v>#DIV/0!</v>
      </c>
      <c r="T1687" t="s">
        <v>82</v>
      </c>
    </row>
    <row r="1688" spans="15:20" x14ac:dyDescent="0.25">
      <c r="O1688">
        <v>1</v>
      </c>
      <c r="S1688" t="e">
        <v>#DIV/0!</v>
      </c>
      <c r="T1688" t="s">
        <v>82</v>
      </c>
    </row>
    <row r="1689" spans="15:20" x14ac:dyDescent="0.25">
      <c r="O1689">
        <v>1</v>
      </c>
      <c r="S1689" t="e">
        <v>#DIV/0!</v>
      </c>
      <c r="T1689" t="s">
        <v>82</v>
      </c>
    </row>
    <row r="1690" spans="15:20" x14ac:dyDescent="0.25">
      <c r="O1690">
        <v>1</v>
      </c>
      <c r="S1690" t="e">
        <v>#DIV/0!</v>
      </c>
      <c r="T1690" t="s">
        <v>82</v>
      </c>
    </row>
    <row r="1691" spans="15:20" x14ac:dyDescent="0.25">
      <c r="O1691">
        <v>1</v>
      </c>
      <c r="S1691" t="e">
        <v>#DIV/0!</v>
      </c>
      <c r="T1691" t="s">
        <v>82</v>
      </c>
    </row>
    <row r="1692" spans="15:20" x14ac:dyDescent="0.25">
      <c r="O1692">
        <v>1</v>
      </c>
      <c r="S1692" t="e">
        <v>#DIV/0!</v>
      </c>
      <c r="T1692" t="s">
        <v>82</v>
      </c>
    </row>
    <row r="1693" spans="15:20" x14ac:dyDescent="0.25">
      <c r="O1693">
        <v>1</v>
      </c>
      <c r="S1693" t="e">
        <v>#DIV/0!</v>
      </c>
      <c r="T1693" t="s">
        <v>82</v>
      </c>
    </row>
    <row r="1694" spans="15:20" x14ac:dyDescent="0.25">
      <c r="O1694">
        <v>1</v>
      </c>
      <c r="S1694" t="e">
        <v>#DIV/0!</v>
      </c>
      <c r="T1694" t="s">
        <v>82</v>
      </c>
    </row>
    <row r="1695" spans="15:20" x14ac:dyDescent="0.25">
      <c r="O1695">
        <v>1</v>
      </c>
      <c r="S1695" t="e">
        <v>#DIV/0!</v>
      </c>
      <c r="T1695" t="s">
        <v>82</v>
      </c>
    </row>
    <row r="1696" spans="15:20" x14ac:dyDescent="0.25">
      <c r="O1696">
        <v>1</v>
      </c>
      <c r="S1696" t="e">
        <v>#DIV/0!</v>
      </c>
      <c r="T1696" t="s">
        <v>82</v>
      </c>
    </row>
    <row r="1697" spans="15:20" x14ac:dyDescent="0.25">
      <c r="O1697">
        <v>1</v>
      </c>
      <c r="S1697" t="e">
        <v>#DIV/0!</v>
      </c>
      <c r="T1697" t="s">
        <v>82</v>
      </c>
    </row>
    <row r="1698" spans="15:20" x14ac:dyDescent="0.25">
      <c r="O1698">
        <v>1</v>
      </c>
      <c r="S1698" t="e">
        <v>#DIV/0!</v>
      </c>
      <c r="T1698" t="s">
        <v>82</v>
      </c>
    </row>
    <row r="1699" spans="15:20" x14ac:dyDescent="0.25">
      <c r="O1699">
        <v>1</v>
      </c>
      <c r="S1699" t="e">
        <v>#DIV/0!</v>
      </c>
      <c r="T1699" t="s">
        <v>82</v>
      </c>
    </row>
    <row r="1700" spans="15:20" x14ac:dyDescent="0.25">
      <c r="O1700">
        <v>1</v>
      </c>
      <c r="S1700" t="e">
        <v>#DIV/0!</v>
      </c>
      <c r="T1700" t="s">
        <v>82</v>
      </c>
    </row>
    <row r="1701" spans="15:20" x14ac:dyDescent="0.25">
      <c r="O1701">
        <v>1</v>
      </c>
      <c r="S1701" t="e">
        <v>#DIV/0!</v>
      </c>
      <c r="T1701" t="s">
        <v>82</v>
      </c>
    </row>
    <row r="1702" spans="15:20" x14ac:dyDescent="0.25">
      <c r="O1702">
        <v>1</v>
      </c>
      <c r="S1702" t="e">
        <v>#DIV/0!</v>
      </c>
      <c r="T1702" t="s">
        <v>82</v>
      </c>
    </row>
    <row r="1703" spans="15:20" x14ac:dyDescent="0.25">
      <c r="O1703">
        <v>1</v>
      </c>
      <c r="S1703" t="e">
        <v>#DIV/0!</v>
      </c>
      <c r="T1703" t="s">
        <v>82</v>
      </c>
    </row>
    <row r="1704" spans="15:20" x14ac:dyDescent="0.25">
      <c r="O1704">
        <v>1</v>
      </c>
      <c r="S1704" t="e">
        <v>#DIV/0!</v>
      </c>
      <c r="T1704" t="s">
        <v>82</v>
      </c>
    </row>
    <row r="1705" spans="15:20" x14ac:dyDescent="0.25">
      <c r="O1705">
        <v>1</v>
      </c>
      <c r="S1705" t="e">
        <v>#DIV/0!</v>
      </c>
      <c r="T1705" t="s">
        <v>82</v>
      </c>
    </row>
    <row r="1706" spans="15:20" x14ac:dyDescent="0.25">
      <c r="O1706">
        <v>1</v>
      </c>
      <c r="S1706" t="e">
        <v>#DIV/0!</v>
      </c>
      <c r="T1706" t="s">
        <v>82</v>
      </c>
    </row>
    <row r="1707" spans="15:20" x14ac:dyDescent="0.25">
      <c r="O1707">
        <v>1</v>
      </c>
      <c r="S1707" t="e">
        <v>#DIV/0!</v>
      </c>
      <c r="T1707" t="s">
        <v>82</v>
      </c>
    </row>
    <row r="1708" spans="15:20" x14ac:dyDescent="0.25">
      <c r="O1708">
        <v>1</v>
      </c>
      <c r="S1708" t="e">
        <v>#DIV/0!</v>
      </c>
      <c r="T1708" t="s">
        <v>82</v>
      </c>
    </row>
    <row r="1709" spans="15:20" x14ac:dyDescent="0.25">
      <c r="O1709">
        <v>1</v>
      </c>
      <c r="S1709" t="e">
        <v>#DIV/0!</v>
      </c>
      <c r="T1709" t="s">
        <v>82</v>
      </c>
    </row>
    <row r="1710" spans="15:20" x14ac:dyDescent="0.25">
      <c r="O1710">
        <v>1</v>
      </c>
      <c r="S1710" t="e">
        <v>#DIV/0!</v>
      </c>
      <c r="T1710" t="s">
        <v>82</v>
      </c>
    </row>
    <row r="1711" spans="15:20" x14ac:dyDescent="0.25">
      <c r="O1711">
        <v>1</v>
      </c>
      <c r="S1711" t="e">
        <v>#DIV/0!</v>
      </c>
      <c r="T1711" t="s">
        <v>82</v>
      </c>
    </row>
    <row r="1712" spans="15:20" x14ac:dyDescent="0.25">
      <c r="O1712">
        <v>1</v>
      </c>
      <c r="S1712" t="e">
        <v>#DIV/0!</v>
      </c>
      <c r="T1712" t="s">
        <v>82</v>
      </c>
    </row>
    <row r="1713" spans="15:20" x14ac:dyDescent="0.25">
      <c r="O1713">
        <v>1</v>
      </c>
      <c r="S1713" t="e">
        <v>#DIV/0!</v>
      </c>
      <c r="T1713" t="s">
        <v>82</v>
      </c>
    </row>
    <row r="1714" spans="15:20" x14ac:dyDescent="0.25">
      <c r="O1714">
        <v>1</v>
      </c>
      <c r="S1714" t="e">
        <v>#DIV/0!</v>
      </c>
      <c r="T1714" t="s">
        <v>82</v>
      </c>
    </row>
    <row r="1715" spans="15:20" x14ac:dyDescent="0.25">
      <c r="O1715">
        <v>1</v>
      </c>
      <c r="S1715" t="e">
        <v>#DIV/0!</v>
      </c>
      <c r="T1715" t="s">
        <v>82</v>
      </c>
    </row>
    <row r="1716" spans="15:20" x14ac:dyDescent="0.25">
      <c r="O1716">
        <v>1</v>
      </c>
      <c r="S1716" t="e">
        <v>#DIV/0!</v>
      </c>
      <c r="T1716" t="s">
        <v>82</v>
      </c>
    </row>
    <row r="1717" spans="15:20" x14ac:dyDescent="0.25">
      <c r="O1717">
        <v>1</v>
      </c>
      <c r="S1717" t="e">
        <v>#DIV/0!</v>
      </c>
      <c r="T1717" t="s">
        <v>82</v>
      </c>
    </row>
    <row r="1718" spans="15:20" x14ac:dyDescent="0.25">
      <c r="O1718">
        <v>1</v>
      </c>
      <c r="S1718" t="e">
        <v>#DIV/0!</v>
      </c>
      <c r="T1718" t="s">
        <v>82</v>
      </c>
    </row>
    <row r="1719" spans="15:20" x14ac:dyDescent="0.25">
      <c r="O1719">
        <v>1</v>
      </c>
      <c r="S1719" t="e">
        <v>#DIV/0!</v>
      </c>
      <c r="T1719" t="s">
        <v>82</v>
      </c>
    </row>
    <row r="1720" spans="15:20" x14ac:dyDescent="0.25">
      <c r="O1720">
        <v>1</v>
      </c>
      <c r="S1720" t="e">
        <v>#DIV/0!</v>
      </c>
      <c r="T1720" t="s">
        <v>82</v>
      </c>
    </row>
    <row r="1721" spans="15:20" x14ac:dyDescent="0.25">
      <c r="O1721">
        <v>1</v>
      </c>
      <c r="S1721" t="e">
        <v>#DIV/0!</v>
      </c>
      <c r="T1721" t="s">
        <v>82</v>
      </c>
    </row>
    <row r="1722" spans="15:20" x14ac:dyDescent="0.25">
      <c r="O1722">
        <v>1</v>
      </c>
      <c r="S1722" t="e">
        <v>#DIV/0!</v>
      </c>
      <c r="T1722" t="s">
        <v>82</v>
      </c>
    </row>
    <row r="1723" spans="15:20" x14ac:dyDescent="0.25">
      <c r="O1723">
        <v>1</v>
      </c>
      <c r="S1723" t="e">
        <v>#DIV/0!</v>
      </c>
      <c r="T1723" t="s">
        <v>82</v>
      </c>
    </row>
    <row r="1724" spans="15:20" x14ac:dyDescent="0.25">
      <c r="O1724">
        <v>1</v>
      </c>
      <c r="S1724" t="e">
        <v>#DIV/0!</v>
      </c>
      <c r="T1724" t="s">
        <v>82</v>
      </c>
    </row>
    <row r="1725" spans="15:20" x14ac:dyDescent="0.25">
      <c r="O1725">
        <v>1</v>
      </c>
      <c r="S1725" t="e">
        <v>#DIV/0!</v>
      </c>
      <c r="T1725" t="s">
        <v>82</v>
      </c>
    </row>
    <row r="1726" spans="15:20" x14ac:dyDescent="0.25">
      <c r="O1726">
        <v>1</v>
      </c>
      <c r="S1726" t="e">
        <v>#DIV/0!</v>
      </c>
      <c r="T1726" t="s">
        <v>82</v>
      </c>
    </row>
    <row r="1727" spans="15:20" x14ac:dyDescent="0.25">
      <c r="O1727">
        <v>1</v>
      </c>
      <c r="S1727" t="e">
        <v>#DIV/0!</v>
      </c>
      <c r="T1727" t="s">
        <v>82</v>
      </c>
    </row>
    <row r="1728" spans="15:20" x14ac:dyDescent="0.25">
      <c r="O1728">
        <v>1</v>
      </c>
      <c r="S1728" t="e">
        <v>#DIV/0!</v>
      </c>
      <c r="T1728" t="s">
        <v>82</v>
      </c>
    </row>
    <row r="1729" spans="15:20" x14ac:dyDescent="0.25">
      <c r="O1729">
        <v>1</v>
      </c>
      <c r="S1729" t="e">
        <v>#DIV/0!</v>
      </c>
      <c r="T1729" t="s">
        <v>82</v>
      </c>
    </row>
    <row r="1730" spans="15:20" x14ac:dyDescent="0.25">
      <c r="O1730">
        <v>1</v>
      </c>
      <c r="S1730" t="e">
        <v>#DIV/0!</v>
      </c>
      <c r="T1730" t="s">
        <v>82</v>
      </c>
    </row>
    <row r="1731" spans="15:20" x14ac:dyDescent="0.25">
      <c r="O1731">
        <v>1</v>
      </c>
      <c r="S1731" t="e">
        <v>#DIV/0!</v>
      </c>
      <c r="T1731" t="s">
        <v>82</v>
      </c>
    </row>
    <row r="1732" spans="15:20" x14ac:dyDescent="0.25">
      <c r="O1732">
        <v>1</v>
      </c>
      <c r="S1732" t="e">
        <v>#DIV/0!</v>
      </c>
      <c r="T1732" t="s">
        <v>82</v>
      </c>
    </row>
    <row r="1733" spans="15:20" x14ac:dyDescent="0.25">
      <c r="O1733">
        <v>1</v>
      </c>
      <c r="S1733" t="e">
        <v>#DIV/0!</v>
      </c>
      <c r="T1733" t="s">
        <v>82</v>
      </c>
    </row>
    <row r="1734" spans="15:20" x14ac:dyDescent="0.25">
      <c r="O1734">
        <v>1</v>
      </c>
      <c r="S1734" t="e">
        <v>#DIV/0!</v>
      </c>
      <c r="T1734" t="s">
        <v>82</v>
      </c>
    </row>
    <row r="1735" spans="15:20" x14ac:dyDescent="0.25">
      <c r="O1735">
        <v>1</v>
      </c>
      <c r="S1735" t="e">
        <v>#DIV/0!</v>
      </c>
      <c r="T1735" t="s">
        <v>82</v>
      </c>
    </row>
    <row r="1736" spans="15:20" x14ac:dyDescent="0.25">
      <c r="O1736">
        <v>1</v>
      </c>
      <c r="S1736" t="e">
        <v>#DIV/0!</v>
      </c>
      <c r="T1736" t="s">
        <v>82</v>
      </c>
    </row>
    <row r="1737" spans="15:20" x14ac:dyDescent="0.25">
      <c r="O1737">
        <v>1</v>
      </c>
      <c r="S1737" t="e">
        <v>#DIV/0!</v>
      </c>
      <c r="T1737" t="s">
        <v>82</v>
      </c>
    </row>
    <row r="1738" spans="15:20" x14ac:dyDescent="0.25">
      <c r="O1738">
        <v>1</v>
      </c>
      <c r="S1738" t="e">
        <v>#DIV/0!</v>
      </c>
      <c r="T1738" t="s">
        <v>82</v>
      </c>
    </row>
    <row r="1739" spans="15:20" x14ac:dyDescent="0.25">
      <c r="O1739">
        <v>1</v>
      </c>
      <c r="S1739" t="e">
        <v>#DIV/0!</v>
      </c>
      <c r="T1739" t="s">
        <v>82</v>
      </c>
    </row>
    <row r="1740" spans="15:20" x14ac:dyDescent="0.25">
      <c r="O1740">
        <v>1</v>
      </c>
      <c r="S1740" t="e">
        <v>#DIV/0!</v>
      </c>
      <c r="T1740" t="s">
        <v>82</v>
      </c>
    </row>
    <row r="1741" spans="15:20" x14ac:dyDescent="0.25">
      <c r="O1741">
        <v>1</v>
      </c>
      <c r="S1741" t="e">
        <v>#DIV/0!</v>
      </c>
      <c r="T1741" t="s">
        <v>82</v>
      </c>
    </row>
    <row r="1742" spans="15:20" x14ac:dyDescent="0.25">
      <c r="O1742">
        <v>1</v>
      </c>
      <c r="S1742" t="e">
        <v>#DIV/0!</v>
      </c>
      <c r="T1742" t="s">
        <v>82</v>
      </c>
    </row>
    <row r="1743" spans="15:20" x14ac:dyDescent="0.25">
      <c r="O1743">
        <v>1</v>
      </c>
      <c r="S1743" t="e">
        <v>#DIV/0!</v>
      </c>
      <c r="T1743" t="s">
        <v>82</v>
      </c>
    </row>
    <row r="1744" spans="15:20" x14ac:dyDescent="0.25">
      <c r="O1744">
        <v>1</v>
      </c>
      <c r="S1744" t="e">
        <v>#DIV/0!</v>
      </c>
      <c r="T1744" t="s">
        <v>82</v>
      </c>
    </row>
    <row r="1745" spans="15:20" x14ac:dyDescent="0.25">
      <c r="O1745">
        <v>1</v>
      </c>
      <c r="S1745" t="e">
        <v>#DIV/0!</v>
      </c>
      <c r="T1745" t="s">
        <v>82</v>
      </c>
    </row>
    <row r="1746" spans="15:20" x14ac:dyDescent="0.25">
      <c r="O1746">
        <v>1</v>
      </c>
      <c r="S1746" t="e">
        <v>#DIV/0!</v>
      </c>
      <c r="T1746" t="s">
        <v>82</v>
      </c>
    </row>
    <row r="1747" spans="15:20" x14ac:dyDescent="0.25">
      <c r="O1747">
        <v>1</v>
      </c>
      <c r="S1747" t="e">
        <v>#DIV/0!</v>
      </c>
      <c r="T1747" t="s">
        <v>82</v>
      </c>
    </row>
    <row r="1748" spans="15:20" x14ac:dyDescent="0.25">
      <c r="O1748">
        <v>1</v>
      </c>
      <c r="S1748" t="e">
        <v>#DIV/0!</v>
      </c>
      <c r="T1748" t="s">
        <v>82</v>
      </c>
    </row>
    <row r="1749" spans="15:20" x14ac:dyDescent="0.25">
      <c r="O1749">
        <v>1</v>
      </c>
      <c r="S1749" t="e">
        <v>#DIV/0!</v>
      </c>
      <c r="T1749" t="s">
        <v>82</v>
      </c>
    </row>
    <row r="1750" spans="15:20" x14ac:dyDescent="0.25">
      <c r="O1750">
        <v>1</v>
      </c>
      <c r="S1750" t="e">
        <v>#DIV/0!</v>
      </c>
      <c r="T1750" t="s">
        <v>82</v>
      </c>
    </row>
    <row r="1751" spans="15:20" x14ac:dyDescent="0.25">
      <c r="O1751">
        <v>1</v>
      </c>
      <c r="S1751" t="e">
        <v>#DIV/0!</v>
      </c>
      <c r="T1751" t="s">
        <v>82</v>
      </c>
    </row>
    <row r="1752" spans="15:20" x14ac:dyDescent="0.25">
      <c r="O1752">
        <v>1</v>
      </c>
      <c r="S1752" t="e">
        <v>#DIV/0!</v>
      </c>
      <c r="T1752" t="s">
        <v>82</v>
      </c>
    </row>
    <row r="1753" spans="15:20" x14ac:dyDescent="0.25">
      <c r="O1753">
        <v>1</v>
      </c>
      <c r="S1753" t="e">
        <v>#DIV/0!</v>
      </c>
      <c r="T1753" t="s">
        <v>82</v>
      </c>
    </row>
    <row r="1754" spans="15:20" x14ac:dyDescent="0.25">
      <c r="O1754">
        <v>1</v>
      </c>
      <c r="S1754" t="e">
        <v>#DIV/0!</v>
      </c>
      <c r="T1754" t="s">
        <v>82</v>
      </c>
    </row>
    <row r="1755" spans="15:20" x14ac:dyDescent="0.25">
      <c r="O1755">
        <v>1</v>
      </c>
      <c r="S1755" t="e">
        <v>#DIV/0!</v>
      </c>
      <c r="T1755" t="s">
        <v>82</v>
      </c>
    </row>
    <row r="1756" spans="15:20" x14ac:dyDescent="0.25">
      <c r="O1756">
        <v>1</v>
      </c>
      <c r="S1756" t="e">
        <v>#DIV/0!</v>
      </c>
      <c r="T1756" t="s">
        <v>82</v>
      </c>
    </row>
    <row r="1757" spans="15:20" x14ac:dyDescent="0.25">
      <c r="O1757">
        <v>1</v>
      </c>
      <c r="S1757" t="e">
        <v>#DIV/0!</v>
      </c>
      <c r="T1757" t="s">
        <v>82</v>
      </c>
    </row>
    <row r="1758" spans="15:20" x14ac:dyDescent="0.25">
      <c r="O1758">
        <v>1</v>
      </c>
      <c r="S1758" t="e">
        <v>#DIV/0!</v>
      </c>
      <c r="T1758" t="s">
        <v>82</v>
      </c>
    </row>
    <row r="1759" spans="15:20" x14ac:dyDescent="0.25">
      <c r="O1759">
        <v>1</v>
      </c>
      <c r="S1759" t="e">
        <v>#DIV/0!</v>
      </c>
      <c r="T1759" t="s">
        <v>82</v>
      </c>
    </row>
    <row r="1760" spans="15:20" x14ac:dyDescent="0.25">
      <c r="O1760">
        <v>1</v>
      </c>
      <c r="S1760" t="e">
        <v>#DIV/0!</v>
      </c>
      <c r="T1760" t="s">
        <v>82</v>
      </c>
    </row>
    <row r="1761" spans="15:20" x14ac:dyDescent="0.25">
      <c r="O1761">
        <v>1</v>
      </c>
      <c r="S1761" t="e">
        <v>#DIV/0!</v>
      </c>
      <c r="T1761" t="s">
        <v>82</v>
      </c>
    </row>
    <row r="1762" spans="15:20" x14ac:dyDescent="0.25">
      <c r="O1762">
        <v>1</v>
      </c>
      <c r="S1762" t="e">
        <v>#DIV/0!</v>
      </c>
      <c r="T1762" t="s">
        <v>82</v>
      </c>
    </row>
    <row r="1763" spans="15:20" x14ac:dyDescent="0.25">
      <c r="O1763">
        <v>1</v>
      </c>
      <c r="S1763" t="e">
        <v>#DIV/0!</v>
      </c>
      <c r="T1763" t="s">
        <v>82</v>
      </c>
    </row>
    <row r="1764" spans="15:20" x14ac:dyDescent="0.25">
      <c r="O1764">
        <v>1</v>
      </c>
      <c r="S1764" t="e">
        <v>#DIV/0!</v>
      </c>
      <c r="T1764" t="s">
        <v>82</v>
      </c>
    </row>
    <row r="1765" spans="15:20" x14ac:dyDescent="0.25">
      <c r="O1765">
        <v>1</v>
      </c>
      <c r="S1765" t="e">
        <v>#DIV/0!</v>
      </c>
      <c r="T1765" t="s">
        <v>82</v>
      </c>
    </row>
    <row r="1766" spans="15:20" x14ac:dyDescent="0.25">
      <c r="O1766">
        <v>1</v>
      </c>
      <c r="S1766" t="e">
        <v>#DIV/0!</v>
      </c>
      <c r="T1766" t="s">
        <v>82</v>
      </c>
    </row>
    <row r="1767" spans="15:20" x14ac:dyDescent="0.25">
      <c r="O1767">
        <v>1</v>
      </c>
      <c r="S1767" t="e">
        <v>#DIV/0!</v>
      </c>
      <c r="T1767" t="s">
        <v>82</v>
      </c>
    </row>
    <row r="1768" spans="15:20" x14ac:dyDescent="0.25">
      <c r="O1768">
        <v>1</v>
      </c>
      <c r="S1768" t="e">
        <v>#DIV/0!</v>
      </c>
      <c r="T1768" t="s">
        <v>82</v>
      </c>
    </row>
    <row r="1769" spans="15:20" x14ac:dyDescent="0.25">
      <c r="O1769">
        <v>1</v>
      </c>
      <c r="S1769" t="e">
        <v>#DIV/0!</v>
      </c>
      <c r="T1769" t="s">
        <v>82</v>
      </c>
    </row>
    <row r="1770" spans="15:20" x14ac:dyDescent="0.25">
      <c r="O1770">
        <v>1</v>
      </c>
      <c r="S1770" t="e">
        <v>#DIV/0!</v>
      </c>
      <c r="T1770" t="s">
        <v>82</v>
      </c>
    </row>
    <row r="1771" spans="15:20" x14ac:dyDescent="0.25">
      <c r="O1771">
        <v>1</v>
      </c>
      <c r="S1771" t="e">
        <v>#DIV/0!</v>
      </c>
      <c r="T1771" t="s">
        <v>82</v>
      </c>
    </row>
    <row r="1772" spans="15:20" x14ac:dyDescent="0.25">
      <c r="O1772">
        <v>1</v>
      </c>
      <c r="S1772" t="e">
        <v>#DIV/0!</v>
      </c>
      <c r="T1772" t="s">
        <v>82</v>
      </c>
    </row>
    <row r="1773" spans="15:20" x14ac:dyDescent="0.25">
      <c r="O1773">
        <v>1</v>
      </c>
      <c r="S1773" t="e">
        <v>#DIV/0!</v>
      </c>
      <c r="T1773" t="s">
        <v>82</v>
      </c>
    </row>
    <row r="1774" spans="15:20" x14ac:dyDescent="0.25">
      <c r="O1774">
        <v>1</v>
      </c>
      <c r="S1774" t="e">
        <v>#DIV/0!</v>
      </c>
      <c r="T1774" t="s">
        <v>82</v>
      </c>
    </row>
    <row r="1775" spans="15:20" x14ac:dyDescent="0.25">
      <c r="O1775">
        <v>1</v>
      </c>
      <c r="S1775" t="e">
        <v>#DIV/0!</v>
      </c>
      <c r="T1775" t="s">
        <v>82</v>
      </c>
    </row>
    <row r="1776" spans="15:20" x14ac:dyDescent="0.25">
      <c r="O1776">
        <v>1</v>
      </c>
      <c r="S1776" t="e">
        <v>#DIV/0!</v>
      </c>
      <c r="T1776" t="s">
        <v>82</v>
      </c>
    </row>
    <row r="1777" spans="15:20" x14ac:dyDescent="0.25">
      <c r="O1777">
        <v>1</v>
      </c>
      <c r="S1777" t="e">
        <v>#DIV/0!</v>
      </c>
      <c r="T1777" t="s">
        <v>82</v>
      </c>
    </row>
    <row r="1778" spans="15:20" x14ac:dyDescent="0.25">
      <c r="O1778">
        <v>1</v>
      </c>
      <c r="S1778" t="e">
        <v>#DIV/0!</v>
      </c>
      <c r="T1778" t="s">
        <v>82</v>
      </c>
    </row>
    <row r="1779" spans="15:20" x14ac:dyDescent="0.25">
      <c r="O1779">
        <v>1</v>
      </c>
      <c r="S1779" t="e">
        <v>#DIV/0!</v>
      </c>
      <c r="T1779" t="s">
        <v>82</v>
      </c>
    </row>
    <row r="1780" spans="15:20" x14ac:dyDescent="0.25">
      <c r="O1780">
        <v>1</v>
      </c>
      <c r="S1780" t="e">
        <v>#DIV/0!</v>
      </c>
      <c r="T1780" t="s">
        <v>82</v>
      </c>
    </row>
    <row r="1781" spans="15:20" x14ac:dyDescent="0.25">
      <c r="O1781">
        <v>1</v>
      </c>
      <c r="S1781" t="e">
        <v>#DIV/0!</v>
      </c>
      <c r="T1781" t="s">
        <v>82</v>
      </c>
    </row>
    <row r="1782" spans="15:20" x14ac:dyDescent="0.25">
      <c r="O1782">
        <v>1</v>
      </c>
      <c r="S1782" t="e">
        <v>#DIV/0!</v>
      </c>
      <c r="T1782" t="s">
        <v>82</v>
      </c>
    </row>
    <row r="1783" spans="15:20" x14ac:dyDescent="0.25">
      <c r="O1783">
        <v>1</v>
      </c>
      <c r="S1783" t="e">
        <v>#DIV/0!</v>
      </c>
      <c r="T1783" t="s">
        <v>82</v>
      </c>
    </row>
    <row r="1784" spans="15:20" x14ac:dyDescent="0.25">
      <c r="O1784">
        <v>1</v>
      </c>
      <c r="S1784" t="e">
        <v>#DIV/0!</v>
      </c>
      <c r="T1784" t="s">
        <v>82</v>
      </c>
    </row>
    <row r="1785" spans="15:20" x14ac:dyDescent="0.25">
      <c r="O1785">
        <v>1</v>
      </c>
      <c r="S1785" t="e">
        <v>#DIV/0!</v>
      </c>
      <c r="T1785" t="s">
        <v>82</v>
      </c>
    </row>
    <row r="1786" spans="15:20" x14ac:dyDescent="0.25">
      <c r="O1786">
        <v>1</v>
      </c>
      <c r="S1786" t="e">
        <v>#DIV/0!</v>
      </c>
      <c r="T1786" t="s">
        <v>82</v>
      </c>
    </row>
    <row r="1787" spans="15:20" x14ac:dyDescent="0.25">
      <c r="O1787">
        <v>1</v>
      </c>
      <c r="S1787" t="e">
        <v>#DIV/0!</v>
      </c>
      <c r="T1787" t="s">
        <v>82</v>
      </c>
    </row>
    <row r="1788" spans="15:20" x14ac:dyDescent="0.25">
      <c r="O1788">
        <v>1</v>
      </c>
      <c r="S1788" t="e">
        <v>#DIV/0!</v>
      </c>
      <c r="T1788" t="s">
        <v>82</v>
      </c>
    </row>
    <row r="1789" spans="15:20" x14ac:dyDescent="0.25">
      <c r="O1789">
        <v>1</v>
      </c>
      <c r="S1789" t="e">
        <v>#DIV/0!</v>
      </c>
      <c r="T1789" t="s">
        <v>82</v>
      </c>
    </row>
    <row r="1790" spans="15:20" x14ac:dyDescent="0.25">
      <c r="O1790">
        <v>1</v>
      </c>
      <c r="S1790" t="e">
        <v>#DIV/0!</v>
      </c>
      <c r="T1790" t="s">
        <v>82</v>
      </c>
    </row>
    <row r="1791" spans="15:20" x14ac:dyDescent="0.25">
      <c r="O1791">
        <v>1</v>
      </c>
      <c r="S1791" t="e">
        <v>#DIV/0!</v>
      </c>
      <c r="T1791" t="s">
        <v>82</v>
      </c>
    </row>
    <row r="1792" spans="15:20" x14ac:dyDescent="0.25">
      <c r="O1792">
        <v>1</v>
      </c>
      <c r="S1792" t="e">
        <v>#DIV/0!</v>
      </c>
      <c r="T1792" t="s">
        <v>82</v>
      </c>
    </row>
    <row r="1793" spans="15:20" x14ac:dyDescent="0.25">
      <c r="O1793">
        <v>1</v>
      </c>
      <c r="S1793" t="e">
        <v>#DIV/0!</v>
      </c>
      <c r="T1793" t="s">
        <v>82</v>
      </c>
    </row>
    <row r="1794" spans="15:20" x14ac:dyDescent="0.25">
      <c r="O1794">
        <v>1</v>
      </c>
      <c r="S1794" t="e">
        <v>#DIV/0!</v>
      </c>
      <c r="T1794" t="s">
        <v>82</v>
      </c>
    </row>
    <row r="1795" spans="15:20" x14ac:dyDescent="0.25">
      <c r="O1795">
        <v>1</v>
      </c>
      <c r="S1795" t="e">
        <v>#DIV/0!</v>
      </c>
      <c r="T1795" t="s">
        <v>82</v>
      </c>
    </row>
    <row r="1796" spans="15:20" x14ac:dyDescent="0.25">
      <c r="O1796">
        <v>1</v>
      </c>
      <c r="S1796" t="e">
        <v>#DIV/0!</v>
      </c>
      <c r="T1796" t="s">
        <v>82</v>
      </c>
    </row>
    <row r="1797" spans="15:20" x14ac:dyDescent="0.25">
      <c r="O1797">
        <v>1</v>
      </c>
      <c r="S1797" t="e">
        <v>#DIV/0!</v>
      </c>
      <c r="T1797" t="s">
        <v>82</v>
      </c>
    </row>
    <row r="1798" spans="15:20" x14ac:dyDescent="0.25">
      <c r="O1798">
        <v>1</v>
      </c>
      <c r="S1798" t="e">
        <v>#DIV/0!</v>
      </c>
      <c r="T1798" t="s">
        <v>82</v>
      </c>
    </row>
    <row r="1799" spans="15:20" x14ac:dyDescent="0.25">
      <c r="O1799">
        <v>1</v>
      </c>
      <c r="S1799" t="e">
        <v>#DIV/0!</v>
      </c>
      <c r="T1799" t="s">
        <v>82</v>
      </c>
    </row>
    <row r="1800" spans="15:20" x14ac:dyDescent="0.25">
      <c r="O1800">
        <v>1</v>
      </c>
      <c r="S1800" t="e">
        <v>#DIV/0!</v>
      </c>
      <c r="T1800" t="s">
        <v>82</v>
      </c>
    </row>
    <row r="1801" spans="15:20" x14ac:dyDescent="0.25">
      <c r="O1801">
        <v>1</v>
      </c>
      <c r="S1801" t="e">
        <v>#DIV/0!</v>
      </c>
      <c r="T1801" t="s">
        <v>82</v>
      </c>
    </row>
    <row r="1802" spans="15:20" x14ac:dyDescent="0.25">
      <c r="O1802">
        <v>1</v>
      </c>
      <c r="S1802" t="e">
        <v>#DIV/0!</v>
      </c>
      <c r="T1802" t="s">
        <v>82</v>
      </c>
    </row>
    <row r="1803" spans="15:20" x14ac:dyDescent="0.25">
      <c r="O1803">
        <v>1</v>
      </c>
      <c r="S1803" t="e">
        <v>#DIV/0!</v>
      </c>
      <c r="T1803" t="s">
        <v>82</v>
      </c>
    </row>
    <row r="1804" spans="15:20" x14ac:dyDescent="0.25">
      <c r="O1804">
        <v>1</v>
      </c>
      <c r="S1804" t="e">
        <v>#DIV/0!</v>
      </c>
      <c r="T1804" t="s">
        <v>82</v>
      </c>
    </row>
    <row r="1805" spans="15:20" x14ac:dyDescent="0.25">
      <c r="O1805">
        <v>1</v>
      </c>
      <c r="S1805" t="e">
        <v>#DIV/0!</v>
      </c>
      <c r="T1805" t="s">
        <v>82</v>
      </c>
    </row>
    <row r="1806" spans="15:20" x14ac:dyDescent="0.25">
      <c r="O1806">
        <v>1</v>
      </c>
      <c r="S1806" t="e">
        <v>#DIV/0!</v>
      </c>
      <c r="T1806" t="s">
        <v>82</v>
      </c>
    </row>
    <row r="1807" spans="15:20" x14ac:dyDescent="0.25">
      <c r="O1807">
        <v>1</v>
      </c>
      <c r="S1807" t="e">
        <v>#DIV/0!</v>
      </c>
      <c r="T1807" t="s">
        <v>82</v>
      </c>
    </row>
    <row r="1808" spans="15:20" x14ac:dyDescent="0.25">
      <c r="O1808">
        <v>1</v>
      </c>
      <c r="S1808" t="e">
        <v>#DIV/0!</v>
      </c>
      <c r="T1808" t="s">
        <v>82</v>
      </c>
    </row>
    <row r="1809" spans="15:20" x14ac:dyDescent="0.25">
      <c r="O1809">
        <v>1</v>
      </c>
      <c r="S1809" t="e">
        <v>#DIV/0!</v>
      </c>
      <c r="T1809" t="s">
        <v>82</v>
      </c>
    </row>
    <row r="1810" spans="15:20" x14ac:dyDescent="0.25">
      <c r="O1810">
        <v>1</v>
      </c>
      <c r="S1810" t="e">
        <v>#DIV/0!</v>
      </c>
      <c r="T1810" t="s">
        <v>82</v>
      </c>
    </row>
    <row r="1811" spans="15:20" x14ac:dyDescent="0.25">
      <c r="O1811">
        <v>1</v>
      </c>
      <c r="S1811" t="e">
        <v>#DIV/0!</v>
      </c>
      <c r="T1811" t="s">
        <v>82</v>
      </c>
    </row>
    <row r="1812" spans="15:20" x14ac:dyDescent="0.25">
      <c r="O1812">
        <v>1</v>
      </c>
      <c r="S1812" t="e">
        <v>#DIV/0!</v>
      </c>
      <c r="T1812" t="s">
        <v>82</v>
      </c>
    </row>
    <row r="1813" spans="15:20" x14ac:dyDescent="0.25">
      <c r="O1813">
        <v>1</v>
      </c>
      <c r="S1813" t="e">
        <v>#DIV/0!</v>
      </c>
      <c r="T1813" t="s">
        <v>82</v>
      </c>
    </row>
    <row r="1814" spans="15:20" x14ac:dyDescent="0.25">
      <c r="O1814">
        <v>1</v>
      </c>
      <c r="S1814" t="e">
        <v>#DIV/0!</v>
      </c>
      <c r="T1814" t="s">
        <v>82</v>
      </c>
    </row>
    <row r="1815" spans="15:20" x14ac:dyDescent="0.25">
      <c r="O1815">
        <v>1</v>
      </c>
      <c r="S1815" t="e">
        <v>#DIV/0!</v>
      </c>
      <c r="T1815" t="s">
        <v>82</v>
      </c>
    </row>
    <row r="1816" spans="15:20" x14ac:dyDescent="0.25">
      <c r="O1816">
        <v>1</v>
      </c>
      <c r="S1816" t="e">
        <v>#DIV/0!</v>
      </c>
      <c r="T1816" t="s">
        <v>82</v>
      </c>
    </row>
    <row r="1817" spans="15:20" x14ac:dyDescent="0.25">
      <c r="O1817">
        <v>1</v>
      </c>
      <c r="S1817" t="e">
        <v>#DIV/0!</v>
      </c>
      <c r="T1817" t="s">
        <v>82</v>
      </c>
    </row>
    <row r="1818" spans="15:20" x14ac:dyDescent="0.25">
      <c r="O1818">
        <v>1</v>
      </c>
      <c r="S1818" t="e">
        <v>#DIV/0!</v>
      </c>
      <c r="T1818" t="s">
        <v>82</v>
      </c>
    </row>
    <row r="1819" spans="15:20" x14ac:dyDescent="0.25">
      <c r="O1819">
        <v>1</v>
      </c>
      <c r="S1819" t="e">
        <v>#DIV/0!</v>
      </c>
      <c r="T1819" t="s">
        <v>82</v>
      </c>
    </row>
    <row r="1820" spans="15:20" x14ac:dyDescent="0.25">
      <c r="O1820">
        <v>1</v>
      </c>
      <c r="S1820" t="e">
        <v>#DIV/0!</v>
      </c>
      <c r="T1820" t="s">
        <v>82</v>
      </c>
    </row>
    <row r="1821" spans="15:20" x14ac:dyDescent="0.25">
      <c r="O1821">
        <v>1</v>
      </c>
      <c r="S1821" t="e">
        <v>#DIV/0!</v>
      </c>
      <c r="T1821" t="s">
        <v>82</v>
      </c>
    </row>
    <row r="1822" spans="15:20" x14ac:dyDescent="0.25">
      <c r="O1822">
        <v>1</v>
      </c>
      <c r="S1822" t="e">
        <v>#DIV/0!</v>
      </c>
      <c r="T1822" t="s">
        <v>82</v>
      </c>
    </row>
    <row r="1823" spans="15:20" x14ac:dyDescent="0.25">
      <c r="O1823">
        <v>1</v>
      </c>
      <c r="S1823" t="e">
        <v>#DIV/0!</v>
      </c>
      <c r="T1823" t="s">
        <v>82</v>
      </c>
    </row>
    <row r="1824" spans="15:20" x14ac:dyDescent="0.25">
      <c r="O1824">
        <v>1</v>
      </c>
      <c r="S1824" t="e">
        <v>#DIV/0!</v>
      </c>
      <c r="T1824" t="s">
        <v>82</v>
      </c>
    </row>
    <row r="1825" spans="15:20" x14ac:dyDescent="0.25">
      <c r="O1825">
        <v>1</v>
      </c>
      <c r="S1825" t="e">
        <v>#DIV/0!</v>
      </c>
      <c r="T1825" t="s">
        <v>82</v>
      </c>
    </row>
    <row r="1826" spans="15:20" x14ac:dyDescent="0.25">
      <c r="O1826">
        <v>1</v>
      </c>
      <c r="S1826" t="e">
        <v>#DIV/0!</v>
      </c>
      <c r="T1826" t="s">
        <v>82</v>
      </c>
    </row>
    <row r="1827" spans="15:20" x14ac:dyDescent="0.25">
      <c r="O1827">
        <v>1</v>
      </c>
      <c r="S1827" t="e">
        <v>#DIV/0!</v>
      </c>
      <c r="T1827" t="s">
        <v>82</v>
      </c>
    </row>
    <row r="1828" spans="15:20" x14ac:dyDescent="0.25">
      <c r="O1828">
        <v>1</v>
      </c>
      <c r="S1828" t="e">
        <v>#DIV/0!</v>
      </c>
      <c r="T1828" t="s">
        <v>82</v>
      </c>
    </row>
    <row r="1829" spans="15:20" x14ac:dyDescent="0.25">
      <c r="O1829">
        <v>1</v>
      </c>
      <c r="S1829" t="e">
        <v>#DIV/0!</v>
      </c>
      <c r="T1829" t="s">
        <v>82</v>
      </c>
    </row>
    <row r="1830" spans="15:20" x14ac:dyDescent="0.25">
      <c r="O1830">
        <v>1</v>
      </c>
      <c r="S1830" t="e">
        <v>#DIV/0!</v>
      </c>
      <c r="T1830" t="s">
        <v>82</v>
      </c>
    </row>
    <row r="1831" spans="15:20" x14ac:dyDescent="0.25">
      <c r="O1831">
        <v>1</v>
      </c>
      <c r="S1831" t="e">
        <v>#DIV/0!</v>
      </c>
      <c r="T1831" t="s">
        <v>82</v>
      </c>
    </row>
    <row r="1832" spans="15:20" x14ac:dyDescent="0.25">
      <c r="O1832">
        <v>1</v>
      </c>
      <c r="S1832" t="e">
        <v>#DIV/0!</v>
      </c>
      <c r="T1832" t="s">
        <v>82</v>
      </c>
    </row>
    <row r="1833" spans="15:20" x14ac:dyDescent="0.25">
      <c r="O1833">
        <v>1</v>
      </c>
      <c r="S1833" t="e">
        <v>#DIV/0!</v>
      </c>
      <c r="T1833" t="s">
        <v>82</v>
      </c>
    </row>
    <row r="1834" spans="15:20" x14ac:dyDescent="0.25">
      <c r="O1834">
        <v>1</v>
      </c>
      <c r="S1834" t="e">
        <v>#DIV/0!</v>
      </c>
      <c r="T1834" t="s">
        <v>82</v>
      </c>
    </row>
    <row r="1835" spans="15:20" x14ac:dyDescent="0.25">
      <c r="O1835">
        <v>1</v>
      </c>
      <c r="S1835" t="e">
        <v>#DIV/0!</v>
      </c>
      <c r="T1835" t="s">
        <v>82</v>
      </c>
    </row>
    <row r="1836" spans="15:20" x14ac:dyDescent="0.25">
      <c r="O1836">
        <v>1</v>
      </c>
      <c r="S1836" t="e">
        <v>#DIV/0!</v>
      </c>
      <c r="T1836" t="s">
        <v>82</v>
      </c>
    </row>
    <row r="1837" spans="15:20" x14ac:dyDescent="0.25">
      <c r="O1837">
        <v>1</v>
      </c>
      <c r="S1837" t="e">
        <v>#DIV/0!</v>
      </c>
      <c r="T1837" t="s">
        <v>82</v>
      </c>
    </row>
    <row r="1838" spans="15:20" x14ac:dyDescent="0.25">
      <c r="O1838">
        <v>1</v>
      </c>
      <c r="S1838" t="e">
        <v>#DIV/0!</v>
      </c>
      <c r="T1838" t="s">
        <v>82</v>
      </c>
    </row>
    <row r="1839" spans="15:20" x14ac:dyDescent="0.25">
      <c r="O1839">
        <v>1</v>
      </c>
      <c r="S1839" t="e">
        <v>#DIV/0!</v>
      </c>
      <c r="T1839" t="s">
        <v>82</v>
      </c>
    </row>
    <row r="1840" spans="15:20" x14ac:dyDescent="0.25">
      <c r="O1840">
        <v>1</v>
      </c>
      <c r="S1840" t="e">
        <v>#DIV/0!</v>
      </c>
      <c r="T1840" t="s">
        <v>82</v>
      </c>
    </row>
    <row r="1841" spans="15:20" x14ac:dyDescent="0.25">
      <c r="O1841">
        <v>1</v>
      </c>
      <c r="S1841" t="e">
        <v>#DIV/0!</v>
      </c>
      <c r="T1841" t="s">
        <v>82</v>
      </c>
    </row>
    <row r="1842" spans="15:20" x14ac:dyDescent="0.25">
      <c r="O1842">
        <v>1</v>
      </c>
      <c r="S1842" t="e">
        <v>#DIV/0!</v>
      </c>
      <c r="T1842" t="s">
        <v>82</v>
      </c>
    </row>
    <row r="1843" spans="15:20" x14ac:dyDescent="0.25">
      <c r="O1843">
        <v>1</v>
      </c>
      <c r="S1843" t="e">
        <v>#DIV/0!</v>
      </c>
      <c r="T1843" t="s">
        <v>82</v>
      </c>
    </row>
    <row r="1844" spans="15:20" x14ac:dyDescent="0.25">
      <c r="O1844">
        <v>1</v>
      </c>
      <c r="S1844" t="e">
        <v>#DIV/0!</v>
      </c>
      <c r="T1844" t="s">
        <v>82</v>
      </c>
    </row>
    <row r="1845" spans="15:20" x14ac:dyDescent="0.25">
      <c r="O1845">
        <v>1</v>
      </c>
      <c r="S1845" t="e">
        <v>#DIV/0!</v>
      </c>
      <c r="T1845" t="s">
        <v>82</v>
      </c>
    </row>
    <row r="1846" spans="15:20" x14ac:dyDescent="0.25">
      <c r="O1846">
        <v>1</v>
      </c>
      <c r="S1846" t="e">
        <v>#DIV/0!</v>
      </c>
      <c r="T1846" t="s">
        <v>82</v>
      </c>
    </row>
    <row r="1847" spans="15:20" x14ac:dyDescent="0.25">
      <c r="O1847">
        <v>1</v>
      </c>
      <c r="S1847" t="e">
        <v>#DIV/0!</v>
      </c>
      <c r="T1847" t="s">
        <v>82</v>
      </c>
    </row>
    <row r="1848" spans="15:20" x14ac:dyDescent="0.25">
      <c r="O1848">
        <v>1</v>
      </c>
      <c r="S1848" t="e">
        <v>#DIV/0!</v>
      </c>
      <c r="T1848" t="s">
        <v>82</v>
      </c>
    </row>
    <row r="1849" spans="15:20" x14ac:dyDescent="0.25">
      <c r="O1849">
        <v>1</v>
      </c>
      <c r="S1849" t="e">
        <v>#DIV/0!</v>
      </c>
      <c r="T1849" t="s">
        <v>82</v>
      </c>
    </row>
    <row r="1850" spans="15:20" x14ac:dyDescent="0.25">
      <c r="O1850">
        <v>1</v>
      </c>
      <c r="S1850" t="e">
        <v>#DIV/0!</v>
      </c>
      <c r="T1850" t="s">
        <v>82</v>
      </c>
    </row>
    <row r="1851" spans="15:20" x14ac:dyDescent="0.25">
      <c r="O1851">
        <v>1</v>
      </c>
      <c r="S1851" t="e">
        <v>#DIV/0!</v>
      </c>
      <c r="T1851" t="s">
        <v>82</v>
      </c>
    </row>
    <row r="1852" spans="15:20" x14ac:dyDescent="0.25">
      <c r="O1852">
        <v>1</v>
      </c>
      <c r="S1852" t="e">
        <v>#DIV/0!</v>
      </c>
      <c r="T1852" t="s">
        <v>82</v>
      </c>
    </row>
    <row r="1853" spans="15:20" x14ac:dyDescent="0.25">
      <c r="O1853">
        <v>1</v>
      </c>
      <c r="S1853" t="e">
        <v>#DIV/0!</v>
      </c>
      <c r="T1853" t="s">
        <v>82</v>
      </c>
    </row>
    <row r="1854" spans="15:20" x14ac:dyDescent="0.25">
      <c r="O1854">
        <v>1</v>
      </c>
      <c r="S1854" t="e">
        <v>#DIV/0!</v>
      </c>
      <c r="T1854" t="s">
        <v>82</v>
      </c>
    </row>
    <row r="1855" spans="15:20" x14ac:dyDescent="0.25">
      <c r="O1855">
        <v>1</v>
      </c>
      <c r="S1855" t="e">
        <v>#DIV/0!</v>
      </c>
      <c r="T1855" t="s">
        <v>82</v>
      </c>
    </row>
    <row r="1856" spans="15:20" x14ac:dyDescent="0.25">
      <c r="O1856">
        <v>1</v>
      </c>
      <c r="S1856" t="e">
        <v>#DIV/0!</v>
      </c>
      <c r="T1856" t="s">
        <v>82</v>
      </c>
    </row>
    <row r="1857" spans="15:20" x14ac:dyDescent="0.25">
      <c r="O1857">
        <v>1</v>
      </c>
      <c r="S1857" t="e">
        <v>#DIV/0!</v>
      </c>
      <c r="T1857" t="s">
        <v>82</v>
      </c>
    </row>
    <row r="1858" spans="15:20" x14ac:dyDescent="0.25">
      <c r="O1858">
        <v>1</v>
      </c>
      <c r="S1858" t="e">
        <v>#DIV/0!</v>
      </c>
      <c r="T1858" t="s">
        <v>82</v>
      </c>
    </row>
    <row r="1859" spans="15:20" x14ac:dyDescent="0.25">
      <c r="O1859">
        <v>1</v>
      </c>
      <c r="S1859" t="e">
        <v>#DIV/0!</v>
      </c>
      <c r="T1859" t="s">
        <v>82</v>
      </c>
    </row>
    <row r="1860" spans="15:20" x14ac:dyDescent="0.25">
      <c r="O1860">
        <v>1</v>
      </c>
      <c r="S1860" t="e">
        <v>#DIV/0!</v>
      </c>
      <c r="T1860" t="s">
        <v>82</v>
      </c>
    </row>
    <row r="1861" spans="15:20" x14ac:dyDescent="0.25">
      <c r="O1861">
        <v>1</v>
      </c>
      <c r="S1861" t="e">
        <v>#DIV/0!</v>
      </c>
      <c r="T1861" t="s">
        <v>82</v>
      </c>
    </row>
    <row r="1862" spans="15:20" x14ac:dyDescent="0.25">
      <c r="O1862">
        <v>1</v>
      </c>
      <c r="S1862" t="e">
        <v>#DIV/0!</v>
      </c>
      <c r="T1862" t="s">
        <v>82</v>
      </c>
    </row>
    <row r="1863" spans="15:20" x14ac:dyDescent="0.25">
      <c r="O1863">
        <v>1</v>
      </c>
      <c r="S1863" t="e">
        <v>#DIV/0!</v>
      </c>
      <c r="T1863" t="s">
        <v>82</v>
      </c>
    </row>
    <row r="1864" spans="15:20" x14ac:dyDescent="0.25">
      <c r="O1864">
        <v>1</v>
      </c>
      <c r="S1864" t="e">
        <v>#DIV/0!</v>
      </c>
      <c r="T1864" t="s">
        <v>82</v>
      </c>
    </row>
    <row r="1865" spans="15:20" x14ac:dyDescent="0.25">
      <c r="O1865">
        <v>1</v>
      </c>
      <c r="S1865" t="e">
        <v>#DIV/0!</v>
      </c>
      <c r="T1865" t="s">
        <v>82</v>
      </c>
    </row>
    <row r="1866" spans="15:20" x14ac:dyDescent="0.25">
      <c r="O1866">
        <v>1</v>
      </c>
      <c r="S1866" t="e">
        <v>#DIV/0!</v>
      </c>
      <c r="T1866" t="s">
        <v>82</v>
      </c>
    </row>
    <row r="1867" spans="15:20" x14ac:dyDescent="0.25">
      <c r="O1867">
        <v>1</v>
      </c>
      <c r="S1867" t="e">
        <v>#DIV/0!</v>
      </c>
      <c r="T1867" t="s">
        <v>82</v>
      </c>
    </row>
    <row r="1868" spans="15:20" x14ac:dyDescent="0.25">
      <c r="O1868">
        <v>1</v>
      </c>
      <c r="S1868" t="e">
        <v>#DIV/0!</v>
      </c>
      <c r="T1868" t="s">
        <v>82</v>
      </c>
    </row>
    <row r="1869" spans="15:20" x14ac:dyDescent="0.25">
      <c r="O1869">
        <v>1</v>
      </c>
      <c r="S1869" t="e">
        <v>#DIV/0!</v>
      </c>
      <c r="T1869" t="s">
        <v>82</v>
      </c>
    </row>
    <row r="1870" spans="15:20" x14ac:dyDescent="0.25">
      <c r="O1870">
        <v>1</v>
      </c>
      <c r="S1870" t="e">
        <v>#DIV/0!</v>
      </c>
      <c r="T1870" t="s">
        <v>82</v>
      </c>
    </row>
    <row r="1871" spans="15:20" x14ac:dyDescent="0.25">
      <c r="O1871">
        <v>1</v>
      </c>
      <c r="S1871" t="e">
        <v>#DIV/0!</v>
      </c>
      <c r="T1871" t="s">
        <v>82</v>
      </c>
    </row>
    <row r="1872" spans="15:20" x14ac:dyDescent="0.25">
      <c r="O1872">
        <v>1</v>
      </c>
      <c r="S1872" t="e">
        <v>#DIV/0!</v>
      </c>
      <c r="T1872" t="s">
        <v>82</v>
      </c>
    </row>
    <row r="1873" spans="15:20" x14ac:dyDescent="0.25">
      <c r="O1873">
        <v>1</v>
      </c>
      <c r="S1873" t="e">
        <v>#DIV/0!</v>
      </c>
      <c r="T1873" t="s">
        <v>82</v>
      </c>
    </row>
    <row r="1874" spans="15:20" x14ac:dyDescent="0.25">
      <c r="O1874">
        <v>1</v>
      </c>
      <c r="S1874" t="e">
        <v>#DIV/0!</v>
      </c>
      <c r="T1874" t="s">
        <v>82</v>
      </c>
    </row>
    <row r="1875" spans="15:20" x14ac:dyDescent="0.25">
      <c r="O1875">
        <v>1</v>
      </c>
      <c r="S1875" t="e">
        <v>#DIV/0!</v>
      </c>
      <c r="T1875" t="s">
        <v>82</v>
      </c>
    </row>
    <row r="1876" spans="15:20" x14ac:dyDescent="0.25">
      <c r="O1876">
        <v>1</v>
      </c>
      <c r="S1876" t="e">
        <v>#DIV/0!</v>
      </c>
      <c r="T1876" t="s">
        <v>82</v>
      </c>
    </row>
    <row r="1877" spans="15:20" x14ac:dyDescent="0.25">
      <c r="O1877">
        <v>1</v>
      </c>
      <c r="S1877" t="e">
        <v>#DIV/0!</v>
      </c>
      <c r="T1877" t="s">
        <v>82</v>
      </c>
    </row>
    <row r="1878" spans="15:20" x14ac:dyDescent="0.25">
      <c r="O1878">
        <v>1</v>
      </c>
      <c r="S1878" t="e">
        <v>#DIV/0!</v>
      </c>
      <c r="T1878" t="s">
        <v>82</v>
      </c>
    </row>
    <row r="1879" spans="15:20" x14ac:dyDescent="0.25">
      <c r="O1879">
        <v>1</v>
      </c>
      <c r="S1879" t="e">
        <v>#DIV/0!</v>
      </c>
      <c r="T1879" t="s">
        <v>82</v>
      </c>
    </row>
    <row r="1880" spans="15:20" x14ac:dyDescent="0.25">
      <c r="O1880">
        <v>1</v>
      </c>
      <c r="S1880" t="e">
        <v>#DIV/0!</v>
      </c>
      <c r="T1880" t="s">
        <v>82</v>
      </c>
    </row>
    <row r="1881" spans="15:20" x14ac:dyDescent="0.25">
      <c r="O1881">
        <v>1</v>
      </c>
      <c r="S1881" t="e">
        <v>#DIV/0!</v>
      </c>
      <c r="T1881" t="s">
        <v>82</v>
      </c>
    </row>
    <row r="1882" spans="15:20" x14ac:dyDescent="0.25">
      <c r="O1882">
        <v>1</v>
      </c>
      <c r="S1882" t="e">
        <v>#DIV/0!</v>
      </c>
      <c r="T1882" t="s">
        <v>82</v>
      </c>
    </row>
    <row r="1883" spans="15:20" x14ac:dyDescent="0.25">
      <c r="O1883">
        <v>1</v>
      </c>
      <c r="S1883" t="e">
        <v>#DIV/0!</v>
      </c>
      <c r="T1883" t="s">
        <v>82</v>
      </c>
    </row>
    <row r="1884" spans="15:20" x14ac:dyDescent="0.25">
      <c r="O1884">
        <v>1</v>
      </c>
      <c r="S1884" t="e">
        <v>#DIV/0!</v>
      </c>
      <c r="T1884" t="s">
        <v>82</v>
      </c>
    </row>
    <row r="1885" spans="15:20" x14ac:dyDescent="0.25">
      <c r="O1885">
        <v>1</v>
      </c>
      <c r="S1885" t="e">
        <v>#DIV/0!</v>
      </c>
      <c r="T1885" t="s">
        <v>82</v>
      </c>
    </row>
    <row r="1886" spans="15:20" x14ac:dyDescent="0.25">
      <c r="O1886">
        <v>1</v>
      </c>
      <c r="S1886" t="e">
        <v>#DIV/0!</v>
      </c>
      <c r="T1886" t="s">
        <v>82</v>
      </c>
    </row>
    <row r="1887" spans="15:20" x14ac:dyDescent="0.25">
      <c r="O1887">
        <v>1</v>
      </c>
      <c r="S1887" t="e">
        <v>#DIV/0!</v>
      </c>
      <c r="T1887" t="s">
        <v>82</v>
      </c>
    </row>
    <row r="1888" spans="15:20" x14ac:dyDescent="0.25">
      <c r="O1888">
        <v>1</v>
      </c>
      <c r="S1888" t="e">
        <v>#DIV/0!</v>
      </c>
      <c r="T1888" t="s">
        <v>82</v>
      </c>
    </row>
    <row r="1889" spans="15:20" x14ac:dyDescent="0.25">
      <c r="O1889">
        <v>1</v>
      </c>
      <c r="S1889" t="e">
        <v>#DIV/0!</v>
      </c>
      <c r="T1889" t="s">
        <v>82</v>
      </c>
    </row>
    <row r="1890" spans="15:20" x14ac:dyDescent="0.25">
      <c r="O1890">
        <v>1</v>
      </c>
      <c r="S1890" t="e">
        <v>#DIV/0!</v>
      </c>
      <c r="T1890" t="s">
        <v>82</v>
      </c>
    </row>
    <row r="1891" spans="15:20" x14ac:dyDescent="0.25">
      <c r="O1891">
        <v>1</v>
      </c>
      <c r="S1891" t="e">
        <v>#DIV/0!</v>
      </c>
      <c r="T1891" t="s">
        <v>82</v>
      </c>
    </row>
    <row r="1892" spans="15:20" x14ac:dyDescent="0.25">
      <c r="O1892">
        <v>1</v>
      </c>
      <c r="S1892" t="e">
        <v>#DIV/0!</v>
      </c>
      <c r="T1892" t="s">
        <v>82</v>
      </c>
    </row>
    <row r="1893" spans="15:20" x14ac:dyDescent="0.25">
      <c r="O1893">
        <v>1</v>
      </c>
      <c r="S1893" t="e">
        <v>#DIV/0!</v>
      </c>
      <c r="T1893" t="s">
        <v>82</v>
      </c>
    </row>
    <row r="1894" spans="15:20" x14ac:dyDescent="0.25">
      <c r="O1894">
        <v>1</v>
      </c>
      <c r="S1894" t="e">
        <v>#DIV/0!</v>
      </c>
      <c r="T1894" t="s">
        <v>82</v>
      </c>
    </row>
    <row r="1895" spans="15:20" x14ac:dyDescent="0.25">
      <c r="O1895">
        <v>1</v>
      </c>
      <c r="S1895" t="e">
        <v>#DIV/0!</v>
      </c>
      <c r="T1895" t="s">
        <v>82</v>
      </c>
    </row>
    <row r="1896" spans="15:20" x14ac:dyDescent="0.25">
      <c r="O1896">
        <v>1</v>
      </c>
      <c r="S1896" t="e">
        <v>#DIV/0!</v>
      </c>
      <c r="T1896" t="s">
        <v>82</v>
      </c>
    </row>
    <row r="1897" spans="15:20" x14ac:dyDescent="0.25">
      <c r="O1897">
        <v>1</v>
      </c>
      <c r="S1897" t="e">
        <v>#DIV/0!</v>
      </c>
      <c r="T1897" t="s">
        <v>82</v>
      </c>
    </row>
    <row r="1898" spans="15:20" x14ac:dyDescent="0.25">
      <c r="O1898">
        <v>1</v>
      </c>
      <c r="S1898" t="e">
        <v>#DIV/0!</v>
      </c>
      <c r="T1898" t="s">
        <v>82</v>
      </c>
    </row>
    <row r="1899" spans="15:20" x14ac:dyDescent="0.25">
      <c r="O1899">
        <v>1</v>
      </c>
      <c r="S1899" t="e">
        <v>#DIV/0!</v>
      </c>
      <c r="T1899" t="s">
        <v>82</v>
      </c>
    </row>
    <row r="1900" spans="15:20" x14ac:dyDescent="0.25">
      <c r="O1900">
        <v>1</v>
      </c>
      <c r="S1900" t="e">
        <v>#DIV/0!</v>
      </c>
      <c r="T1900" t="s">
        <v>82</v>
      </c>
    </row>
    <row r="1901" spans="15:20" x14ac:dyDescent="0.25">
      <c r="O1901">
        <v>1</v>
      </c>
      <c r="S1901" t="e">
        <v>#DIV/0!</v>
      </c>
      <c r="T1901" t="s">
        <v>82</v>
      </c>
    </row>
    <row r="1902" spans="15:20" x14ac:dyDescent="0.25">
      <c r="O1902">
        <v>1</v>
      </c>
      <c r="S1902" t="e">
        <v>#DIV/0!</v>
      </c>
      <c r="T1902" t="s">
        <v>82</v>
      </c>
    </row>
    <row r="1903" spans="15:20" x14ac:dyDescent="0.25">
      <c r="O1903">
        <v>1</v>
      </c>
      <c r="S1903" t="e">
        <v>#DIV/0!</v>
      </c>
      <c r="T1903" t="s">
        <v>82</v>
      </c>
    </row>
    <row r="1904" spans="15:20" x14ac:dyDescent="0.25">
      <c r="O1904">
        <v>1</v>
      </c>
      <c r="S1904" t="e">
        <v>#DIV/0!</v>
      </c>
      <c r="T1904" t="s">
        <v>82</v>
      </c>
    </row>
    <row r="1905" spans="15:20" x14ac:dyDescent="0.25">
      <c r="O1905">
        <v>1</v>
      </c>
      <c r="S1905" t="e">
        <v>#DIV/0!</v>
      </c>
      <c r="T1905" t="s">
        <v>82</v>
      </c>
    </row>
    <row r="1906" spans="15:20" x14ac:dyDescent="0.25">
      <c r="O1906">
        <v>1</v>
      </c>
      <c r="S1906" t="e">
        <v>#DIV/0!</v>
      </c>
      <c r="T1906" t="s">
        <v>82</v>
      </c>
    </row>
    <row r="1907" spans="15:20" x14ac:dyDescent="0.25">
      <c r="O1907">
        <v>1</v>
      </c>
      <c r="S1907" t="e">
        <v>#DIV/0!</v>
      </c>
      <c r="T1907" t="s">
        <v>82</v>
      </c>
    </row>
    <row r="1908" spans="15:20" x14ac:dyDescent="0.25">
      <c r="O1908">
        <v>1</v>
      </c>
      <c r="S1908" t="e">
        <v>#DIV/0!</v>
      </c>
      <c r="T1908" t="s">
        <v>82</v>
      </c>
    </row>
    <row r="1909" spans="15:20" x14ac:dyDescent="0.25">
      <c r="O1909">
        <v>1</v>
      </c>
      <c r="S1909" t="e">
        <v>#DIV/0!</v>
      </c>
      <c r="T1909" t="s">
        <v>82</v>
      </c>
    </row>
    <row r="1910" spans="15:20" x14ac:dyDescent="0.25">
      <c r="O1910">
        <v>1</v>
      </c>
      <c r="S1910" t="e">
        <v>#DIV/0!</v>
      </c>
      <c r="T1910" t="s">
        <v>82</v>
      </c>
    </row>
    <row r="1911" spans="15:20" x14ac:dyDescent="0.25">
      <c r="O1911">
        <v>1</v>
      </c>
      <c r="S1911" t="e">
        <v>#DIV/0!</v>
      </c>
      <c r="T1911" t="s">
        <v>82</v>
      </c>
    </row>
    <row r="1912" spans="15:20" x14ac:dyDescent="0.25">
      <c r="O1912">
        <v>1</v>
      </c>
      <c r="S1912" t="e">
        <v>#DIV/0!</v>
      </c>
      <c r="T1912" t="s">
        <v>82</v>
      </c>
    </row>
    <row r="1913" spans="15:20" x14ac:dyDescent="0.25">
      <c r="O1913">
        <v>1</v>
      </c>
      <c r="S1913" t="e">
        <v>#DIV/0!</v>
      </c>
      <c r="T1913" t="s">
        <v>82</v>
      </c>
    </row>
    <row r="1914" spans="15:20" x14ac:dyDescent="0.25">
      <c r="O1914">
        <v>1</v>
      </c>
      <c r="S1914" t="e">
        <v>#DIV/0!</v>
      </c>
      <c r="T1914" t="s">
        <v>82</v>
      </c>
    </row>
    <row r="1915" spans="15:20" x14ac:dyDescent="0.25">
      <c r="O1915">
        <v>1</v>
      </c>
      <c r="S1915" t="e">
        <v>#DIV/0!</v>
      </c>
      <c r="T1915" t="s">
        <v>82</v>
      </c>
    </row>
    <row r="1916" spans="15:20" x14ac:dyDescent="0.25">
      <c r="O1916">
        <v>1</v>
      </c>
      <c r="S1916" t="e">
        <v>#DIV/0!</v>
      </c>
      <c r="T1916" t="s">
        <v>82</v>
      </c>
    </row>
    <row r="1917" spans="15:20" x14ac:dyDescent="0.25">
      <c r="O1917">
        <v>1</v>
      </c>
      <c r="S1917" t="e">
        <v>#DIV/0!</v>
      </c>
      <c r="T1917" t="s">
        <v>82</v>
      </c>
    </row>
    <row r="1918" spans="15:20" x14ac:dyDescent="0.25">
      <c r="O1918">
        <v>1</v>
      </c>
      <c r="S1918" t="e">
        <v>#DIV/0!</v>
      </c>
      <c r="T1918" t="s">
        <v>82</v>
      </c>
    </row>
    <row r="1919" spans="15:20" x14ac:dyDescent="0.25">
      <c r="O1919">
        <v>1</v>
      </c>
      <c r="S1919" t="e">
        <v>#DIV/0!</v>
      </c>
      <c r="T1919" t="s">
        <v>82</v>
      </c>
    </row>
    <row r="1920" spans="15:20" x14ac:dyDescent="0.25">
      <c r="O1920">
        <v>1</v>
      </c>
      <c r="S1920" t="e">
        <v>#DIV/0!</v>
      </c>
      <c r="T1920" t="s">
        <v>82</v>
      </c>
    </row>
    <row r="1921" spans="15:20" x14ac:dyDescent="0.25">
      <c r="O1921">
        <v>1</v>
      </c>
      <c r="S1921" t="e">
        <v>#DIV/0!</v>
      </c>
      <c r="T1921" t="s">
        <v>82</v>
      </c>
    </row>
    <row r="1922" spans="15:20" x14ac:dyDescent="0.25">
      <c r="O1922">
        <v>1</v>
      </c>
      <c r="S1922" t="e">
        <v>#DIV/0!</v>
      </c>
      <c r="T1922" t="s">
        <v>82</v>
      </c>
    </row>
    <row r="1923" spans="15:20" x14ac:dyDescent="0.25">
      <c r="O1923">
        <v>1</v>
      </c>
      <c r="S1923" t="e">
        <v>#DIV/0!</v>
      </c>
      <c r="T1923" t="s">
        <v>82</v>
      </c>
    </row>
    <row r="1924" spans="15:20" x14ac:dyDescent="0.25">
      <c r="O1924">
        <v>1</v>
      </c>
      <c r="S1924" t="e">
        <v>#DIV/0!</v>
      </c>
      <c r="T1924" t="s">
        <v>82</v>
      </c>
    </row>
    <row r="1925" spans="15:20" x14ac:dyDescent="0.25">
      <c r="O1925">
        <v>1</v>
      </c>
      <c r="S1925" t="e">
        <v>#DIV/0!</v>
      </c>
      <c r="T1925" t="s">
        <v>82</v>
      </c>
    </row>
    <row r="1926" spans="15:20" x14ac:dyDescent="0.25">
      <c r="O1926">
        <v>1</v>
      </c>
      <c r="S1926" t="e">
        <v>#DIV/0!</v>
      </c>
      <c r="T1926" t="s">
        <v>82</v>
      </c>
    </row>
    <row r="1927" spans="15:20" x14ac:dyDescent="0.25">
      <c r="O1927">
        <v>1</v>
      </c>
      <c r="S1927" t="e">
        <v>#DIV/0!</v>
      </c>
      <c r="T1927" t="s">
        <v>82</v>
      </c>
    </row>
    <row r="1928" spans="15:20" x14ac:dyDescent="0.25">
      <c r="O1928">
        <v>1</v>
      </c>
      <c r="S1928" t="e">
        <v>#DIV/0!</v>
      </c>
      <c r="T1928" t="s">
        <v>82</v>
      </c>
    </row>
    <row r="1929" spans="15:20" x14ac:dyDescent="0.25">
      <c r="O1929">
        <v>1</v>
      </c>
      <c r="S1929" t="e">
        <v>#DIV/0!</v>
      </c>
      <c r="T1929" t="s">
        <v>82</v>
      </c>
    </row>
    <row r="1930" spans="15:20" x14ac:dyDescent="0.25">
      <c r="O1930">
        <v>1</v>
      </c>
      <c r="S1930" t="e">
        <v>#DIV/0!</v>
      </c>
      <c r="T1930" t="s">
        <v>82</v>
      </c>
    </row>
    <row r="1931" spans="15:20" x14ac:dyDescent="0.25">
      <c r="O1931">
        <v>1</v>
      </c>
      <c r="S1931" t="e">
        <v>#DIV/0!</v>
      </c>
      <c r="T1931" t="s">
        <v>82</v>
      </c>
    </row>
    <row r="1932" spans="15:20" x14ac:dyDescent="0.25">
      <c r="O1932">
        <v>1</v>
      </c>
      <c r="S1932" t="e">
        <v>#DIV/0!</v>
      </c>
      <c r="T1932" t="s">
        <v>82</v>
      </c>
    </row>
    <row r="1933" spans="15:20" x14ac:dyDescent="0.25">
      <c r="O1933">
        <v>1</v>
      </c>
      <c r="S1933" t="e">
        <v>#DIV/0!</v>
      </c>
      <c r="T1933" t="s">
        <v>82</v>
      </c>
    </row>
    <row r="1934" spans="15:20" x14ac:dyDescent="0.25">
      <c r="O1934">
        <v>1</v>
      </c>
      <c r="S1934" t="e">
        <v>#DIV/0!</v>
      </c>
      <c r="T1934" t="s">
        <v>82</v>
      </c>
    </row>
    <row r="1935" spans="15:20" x14ac:dyDescent="0.25">
      <c r="O1935">
        <v>1</v>
      </c>
      <c r="S1935" t="e">
        <v>#DIV/0!</v>
      </c>
      <c r="T1935" t="s">
        <v>82</v>
      </c>
    </row>
    <row r="1936" spans="15:20" x14ac:dyDescent="0.25">
      <c r="O1936">
        <v>1</v>
      </c>
      <c r="S1936" t="e">
        <v>#DIV/0!</v>
      </c>
      <c r="T1936" t="s">
        <v>82</v>
      </c>
    </row>
    <row r="1937" spans="15:20" x14ac:dyDescent="0.25">
      <c r="O1937">
        <v>1</v>
      </c>
      <c r="S1937" t="e">
        <v>#DIV/0!</v>
      </c>
      <c r="T1937" t="s">
        <v>82</v>
      </c>
    </row>
    <row r="1938" spans="15:20" x14ac:dyDescent="0.25">
      <c r="O1938">
        <v>1</v>
      </c>
      <c r="S1938" t="e">
        <v>#DIV/0!</v>
      </c>
      <c r="T1938" t="s">
        <v>82</v>
      </c>
    </row>
    <row r="1939" spans="15:20" x14ac:dyDescent="0.25">
      <c r="O1939">
        <v>1</v>
      </c>
      <c r="S1939" t="e">
        <v>#DIV/0!</v>
      </c>
      <c r="T1939" t="s">
        <v>82</v>
      </c>
    </row>
    <row r="1940" spans="15:20" x14ac:dyDescent="0.25">
      <c r="O1940">
        <v>1</v>
      </c>
      <c r="S1940" t="e">
        <v>#DIV/0!</v>
      </c>
      <c r="T1940" t="s">
        <v>82</v>
      </c>
    </row>
    <row r="1941" spans="15:20" x14ac:dyDescent="0.25">
      <c r="O1941">
        <v>1</v>
      </c>
      <c r="S1941" t="e">
        <v>#DIV/0!</v>
      </c>
      <c r="T1941" t="s">
        <v>82</v>
      </c>
    </row>
    <row r="1942" spans="15:20" x14ac:dyDescent="0.25">
      <c r="O1942">
        <v>1</v>
      </c>
      <c r="S1942" t="e">
        <v>#DIV/0!</v>
      </c>
      <c r="T1942" t="s">
        <v>82</v>
      </c>
    </row>
    <row r="1943" spans="15:20" x14ac:dyDescent="0.25">
      <c r="O1943">
        <v>1</v>
      </c>
      <c r="S1943" t="e">
        <v>#DIV/0!</v>
      </c>
      <c r="T1943" t="s">
        <v>82</v>
      </c>
    </row>
    <row r="1944" spans="15:20" x14ac:dyDescent="0.25">
      <c r="O1944">
        <v>1</v>
      </c>
      <c r="S1944" t="e">
        <v>#DIV/0!</v>
      </c>
      <c r="T1944" t="s">
        <v>82</v>
      </c>
    </row>
    <row r="1945" spans="15:20" x14ac:dyDescent="0.25">
      <c r="O1945">
        <v>1</v>
      </c>
      <c r="S1945" t="e">
        <v>#DIV/0!</v>
      </c>
      <c r="T1945" t="s">
        <v>82</v>
      </c>
    </row>
    <row r="1946" spans="15:20" x14ac:dyDescent="0.25">
      <c r="O1946">
        <v>1</v>
      </c>
      <c r="S1946" t="e">
        <v>#DIV/0!</v>
      </c>
      <c r="T1946" t="s">
        <v>82</v>
      </c>
    </row>
    <row r="1947" spans="15:20" x14ac:dyDescent="0.25">
      <c r="O1947">
        <v>1</v>
      </c>
      <c r="S1947" t="e">
        <v>#DIV/0!</v>
      </c>
      <c r="T1947" t="s">
        <v>82</v>
      </c>
    </row>
    <row r="1948" spans="15:20" x14ac:dyDescent="0.25">
      <c r="O1948">
        <v>1</v>
      </c>
      <c r="S1948" t="e">
        <v>#DIV/0!</v>
      </c>
      <c r="T1948" t="s">
        <v>82</v>
      </c>
    </row>
    <row r="1949" spans="15:20" x14ac:dyDescent="0.25">
      <c r="O1949">
        <v>1</v>
      </c>
      <c r="S1949" t="e">
        <v>#DIV/0!</v>
      </c>
      <c r="T1949" t="s">
        <v>82</v>
      </c>
    </row>
    <row r="1950" spans="15:20" x14ac:dyDescent="0.25">
      <c r="O1950">
        <v>1</v>
      </c>
      <c r="S1950" t="e">
        <v>#DIV/0!</v>
      </c>
      <c r="T1950" t="s">
        <v>82</v>
      </c>
    </row>
    <row r="1951" spans="15:20" x14ac:dyDescent="0.25">
      <c r="O1951">
        <v>1</v>
      </c>
      <c r="S1951" t="e">
        <v>#DIV/0!</v>
      </c>
      <c r="T1951" t="s">
        <v>82</v>
      </c>
    </row>
    <row r="1952" spans="15:20" x14ac:dyDescent="0.25">
      <c r="O1952">
        <v>1</v>
      </c>
      <c r="S1952" t="e">
        <v>#DIV/0!</v>
      </c>
      <c r="T1952" t="s">
        <v>82</v>
      </c>
    </row>
    <row r="1953" spans="15:20" x14ac:dyDescent="0.25">
      <c r="O1953">
        <v>1</v>
      </c>
      <c r="S1953" t="e">
        <v>#DIV/0!</v>
      </c>
      <c r="T1953" t="s">
        <v>82</v>
      </c>
    </row>
    <row r="1954" spans="15:20" x14ac:dyDescent="0.25">
      <c r="O1954">
        <v>1</v>
      </c>
      <c r="S1954" t="e">
        <v>#DIV/0!</v>
      </c>
      <c r="T1954" t="s">
        <v>82</v>
      </c>
    </row>
    <row r="1955" spans="15:20" x14ac:dyDescent="0.25">
      <c r="O1955">
        <v>1</v>
      </c>
      <c r="S1955" t="e">
        <v>#DIV/0!</v>
      </c>
      <c r="T1955" t="s">
        <v>82</v>
      </c>
    </row>
    <row r="1956" spans="15:20" x14ac:dyDescent="0.25">
      <c r="O1956">
        <v>1</v>
      </c>
      <c r="S1956" t="e">
        <v>#DIV/0!</v>
      </c>
      <c r="T1956" t="s">
        <v>82</v>
      </c>
    </row>
    <row r="1957" spans="15:20" x14ac:dyDescent="0.25">
      <c r="O1957">
        <v>1</v>
      </c>
      <c r="S1957" t="e">
        <v>#DIV/0!</v>
      </c>
      <c r="T1957" t="s">
        <v>82</v>
      </c>
    </row>
    <row r="1958" spans="15:20" x14ac:dyDescent="0.25">
      <c r="O1958">
        <v>1</v>
      </c>
      <c r="S1958" t="e">
        <v>#DIV/0!</v>
      </c>
      <c r="T1958" t="s">
        <v>82</v>
      </c>
    </row>
    <row r="1959" spans="15:20" x14ac:dyDescent="0.25">
      <c r="O1959">
        <v>1</v>
      </c>
      <c r="S1959" t="e">
        <v>#DIV/0!</v>
      </c>
      <c r="T1959" t="s">
        <v>82</v>
      </c>
    </row>
    <row r="1960" spans="15:20" x14ac:dyDescent="0.25">
      <c r="O1960">
        <v>1</v>
      </c>
      <c r="S1960" t="e">
        <v>#DIV/0!</v>
      </c>
      <c r="T1960" t="s">
        <v>82</v>
      </c>
    </row>
    <row r="1961" spans="15:20" x14ac:dyDescent="0.25">
      <c r="O1961">
        <v>1</v>
      </c>
      <c r="S1961" t="e">
        <v>#DIV/0!</v>
      </c>
      <c r="T1961" t="s">
        <v>82</v>
      </c>
    </row>
    <row r="1962" spans="15:20" x14ac:dyDescent="0.25">
      <c r="O1962">
        <v>1</v>
      </c>
      <c r="S1962" t="e">
        <v>#DIV/0!</v>
      </c>
      <c r="T1962" t="s">
        <v>82</v>
      </c>
    </row>
    <row r="1963" spans="15:20" x14ac:dyDescent="0.25">
      <c r="O1963">
        <v>1</v>
      </c>
      <c r="S1963" t="e">
        <v>#DIV/0!</v>
      </c>
      <c r="T1963" t="s">
        <v>82</v>
      </c>
    </row>
    <row r="1964" spans="15:20" x14ac:dyDescent="0.25">
      <c r="O1964">
        <v>1</v>
      </c>
      <c r="S1964" t="e">
        <v>#DIV/0!</v>
      </c>
      <c r="T1964" t="s">
        <v>82</v>
      </c>
    </row>
    <row r="1965" spans="15:20" x14ac:dyDescent="0.25">
      <c r="O1965">
        <v>1</v>
      </c>
      <c r="S1965" t="e">
        <v>#DIV/0!</v>
      </c>
      <c r="T1965" t="s">
        <v>82</v>
      </c>
    </row>
    <row r="1966" spans="15:20" x14ac:dyDescent="0.25">
      <c r="O1966">
        <v>1</v>
      </c>
      <c r="S1966" t="e">
        <v>#DIV/0!</v>
      </c>
      <c r="T1966" t="s">
        <v>82</v>
      </c>
    </row>
    <row r="1967" spans="15:20" x14ac:dyDescent="0.25">
      <c r="O1967">
        <v>1</v>
      </c>
      <c r="S1967" t="e">
        <v>#DIV/0!</v>
      </c>
      <c r="T1967" t="s">
        <v>82</v>
      </c>
    </row>
    <row r="1968" spans="15:20" x14ac:dyDescent="0.25">
      <c r="O1968">
        <v>1</v>
      </c>
      <c r="S1968" t="e">
        <v>#DIV/0!</v>
      </c>
      <c r="T1968" t="s">
        <v>82</v>
      </c>
    </row>
    <row r="1969" spans="15:20" x14ac:dyDescent="0.25">
      <c r="O1969">
        <v>1</v>
      </c>
      <c r="S1969" t="e">
        <v>#DIV/0!</v>
      </c>
      <c r="T1969" t="s">
        <v>82</v>
      </c>
    </row>
    <row r="1970" spans="15:20" x14ac:dyDescent="0.25">
      <c r="O1970">
        <v>1</v>
      </c>
      <c r="S1970" t="e">
        <v>#DIV/0!</v>
      </c>
      <c r="T1970" t="s">
        <v>82</v>
      </c>
    </row>
    <row r="1971" spans="15:20" x14ac:dyDescent="0.25">
      <c r="O1971">
        <v>1</v>
      </c>
      <c r="S1971" t="e">
        <v>#DIV/0!</v>
      </c>
      <c r="T1971" t="s">
        <v>82</v>
      </c>
    </row>
    <row r="1972" spans="15:20" x14ac:dyDescent="0.25">
      <c r="O1972">
        <v>1</v>
      </c>
      <c r="S1972" t="e">
        <v>#DIV/0!</v>
      </c>
      <c r="T1972" t="s">
        <v>82</v>
      </c>
    </row>
    <row r="1973" spans="15:20" x14ac:dyDescent="0.25">
      <c r="O1973">
        <v>1</v>
      </c>
      <c r="S1973" t="e">
        <v>#DIV/0!</v>
      </c>
      <c r="T1973" t="s">
        <v>82</v>
      </c>
    </row>
    <row r="1974" spans="15:20" x14ac:dyDescent="0.25">
      <c r="O1974">
        <v>1</v>
      </c>
      <c r="S1974" t="e">
        <v>#DIV/0!</v>
      </c>
      <c r="T1974" t="s">
        <v>82</v>
      </c>
    </row>
    <row r="1975" spans="15:20" x14ac:dyDescent="0.25">
      <c r="O1975">
        <v>1</v>
      </c>
      <c r="S1975" t="e">
        <v>#DIV/0!</v>
      </c>
      <c r="T1975" t="s">
        <v>82</v>
      </c>
    </row>
    <row r="1976" spans="15:20" x14ac:dyDescent="0.25">
      <c r="O1976">
        <v>1</v>
      </c>
      <c r="S1976" t="e">
        <v>#DIV/0!</v>
      </c>
      <c r="T1976" t="s">
        <v>82</v>
      </c>
    </row>
    <row r="1977" spans="15:20" x14ac:dyDescent="0.25">
      <c r="O1977">
        <v>1</v>
      </c>
      <c r="S1977" t="e">
        <v>#DIV/0!</v>
      </c>
      <c r="T1977" t="s">
        <v>82</v>
      </c>
    </row>
    <row r="1978" spans="15:20" x14ac:dyDescent="0.25">
      <c r="O1978">
        <v>1</v>
      </c>
      <c r="S1978" t="e">
        <v>#DIV/0!</v>
      </c>
      <c r="T1978" t="s">
        <v>82</v>
      </c>
    </row>
    <row r="1979" spans="15:20" x14ac:dyDescent="0.25">
      <c r="O1979">
        <v>1</v>
      </c>
      <c r="S1979" t="e">
        <v>#DIV/0!</v>
      </c>
      <c r="T1979" t="s">
        <v>82</v>
      </c>
    </row>
    <row r="1980" spans="15:20" x14ac:dyDescent="0.25">
      <c r="O1980">
        <v>1</v>
      </c>
      <c r="S1980" t="e">
        <v>#DIV/0!</v>
      </c>
      <c r="T1980" t="s">
        <v>82</v>
      </c>
    </row>
    <row r="1981" spans="15:20" x14ac:dyDescent="0.25">
      <c r="O1981">
        <v>1</v>
      </c>
      <c r="S1981" t="e">
        <v>#DIV/0!</v>
      </c>
      <c r="T1981" t="s">
        <v>82</v>
      </c>
    </row>
    <row r="1982" spans="15:20" x14ac:dyDescent="0.25">
      <c r="O1982">
        <v>1</v>
      </c>
      <c r="S1982" t="e">
        <v>#DIV/0!</v>
      </c>
      <c r="T1982" t="s">
        <v>82</v>
      </c>
    </row>
    <row r="1983" spans="15:20" x14ac:dyDescent="0.25">
      <c r="O1983">
        <v>1</v>
      </c>
      <c r="S1983" t="e">
        <v>#DIV/0!</v>
      </c>
      <c r="T1983" t="s">
        <v>82</v>
      </c>
    </row>
    <row r="1984" spans="15:20" x14ac:dyDescent="0.25">
      <c r="O1984">
        <v>1</v>
      </c>
      <c r="S1984" t="e">
        <v>#DIV/0!</v>
      </c>
      <c r="T1984" t="s">
        <v>82</v>
      </c>
    </row>
    <row r="1985" spans="15:20" x14ac:dyDescent="0.25">
      <c r="O1985">
        <v>1</v>
      </c>
      <c r="S1985" t="e">
        <v>#DIV/0!</v>
      </c>
      <c r="T1985" t="s">
        <v>82</v>
      </c>
    </row>
    <row r="1986" spans="15:20" x14ac:dyDescent="0.25">
      <c r="O1986">
        <v>1</v>
      </c>
      <c r="S1986" t="e">
        <v>#DIV/0!</v>
      </c>
      <c r="T1986" t="s">
        <v>82</v>
      </c>
    </row>
    <row r="1987" spans="15:20" x14ac:dyDescent="0.25">
      <c r="O1987">
        <v>1</v>
      </c>
      <c r="S1987" t="e">
        <v>#DIV/0!</v>
      </c>
      <c r="T1987" t="s">
        <v>82</v>
      </c>
    </row>
    <row r="1988" spans="15:20" x14ac:dyDescent="0.25">
      <c r="O1988">
        <v>1</v>
      </c>
      <c r="S1988" t="e">
        <v>#DIV/0!</v>
      </c>
      <c r="T1988" t="s">
        <v>82</v>
      </c>
    </row>
    <row r="1989" spans="15:20" x14ac:dyDescent="0.25">
      <c r="O1989">
        <v>1</v>
      </c>
      <c r="S1989" t="e">
        <v>#DIV/0!</v>
      </c>
      <c r="T1989" t="s">
        <v>82</v>
      </c>
    </row>
    <row r="1990" spans="15:20" x14ac:dyDescent="0.25">
      <c r="O1990">
        <v>1</v>
      </c>
      <c r="S1990" t="e">
        <v>#DIV/0!</v>
      </c>
      <c r="T1990" t="s">
        <v>82</v>
      </c>
    </row>
    <row r="1991" spans="15:20" x14ac:dyDescent="0.25">
      <c r="O1991">
        <v>1</v>
      </c>
      <c r="S1991" t="e">
        <v>#DIV/0!</v>
      </c>
      <c r="T1991" t="s">
        <v>82</v>
      </c>
    </row>
    <row r="1992" spans="15:20" x14ac:dyDescent="0.25">
      <c r="O1992">
        <v>1</v>
      </c>
      <c r="S1992" t="e">
        <v>#DIV/0!</v>
      </c>
      <c r="T1992" t="s">
        <v>82</v>
      </c>
    </row>
    <row r="1993" spans="15:20" x14ac:dyDescent="0.25">
      <c r="O1993">
        <v>1</v>
      </c>
      <c r="S1993" t="e">
        <v>#DIV/0!</v>
      </c>
      <c r="T1993" t="s">
        <v>82</v>
      </c>
    </row>
    <row r="1994" spans="15:20" x14ac:dyDescent="0.25">
      <c r="O1994">
        <v>1</v>
      </c>
      <c r="S1994" t="e">
        <v>#DIV/0!</v>
      </c>
      <c r="T1994" t="s">
        <v>82</v>
      </c>
    </row>
    <row r="1995" spans="15:20" x14ac:dyDescent="0.25">
      <c r="O1995">
        <v>1</v>
      </c>
      <c r="S1995" t="e">
        <v>#DIV/0!</v>
      </c>
      <c r="T1995" t="s">
        <v>82</v>
      </c>
    </row>
    <row r="1996" spans="15:20" x14ac:dyDescent="0.25">
      <c r="O1996">
        <v>1</v>
      </c>
      <c r="S1996" t="e">
        <v>#DIV/0!</v>
      </c>
      <c r="T1996" t="s">
        <v>82</v>
      </c>
    </row>
    <row r="1997" spans="15:20" x14ac:dyDescent="0.25">
      <c r="O1997">
        <v>1</v>
      </c>
      <c r="S1997" t="e">
        <v>#DIV/0!</v>
      </c>
      <c r="T1997" t="s">
        <v>82</v>
      </c>
    </row>
    <row r="1998" spans="15:20" x14ac:dyDescent="0.25">
      <c r="O1998">
        <v>1</v>
      </c>
      <c r="S1998" t="e">
        <v>#DIV/0!</v>
      </c>
      <c r="T1998" t="s">
        <v>82</v>
      </c>
    </row>
    <row r="1999" spans="15:20" x14ac:dyDescent="0.25">
      <c r="O1999">
        <v>1</v>
      </c>
      <c r="S1999" t="e">
        <v>#DIV/0!</v>
      </c>
      <c r="T1999" t="s">
        <v>82</v>
      </c>
    </row>
    <row r="2000" spans="15:20" x14ac:dyDescent="0.25">
      <c r="O2000">
        <v>1</v>
      </c>
      <c r="S2000" t="e">
        <v>#DIV/0!</v>
      </c>
      <c r="T2000" t="s">
        <v>82</v>
      </c>
    </row>
    <row r="2001" spans="15:20" x14ac:dyDescent="0.25">
      <c r="O2001">
        <v>1</v>
      </c>
      <c r="S2001" t="e">
        <v>#DIV/0!</v>
      </c>
      <c r="T2001" t="s">
        <v>82</v>
      </c>
    </row>
    <row r="2002" spans="15:20" x14ac:dyDescent="0.25">
      <c r="O2002">
        <v>1</v>
      </c>
      <c r="S2002" t="e">
        <v>#DIV/0!</v>
      </c>
      <c r="T2002" t="s">
        <v>82</v>
      </c>
    </row>
    <row r="2003" spans="15:20" x14ac:dyDescent="0.25">
      <c r="O2003">
        <v>1</v>
      </c>
      <c r="S2003" t="e">
        <v>#DIV/0!</v>
      </c>
      <c r="T2003" t="s">
        <v>82</v>
      </c>
    </row>
    <row r="2004" spans="15:20" x14ac:dyDescent="0.25">
      <c r="O2004">
        <v>1</v>
      </c>
      <c r="S2004" t="e">
        <v>#DIV/0!</v>
      </c>
      <c r="T2004" t="s">
        <v>82</v>
      </c>
    </row>
    <row r="2005" spans="15:20" x14ac:dyDescent="0.25">
      <c r="O2005">
        <v>1</v>
      </c>
      <c r="S2005" t="e">
        <v>#DIV/0!</v>
      </c>
      <c r="T2005" t="s">
        <v>82</v>
      </c>
    </row>
    <row r="2006" spans="15:20" x14ac:dyDescent="0.25">
      <c r="O2006">
        <v>1</v>
      </c>
      <c r="S2006" t="e">
        <v>#DIV/0!</v>
      </c>
      <c r="T2006" t="s">
        <v>82</v>
      </c>
    </row>
    <row r="2007" spans="15:20" x14ac:dyDescent="0.25">
      <c r="O2007">
        <v>1</v>
      </c>
      <c r="S2007" t="e">
        <v>#DIV/0!</v>
      </c>
      <c r="T2007" t="s">
        <v>82</v>
      </c>
    </row>
    <row r="2008" spans="15:20" x14ac:dyDescent="0.25">
      <c r="O2008">
        <v>1</v>
      </c>
      <c r="S2008" t="e">
        <v>#DIV/0!</v>
      </c>
      <c r="T2008" t="s">
        <v>82</v>
      </c>
    </row>
    <row r="2009" spans="15:20" x14ac:dyDescent="0.25">
      <c r="O2009">
        <v>1</v>
      </c>
      <c r="S2009" t="e">
        <v>#DIV/0!</v>
      </c>
      <c r="T2009" t="s">
        <v>82</v>
      </c>
    </row>
    <row r="2010" spans="15:20" x14ac:dyDescent="0.25">
      <c r="O2010">
        <v>1</v>
      </c>
      <c r="S2010" t="e">
        <v>#DIV/0!</v>
      </c>
      <c r="T2010" t="s">
        <v>82</v>
      </c>
    </row>
    <row r="2011" spans="15:20" x14ac:dyDescent="0.25">
      <c r="O2011">
        <v>1</v>
      </c>
      <c r="S2011" t="e">
        <v>#DIV/0!</v>
      </c>
      <c r="T2011" t="s">
        <v>82</v>
      </c>
    </row>
    <row r="2012" spans="15:20" x14ac:dyDescent="0.25">
      <c r="O2012">
        <v>1</v>
      </c>
      <c r="S2012" t="e">
        <v>#DIV/0!</v>
      </c>
      <c r="T2012" t="s">
        <v>82</v>
      </c>
    </row>
    <row r="2013" spans="15:20" x14ac:dyDescent="0.25">
      <c r="O2013">
        <v>1</v>
      </c>
      <c r="S2013" t="e">
        <v>#DIV/0!</v>
      </c>
      <c r="T2013" t="s">
        <v>82</v>
      </c>
    </row>
    <row r="2014" spans="15:20" x14ac:dyDescent="0.25">
      <c r="O2014">
        <v>1</v>
      </c>
      <c r="S2014" t="e">
        <v>#DIV/0!</v>
      </c>
      <c r="T2014" t="s">
        <v>82</v>
      </c>
    </row>
    <row r="2015" spans="15:20" x14ac:dyDescent="0.25">
      <c r="O2015">
        <v>1</v>
      </c>
      <c r="S2015" t="e">
        <v>#DIV/0!</v>
      </c>
      <c r="T2015" t="s">
        <v>82</v>
      </c>
    </row>
    <row r="2016" spans="15:20" x14ac:dyDescent="0.25">
      <c r="O2016">
        <v>1</v>
      </c>
      <c r="S2016" t="e">
        <v>#DIV/0!</v>
      </c>
      <c r="T2016" t="s">
        <v>82</v>
      </c>
    </row>
    <row r="2017" spans="15:20" x14ac:dyDescent="0.25">
      <c r="O2017">
        <v>1</v>
      </c>
      <c r="S2017" t="e">
        <v>#DIV/0!</v>
      </c>
      <c r="T2017" t="s">
        <v>82</v>
      </c>
    </row>
    <row r="2018" spans="15:20" x14ac:dyDescent="0.25">
      <c r="O2018">
        <v>1</v>
      </c>
      <c r="S2018" t="e">
        <v>#DIV/0!</v>
      </c>
      <c r="T2018" t="s">
        <v>82</v>
      </c>
    </row>
    <row r="2019" spans="15:20" x14ac:dyDescent="0.25">
      <c r="O2019">
        <v>1</v>
      </c>
      <c r="S2019" t="e">
        <v>#DIV/0!</v>
      </c>
      <c r="T2019" t="s">
        <v>82</v>
      </c>
    </row>
    <row r="2020" spans="15:20" x14ac:dyDescent="0.25">
      <c r="O2020">
        <v>1</v>
      </c>
      <c r="S2020" t="e">
        <v>#DIV/0!</v>
      </c>
      <c r="T2020" t="s">
        <v>82</v>
      </c>
    </row>
    <row r="2021" spans="15:20" x14ac:dyDescent="0.25">
      <c r="O2021">
        <v>1</v>
      </c>
      <c r="S2021" t="e">
        <v>#DIV/0!</v>
      </c>
      <c r="T2021" t="s">
        <v>82</v>
      </c>
    </row>
    <row r="2022" spans="15:20" x14ac:dyDescent="0.25">
      <c r="O2022">
        <v>1</v>
      </c>
      <c r="S2022" t="e">
        <v>#DIV/0!</v>
      </c>
      <c r="T2022" t="s">
        <v>82</v>
      </c>
    </row>
    <row r="2023" spans="15:20" x14ac:dyDescent="0.25">
      <c r="O2023">
        <v>1</v>
      </c>
      <c r="S2023" t="e">
        <v>#DIV/0!</v>
      </c>
      <c r="T2023" t="s">
        <v>82</v>
      </c>
    </row>
    <row r="2024" spans="15:20" x14ac:dyDescent="0.25">
      <c r="O2024">
        <v>1</v>
      </c>
      <c r="S2024" t="e">
        <v>#DIV/0!</v>
      </c>
      <c r="T2024" t="s">
        <v>82</v>
      </c>
    </row>
    <row r="2025" spans="15:20" x14ac:dyDescent="0.25">
      <c r="O2025">
        <v>1</v>
      </c>
      <c r="S2025" t="e">
        <v>#DIV/0!</v>
      </c>
      <c r="T2025" t="s">
        <v>82</v>
      </c>
    </row>
    <row r="2026" spans="15:20" x14ac:dyDescent="0.25">
      <c r="O2026">
        <v>1</v>
      </c>
      <c r="S2026" t="e">
        <v>#DIV/0!</v>
      </c>
      <c r="T2026" t="s">
        <v>82</v>
      </c>
    </row>
    <row r="2027" spans="15:20" x14ac:dyDescent="0.25">
      <c r="O2027">
        <v>1</v>
      </c>
      <c r="S2027" t="e">
        <v>#DIV/0!</v>
      </c>
      <c r="T2027" t="s">
        <v>82</v>
      </c>
    </row>
    <row r="2028" spans="15:20" x14ac:dyDescent="0.25">
      <c r="O2028">
        <v>1</v>
      </c>
      <c r="S2028" t="e">
        <v>#DIV/0!</v>
      </c>
      <c r="T2028" t="s">
        <v>82</v>
      </c>
    </row>
    <row r="2029" spans="15:20" x14ac:dyDescent="0.25">
      <c r="O2029">
        <v>1</v>
      </c>
      <c r="S2029" t="e">
        <v>#DIV/0!</v>
      </c>
      <c r="T2029" t="s">
        <v>82</v>
      </c>
    </row>
    <row r="2030" spans="15:20" x14ac:dyDescent="0.25">
      <c r="O2030">
        <v>1</v>
      </c>
      <c r="S2030" t="e">
        <v>#DIV/0!</v>
      </c>
      <c r="T2030" t="s">
        <v>82</v>
      </c>
    </row>
    <row r="2031" spans="15:20" x14ac:dyDescent="0.25">
      <c r="O2031">
        <v>1</v>
      </c>
      <c r="S2031" t="e">
        <v>#DIV/0!</v>
      </c>
      <c r="T2031" t="s">
        <v>82</v>
      </c>
    </row>
    <row r="2032" spans="15:20" x14ac:dyDescent="0.25">
      <c r="O2032">
        <v>1</v>
      </c>
      <c r="S2032" t="e">
        <v>#DIV/0!</v>
      </c>
      <c r="T2032" t="s">
        <v>82</v>
      </c>
    </row>
    <row r="2033" spans="15:20" x14ac:dyDescent="0.25">
      <c r="O2033">
        <v>1</v>
      </c>
      <c r="S2033" t="e">
        <v>#DIV/0!</v>
      </c>
      <c r="T2033" t="s">
        <v>82</v>
      </c>
    </row>
    <row r="2034" spans="15:20" x14ac:dyDescent="0.25">
      <c r="O2034">
        <v>1</v>
      </c>
      <c r="S2034" t="e">
        <v>#DIV/0!</v>
      </c>
      <c r="T2034" t="s">
        <v>82</v>
      </c>
    </row>
    <row r="2035" spans="15:20" x14ac:dyDescent="0.25">
      <c r="O2035">
        <v>1</v>
      </c>
      <c r="S2035" t="e">
        <v>#DIV/0!</v>
      </c>
      <c r="T2035" t="s">
        <v>82</v>
      </c>
    </row>
    <row r="2036" spans="15:20" x14ac:dyDescent="0.25">
      <c r="O2036">
        <v>1</v>
      </c>
      <c r="S2036" t="e">
        <v>#DIV/0!</v>
      </c>
      <c r="T2036" t="s">
        <v>82</v>
      </c>
    </row>
    <row r="2037" spans="15:20" x14ac:dyDescent="0.25">
      <c r="O2037">
        <v>1</v>
      </c>
      <c r="S2037" t="e">
        <v>#DIV/0!</v>
      </c>
      <c r="T2037" t="s">
        <v>82</v>
      </c>
    </row>
    <row r="2038" spans="15:20" x14ac:dyDescent="0.25">
      <c r="O2038">
        <v>1</v>
      </c>
      <c r="S2038" t="e">
        <v>#DIV/0!</v>
      </c>
      <c r="T2038" t="s">
        <v>82</v>
      </c>
    </row>
    <row r="2039" spans="15:20" x14ac:dyDescent="0.25">
      <c r="O2039">
        <v>1</v>
      </c>
      <c r="S2039" t="e">
        <v>#DIV/0!</v>
      </c>
      <c r="T2039" t="s">
        <v>82</v>
      </c>
    </row>
    <row r="2040" spans="15:20" x14ac:dyDescent="0.25">
      <c r="O2040">
        <v>1</v>
      </c>
      <c r="S2040" t="e">
        <v>#DIV/0!</v>
      </c>
      <c r="T2040" t="s">
        <v>82</v>
      </c>
    </row>
    <row r="2041" spans="15:20" x14ac:dyDescent="0.25">
      <c r="O2041">
        <v>1</v>
      </c>
      <c r="S2041" t="e">
        <v>#DIV/0!</v>
      </c>
      <c r="T2041" t="s">
        <v>82</v>
      </c>
    </row>
    <row r="2042" spans="15:20" x14ac:dyDescent="0.25">
      <c r="O2042">
        <v>1</v>
      </c>
      <c r="S2042" t="e">
        <v>#DIV/0!</v>
      </c>
      <c r="T2042" t="s">
        <v>82</v>
      </c>
    </row>
    <row r="2043" spans="15:20" x14ac:dyDescent="0.25">
      <c r="O2043">
        <v>1</v>
      </c>
      <c r="S2043" t="e">
        <v>#DIV/0!</v>
      </c>
      <c r="T2043" t="s">
        <v>82</v>
      </c>
    </row>
    <row r="2044" spans="15:20" x14ac:dyDescent="0.25">
      <c r="O2044">
        <v>1</v>
      </c>
      <c r="S2044" t="e">
        <v>#DIV/0!</v>
      </c>
      <c r="T2044" t="s">
        <v>82</v>
      </c>
    </row>
    <row r="2045" spans="15:20" x14ac:dyDescent="0.25">
      <c r="O2045">
        <v>1</v>
      </c>
      <c r="S2045" t="e">
        <v>#DIV/0!</v>
      </c>
      <c r="T2045" t="s">
        <v>82</v>
      </c>
    </row>
    <row r="2046" spans="15:20" x14ac:dyDescent="0.25">
      <c r="O2046">
        <v>1</v>
      </c>
      <c r="S2046" t="e">
        <v>#DIV/0!</v>
      </c>
      <c r="T2046" t="s">
        <v>82</v>
      </c>
    </row>
    <row r="2047" spans="15:20" x14ac:dyDescent="0.25">
      <c r="O2047">
        <v>1</v>
      </c>
      <c r="S2047" t="e">
        <v>#DIV/0!</v>
      </c>
      <c r="T2047" t="s">
        <v>82</v>
      </c>
    </row>
    <row r="2048" spans="15:20" x14ac:dyDescent="0.25">
      <c r="O2048">
        <v>1</v>
      </c>
      <c r="S2048" t="e">
        <v>#DIV/0!</v>
      </c>
      <c r="T2048" t="s">
        <v>82</v>
      </c>
    </row>
    <row r="2049" spans="15:20" x14ac:dyDescent="0.25">
      <c r="O2049">
        <v>1</v>
      </c>
      <c r="S2049" t="e">
        <v>#DIV/0!</v>
      </c>
      <c r="T2049" t="s">
        <v>82</v>
      </c>
    </row>
    <row r="2050" spans="15:20" x14ac:dyDescent="0.25">
      <c r="O2050">
        <v>1</v>
      </c>
      <c r="S2050" t="e">
        <v>#DIV/0!</v>
      </c>
      <c r="T2050" t="s">
        <v>82</v>
      </c>
    </row>
    <row r="2051" spans="15:20" x14ac:dyDescent="0.25">
      <c r="O2051">
        <v>1</v>
      </c>
      <c r="S2051" t="e">
        <v>#DIV/0!</v>
      </c>
      <c r="T2051" t="s">
        <v>82</v>
      </c>
    </row>
    <row r="2052" spans="15:20" x14ac:dyDescent="0.25">
      <c r="O2052">
        <v>1</v>
      </c>
      <c r="S2052" t="e">
        <v>#DIV/0!</v>
      </c>
      <c r="T2052" t="s">
        <v>82</v>
      </c>
    </row>
    <row r="2053" spans="15:20" x14ac:dyDescent="0.25">
      <c r="O2053">
        <v>1</v>
      </c>
      <c r="S2053" t="e">
        <v>#DIV/0!</v>
      </c>
      <c r="T2053" t="s">
        <v>82</v>
      </c>
    </row>
    <row r="2054" spans="15:20" x14ac:dyDescent="0.25">
      <c r="O2054">
        <v>1</v>
      </c>
      <c r="S2054" t="e">
        <v>#DIV/0!</v>
      </c>
      <c r="T2054" t="s">
        <v>82</v>
      </c>
    </row>
    <row r="2055" spans="15:20" x14ac:dyDescent="0.25">
      <c r="O2055">
        <v>1</v>
      </c>
      <c r="S2055" t="e">
        <v>#DIV/0!</v>
      </c>
      <c r="T2055" t="s">
        <v>82</v>
      </c>
    </row>
    <row r="2056" spans="15:20" x14ac:dyDescent="0.25">
      <c r="O2056">
        <v>1</v>
      </c>
      <c r="S2056" t="e">
        <v>#DIV/0!</v>
      </c>
      <c r="T2056" t="s">
        <v>82</v>
      </c>
    </row>
    <row r="2057" spans="15:20" x14ac:dyDescent="0.25">
      <c r="O2057">
        <v>1</v>
      </c>
      <c r="S2057" t="e">
        <v>#DIV/0!</v>
      </c>
      <c r="T2057" t="s">
        <v>82</v>
      </c>
    </row>
    <row r="2058" spans="15:20" x14ac:dyDescent="0.25">
      <c r="O2058">
        <v>1</v>
      </c>
      <c r="S2058" t="e">
        <v>#DIV/0!</v>
      </c>
      <c r="T2058" t="s">
        <v>82</v>
      </c>
    </row>
    <row r="2059" spans="15:20" x14ac:dyDescent="0.25">
      <c r="O2059">
        <v>1</v>
      </c>
      <c r="S2059" t="e">
        <v>#DIV/0!</v>
      </c>
      <c r="T2059" t="s">
        <v>82</v>
      </c>
    </row>
    <row r="2060" spans="15:20" x14ac:dyDescent="0.25">
      <c r="O2060">
        <v>1</v>
      </c>
      <c r="S2060" t="e">
        <v>#DIV/0!</v>
      </c>
      <c r="T2060" t="s">
        <v>82</v>
      </c>
    </row>
    <row r="2061" spans="15:20" x14ac:dyDescent="0.25">
      <c r="O2061">
        <v>1</v>
      </c>
      <c r="S2061" t="e">
        <v>#DIV/0!</v>
      </c>
      <c r="T2061" t="s">
        <v>82</v>
      </c>
    </row>
    <row r="2062" spans="15:20" x14ac:dyDescent="0.25">
      <c r="O2062">
        <v>1</v>
      </c>
      <c r="S2062" t="e">
        <v>#DIV/0!</v>
      </c>
      <c r="T2062" t="s">
        <v>82</v>
      </c>
    </row>
    <row r="2063" spans="15:20" x14ac:dyDescent="0.25">
      <c r="O2063">
        <v>1</v>
      </c>
      <c r="S2063" t="e">
        <v>#DIV/0!</v>
      </c>
      <c r="T2063" t="s">
        <v>82</v>
      </c>
    </row>
    <row r="2064" spans="15:20" x14ac:dyDescent="0.25">
      <c r="O2064">
        <v>1</v>
      </c>
      <c r="S2064" t="e">
        <v>#DIV/0!</v>
      </c>
      <c r="T2064" t="s">
        <v>82</v>
      </c>
    </row>
    <row r="2065" spans="15:20" x14ac:dyDescent="0.25">
      <c r="O2065">
        <v>1</v>
      </c>
      <c r="S2065" t="e">
        <v>#DIV/0!</v>
      </c>
      <c r="T2065" t="s">
        <v>82</v>
      </c>
    </row>
    <row r="2066" spans="15:20" x14ac:dyDescent="0.25">
      <c r="O2066">
        <v>1</v>
      </c>
      <c r="S2066" t="e">
        <v>#DIV/0!</v>
      </c>
      <c r="T2066" t="s">
        <v>82</v>
      </c>
    </row>
    <row r="2067" spans="15:20" x14ac:dyDescent="0.25">
      <c r="O2067">
        <v>1</v>
      </c>
      <c r="S2067" t="e">
        <v>#DIV/0!</v>
      </c>
      <c r="T2067" t="s">
        <v>82</v>
      </c>
    </row>
    <row r="2068" spans="15:20" x14ac:dyDescent="0.25">
      <c r="O2068">
        <v>1</v>
      </c>
      <c r="S2068" t="e">
        <v>#DIV/0!</v>
      </c>
      <c r="T2068" t="s">
        <v>82</v>
      </c>
    </row>
    <row r="2069" spans="15:20" x14ac:dyDescent="0.25">
      <c r="O2069">
        <v>1</v>
      </c>
      <c r="S2069" t="e">
        <v>#DIV/0!</v>
      </c>
      <c r="T2069" t="s">
        <v>82</v>
      </c>
    </row>
    <row r="2070" spans="15:20" x14ac:dyDescent="0.25">
      <c r="O2070">
        <v>1</v>
      </c>
      <c r="S2070" t="e">
        <v>#DIV/0!</v>
      </c>
      <c r="T2070" t="s">
        <v>82</v>
      </c>
    </row>
    <row r="2071" spans="15:20" x14ac:dyDescent="0.25">
      <c r="O2071">
        <v>1</v>
      </c>
      <c r="S2071" t="e">
        <v>#DIV/0!</v>
      </c>
      <c r="T2071" t="s">
        <v>82</v>
      </c>
    </row>
    <row r="2072" spans="15:20" x14ac:dyDescent="0.25">
      <c r="O2072">
        <v>1</v>
      </c>
      <c r="S2072" t="e">
        <v>#DIV/0!</v>
      </c>
      <c r="T2072" t="s">
        <v>82</v>
      </c>
    </row>
    <row r="2073" spans="15:20" x14ac:dyDescent="0.25">
      <c r="O2073">
        <v>1</v>
      </c>
      <c r="S2073" t="e">
        <v>#DIV/0!</v>
      </c>
      <c r="T2073" t="s">
        <v>82</v>
      </c>
    </row>
    <row r="2074" spans="15:20" x14ac:dyDescent="0.25">
      <c r="O2074">
        <v>1</v>
      </c>
      <c r="S2074" t="e">
        <v>#DIV/0!</v>
      </c>
      <c r="T2074" t="s">
        <v>82</v>
      </c>
    </row>
    <row r="2075" spans="15:20" x14ac:dyDescent="0.25">
      <c r="O2075">
        <v>1</v>
      </c>
      <c r="S2075" t="e">
        <v>#DIV/0!</v>
      </c>
      <c r="T2075" t="s">
        <v>82</v>
      </c>
    </row>
    <row r="2076" spans="15:20" x14ac:dyDescent="0.25">
      <c r="O2076">
        <v>1</v>
      </c>
      <c r="S2076" t="e">
        <v>#DIV/0!</v>
      </c>
      <c r="T2076" t="s">
        <v>82</v>
      </c>
    </row>
    <row r="2077" spans="15:20" x14ac:dyDescent="0.25">
      <c r="O2077">
        <v>1</v>
      </c>
      <c r="S2077" t="e">
        <v>#DIV/0!</v>
      </c>
      <c r="T2077" t="s">
        <v>82</v>
      </c>
    </row>
    <row r="2078" spans="15:20" x14ac:dyDescent="0.25">
      <c r="O2078">
        <v>1</v>
      </c>
      <c r="S2078" t="e">
        <v>#DIV/0!</v>
      </c>
      <c r="T2078" t="s">
        <v>82</v>
      </c>
    </row>
    <row r="2079" spans="15:20" x14ac:dyDescent="0.25">
      <c r="O2079">
        <v>1</v>
      </c>
      <c r="S2079" t="e">
        <v>#DIV/0!</v>
      </c>
      <c r="T2079" t="s">
        <v>82</v>
      </c>
    </row>
    <row r="2080" spans="15:20" x14ac:dyDescent="0.25">
      <c r="O2080">
        <v>1</v>
      </c>
      <c r="S2080" t="e">
        <v>#DIV/0!</v>
      </c>
      <c r="T2080" t="s">
        <v>82</v>
      </c>
    </row>
    <row r="2081" spans="15:20" x14ac:dyDescent="0.25">
      <c r="O2081">
        <v>1</v>
      </c>
      <c r="S2081" t="e">
        <v>#DIV/0!</v>
      </c>
      <c r="T2081" t="s">
        <v>82</v>
      </c>
    </row>
    <row r="2082" spans="15:20" x14ac:dyDescent="0.25">
      <c r="O2082">
        <v>1</v>
      </c>
      <c r="S2082" t="e">
        <v>#DIV/0!</v>
      </c>
      <c r="T2082" t="s">
        <v>82</v>
      </c>
    </row>
    <row r="2083" spans="15:20" x14ac:dyDescent="0.25">
      <c r="O2083">
        <v>1</v>
      </c>
      <c r="S2083" t="e">
        <v>#DIV/0!</v>
      </c>
      <c r="T2083" t="s">
        <v>82</v>
      </c>
    </row>
    <row r="2084" spans="15:20" x14ac:dyDescent="0.25">
      <c r="O2084">
        <v>1</v>
      </c>
      <c r="S2084" t="e">
        <v>#DIV/0!</v>
      </c>
      <c r="T2084" t="s">
        <v>82</v>
      </c>
    </row>
    <row r="2085" spans="15:20" x14ac:dyDescent="0.25">
      <c r="O2085">
        <v>1</v>
      </c>
      <c r="S2085" t="e">
        <v>#DIV/0!</v>
      </c>
      <c r="T2085" t="s">
        <v>82</v>
      </c>
    </row>
    <row r="2086" spans="15:20" x14ac:dyDescent="0.25">
      <c r="O2086">
        <v>1</v>
      </c>
      <c r="S2086" t="e">
        <v>#DIV/0!</v>
      </c>
      <c r="T2086" t="s">
        <v>82</v>
      </c>
    </row>
    <row r="2087" spans="15:20" x14ac:dyDescent="0.25">
      <c r="O2087">
        <v>1</v>
      </c>
      <c r="S2087" t="e">
        <v>#DIV/0!</v>
      </c>
      <c r="T2087" t="s">
        <v>82</v>
      </c>
    </row>
    <row r="2088" spans="15:20" x14ac:dyDescent="0.25">
      <c r="O2088">
        <v>1</v>
      </c>
      <c r="S2088" t="e">
        <v>#DIV/0!</v>
      </c>
      <c r="T2088" t="s">
        <v>82</v>
      </c>
    </row>
    <row r="2089" spans="15:20" x14ac:dyDescent="0.25">
      <c r="O2089">
        <v>1</v>
      </c>
      <c r="S2089" t="e">
        <v>#DIV/0!</v>
      </c>
      <c r="T2089" t="s">
        <v>82</v>
      </c>
    </row>
    <row r="2090" spans="15:20" x14ac:dyDescent="0.25">
      <c r="O2090">
        <v>1</v>
      </c>
      <c r="S2090" t="e">
        <v>#DIV/0!</v>
      </c>
      <c r="T2090" t="s">
        <v>82</v>
      </c>
    </row>
    <row r="2091" spans="15:20" x14ac:dyDescent="0.25">
      <c r="O2091">
        <v>1</v>
      </c>
      <c r="S2091" t="e">
        <v>#DIV/0!</v>
      </c>
      <c r="T2091" t="s">
        <v>82</v>
      </c>
    </row>
    <row r="2092" spans="15:20" x14ac:dyDescent="0.25">
      <c r="O2092">
        <v>1</v>
      </c>
      <c r="S2092" t="e">
        <v>#DIV/0!</v>
      </c>
      <c r="T2092" t="s">
        <v>82</v>
      </c>
    </row>
    <row r="2093" spans="15:20" x14ac:dyDescent="0.25">
      <c r="O2093">
        <v>1</v>
      </c>
      <c r="S2093" t="e">
        <v>#DIV/0!</v>
      </c>
      <c r="T2093" t="s">
        <v>82</v>
      </c>
    </row>
    <row r="2094" spans="15:20" x14ac:dyDescent="0.25">
      <c r="O2094">
        <v>1</v>
      </c>
      <c r="S2094" t="e">
        <v>#DIV/0!</v>
      </c>
      <c r="T2094" t="s">
        <v>82</v>
      </c>
    </row>
    <row r="2095" spans="15:20" x14ac:dyDescent="0.25">
      <c r="O2095">
        <v>1</v>
      </c>
      <c r="S2095" t="e">
        <v>#DIV/0!</v>
      </c>
      <c r="T2095" t="s">
        <v>82</v>
      </c>
    </row>
    <row r="2096" spans="15:20" x14ac:dyDescent="0.25">
      <c r="O2096">
        <v>1</v>
      </c>
      <c r="S2096" t="e">
        <v>#DIV/0!</v>
      </c>
      <c r="T2096" t="s">
        <v>82</v>
      </c>
    </row>
    <row r="2097" spans="15:20" x14ac:dyDescent="0.25">
      <c r="O2097">
        <v>1</v>
      </c>
      <c r="S2097" t="e">
        <v>#DIV/0!</v>
      </c>
      <c r="T2097" t="s">
        <v>82</v>
      </c>
    </row>
    <row r="2098" spans="15:20" x14ac:dyDescent="0.25">
      <c r="O2098">
        <v>1</v>
      </c>
      <c r="S2098" t="e">
        <v>#DIV/0!</v>
      </c>
      <c r="T2098" t="s">
        <v>82</v>
      </c>
    </row>
    <row r="2099" spans="15:20" x14ac:dyDescent="0.25">
      <c r="O2099">
        <v>1</v>
      </c>
      <c r="S2099" t="e">
        <v>#DIV/0!</v>
      </c>
      <c r="T2099" t="s">
        <v>82</v>
      </c>
    </row>
    <row r="2100" spans="15:20" x14ac:dyDescent="0.25">
      <c r="O2100">
        <v>1</v>
      </c>
      <c r="S2100" t="e">
        <v>#DIV/0!</v>
      </c>
      <c r="T2100" t="s">
        <v>82</v>
      </c>
    </row>
    <row r="2101" spans="15:20" x14ac:dyDescent="0.25">
      <c r="O2101">
        <v>1</v>
      </c>
      <c r="S2101" t="e">
        <v>#DIV/0!</v>
      </c>
      <c r="T2101" t="s">
        <v>82</v>
      </c>
    </row>
    <row r="2102" spans="15:20" x14ac:dyDescent="0.25">
      <c r="O2102">
        <v>1</v>
      </c>
      <c r="S2102" t="e">
        <v>#DIV/0!</v>
      </c>
      <c r="T2102" t="s">
        <v>82</v>
      </c>
    </row>
    <row r="2103" spans="15:20" x14ac:dyDescent="0.25">
      <c r="O2103">
        <v>1</v>
      </c>
      <c r="S2103" t="e">
        <v>#DIV/0!</v>
      </c>
      <c r="T2103" t="s">
        <v>82</v>
      </c>
    </row>
    <row r="2104" spans="15:20" x14ac:dyDescent="0.25">
      <c r="O2104">
        <v>1</v>
      </c>
      <c r="S2104" t="e">
        <v>#DIV/0!</v>
      </c>
      <c r="T2104" t="s">
        <v>82</v>
      </c>
    </row>
    <row r="2105" spans="15:20" x14ac:dyDescent="0.25">
      <c r="O2105">
        <v>1</v>
      </c>
      <c r="S2105" t="e">
        <v>#DIV/0!</v>
      </c>
      <c r="T2105" t="s">
        <v>82</v>
      </c>
    </row>
    <row r="2106" spans="15:20" x14ac:dyDescent="0.25">
      <c r="O2106">
        <v>1</v>
      </c>
      <c r="S2106" t="e">
        <v>#DIV/0!</v>
      </c>
      <c r="T2106" t="s">
        <v>82</v>
      </c>
    </row>
    <row r="2107" spans="15:20" x14ac:dyDescent="0.25">
      <c r="O2107">
        <v>1</v>
      </c>
      <c r="S2107" t="e">
        <v>#DIV/0!</v>
      </c>
      <c r="T2107" t="s">
        <v>82</v>
      </c>
    </row>
    <row r="2108" spans="15:20" x14ac:dyDescent="0.25">
      <c r="O2108">
        <v>1</v>
      </c>
      <c r="S2108" t="e">
        <v>#DIV/0!</v>
      </c>
      <c r="T2108" t="s">
        <v>82</v>
      </c>
    </row>
    <row r="2109" spans="15:20" x14ac:dyDescent="0.25">
      <c r="O2109">
        <v>1</v>
      </c>
      <c r="S2109" t="e">
        <v>#DIV/0!</v>
      </c>
      <c r="T2109" t="s">
        <v>82</v>
      </c>
    </row>
    <row r="2110" spans="15:20" x14ac:dyDescent="0.25">
      <c r="O2110">
        <v>1</v>
      </c>
      <c r="S2110" t="e">
        <v>#DIV/0!</v>
      </c>
      <c r="T2110" t="s">
        <v>82</v>
      </c>
    </row>
    <row r="2111" spans="15:20" x14ac:dyDescent="0.25">
      <c r="O2111">
        <v>1</v>
      </c>
      <c r="S2111" t="e">
        <v>#DIV/0!</v>
      </c>
      <c r="T2111" t="s">
        <v>82</v>
      </c>
    </row>
    <row r="2112" spans="15:20" x14ac:dyDescent="0.25">
      <c r="O2112">
        <v>1</v>
      </c>
      <c r="S2112" t="e">
        <v>#DIV/0!</v>
      </c>
      <c r="T2112" t="s">
        <v>82</v>
      </c>
    </row>
    <row r="2113" spans="15:20" x14ac:dyDescent="0.25">
      <c r="O2113">
        <v>1</v>
      </c>
      <c r="S2113" t="e">
        <v>#DIV/0!</v>
      </c>
      <c r="T2113" t="s">
        <v>82</v>
      </c>
    </row>
    <row r="2114" spans="15:20" x14ac:dyDescent="0.25">
      <c r="O2114">
        <v>1</v>
      </c>
      <c r="S2114" t="e">
        <v>#DIV/0!</v>
      </c>
      <c r="T2114" t="s">
        <v>82</v>
      </c>
    </row>
    <row r="2115" spans="15:20" x14ac:dyDescent="0.25">
      <c r="O2115">
        <v>1</v>
      </c>
      <c r="S2115" t="e">
        <v>#DIV/0!</v>
      </c>
      <c r="T2115" t="s">
        <v>82</v>
      </c>
    </row>
    <row r="2116" spans="15:20" x14ac:dyDescent="0.25">
      <c r="O2116">
        <v>1</v>
      </c>
      <c r="S2116" t="e">
        <v>#DIV/0!</v>
      </c>
      <c r="T2116" t="s">
        <v>82</v>
      </c>
    </row>
    <row r="2117" spans="15:20" x14ac:dyDescent="0.25">
      <c r="O2117">
        <v>1</v>
      </c>
      <c r="S2117" t="e">
        <v>#DIV/0!</v>
      </c>
      <c r="T2117" t="s">
        <v>82</v>
      </c>
    </row>
    <row r="2118" spans="15:20" x14ac:dyDescent="0.25">
      <c r="O2118">
        <v>1</v>
      </c>
      <c r="S2118" t="e">
        <v>#DIV/0!</v>
      </c>
      <c r="T2118" t="s">
        <v>82</v>
      </c>
    </row>
    <row r="2119" spans="15:20" x14ac:dyDescent="0.25">
      <c r="O2119">
        <v>1</v>
      </c>
      <c r="S2119" t="e">
        <v>#DIV/0!</v>
      </c>
      <c r="T2119" t="s">
        <v>82</v>
      </c>
    </row>
    <row r="2120" spans="15:20" x14ac:dyDescent="0.25">
      <c r="O2120">
        <v>1</v>
      </c>
      <c r="S2120" t="e">
        <v>#DIV/0!</v>
      </c>
      <c r="T2120" t="s">
        <v>82</v>
      </c>
    </row>
    <row r="2121" spans="15:20" x14ac:dyDescent="0.25">
      <c r="O2121">
        <v>1</v>
      </c>
      <c r="S2121" t="e">
        <v>#DIV/0!</v>
      </c>
      <c r="T2121" t="s">
        <v>82</v>
      </c>
    </row>
    <row r="2122" spans="15:20" x14ac:dyDescent="0.25">
      <c r="O2122">
        <v>1</v>
      </c>
      <c r="S2122" t="e">
        <v>#DIV/0!</v>
      </c>
      <c r="T2122" t="s">
        <v>82</v>
      </c>
    </row>
    <row r="2123" spans="15:20" x14ac:dyDescent="0.25">
      <c r="O2123">
        <v>1</v>
      </c>
      <c r="S2123" t="e">
        <v>#DIV/0!</v>
      </c>
      <c r="T2123" t="s">
        <v>82</v>
      </c>
    </row>
    <row r="2124" spans="15:20" x14ac:dyDescent="0.25">
      <c r="O2124">
        <v>1</v>
      </c>
      <c r="S2124" t="e">
        <v>#DIV/0!</v>
      </c>
      <c r="T2124" t="s">
        <v>82</v>
      </c>
    </row>
    <row r="2125" spans="15:20" x14ac:dyDescent="0.25">
      <c r="O2125">
        <v>1</v>
      </c>
      <c r="S2125" t="e">
        <v>#DIV/0!</v>
      </c>
      <c r="T2125" t="s">
        <v>82</v>
      </c>
    </row>
    <row r="2126" spans="15:20" x14ac:dyDescent="0.25">
      <c r="O2126">
        <v>1</v>
      </c>
      <c r="S2126" t="e">
        <v>#DIV/0!</v>
      </c>
      <c r="T2126" t="s">
        <v>82</v>
      </c>
    </row>
    <row r="2127" spans="15:20" x14ac:dyDescent="0.25">
      <c r="O2127">
        <v>1</v>
      </c>
      <c r="S2127" t="e">
        <v>#DIV/0!</v>
      </c>
      <c r="T2127" t="s">
        <v>82</v>
      </c>
    </row>
    <row r="2128" spans="15:20" x14ac:dyDescent="0.25">
      <c r="O2128">
        <v>1</v>
      </c>
      <c r="S2128" t="e">
        <v>#DIV/0!</v>
      </c>
      <c r="T2128" t="s">
        <v>82</v>
      </c>
    </row>
    <row r="2129" spans="15:20" x14ac:dyDescent="0.25">
      <c r="O2129">
        <v>1</v>
      </c>
      <c r="S2129" t="e">
        <v>#DIV/0!</v>
      </c>
      <c r="T2129" t="s">
        <v>82</v>
      </c>
    </row>
    <row r="2130" spans="15:20" x14ac:dyDescent="0.25">
      <c r="O2130">
        <v>1</v>
      </c>
      <c r="S2130" t="e">
        <v>#DIV/0!</v>
      </c>
      <c r="T2130" t="s">
        <v>82</v>
      </c>
    </row>
    <row r="2131" spans="15:20" x14ac:dyDescent="0.25">
      <c r="O2131">
        <v>1</v>
      </c>
      <c r="S2131" t="e">
        <v>#DIV/0!</v>
      </c>
      <c r="T2131" t="s">
        <v>82</v>
      </c>
    </row>
    <row r="2132" spans="15:20" x14ac:dyDescent="0.25">
      <c r="O2132">
        <v>1</v>
      </c>
      <c r="S2132" t="e">
        <v>#DIV/0!</v>
      </c>
      <c r="T2132" t="s">
        <v>82</v>
      </c>
    </row>
    <row r="2133" spans="15:20" x14ac:dyDescent="0.25">
      <c r="O2133">
        <v>1</v>
      </c>
      <c r="S2133" t="e">
        <v>#DIV/0!</v>
      </c>
      <c r="T2133" t="s">
        <v>82</v>
      </c>
    </row>
    <row r="2134" spans="15:20" x14ac:dyDescent="0.25">
      <c r="O2134">
        <v>1</v>
      </c>
      <c r="S2134" t="e">
        <v>#DIV/0!</v>
      </c>
      <c r="T2134" t="s">
        <v>82</v>
      </c>
    </row>
    <row r="2135" spans="15:20" x14ac:dyDescent="0.25">
      <c r="O2135">
        <v>1</v>
      </c>
      <c r="S2135" t="e">
        <v>#DIV/0!</v>
      </c>
      <c r="T2135" t="s">
        <v>82</v>
      </c>
    </row>
    <row r="2136" spans="15:20" x14ac:dyDescent="0.25">
      <c r="O2136">
        <v>1</v>
      </c>
      <c r="S2136" t="e">
        <v>#DIV/0!</v>
      </c>
      <c r="T2136" t="s">
        <v>82</v>
      </c>
    </row>
    <row r="2137" spans="15:20" x14ac:dyDescent="0.25">
      <c r="O2137">
        <v>1</v>
      </c>
      <c r="S2137" t="e">
        <v>#DIV/0!</v>
      </c>
      <c r="T2137" t="s">
        <v>82</v>
      </c>
    </row>
    <row r="2138" spans="15:20" x14ac:dyDescent="0.25">
      <c r="O2138">
        <v>1</v>
      </c>
      <c r="S2138" t="e">
        <v>#DIV/0!</v>
      </c>
      <c r="T2138" t="s">
        <v>82</v>
      </c>
    </row>
    <row r="2139" spans="15:20" x14ac:dyDescent="0.25">
      <c r="O2139">
        <v>1</v>
      </c>
      <c r="S2139" t="e">
        <v>#DIV/0!</v>
      </c>
      <c r="T2139" t="s">
        <v>82</v>
      </c>
    </row>
    <row r="2140" spans="15:20" x14ac:dyDescent="0.25">
      <c r="O2140">
        <v>1</v>
      </c>
      <c r="S2140" t="e">
        <v>#DIV/0!</v>
      </c>
      <c r="T2140" t="s">
        <v>82</v>
      </c>
    </row>
    <row r="2141" spans="15:20" x14ac:dyDescent="0.25">
      <c r="O2141">
        <v>1</v>
      </c>
      <c r="S2141" t="e">
        <v>#DIV/0!</v>
      </c>
      <c r="T2141" t="s">
        <v>82</v>
      </c>
    </row>
    <row r="2142" spans="15:20" x14ac:dyDescent="0.25">
      <c r="O2142">
        <v>1</v>
      </c>
      <c r="S2142" t="e">
        <v>#DIV/0!</v>
      </c>
      <c r="T2142" t="s">
        <v>82</v>
      </c>
    </row>
    <row r="2143" spans="15:20" x14ac:dyDescent="0.25">
      <c r="O2143">
        <v>1</v>
      </c>
      <c r="S2143" t="e">
        <v>#DIV/0!</v>
      </c>
      <c r="T2143" t="s">
        <v>82</v>
      </c>
    </row>
    <row r="2144" spans="15:20" x14ac:dyDescent="0.25">
      <c r="O2144">
        <v>1</v>
      </c>
      <c r="S2144" t="e">
        <v>#DIV/0!</v>
      </c>
      <c r="T2144" t="s">
        <v>82</v>
      </c>
    </row>
    <row r="2145" spans="15:20" x14ac:dyDescent="0.25">
      <c r="O2145">
        <v>1</v>
      </c>
      <c r="S2145" t="e">
        <v>#DIV/0!</v>
      </c>
      <c r="T2145" t="s">
        <v>82</v>
      </c>
    </row>
    <row r="2146" spans="15:20" x14ac:dyDescent="0.25">
      <c r="O2146">
        <v>1</v>
      </c>
      <c r="S2146" t="e">
        <v>#DIV/0!</v>
      </c>
      <c r="T2146" t="s">
        <v>82</v>
      </c>
    </row>
    <row r="2147" spans="15:20" x14ac:dyDescent="0.25">
      <c r="O2147">
        <v>1</v>
      </c>
      <c r="S2147" t="e">
        <v>#DIV/0!</v>
      </c>
      <c r="T2147" t="s">
        <v>82</v>
      </c>
    </row>
    <row r="2148" spans="15:20" x14ac:dyDescent="0.25">
      <c r="O2148">
        <v>1</v>
      </c>
      <c r="S2148" t="e">
        <v>#DIV/0!</v>
      </c>
      <c r="T2148" t="s">
        <v>82</v>
      </c>
    </row>
    <row r="2149" spans="15:20" x14ac:dyDescent="0.25">
      <c r="O2149">
        <v>1</v>
      </c>
      <c r="S2149" t="e">
        <v>#DIV/0!</v>
      </c>
      <c r="T2149" t="s">
        <v>82</v>
      </c>
    </row>
    <row r="2150" spans="15:20" x14ac:dyDescent="0.25">
      <c r="O2150">
        <v>1</v>
      </c>
      <c r="S2150" t="e">
        <v>#DIV/0!</v>
      </c>
      <c r="T2150" t="s">
        <v>82</v>
      </c>
    </row>
    <row r="2151" spans="15:20" x14ac:dyDescent="0.25">
      <c r="O2151">
        <v>1</v>
      </c>
      <c r="S2151" t="e">
        <v>#DIV/0!</v>
      </c>
      <c r="T2151" t="s">
        <v>82</v>
      </c>
    </row>
    <row r="2152" spans="15:20" x14ac:dyDescent="0.25">
      <c r="O2152">
        <v>1</v>
      </c>
      <c r="S2152" t="e">
        <v>#DIV/0!</v>
      </c>
      <c r="T2152" t="s">
        <v>82</v>
      </c>
    </row>
    <row r="2153" spans="15:20" x14ac:dyDescent="0.25">
      <c r="O2153">
        <v>1</v>
      </c>
      <c r="S2153" t="e">
        <v>#DIV/0!</v>
      </c>
      <c r="T2153" t="s">
        <v>82</v>
      </c>
    </row>
    <row r="2154" spans="15:20" x14ac:dyDescent="0.25">
      <c r="O2154">
        <v>1</v>
      </c>
      <c r="S2154" t="e">
        <v>#DIV/0!</v>
      </c>
      <c r="T2154" t="s">
        <v>82</v>
      </c>
    </row>
    <row r="2155" spans="15:20" x14ac:dyDescent="0.25">
      <c r="O2155">
        <v>1</v>
      </c>
      <c r="S2155" t="e">
        <v>#DIV/0!</v>
      </c>
      <c r="T2155" t="s">
        <v>82</v>
      </c>
    </row>
    <row r="2156" spans="15:20" x14ac:dyDescent="0.25">
      <c r="O2156">
        <v>1</v>
      </c>
      <c r="S2156" t="e">
        <v>#DIV/0!</v>
      </c>
      <c r="T2156" t="s">
        <v>82</v>
      </c>
    </row>
    <row r="2157" spans="15:20" x14ac:dyDescent="0.25">
      <c r="O2157">
        <v>1</v>
      </c>
      <c r="S2157" t="e">
        <v>#DIV/0!</v>
      </c>
      <c r="T2157" t="s">
        <v>82</v>
      </c>
    </row>
    <row r="2158" spans="15:20" x14ac:dyDescent="0.25">
      <c r="O2158">
        <v>1</v>
      </c>
      <c r="S2158" t="e">
        <v>#DIV/0!</v>
      </c>
      <c r="T2158" t="s">
        <v>82</v>
      </c>
    </row>
    <row r="2159" spans="15:20" x14ac:dyDescent="0.25">
      <c r="O2159">
        <v>1</v>
      </c>
      <c r="S2159" t="e">
        <v>#DIV/0!</v>
      </c>
      <c r="T2159" t="s">
        <v>82</v>
      </c>
    </row>
    <row r="2160" spans="15:20" x14ac:dyDescent="0.25">
      <c r="O2160">
        <v>1</v>
      </c>
      <c r="S2160" t="e">
        <v>#DIV/0!</v>
      </c>
      <c r="T2160" t="s">
        <v>82</v>
      </c>
    </row>
    <row r="2161" spans="15:20" x14ac:dyDescent="0.25">
      <c r="O2161">
        <v>1</v>
      </c>
      <c r="S2161" t="e">
        <v>#DIV/0!</v>
      </c>
      <c r="T2161" t="s">
        <v>82</v>
      </c>
    </row>
    <row r="2162" spans="15:20" x14ac:dyDescent="0.25">
      <c r="O2162">
        <v>1</v>
      </c>
      <c r="S2162" t="e">
        <v>#DIV/0!</v>
      </c>
      <c r="T2162" t="s">
        <v>82</v>
      </c>
    </row>
    <row r="2163" spans="15:20" x14ac:dyDescent="0.25">
      <c r="O2163">
        <v>1</v>
      </c>
      <c r="S2163" t="e">
        <v>#DIV/0!</v>
      </c>
      <c r="T2163" t="s">
        <v>82</v>
      </c>
    </row>
    <row r="2164" spans="15:20" x14ac:dyDescent="0.25">
      <c r="O2164">
        <v>1</v>
      </c>
      <c r="S2164" t="e">
        <v>#DIV/0!</v>
      </c>
      <c r="T2164" t="s">
        <v>82</v>
      </c>
    </row>
    <row r="2165" spans="15:20" x14ac:dyDescent="0.25">
      <c r="O2165">
        <v>1</v>
      </c>
      <c r="S2165" t="e">
        <v>#DIV/0!</v>
      </c>
      <c r="T2165" t="s">
        <v>82</v>
      </c>
    </row>
    <row r="2166" spans="15:20" x14ac:dyDescent="0.25">
      <c r="O2166">
        <v>1</v>
      </c>
      <c r="S2166" t="e">
        <v>#DIV/0!</v>
      </c>
      <c r="T2166" t="s">
        <v>82</v>
      </c>
    </row>
    <row r="2167" spans="15:20" x14ac:dyDescent="0.25">
      <c r="O2167">
        <v>1</v>
      </c>
      <c r="S2167" t="e">
        <v>#DIV/0!</v>
      </c>
      <c r="T2167" t="s">
        <v>82</v>
      </c>
    </row>
    <row r="2168" spans="15:20" x14ac:dyDescent="0.25">
      <c r="O2168">
        <v>1</v>
      </c>
      <c r="S2168" t="e">
        <v>#DIV/0!</v>
      </c>
      <c r="T2168" t="s">
        <v>82</v>
      </c>
    </row>
    <row r="2169" spans="15:20" x14ac:dyDescent="0.25">
      <c r="O2169">
        <v>1</v>
      </c>
      <c r="S2169" t="e">
        <v>#DIV/0!</v>
      </c>
      <c r="T2169" t="s">
        <v>82</v>
      </c>
    </row>
    <row r="2170" spans="15:20" x14ac:dyDescent="0.25">
      <c r="O2170">
        <v>1</v>
      </c>
      <c r="S2170" t="e">
        <v>#DIV/0!</v>
      </c>
      <c r="T2170" t="s">
        <v>82</v>
      </c>
    </row>
    <row r="2171" spans="15:20" x14ac:dyDescent="0.25">
      <c r="O2171">
        <v>1</v>
      </c>
      <c r="S2171" t="e">
        <v>#DIV/0!</v>
      </c>
      <c r="T2171" t="s">
        <v>82</v>
      </c>
    </row>
    <row r="2172" spans="15:20" x14ac:dyDescent="0.25">
      <c r="O2172">
        <v>1</v>
      </c>
      <c r="S2172" t="e">
        <v>#DIV/0!</v>
      </c>
      <c r="T2172" t="s">
        <v>82</v>
      </c>
    </row>
    <row r="2173" spans="15:20" x14ac:dyDescent="0.25">
      <c r="O2173">
        <v>1</v>
      </c>
      <c r="S2173" t="e">
        <v>#DIV/0!</v>
      </c>
      <c r="T2173" t="s">
        <v>82</v>
      </c>
    </row>
    <row r="2174" spans="15:20" x14ac:dyDescent="0.25">
      <c r="O2174">
        <v>1</v>
      </c>
      <c r="S2174" t="e">
        <v>#DIV/0!</v>
      </c>
      <c r="T2174" t="s">
        <v>82</v>
      </c>
    </row>
    <row r="2175" spans="15:20" x14ac:dyDescent="0.25">
      <c r="O2175">
        <v>1</v>
      </c>
      <c r="S2175" t="e">
        <v>#DIV/0!</v>
      </c>
      <c r="T2175" t="s">
        <v>82</v>
      </c>
    </row>
    <row r="2176" spans="15:20" x14ac:dyDescent="0.25">
      <c r="O2176">
        <v>1</v>
      </c>
      <c r="S2176" t="e">
        <v>#DIV/0!</v>
      </c>
      <c r="T2176" t="s">
        <v>82</v>
      </c>
    </row>
    <row r="2177" spans="15:20" x14ac:dyDescent="0.25">
      <c r="O2177">
        <v>1</v>
      </c>
      <c r="S2177" t="e">
        <v>#DIV/0!</v>
      </c>
      <c r="T2177" t="s">
        <v>82</v>
      </c>
    </row>
    <row r="2178" spans="15:20" x14ac:dyDescent="0.25">
      <c r="O2178">
        <v>1</v>
      </c>
      <c r="S2178" t="e">
        <v>#DIV/0!</v>
      </c>
      <c r="T2178" t="s">
        <v>82</v>
      </c>
    </row>
    <row r="2179" spans="15:20" x14ac:dyDescent="0.25">
      <c r="O2179">
        <v>1</v>
      </c>
      <c r="S2179" t="e">
        <v>#DIV/0!</v>
      </c>
      <c r="T2179" t="s">
        <v>82</v>
      </c>
    </row>
    <row r="2180" spans="15:20" x14ac:dyDescent="0.25">
      <c r="O2180">
        <v>1</v>
      </c>
      <c r="S2180" t="e">
        <v>#DIV/0!</v>
      </c>
      <c r="T2180" t="s">
        <v>82</v>
      </c>
    </row>
    <row r="2181" spans="15:20" x14ac:dyDescent="0.25">
      <c r="O2181">
        <v>1</v>
      </c>
      <c r="S2181" t="e">
        <v>#DIV/0!</v>
      </c>
      <c r="T2181" t="s">
        <v>82</v>
      </c>
    </row>
    <row r="2182" spans="15:20" x14ac:dyDescent="0.25">
      <c r="O2182">
        <v>1</v>
      </c>
      <c r="S2182" t="e">
        <v>#DIV/0!</v>
      </c>
      <c r="T2182" t="s">
        <v>82</v>
      </c>
    </row>
    <row r="2183" spans="15:20" x14ac:dyDescent="0.25">
      <c r="O2183">
        <v>1</v>
      </c>
      <c r="S2183" t="e">
        <v>#DIV/0!</v>
      </c>
      <c r="T2183" t="s">
        <v>82</v>
      </c>
    </row>
    <row r="2184" spans="15:20" x14ac:dyDescent="0.25">
      <c r="O2184">
        <v>1</v>
      </c>
      <c r="S2184" t="e">
        <v>#DIV/0!</v>
      </c>
      <c r="T2184" t="s">
        <v>82</v>
      </c>
    </row>
    <row r="2185" spans="15:20" x14ac:dyDescent="0.25">
      <c r="O2185">
        <v>1</v>
      </c>
      <c r="S2185" t="e">
        <v>#DIV/0!</v>
      </c>
      <c r="T2185" t="s">
        <v>82</v>
      </c>
    </row>
    <row r="2186" spans="15:20" x14ac:dyDescent="0.25">
      <c r="O2186">
        <v>1</v>
      </c>
      <c r="S2186" t="e">
        <v>#DIV/0!</v>
      </c>
      <c r="T2186" t="s">
        <v>82</v>
      </c>
    </row>
    <row r="2187" spans="15:20" x14ac:dyDescent="0.25">
      <c r="O2187">
        <v>1</v>
      </c>
      <c r="S2187" t="e">
        <v>#DIV/0!</v>
      </c>
      <c r="T2187" t="s">
        <v>82</v>
      </c>
    </row>
    <row r="2188" spans="15:20" x14ac:dyDescent="0.25">
      <c r="O2188">
        <v>1</v>
      </c>
      <c r="S2188" t="e">
        <v>#DIV/0!</v>
      </c>
      <c r="T2188" t="s">
        <v>82</v>
      </c>
    </row>
    <row r="2189" spans="15:20" x14ac:dyDescent="0.25">
      <c r="O2189">
        <v>1</v>
      </c>
      <c r="S2189" t="e">
        <v>#DIV/0!</v>
      </c>
      <c r="T2189" t="s">
        <v>82</v>
      </c>
    </row>
    <row r="2190" spans="15:20" x14ac:dyDescent="0.25">
      <c r="O2190">
        <v>1</v>
      </c>
      <c r="S2190" t="e">
        <v>#DIV/0!</v>
      </c>
      <c r="T2190" t="s">
        <v>82</v>
      </c>
    </row>
    <row r="2191" spans="15:20" x14ac:dyDescent="0.25">
      <c r="O2191">
        <v>1</v>
      </c>
      <c r="S2191" t="e">
        <v>#DIV/0!</v>
      </c>
      <c r="T2191" t="s">
        <v>82</v>
      </c>
    </row>
    <row r="2192" spans="15:20" x14ac:dyDescent="0.25">
      <c r="O2192">
        <v>1</v>
      </c>
      <c r="S2192" t="e">
        <v>#DIV/0!</v>
      </c>
      <c r="T2192" t="s">
        <v>82</v>
      </c>
    </row>
    <row r="2193" spans="15:20" x14ac:dyDescent="0.25">
      <c r="O2193">
        <v>1</v>
      </c>
      <c r="S2193" t="e">
        <v>#DIV/0!</v>
      </c>
      <c r="T2193" t="s">
        <v>82</v>
      </c>
    </row>
    <row r="2194" spans="15:20" x14ac:dyDescent="0.25">
      <c r="O2194">
        <v>1</v>
      </c>
      <c r="S2194" t="e">
        <v>#DIV/0!</v>
      </c>
      <c r="T2194" t="s">
        <v>82</v>
      </c>
    </row>
    <row r="2195" spans="15:20" x14ac:dyDescent="0.25">
      <c r="O2195">
        <v>1</v>
      </c>
      <c r="S2195" t="e">
        <v>#DIV/0!</v>
      </c>
      <c r="T2195" t="s">
        <v>82</v>
      </c>
    </row>
    <row r="2196" spans="15:20" x14ac:dyDescent="0.25">
      <c r="O2196">
        <v>1</v>
      </c>
      <c r="S2196" t="e">
        <v>#DIV/0!</v>
      </c>
      <c r="T2196" t="s">
        <v>82</v>
      </c>
    </row>
    <row r="2197" spans="15:20" x14ac:dyDescent="0.25">
      <c r="O2197">
        <v>1</v>
      </c>
      <c r="S2197" t="e">
        <v>#DIV/0!</v>
      </c>
      <c r="T2197" t="s">
        <v>82</v>
      </c>
    </row>
    <row r="2198" spans="15:20" x14ac:dyDescent="0.25">
      <c r="O2198">
        <v>1</v>
      </c>
      <c r="S2198" t="e">
        <v>#DIV/0!</v>
      </c>
      <c r="T2198" t="s">
        <v>82</v>
      </c>
    </row>
    <row r="2199" spans="15:20" x14ac:dyDescent="0.25">
      <c r="O2199">
        <v>1</v>
      </c>
      <c r="S2199" t="e">
        <v>#DIV/0!</v>
      </c>
      <c r="T2199" t="s">
        <v>82</v>
      </c>
    </row>
    <row r="2200" spans="15:20" x14ac:dyDescent="0.25">
      <c r="O2200">
        <v>1</v>
      </c>
      <c r="S2200" t="e">
        <v>#DIV/0!</v>
      </c>
      <c r="T2200" t="s">
        <v>82</v>
      </c>
    </row>
    <row r="2201" spans="15:20" x14ac:dyDescent="0.25">
      <c r="O2201">
        <v>1</v>
      </c>
      <c r="S2201" t="e">
        <v>#DIV/0!</v>
      </c>
      <c r="T2201" t="s">
        <v>82</v>
      </c>
    </row>
    <row r="2202" spans="15:20" x14ac:dyDescent="0.25">
      <c r="O2202">
        <v>1</v>
      </c>
      <c r="S2202" t="e">
        <v>#DIV/0!</v>
      </c>
      <c r="T2202" t="s">
        <v>82</v>
      </c>
    </row>
    <row r="2203" spans="15:20" x14ac:dyDescent="0.25">
      <c r="O2203">
        <v>1</v>
      </c>
      <c r="S2203" t="e">
        <v>#DIV/0!</v>
      </c>
      <c r="T2203" t="s">
        <v>82</v>
      </c>
    </row>
    <row r="2204" spans="15:20" x14ac:dyDescent="0.25">
      <c r="O2204">
        <v>1</v>
      </c>
      <c r="S2204" t="e">
        <v>#DIV/0!</v>
      </c>
      <c r="T2204" t="s">
        <v>82</v>
      </c>
    </row>
    <row r="2205" spans="15:20" x14ac:dyDescent="0.25">
      <c r="O2205">
        <v>1</v>
      </c>
      <c r="S2205" t="e">
        <v>#DIV/0!</v>
      </c>
      <c r="T2205" t="s">
        <v>82</v>
      </c>
    </row>
    <row r="2206" spans="15:20" x14ac:dyDescent="0.25">
      <c r="O2206">
        <v>1</v>
      </c>
      <c r="S2206" t="e">
        <v>#DIV/0!</v>
      </c>
      <c r="T2206" t="s">
        <v>82</v>
      </c>
    </row>
    <row r="2207" spans="15:20" x14ac:dyDescent="0.25">
      <c r="O2207">
        <v>1</v>
      </c>
      <c r="S2207" t="e">
        <v>#DIV/0!</v>
      </c>
      <c r="T2207" t="s">
        <v>82</v>
      </c>
    </row>
    <row r="2208" spans="15:20" x14ac:dyDescent="0.25">
      <c r="O2208">
        <v>1</v>
      </c>
      <c r="S2208" t="e">
        <v>#DIV/0!</v>
      </c>
      <c r="T2208" t="s">
        <v>82</v>
      </c>
    </row>
    <row r="2209" spans="15:20" x14ac:dyDescent="0.25">
      <c r="O2209">
        <v>1</v>
      </c>
      <c r="S2209" t="e">
        <v>#DIV/0!</v>
      </c>
      <c r="T2209" t="s">
        <v>82</v>
      </c>
    </row>
    <row r="2210" spans="15:20" x14ac:dyDescent="0.25">
      <c r="O2210">
        <v>1</v>
      </c>
      <c r="S2210" t="e">
        <v>#DIV/0!</v>
      </c>
      <c r="T2210" t="s">
        <v>82</v>
      </c>
    </row>
    <row r="2211" spans="15:20" x14ac:dyDescent="0.25">
      <c r="O2211">
        <v>1</v>
      </c>
      <c r="S2211" t="e">
        <v>#DIV/0!</v>
      </c>
      <c r="T2211" t="s">
        <v>82</v>
      </c>
    </row>
    <row r="2212" spans="15:20" x14ac:dyDescent="0.25">
      <c r="O2212">
        <v>1</v>
      </c>
      <c r="S2212" t="e">
        <v>#DIV/0!</v>
      </c>
      <c r="T2212" t="s">
        <v>82</v>
      </c>
    </row>
    <row r="2213" spans="15:20" x14ac:dyDescent="0.25">
      <c r="O2213">
        <v>1</v>
      </c>
      <c r="S2213" t="e">
        <v>#DIV/0!</v>
      </c>
      <c r="T2213" t="s">
        <v>82</v>
      </c>
    </row>
    <row r="2214" spans="15:20" x14ac:dyDescent="0.25">
      <c r="O2214">
        <v>1</v>
      </c>
      <c r="S2214" t="e">
        <v>#DIV/0!</v>
      </c>
      <c r="T2214" t="s">
        <v>82</v>
      </c>
    </row>
    <row r="2215" spans="15:20" x14ac:dyDescent="0.25">
      <c r="O2215">
        <v>1</v>
      </c>
      <c r="S2215" t="e">
        <v>#DIV/0!</v>
      </c>
      <c r="T2215" t="s">
        <v>82</v>
      </c>
    </row>
    <row r="2216" spans="15:20" x14ac:dyDescent="0.25">
      <c r="O2216">
        <v>1</v>
      </c>
      <c r="S2216" t="e">
        <v>#DIV/0!</v>
      </c>
      <c r="T2216" t="s">
        <v>82</v>
      </c>
    </row>
    <row r="2217" spans="15:20" x14ac:dyDescent="0.25">
      <c r="O2217">
        <v>1</v>
      </c>
      <c r="S2217" t="e">
        <v>#DIV/0!</v>
      </c>
      <c r="T2217" t="s">
        <v>82</v>
      </c>
    </row>
    <row r="2218" spans="15:20" x14ac:dyDescent="0.25">
      <c r="O2218">
        <v>1</v>
      </c>
      <c r="S2218" t="e">
        <v>#DIV/0!</v>
      </c>
      <c r="T2218" t="s">
        <v>82</v>
      </c>
    </row>
    <row r="2219" spans="15:20" x14ac:dyDescent="0.25">
      <c r="O2219">
        <v>1</v>
      </c>
      <c r="S2219" t="e">
        <v>#DIV/0!</v>
      </c>
      <c r="T2219" t="s">
        <v>82</v>
      </c>
    </row>
    <row r="2220" spans="15:20" x14ac:dyDescent="0.25">
      <c r="O2220">
        <v>1</v>
      </c>
      <c r="S2220" t="e">
        <v>#DIV/0!</v>
      </c>
      <c r="T2220" t="s">
        <v>82</v>
      </c>
    </row>
    <row r="2221" spans="15:20" x14ac:dyDescent="0.25">
      <c r="O2221">
        <v>1</v>
      </c>
      <c r="S2221" t="e">
        <v>#DIV/0!</v>
      </c>
      <c r="T2221" t="s">
        <v>82</v>
      </c>
    </row>
    <row r="2222" spans="15:20" x14ac:dyDescent="0.25">
      <c r="O2222">
        <v>1</v>
      </c>
      <c r="S2222" t="e">
        <v>#DIV/0!</v>
      </c>
      <c r="T2222" t="s">
        <v>82</v>
      </c>
    </row>
    <row r="2223" spans="15:20" x14ac:dyDescent="0.25">
      <c r="O2223">
        <v>1</v>
      </c>
      <c r="S2223" t="e">
        <v>#DIV/0!</v>
      </c>
      <c r="T2223" t="s">
        <v>82</v>
      </c>
    </row>
    <row r="2224" spans="15:20" x14ac:dyDescent="0.25">
      <c r="O2224">
        <v>1</v>
      </c>
      <c r="S2224" t="e">
        <v>#DIV/0!</v>
      </c>
      <c r="T2224" t="s">
        <v>82</v>
      </c>
    </row>
    <row r="2225" spans="15:20" x14ac:dyDescent="0.25">
      <c r="O2225">
        <v>1</v>
      </c>
      <c r="S2225" t="e">
        <v>#DIV/0!</v>
      </c>
      <c r="T2225" t="s">
        <v>82</v>
      </c>
    </row>
    <row r="2226" spans="15:20" x14ac:dyDescent="0.25">
      <c r="O2226">
        <v>1</v>
      </c>
      <c r="S2226" t="e">
        <v>#DIV/0!</v>
      </c>
      <c r="T2226" t="s">
        <v>82</v>
      </c>
    </row>
    <row r="2227" spans="15:20" x14ac:dyDescent="0.25">
      <c r="O2227">
        <v>1</v>
      </c>
      <c r="S2227" t="e">
        <v>#DIV/0!</v>
      </c>
      <c r="T2227" t="s">
        <v>82</v>
      </c>
    </row>
    <row r="2228" spans="15:20" x14ac:dyDescent="0.25">
      <c r="O2228">
        <v>1</v>
      </c>
      <c r="S2228" t="e">
        <v>#DIV/0!</v>
      </c>
      <c r="T2228" t="s">
        <v>82</v>
      </c>
    </row>
    <row r="2229" spans="15:20" x14ac:dyDescent="0.25">
      <c r="O2229">
        <v>1</v>
      </c>
      <c r="S2229" t="e">
        <v>#DIV/0!</v>
      </c>
      <c r="T2229" t="s">
        <v>82</v>
      </c>
    </row>
    <row r="2230" spans="15:20" x14ac:dyDescent="0.25">
      <c r="O2230">
        <v>1</v>
      </c>
      <c r="S2230" t="e">
        <v>#DIV/0!</v>
      </c>
      <c r="T2230" t="s">
        <v>82</v>
      </c>
    </row>
    <row r="2231" spans="15:20" x14ac:dyDescent="0.25">
      <c r="O2231">
        <v>1</v>
      </c>
      <c r="S2231" t="e">
        <v>#DIV/0!</v>
      </c>
      <c r="T2231" t="s">
        <v>82</v>
      </c>
    </row>
    <row r="2232" spans="15:20" x14ac:dyDescent="0.25">
      <c r="O2232">
        <v>1</v>
      </c>
      <c r="S2232" t="e">
        <v>#DIV/0!</v>
      </c>
      <c r="T2232" t="s">
        <v>82</v>
      </c>
    </row>
    <row r="2233" spans="15:20" x14ac:dyDescent="0.25">
      <c r="O2233">
        <v>1</v>
      </c>
      <c r="S2233" t="e">
        <v>#DIV/0!</v>
      </c>
      <c r="T2233" t="s">
        <v>82</v>
      </c>
    </row>
    <row r="2234" spans="15:20" x14ac:dyDescent="0.25">
      <c r="O2234">
        <v>1</v>
      </c>
      <c r="S2234" t="e">
        <v>#DIV/0!</v>
      </c>
      <c r="T2234" t="s">
        <v>82</v>
      </c>
    </row>
    <row r="2235" spans="15:20" x14ac:dyDescent="0.25">
      <c r="O2235">
        <v>1</v>
      </c>
      <c r="S2235" t="e">
        <v>#DIV/0!</v>
      </c>
      <c r="T2235" t="s">
        <v>82</v>
      </c>
    </row>
    <row r="2236" spans="15:20" x14ac:dyDescent="0.25">
      <c r="O2236">
        <v>1</v>
      </c>
      <c r="S2236" t="e">
        <v>#DIV/0!</v>
      </c>
      <c r="T2236" t="s">
        <v>82</v>
      </c>
    </row>
    <row r="2237" spans="15:20" x14ac:dyDescent="0.25">
      <c r="O2237">
        <v>1</v>
      </c>
      <c r="S2237" t="e">
        <v>#DIV/0!</v>
      </c>
      <c r="T2237" t="s">
        <v>82</v>
      </c>
    </row>
    <row r="2238" spans="15:20" x14ac:dyDescent="0.25">
      <c r="O2238">
        <v>1</v>
      </c>
      <c r="S2238" t="e">
        <v>#DIV/0!</v>
      </c>
      <c r="T2238" t="s">
        <v>82</v>
      </c>
    </row>
    <row r="2239" spans="15:20" x14ac:dyDescent="0.25">
      <c r="O2239">
        <v>1</v>
      </c>
      <c r="S2239" t="e">
        <v>#DIV/0!</v>
      </c>
      <c r="T2239" t="s">
        <v>82</v>
      </c>
    </row>
    <row r="2240" spans="15:20" x14ac:dyDescent="0.25">
      <c r="O2240">
        <v>1</v>
      </c>
      <c r="S2240" t="e">
        <v>#DIV/0!</v>
      </c>
      <c r="T2240" t="s">
        <v>82</v>
      </c>
    </row>
    <row r="2241" spans="15:20" x14ac:dyDescent="0.25">
      <c r="O2241">
        <v>1</v>
      </c>
      <c r="S2241" t="e">
        <v>#DIV/0!</v>
      </c>
      <c r="T2241" t="s">
        <v>82</v>
      </c>
    </row>
    <row r="2242" spans="15:20" x14ac:dyDescent="0.25">
      <c r="O2242">
        <v>1</v>
      </c>
      <c r="S2242" t="e">
        <v>#DIV/0!</v>
      </c>
      <c r="T2242" t="s">
        <v>82</v>
      </c>
    </row>
    <row r="2243" spans="15:20" x14ac:dyDescent="0.25">
      <c r="O2243">
        <v>1</v>
      </c>
      <c r="S2243" t="e">
        <v>#DIV/0!</v>
      </c>
      <c r="T2243" t="s">
        <v>82</v>
      </c>
    </row>
    <row r="2244" spans="15:20" x14ac:dyDescent="0.25">
      <c r="O2244">
        <v>1</v>
      </c>
      <c r="S2244" t="e">
        <v>#DIV/0!</v>
      </c>
      <c r="T2244" t="s">
        <v>82</v>
      </c>
    </row>
    <row r="2245" spans="15:20" x14ac:dyDescent="0.25">
      <c r="O2245">
        <v>1</v>
      </c>
      <c r="S2245" t="e">
        <v>#DIV/0!</v>
      </c>
      <c r="T2245" t="s">
        <v>82</v>
      </c>
    </row>
    <row r="2246" spans="15:20" x14ac:dyDescent="0.25">
      <c r="O2246">
        <v>1</v>
      </c>
      <c r="S2246" t="e">
        <v>#DIV/0!</v>
      </c>
      <c r="T2246" t="s">
        <v>82</v>
      </c>
    </row>
    <row r="2247" spans="15:20" x14ac:dyDescent="0.25">
      <c r="O2247">
        <v>1</v>
      </c>
      <c r="S2247" t="e">
        <v>#DIV/0!</v>
      </c>
      <c r="T2247" t="s">
        <v>82</v>
      </c>
    </row>
    <row r="2248" spans="15:20" x14ac:dyDescent="0.25">
      <c r="O2248">
        <v>1</v>
      </c>
      <c r="S2248" t="e">
        <v>#DIV/0!</v>
      </c>
      <c r="T2248" t="s">
        <v>82</v>
      </c>
    </row>
    <row r="2249" spans="15:20" x14ac:dyDescent="0.25">
      <c r="O2249">
        <v>1</v>
      </c>
      <c r="S2249" t="e">
        <v>#DIV/0!</v>
      </c>
      <c r="T2249" t="s">
        <v>82</v>
      </c>
    </row>
    <row r="2250" spans="15:20" x14ac:dyDescent="0.25">
      <c r="O2250">
        <v>1</v>
      </c>
      <c r="S2250" t="e">
        <v>#DIV/0!</v>
      </c>
      <c r="T2250" t="s">
        <v>82</v>
      </c>
    </row>
    <row r="2251" spans="15:20" x14ac:dyDescent="0.25">
      <c r="O2251">
        <v>1</v>
      </c>
      <c r="S2251" t="e">
        <v>#DIV/0!</v>
      </c>
      <c r="T2251" t="s">
        <v>82</v>
      </c>
    </row>
    <row r="2252" spans="15:20" x14ac:dyDescent="0.25">
      <c r="O2252">
        <v>1</v>
      </c>
      <c r="S2252" t="e">
        <v>#DIV/0!</v>
      </c>
      <c r="T2252" t="s">
        <v>82</v>
      </c>
    </row>
    <row r="2253" spans="15:20" x14ac:dyDescent="0.25">
      <c r="O2253">
        <v>1</v>
      </c>
      <c r="S2253" t="e">
        <v>#DIV/0!</v>
      </c>
      <c r="T2253" t="s">
        <v>82</v>
      </c>
    </row>
    <row r="2254" spans="15:20" x14ac:dyDescent="0.25">
      <c r="O2254">
        <v>1</v>
      </c>
      <c r="S2254" t="e">
        <v>#DIV/0!</v>
      </c>
      <c r="T2254" t="s">
        <v>82</v>
      </c>
    </row>
    <row r="2255" spans="15:20" x14ac:dyDescent="0.25">
      <c r="O2255">
        <v>1</v>
      </c>
      <c r="S2255" t="e">
        <v>#DIV/0!</v>
      </c>
      <c r="T2255" t="s">
        <v>82</v>
      </c>
    </row>
    <row r="2256" spans="15:20" x14ac:dyDescent="0.25">
      <c r="O2256">
        <v>1</v>
      </c>
      <c r="S2256" t="e">
        <v>#DIV/0!</v>
      </c>
      <c r="T2256" t="s">
        <v>82</v>
      </c>
    </row>
    <row r="2257" spans="15:20" x14ac:dyDescent="0.25">
      <c r="O2257">
        <v>1</v>
      </c>
      <c r="S2257" t="e">
        <v>#DIV/0!</v>
      </c>
      <c r="T2257" t="s">
        <v>82</v>
      </c>
    </row>
    <row r="2258" spans="15:20" x14ac:dyDescent="0.25">
      <c r="O2258">
        <v>1</v>
      </c>
      <c r="S2258" t="e">
        <v>#DIV/0!</v>
      </c>
      <c r="T2258" t="s">
        <v>82</v>
      </c>
    </row>
    <row r="2259" spans="15:20" x14ac:dyDescent="0.25">
      <c r="O2259">
        <v>1</v>
      </c>
      <c r="S2259" t="e">
        <v>#DIV/0!</v>
      </c>
      <c r="T2259" t="s">
        <v>82</v>
      </c>
    </row>
    <row r="2260" spans="15:20" x14ac:dyDescent="0.25">
      <c r="O2260">
        <v>1</v>
      </c>
      <c r="S2260" t="e">
        <v>#DIV/0!</v>
      </c>
      <c r="T2260" t="s">
        <v>82</v>
      </c>
    </row>
    <row r="2261" spans="15:20" x14ac:dyDescent="0.25">
      <c r="O2261">
        <v>1</v>
      </c>
      <c r="S2261" t="e">
        <v>#DIV/0!</v>
      </c>
      <c r="T2261" t="s">
        <v>82</v>
      </c>
    </row>
    <row r="2262" spans="15:20" x14ac:dyDescent="0.25">
      <c r="O2262">
        <v>1</v>
      </c>
      <c r="S2262" t="e">
        <v>#DIV/0!</v>
      </c>
      <c r="T2262" t="s">
        <v>82</v>
      </c>
    </row>
    <row r="2263" spans="15:20" x14ac:dyDescent="0.25">
      <c r="O2263">
        <v>1</v>
      </c>
      <c r="S2263" t="e">
        <v>#DIV/0!</v>
      </c>
      <c r="T2263" t="s">
        <v>82</v>
      </c>
    </row>
    <row r="2264" spans="15:20" x14ac:dyDescent="0.25">
      <c r="O2264">
        <v>1</v>
      </c>
      <c r="S2264" t="e">
        <v>#DIV/0!</v>
      </c>
      <c r="T2264" t="s">
        <v>82</v>
      </c>
    </row>
    <row r="2265" spans="15:20" x14ac:dyDescent="0.25">
      <c r="O2265">
        <v>1</v>
      </c>
      <c r="S2265" t="e">
        <v>#DIV/0!</v>
      </c>
      <c r="T2265" t="s">
        <v>82</v>
      </c>
    </row>
    <row r="2266" spans="15:20" x14ac:dyDescent="0.25">
      <c r="O2266">
        <v>1</v>
      </c>
      <c r="S2266" t="e">
        <v>#DIV/0!</v>
      </c>
      <c r="T2266" t="s">
        <v>82</v>
      </c>
    </row>
    <row r="2267" spans="15:20" x14ac:dyDescent="0.25">
      <c r="O2267">
        <v>1</v>
      </c>
      <c r="S2267" t="e">
        <v>#DIV/0!</v>
      </c>
      <c r="T2267" t="s">
        <v>82</v>
      </c>
    </row>
    <row r="2268" spans="15:20" x14ac:dyDescent="0.25">
      <c r="O2268">
        <v>1</v>
      </c>
      <c r="S2268" t="e">
        <v>#DIV/0!</v>
      </c>
      <c r="T2268" t="s">
        <v>82</v>
      </c>
    </row>
    <row r="2269" spans="15:20" x14ac:dyDescent="0.25">
      <c r="O2269">
        <v>1</v>
      </c>
      <c r="S2269" t="e">
        <v>#DIV/0!</v>
      </c>
      <c r="T2269" t="s">
        <v>82</v>
      </c>
    </row>
    <row r="2270" spans="15:20" x14ac:dyDescent="0.25">
      <c r="O2270">
        <v>1</v>
      </c>
      <c r="S2270" t="e">
        <v>#DIV/0!</v>
      </c>
      <c r="T2270" t="s">
        <v>82</v>
      </c>
    </row>
    <row r="2271" spans="15:20" x14ac:dyDescent="0.25">
      <c r="O2271">
        <v>1</v>
      </c>
      <c r="S2271" t="e">
        <v>#DIV/0!</v>
      </c>
      <c r="T2271" t="s">
        <v>82</v>
      </c>
    </row>
    <row r="2272" spans="15:20" x14ac:dyDescent="0.25">
      <c r="O2272">
        <v>1</v>
      </c>
      <c r="S2272" t="e">
        <v>#DIV/0!</v>
      </c>
      <c r="T2272" t="s">
        <v>82</v>
      </c>
    </row>
    <row r="2273" spans="15:20" x14ac:dyDescent="0.25">
      <c r="O2273">
        <v>1</v>
      </c>
      <c r="S2273" t="e">
        <v>#DIV/0!</v>
      </c>
      <c r="T2273" t="s">
        <v>82</v>
      </c>
    </row>
    <row r="2274" spans="15:20" x14ac:dyDescent="0.25">
      <c r="O2274">
        <v>1</v>
      </c>
      <c r="S2274" t="e">
        <v>#DIV/0!</v>
      </c>
      <c r="T2274" t="s">
        <v>82</v>
      </c>
    </row>
    <row r="2275" spans="15:20" x14ac:dyDescent="0.25">
      <c r="O2275">
        <v>1</v>
      </c>
      <c r="S2275" t="e">
        <v>#DIV/0!</v>
      </c>
      <c r="T2275" t="s">
        <v>82</v>
      </c>
    </row>
    <row r="2276" spans="15:20" x14ac:dyDescent="0.25">
      <c r="O2276">
        <v>1</v>
      </c>
      <c r="S2276" t="e">
        <v>#DIV/0!</v>
      </c>
      <c r="T2276" t="s">
        <v>82</v>
      </c>
    </row>
    <row r="2277" spans="15:20" x14ac:dyDescent="0.25">
      <c r="O2277">
        <v>1</v>
      </c>
      <c r="S2277" t="e">
        <v>#DIV/0!</v>
      </c>
      <c r="T2277" t="s">
        <v>82</v>
      </c>
    </row>
    <row r="2278" spans="15:20" x14ac:dyDescent="0.25">
      <c r="O2278">
        <v>1</v>
      </c>
      <c r="S2278" t="e">
        <v>#DIV/0!</v>
      </c>
      <c r="T2278" t="s">
        <v>82</v>
      </c>
    </row>
    <row r="2279" spans="15:20" x14ac:dyDescent="0.25">
      <c r="O2279">
        <v>1</v>
      </c>
      <c r="S2279" t="e">
        <v>#DIV/0!</v>
      </c>
      <c r="T2279" t="s">
        <v>82</v>
      </c>
    </row>
    <row r="2280" spans="15:20" x14ac:dyDescent="0.25">
      <c r="O2280">
        <v>1</v>
      </c>
      <c r="S2280" t="e">
        <v>#DIV/0!</v>
      </c>
      <c r="T2280" t="s">
        <v>82</v>
      </c>
    </row>
    <row r="2281" spans="15:20" x14ac:dyDescent="0.25">
      <c r="O2281">
        <v>1</v>
      </c>
      <c r="S2281" t="e">
        <v>#DIV/0!</v>
      </c>
      <c r="T2281" t="s">
        <v>82</v>
      </c>
    </row>
    <row r="2282" spans="15:20" x14ac:dyDescent="0.25">
      <c r="O2282">
        <v>1</v>
      </c>
      <c r="S2282" t="e">
        <v>#DIV/0!</v>
      </c>
      <c r="T2282" t="s">
        <v>82</v>
      </c>
    </row>
    <row r="2283" spans="15:20" x14ac:dyDescent="0.25">
      <c r="O2283">
        <v>1</v>
      </c>
      <c r="S2283" t="e">
        <v>#DIV/0!</v>
      </c>
      <c r="T2283" t="s">
        <v>82</v>
      </c>
    </row>
    <row r="2284" spans="15:20" x14ac:dyDescent="0.25">
      <c r="O2284">
        <v>1</v>
      </c>
      <c r="S2284" t="e">
        <v>#DIV/0!</v>
      </c>
      <c r="T2284" t="s">
        <v>82</v>
      </c>
    </row>
    <row r="2285" spans="15:20" x14ac:dyDescent="0.25">
      <c r="O2285">
        <v>1</v>
      </c>
      <c r="S2285" t="e">
        <v>#DIV/0!</v>
      </c>
      <c r="T2285" t="s">
        <v>82</v>
      </c>
    </row>
    <row r="2286" spans="15:20" x14ac:dyDescent="0.25">
      <c r="O2286">
        <v>1</v>
      </c>
      <c r="S2286" t="e">
        <v>#DIV/0!</v>
      </c>
      <c r="T2286" t="s">
        <v>82</v>
      </c>
    </row>
    <row r="2287" spans="15:20" x14ac:dyDescent="0.25">
      <c r="O2287">
        <v>1</v>
      </c>
      <c r="S2287" t="e">
        <v>#DIV/0!</v>
      </c>
      <c r="T2287" t="s">
        <v>82</v>
      </c>
    </row>
    <row r="2288" spans="15:20" x14ac:dyDescent="0.25">
      <c r="O2288">
        <v>1</v>
      </c>
      <c r="S2288" t="e">
        <v>#DIV/0!</v>
      </c>
      <c r="T2288" t="s">
        <v>82</v>
      </c>
    </row>
    <row r="2289" spans="15:20" x14ac:dyDescent="0.25">
      <c r="O2289">
        <v>1</v>
      </c>
      <c r="S2289" t="e">
        <v>#DIV/0!</v>
      </c>
      <c r="T2289" t="s">
        <v>82</v>
      </c>
    </row>
    <row r="2290" spans="15:20" x14ac:dyDescent="0.25">
      <c r="O2290">
        <v>1</v>
      </c>
      <c r="S2290" t="e">
        <v>#DIV/0!</v>
      </c>
      <c r="T2290" t="s">
        <v>82</v>
      </c>
    </row>
    <row r="2291" spans="15:20" x14ac:dyDescent="0.25">
      <c r="O2291">
        <v>1</v>
      </c>
      <c r="S2291" t="e">
        <v>#DIV/0!</v>
      </c>
      <c r="T2291" t="s">
        <v>82</v>
      </c>
    </row>
    <row r="2292" spans="15:20" x14ac:dyDescent="0.25">
      <c r="O2292">
        <v>1</v>
      </c>
      <c r="S2292" t="e">
        <v>#DIV/0!</v>
      </c>
      <c r="T2292" t="s">
        <v>82</v>
      </c>
    </row>
    <row r="2293" spans="15:20" x14ac:dyDescent="0.25">
      <c r="O2293">
        <v>1</v>
      </c>
      <c r="S2293" t="e">
        <v>#DIV/0!</v>
      </c>
      <c r="T2293" t="s">
        <v>82</v>
      </c>
    </row>
    <row r="2294" spans="15:20" x14ac:dyDescent="0.25">
      <c r="O2294">
        <v>1</v>
      </c>
      <c r="S2294" t="e">
        <v>#DIV/0!</v>
      </c>
      <c r="T2294" t="s">
        <v>82</v>
      </c>
    </row>
    <row r="2295" spans="15:20" x14ac:dyDescent="0.25">
      <c r="O2295">
        <v>1</v>
      </c>
      <c r="S2295" t="e">
        <v>#DIV/0!</v>
      </c>
      <c r="T2295" t="s">
        <v>82</v>
      </c>
    </row>
    <row r="2296" spans="15:20" x14ac:dyDescent="0.25">
      <c r="O2296">
        <v>1</v>
      </c>
      <c r="S2296" t="e">
        <v>#DIV/0!</v>
      </c>
      <c r="T2296" t="s">
        <v>82</v>
      </c>
    </row>
    <row r="2297" spans="15:20" x14ac:dyDescent="0.25">
      <c r="O2297">
        <v>1</v>
      </c>
      <c r="S2297" t="e">
        <v>#DIV/0!</v>
      </c>
      <c r="T2297" t="s">
        <v>82</v>
      </c>
    </row>
    <row r="2298" spans="15:20" x14ac:dyDescent="0.25">
      <c r="O2298">
        <v>1</v>
      </c>
      <c r="S2298" t="e">
        <v>#DIV/0!</v>
      </c>
      <c r="T2298" t="s">
        <v>82</v>
      </c>
    </row>
    <row r="2299" spans="15:20" x14ac:dyDescent="0.25">
      <c r="O2299">
        <v>1</v>
      </c>
      <c r="S2299" t="e">
        <v>#DIV/0!</v>
      </c>
      <c r="T2299" t="s">
        <v>82</v>
      </c>
    </row>
    <row r="2300" spans="15:20" x14ac:dyDescent="0.25">
      <c r="O2300">
        <v>1</v>
      </c>
      <c r="S2300" t="e">
        <v>#DIV/0!</v>
      </c>
      <c r="T2300" t="s">
        <v>82</v>
      </c>
    </row>
    <row r="2301" spans="15:20" x14ac:dyDescent="0.25">
      <c r="O2301">
        <v>1</v>
      </c>
      <c r="S2301" t="e">
        <v>#DIV/0!</v>
      </c>
      <c r="T2301" t="s">
        <v>82</v>
      </c>
    </row>
    <row r="2302" spans="15:20" x14ac:dyDescent="0.25">
      <c r="O2302">
        <v>1</v>
      </c>
      <c r="S2302" t="e">
        <v>#DIV/0!</v>
      </c>
      <c r="T2302" t="s">
        <v>82</v>
      </c>
    </row>
    <row r="2303" spans="15:20" x14ac:dyDescent="0.25">
      <c r="O2303">
        <v>1</v>
      </c>
      <c r="S2303" t="e">
        <v>#DIV/0!</v>
      </c>
      <c r="T2303" t="s">
        <v>82</v>
      </c>
    </row>
    <row r="2304" spans="15:20" x14ac:dyDescent="0.25">
      <c r="O2304">
        <v>1</v>
      </c>
      <c r="S2304" t="e">
        <v>#DIV/0!</v>
      </c>
      <c r="T2304" t="s">
        <v>82</v>
      </c>
    </row>
    <row r="2305" spans="15:20" x14ac:dyDescent="0.25">
      <c r="O2305">
        <v>1</v>
      </c>
      <c r="S2305" t="e">
        <v>#DIV/0!</v>
      </c>
      <c r="T2305" t="s">
        <v>82</v>
      </c>
    </row>
    <row r="2306" spans="15:20" x14ac:dyDescent="0.25">
      <c r="O2306">
        <v>1</v>
      </c>
      <c r="S2306" t="e">
        <v>#DIV/0!</v>
      </c>
      <c r="T2306" t="s">
        <v>82</v>
      </c>
    </row>
    <row r="2307" spans="15:20" x14ac:dyDescent="0.25">
      <c r="O2307">
        <v>1</v>
      </c>
      <c r="S2307" t="e">
        <v>#DIV/0!</v>
      </c>
      <c r="T2307" t="s">
        <v>82</v>
      </c>
    </row>
    <row r="2308" spans="15:20" x14ac:dyDescent="0.25">
      <c r="O2308">
        <v>1</v>
      </c>
      <c r="S2308" t="e">
        <v>#DIV/0!</v>
      </c>
      <c r="T2308" t="s">
        <v>82</v>
      </c>
    </row>
    <row r="2309" spans="15:20" x14ac:dyDescent="0.25">
      <c r="O2309">
        <v>1</v>
      </c>
      <c r="S2309" t="e">
        <v>#DIV/0!</v>
      </c>
      <c r="T2309" t="s">
        <v>82</v>
      </c>
    </row>
    <row r="2310" spans="15:20" x14ac:dyDescent="0.25">
      <c r="O2310">
        <v>1</v>
      </c>
      <c r="S2310" t="e">
        <v>#DIV/0!</v>
      </c>
      <c r="T2310" t="s">
        <v>82</v>
      </c>
    </row>
    <row r="2311" spans="15:20" x14ac:dyDescent="0.25">
      <c r="O2311">
        <v>1</v>
      </c>
      <c r="S2311" t="e">
        <v>#DIV/0!</v>
      </c>
      <c r="T2311" t="s">
        <v>82</v>
      </c>
    </row>
    <row r="2312" spans="15:20" x14ac:dyDescent="0.25">
      <c r="O2312">
        <v>1</v>
      </c>
      <c r="S2312" t="e">
        <v>#DIV/0!</v>
      </c>
      <c r="T2312" t="s">
        <v>82</v>
      </c>
    </row>
    <row r="2313" spans="15:20" x14ac:dyDescent="0.25">
      <c r="O2313">
        <v>1</v>
      </c>
      <c r="S2313" t="e">
        <v>#DIV/0!</v>
      </c>
      <c r="T2313" t="s">
        <v>82</v>
      </c>
    </row>
    <row r="2314" spans="15:20" x14ac:dyDescent="0.25">
      <c r="O2314">
        <v>1</v>
      </c>
      <c r="S2314" t="e">
        <v>#DIV/0!</v>
      </c>
      <c r="T2314" t="s">
        <v>82</v>
      </c>
    </row>
    <row r="2315" spans="15:20" x14ac:dyDescent="0.25">
      <c r="O2315">
        <v>1</v>
      </c>
      <c r="S2315" t="e">
        <v>#DIV/0!</v>
      </c>
      <c r="T2315" t="s">
        <v>82</v>
      </c>
    </row>
    <row r="2316" spans="15:20" x14ac:dyDescent="0.25">
      <c r="O2316">
        <v>1</v>
      </c>
      <c r="S2316" t="e">
        <v>#DIV/0!</v>
      </c>
      <c r="T2316" t="s">
        <v>82</v>
      </c>
    </row>
    <row r="2317" spans="15:20" x14ac:dyDescent="0.25">
      <c r="O2317">
        <v>1</v>
      </c>
      <c r="S2317" t="e">
        <v>#DIV/0!</v>
      </c>
      <c r="T2317" t="s">
        <v>82</v>
      </c>
    </row>
    <row r="2318" spans="15:20" x14ac:dyDescent="0.25">
      <c r="O2318">
        <v>1</v>
      </c>
      <c r="S2318" t="e">
        <v>#DIV/0!</v>
      </c>
      <c r="T2318" t="s">
        <v>82</v>
      </c>
    </row>
    <row r="2319" spans="15:20" x14ac:dyDescent="0.25">
      <c r="O2319">
        <v>1</v>
      </c>
      <c r="S2319" t="e">
        <v>#DIV/0!</v>
      </c>
      <c r="T2319" t="s">
        <v>82</v>
      </c>
    </row>
    <row r="2320" spans="15:20" x14ac:dyDescent="0.25">
      <c r="O2320">
        <v>1</v>
      </c>
      <c r="S2320" t="e">
        <v>#DIV/0!</v>
      </c>
      <c r="T2320" t="s">
        <v>82</v>
      </c>
    </row>
    <row r="2321" spans="15:20" x14ac:dyDescent="0.25">
      <c r="O2321">
        <v>1</v>
      </c>
      <c r="S2321" t="e">
        <v>#DIV/0!</v>
      </c>
      <c r="T2321" t="s">
        <v>82</v>
      </c>
    </row>
    <row r="2322" spans="15:20" x14ac:dyDescent="0.25">
      <c r="O2322">
        <v>1</v>
      </c>
      <c r="S2322" t="e">
        <v>#DIV/0!</v>
      </c>
      <c r="T2322" t="s">
        <v>82</v>
      </c>
    </row>
    <row r="2323" spans="15:20" x14ac:dyDescent="0.25">
      <c r="O2323">
        <v>1</v>
      </c>
      <c r="S2323" t="e">
        <v>#DIV/0!</v>
      </c>
      <c r="T2323" t="s">
        <v>82</v>
      </c>
    </row>
    <row r="2324" spans="15:20" x14ac:dyDescent="0.25">
      <c r="O2324">
        <v>1</v>
      </c>
      <c r="S2324" t="e">
        <v>#DIV/0!</v>
      </c>
      <c r="T2324" t="s">
        <v>82</v>
      </c>
    </row>
    <row r="2325" spans="15:20" x14ac:dyDescent="0.25">
      <c r="O2325">
        <v>1</v>
      </c>
      <c r="S2325" t="e">
        <v>#DIV/0!</v>
      </c>
      <c r="T2325" t="s">
        <v>82</v>
      </c>
    </row>
    <row r="2326" spans="15:20" x14ac:dyDescent="0.25">
      <c r="O2326">
        <v>1</v>
      </c>
      <c r="S2326" t="e">
        <v>#DIV/0!</v>
      </c>
      <c r="T2326" t="s">
        <v>82</v>
      </c>
    </row>
    <row r="2327" spans="15:20" x14ac:dyDescent="0.25">
      <c r="O2327">
        <v>1</v>
      </c>
      <c r="S2327" t="e">
        <v>#DIV/0!</v>
      </c>
      <c r="T2327" t="s">
        <v>82</v>
      </c>
    </row>
    <row r="2328" spans="15:20" x14ac:dyDescent="0.25">
      <c r="O2328">
        <v>1</v>
      </c>
      <c r="S2328" t="e">
        <v>#DIV/0!</v>
      </c>
      <c r="T2328" t="s">
        <v>82</v>
      </c>
    </row>
    <row r="2329" spans="15:20" x14ac:dyDescent="0.25">
      <c r="O2329">
        <v>1</v>
      </c>
      <c r="S2329" t="e">
        <v>#DIV/0!</v>
      </c>
      <c r="T2329" t="s">
        <v>82</v>
      </c>
    </row>
    <row r="2330" spans="15:20" x14ac:dyDescent="0.25">
      <c r="O2330">
        <v>1</v>
      </c>
      <c r="S2330" t="e">
        <v>#DIV/0!</v>
      </c>
      <c r="T2330" t="s">
        <v>82</v>
      </c>
    </row>
    <row r="2331" spans="15:20" x14ac:dyDescent="0.25">
      <c r="O2331">
        <v>1</v>
      </c>
      <c r="S2331" t="e">
        <v>#DIV/0!</v>
      </c>
      <c r="T2331" t="s">
        <v>82</v>
      </c>
    </row>
    <row r="2332" spans="15:20" x14ac:dyDescent="0.25">
      <c r="O2332">
        <v>1</v>
      </c>
      <c r="S2332" t="e">
        <v>#DIV/0!</v>
      </c>
      <c r="T2332" t="s">
        <v>82</v>
      </c>
    </row>
    <row r="2333" spans="15:20" x14ac:dyDescent="0.25">
      <c r="O2333">
        <v>1</v>
      </c>
      <c r="S2333" t="e">
        <v>#DIV/0!</v>
      </c>
      <c r="T2333" t="s">
        <v>82</v>
      </c>
    </row>
    <row r="2334" spans="15:20" x14ac:dyDescent="0.25">
      <c r="O2334">
        <v>1</v>
      </c>
      <c r="S2334" t="e">
        <v>#DIV/0!</v>
      </c>
      <c r="T2334" t="s">
        <v>82</v>
      </c>
    </row>
    <row r="2335" spans="15:20" x14ac:dyDescent="0.25">
      <c r="O2335">
        <v>1</v>
      </c>
      <c r="S2335" t="e">
        <v>#DIV/0!</v>
      </c>
      <c r="T2335" t="s">
        <v>82</v>
      </c>
    </row>
    <row r="2336" spans="15:20" x14ac:dyDescent="0.25">
      <c r="O2336">
        <v>1</v>
      </c>
      <c r="S2336" t="e">
        <v>#DIV/0!</v>
      </c>
      <c r="T2336" t="s">
        <v>82</v>
      </c>
    </row>
    <row r="2337" spans="15:20" x14ac:dyDescent="0.25">
      <c r="O2337">
        <v>1</v>
      </c>
      <c r="S2337" t="e">
        <v>#DIV/0!</v>
      </c>
      <c r="T2337" t="s">
        <v>82</v>
      </c>
    </row>
    <row r="2338" spans="15:20" x14ac:dyDescent="0.25">
      <c r="O2338">
        <v>1</v>
      </c>
      <c r="S2338" t="e">
        <v>#DIV/0!</v>
      </c>
      <c r="T2338" t="s">
        <v>82</v>
      </c>
    </row>
    <row r="2339" spans="15:20" x14ac:dyDescent="0.25">
      <c r="O2339">
        <v>1</v>
      </c>
      <c r="S2339" t="e">
        <v>#DIV/0!</v>
      </c>
      <c r="T2339" t="s">
        <v>82</v>
      </c>
    </row>
    <row r="2340" spans="15:20" x14ac:dyDescent="0.25">
      <c r="O2340">
        <v>1</v>
      </c>
      <c r="S2340" t="e">
        <v>#DIV/0!</v>
      </c>
      <c r="T2340" t="s">
        <v>82</v>
      </c>
    </row>
    <row r="2341" spans="15:20" x14ac:dyDescent="0.25">
      <c r="O2341">
        <v>1</v>
      </c>
      <c r="S2341" t="e">
        <v>#DIV/0!</v>
      </c>
      <c r="T2341" t="s">
        <v>82</v>
      </c>
    </row>
    <row r="2342" spans="15:20" x14ac:dyDescent="0.25">
      <c r="O2342">
        <v>1</v>
      </c>
      <c r="S2342" t="e">
        <v>#DIV/0!</v>
      </c>
      <c r="T2342" t="s">
        <v>82</v>
      </c>
    </row>
    <row r="2343" spans="15:20" x14ac:dyDescent="0.25">
      <c r="O2343">
        <v>1</v>
      </c>
      <c r="S2343" t="e">
        <v>#DIV/0!</v>
      </c>
      <c r="T2343" t="s">
        <v>82</v>
      </c>
    </row>
    <row r="2344" spans="15:20" x14ac:dyDescent="0.25">
      <c r="O2344">
        <v>1</v>
      </c>
      <c r="S2344" t="e">
        <v>#DIV/0!</v>
      </c>
      <c r="T2344" t="s">
        <v>82</v>
      </c>
    </row>
    <row r="2345" spans="15:20" x14ac:dyDescent="0.25">
      <c r="O2345">
        <v>1</v>
      </c>
      <c r="S2345" t="e">
        <v>#DIV/0!</v>
      </c>
      <c r="T2345" t="s">
        <v>82</v>
      </c>
    </row>
    <row r="2346" spans="15:20" x14ac:dyDescent="0.25">
      <c r="O2346">
        <v>1</v>
      </c>
      <c r="S2346" t="e">
        <v>#DIV/0!</v>
      </c>
      <c r="T2346" t="s">
        <v>82</v>
      </c>
    </row>
    <row r="2347" spans="15:20" x14ac:dyDescent="0.25">
      <c r="O2347">
        <v>1</v>
      </c>
      <c r="S2347" t="e">
        <v>#DIV/0!</v>
      </c>
      <c r="T2347" t="s">
        <v>82</v>
      </c>
    </row>
    <row r="2348" spans="15:20" x14ac:dyDescent="0.25">
      <c r="O2348">
        <v>1</v>
      </c>
      <c r="S2348" t="e">
        <v>#DIV/0!</v>
      </c>
      <c r="T2348" t="s">
        <v>82</v>
      </c>
    </row>
    <row r="2349" spans="15:20" x14ac:dyDescent="0.25">
      <c r="O2349">
        <v>1</v>
      </c>
      <c r="S2349" t="e">
        <v>#DIV/0!</v>
      </c>
      <c r="T2349" t="s">
        <v>82</v>
      </c>
    </row>
    <row r="2350" spans="15:20" x14ac:dyDescent="0.25">
      <c r="O2350">
        <v>1</v>
      </c>
      <c r="S2350" t="e">
        <v>#DIV/0!</v>
      </c>
      <c r="T2350" t="s">
        <v>82</v>
      </c>
    </row>
    <row r="2351" spans="15:20" x14ac:dyDescent="0.25">
      <c r="O2351">
        <v>1</v>
      </c>
      <c r="S2351" t="e">
        <v>#DIV/0!</v>
      </c>
      <c r="T2351" t="s">
        <v>82</v>
      </c>
    </row>
    <row r="2352" spans="15:20" x14ac:dyDescent="0.25">
      <c r="O2352">
        <v>1</v>
      </c>
      <c r="S2352" t="e">
        <v>#DIV/0!</v>
      </c>
      <c r="T2352" t="s">
        <v>82</v>
      </c>
    </row>
    <row r="2353" spans="15:20" x14ac:dyDescent="0.25">
      <c r="O2353">
        <v>1</v>
      </c>
      <c r="S2353" t="e">
        <v>#DIV/0!</v>
      </c>
      <c r="T2353" t="s">
        <v>82</v>
      </c>
    </row>
    <row r="2354" spans="15:20" x14ac:dyDescent="0.25">
      <c r="O2354">
        <v>1</v>
      </c>
      <c r="S2354" t="e">
        <v>#DIV/0!</v>
      </c>
      <c r="T2354" t="s">
        <v>82</v>
      </c>
    </row>
    <row r="2355" spans="15:20" x14ac:dyDescent="0.25">
      <c r="O2355">
        <v>1</v>
      </c>
      <c r="S2355" t="e">
        <v>#DIV/0!</v>
      </c>
      <c r="T2355" t="s">
        <v>82</v>
      </c>
    </row>
    <row r="2356" spans="15:20" x14ac:dyDescent="0.25">
      <c r="O2356">
        <v>1</v>
      </c>
      <c r="S2356" t="e">
        <v>#DIV/0!</v>
      </c>
      <c r="T2356" t="s">
        <v>82</v>
      </c>
    </row>
    <row r="2357" spans="15:20" x14ac:dyDescent="0.25">
      <c r="O2357">
        <v>1</v>
      </c>
      <c r="S2357" t="e">
        <v>#DIV/0!</v>
      </c>
      <c r="T2357" t="s">
        <v>82</v>
      </c>
    </row>
    <row r="2358" spans="15:20" x14ac:dyDescent="0.25">
      <c r="O2358">
        <v>1</v>
      </c>
      <c r="S2358" t="e">
        <v>#DIV/0!</v>
      </c>
      <c r="T2358" t="s">
        <v>82</v>
      </c>
    </row>
    <row r="2359" spans="15:20" x14ac:dyDescent="0.25">
      <c r="O2359">
        <v>1</v>
      </c>
      <c r="S2359" t="e">
        <v>#DIV/0!</v>
      </c>
      <c r="T2359" t="s">
        <v>82</v>
      </c>
    </row>
    <row r="2360" spans="15:20" x14ac:dyDescent="0.25">
      <c r="O2360">
        <v>1</v>
      </c>
      <c r="S2360" t="e">
        <v>#DIV/0!</v>
      </c>
      <c r="T2360" t="s">
        <v>82</v>
      </c>
    </row>
    <row r="2361" spans="15:20" x14ac:dyDescent="0.25">
      <c r="O2361">
        <v>1</v>
      </c>
      <c r="S2361" t="e">
        <v>#DIV/0!</v>
      </c>
      <c r="T2361" t="s">
        <v>82</v>
      </c>
    </row>
    <row r="2362" spans="15:20" x14ac:dyDescent="0.25">
      <c r="O2362">
        <v>1</v>
      </c>
      <c r="S2362" t="e">
        <v>#DIV/0!</v>
      </c>
      <c r="T2362" t="s">
        <v>82</v>
      </c>
    </row>
    <row r="2363" spans="15:20" x14ac:dyDescent="0.25">
      <c r="O2363">
        <v>1</v>
      </c>
      <c r="S2363" t="e">
        <v>#DIV/0!</v>
      </c>
      <c r="T2363" t="s">
        <v>82</v>
      </c>
    </row>
    <row r="2364" spans="15:20" x14ac:dyDescent="0.25">
      <c r="O2364">
        <v>1</v>
      </c>
      <c r="S2364" t="e">
        <v>#DIV/0!</v>
      </c>
      <c r="T2364" t="s">
        <v>82</v>
      </c>
    </row>
    <row r="2365" spans="15:20" x14ac:dyDescent="0.25">
      <c r="O2365">
        <v>1</v>
      </c>
      <c r="S2365" t="e">
        <v>#DIV/0!</v>
      </c>
      <c r="T2365" t="s">
        <v>82</v>
      </c>
    </row>
    <row r="2366" spans="15:20" x14ac:dyDescent="0.25">
      <c r="O2366">
        <v>1</v>
      </c>
      <c r="S2366" t="e">
        <v>#DIV/0!</v>
      </c>
      <c r="T2366" t="s">
        <v>82</v>
      </c>
    </row>
    <row r="2367" spans="15:20" x14ac:dyDescent="0.25">
      <c r="O2367">
        <v>1</v>
      </c>
      <c r="S2367" t="e">
        <v>#DIV/0!</v>
      </c>
      <c r="T2367" t="s">
        <v>82</v>
      </c>
    </row>
    <row r="2368" spans="15:20" x14ac:dyDescent="0.25">
      <c r="O2368">
        <v>1</v>
      </c>
      <c r="S2368" t="e">
        <v>#DIV/0!</v>
      </c>
      <c r="T2368" t="s">
        <v>82</v>
      </c>
    </row>
    <row r="2369" spans="15:20" x14ac:dyDescent="0.25">
      <c r="O2369">
        <v>1</v>
      </c>
      <c r="S2369" t="e">
        <v>#DIV/0!</v>
      </c>
      <c r="T2369" t="s">
        <v>82</v>
      </c>
    </row>
    <row r="2370" spans="15:20" x14ac:dyDescent="0.25">
      <c r="O2370">
        <v>1</v>
      </c>
      <c r="S2370" t="e">
        <v>#DIV/0!</v>
      </c>
      <c r="T2370" t="s">
        <v>82</v>
      </c>
    </row>
    <row r="2371" spans="15:20" x14ac:dyDescent="0.25">
      <c r="O2371">
        <v>1</v>
      </c>
      <c r="S2371" t="e">
        <v>#DIV/0!</v>
      </c>
      <c r="T2371" t="s">
        <v>82</v>
      </c>
    </row>
    <row r="2372" spans="15:20" x14ac:dyDescent="0.25">
      <c r="O2372">
        <v>1</v>
      </c>
      <c r="S2372" t="e">
        <v>#DIV/0!</v>
      </c>
      <c r="T2372" t="s">
        <v>82</v>
      </c>
    </row>
    <row r="2373" spans="15:20" x14ac:dyDescent="0.25">
      <c r="O2373">
        <v>1</v>
      </c>
      <c r="S2373" t="e">
        <v>#DIV/0!</v>
      </c>
      <c r="T2373" t="s">
        <v>82</v>
      </c>
    </row>
    <row r="2374" spans="15:20" x14ac:dyDescent="0.25">
      <c r="O2374">
        <v>1</v>
      </c>
      <c r="S2374" t="e">
        <v>#DIV/0!</v>
      </c>
      <c r="T2374" t="s">
        <v>82</v>
      </c>
    </row>
    <row r="2375" spans="15:20" x14ac:dyDescent="0.25">
      <c r="O2375">
        <v>1</v>
      </c>
      <c r="S2375" t="e">
        <v>#DIV/0!</v>
      </c>
      <c r="T2375" t="s">
        <v>82</v>
      </c>
    </row>
    <row r="2376" spans="15:20" x14ac:dyDescent="0.25">
      <c r="O2376">
        <v>1</v>
      </c>
      <c r="S2376" t="e">
        <v>#DIV/0!</v>
      </c>
      <c r="T2376" t="s">
        <v>82</v>
      </c>
    </row>
    <row r="2377" spans="15:20" x14ac:dyDescent="0.25">
      <c r="O2377">
        <v>1</v>
      </c>
      <c r="S2377" t="e">
        <v>#DIV/0!</v>
      </c>
      <c r="T2377" t="s">
        <v>82</v>
      </c>
    </row>
    <row r="2378" spans="15:20" x14ac:dyDescent="0.25">
      <c r="O2378">
        <v>1</v>
      </c>
      <c r="S2378" t="e">
        <v>#DIV/0!</v>
      </c>
      <c r="T2378" t="s">
        <v>82</v>
      </c>
    </row>
    <row r="2379" spans="15:20" x14ac:dyDescent="0.25">
      <c r="O2379">
        <v>1</v>
      </c>
      <c r="S2379" t="e">
        <v>#DIV/0!</v>
      </c>
      <c r="T2379" t="s">
        <v>82</v>
      </c>
    </row>
    <row r="2380" spans="15:20" x14ac:dyDescent="0.25">
      <c r="O2380">
        <v>1</v>
      </c>
      <c r="S2380" t="e">
        <v>#DIV/0!</v>
      </c>
      <c r="T2380" t="s">
        <v>82</v>
      </c>
    </row>
    <row r="2381" spans="15:20" x14ac:dyDescent="0.25">
      <c r="O2381">
        <v>1</v>
      </c>
      <c r="S2381" t="e">
        <v>#DIV/0!</v>
      </c>
      <c r="T2381" t="s">
        <v>82</v>
      </c>
    </row>
    <row r="2382" spans="15:20" x14ac:dyDescent="0.25">
      <c r="O2382">
        <v>1</v>
      </c>
      <c r="S2382" t="e">
        <v>#DIV/0!</v>
      </c>
      <c r="T2382" t="s">
        <v>82</v>
      </c>
    </row>
    <row r="2383" spans="15:20" x14ac:dyDescent="0.25">
      <c r="O2383">
        <v>1</v>
      </c>
      <c r="S2383" t="e">
        <v>#DIV/0!</v>
      </c>
      <c r="T2383" t="s">
        <v>82</v>
      </c>
    </row>
    <row r="2384" spans="15:20" x14ac:dyDescent="0.25">
      <c r="O2384">
        <v>1</v>
      </c>
      <c r="S2384" t="e">
        <v>#DIV/0!</v>
      </c>
      <c r="T2384" t="s">
        <v>82</v>
      </c>
    </row>
    <row r="2385" spans="15:20" x14ac:dyDescent="0.25">
      <c r="O2385">
        <v>1</v>
      </c>
      <c r="S2385" t="e">
        <v>#DIV/0!</v>
      </c>
      <c r="T2385" t="s">
        <v>82</v>
      </c>
    </row>
    <row r="2386" spans="15:20" x14ac:dyDescent="0.25">
      <c r="O2386">
        <v>1</v>
      </c>
      <c r="S2386" t="e">
        <v>#DIV/0!</v>
      </c>
      <c r="T2386" t="s">
        <v>82</v>
      </c>
    </row>
    <row r="2387" spans="15:20" x14ac:dyDescent="0.25">
      <c r="O2387">
        <v>1</v>
      </c>
      <c r="S2387" t="e">
        <v>#DIV/0!</v>
      </c>
      <c r="T2387" t="s">
        <v>82</v>
      </c>
    </row>
    <row r="2388" spans="15:20" x14ac:dyDescent="0.25">
      <c r="O2388">
        <v>1</v>
      </c>
      <c r="S2388" t="e">
        <v>#DIV/0!</v>
      </c>
      <c r="T2388" t="s">
        <v>82</v>
      </c>
    </row>
    <row r="2389" spans="15:20" x14ac:dyDescent="0.25">
      <c r="O2389">
        <v>1</v>
      </c>
      <c r="S2389" t="e">
        <v>#DIV/0!</v>
      </c>
      <c r="T2389" t="s">
        <v>82</v>
      </c>
    </row>
    <row r="2390" spans="15:20" x14ac:dyDescent="0.25">
      <c r="O2390">
        <v>1</v>
      </c>
      <c r="S2390" t="e">
        <v>#DIV/0!</v>
      </c>
      <c r="T2390" t="s">
        <v>82</v>
      </c>
    </row>
    <row r="2391" spans="15:20" x14ac:dyDescent="0.25">
      <c r="O2391">
        <v>1</v>
      </c>
      <c r="S2391" t="e">
        <v>#DIV/0!</v>
      </c>
      <c r="T2391" t="s">
        <v>82</v>
      </c>
    </row>
    <row r="2392" spans="15:20" x14ac:dyDescent="0.25">
      <c r="O2392">
        <v>1</v>
      </c>
      <c r="S2392" t="e">
        <v>#DIV/0!</v>
      </c>
      <c r="T2392" t="s">
        <v>82</v>
      </c>
    </row>
    <row r="2393" spans="15:20" x14ac:dyDescent="0.25">
      <c r="O2393">
        <v>1</v>
      </c>
      <c r="S2393" t="e">
        <v>#DIV/0!</v>
      </c>
      <c r="T2393" t="s">
        <v>82</v>
      </c>
    </row>
    <row r="2394" spans="15:20" x14ac:dyDescent="0.25">
      <c r="O2394">
        <v>1</v>
      </c>
      <c r="S2394" t="e">
        <v>#DIV/0!</v>
      </c>
      <c r="T2394" t="s">
        <v>82</v>
      </c>
    </row>
    <row r="2395" spans="15:20" x14ac:dyDescent="0.25">
      <c r="O2395">
        <v>1</v>
      </c>
      <c r="S2395" t="e">
        <v>#DIV/0!</v>
      </c>
      <c r="T2395" t="s">
        <v>82</v>
      </c>
    </row>
    <row r="2396" spans="15:20" x14ac:dyDescent="0.25">
      <c r="O2396">
        <v>1</v>
      </c>
      <c r="S2396" t="e">
        <v>#DIV/0!</v>
      </c>
      <c r="T2396" t="s">
        <v>82</v>
      </c>
    </row>
    <row r="2397" spans="15:20" x14ac:dyDescent="0.25">
      <c r="O2397">
        <v>1</v>
      </c>
      <c r="S2397" t="e">
        <v>#DIV/0!</v>
      </c>
      <c r="T2397" t="s">
        <v>82</v>
      </c>
    </row>
    <row r="2398" spans="15:20" x14ac:dyDescent="0.25">
      <c r="O2398">
        <v>1</v>
      </c>
      <c r="S2398" t="e">
        <v>#DIV/0!</v>
      </c>
      <c r="T2398" t="s">
        <v>82</v>
      </c>
    </row>
    <row r="2399" spans="15:20" x14ac:dyDescent="0.25">
      <c r="O2399">
        <v>1</v>
      </c>
      <c r="S2399" t="e">
        <v>#DIV/0!</v>
      </c>
      <c r="T2399" t="s">
        <v>82</v>
      </c>
    </row>
    <row r="2400" spans="15:20" x14ac:dyDescent="0.25">
      <c r="O2400">
        <v>1</v>
      </c>
      <c r="S2400" t="e">
        <v>#DIV/0!</v>
      </c>
      <c r="T2400" t="s">
        <v>82</v>
      </c>
    </row>
    <row r="2401" spans="15:20" x14ac:dyDescent="0.25">
      <c r="O2401">
        <v>1</v>
      </c>
      <c r="S2401" t="e">
        <v>#DIV/0!</v>
      </c>
      <c r="T2401" t="s">
        <v>82</v>
      </c>
    </row>
    <row r="2402" spans="15:20" x14ac:dyDescent="0.25">
      <c r="O2402">
        <v>1</v>
      </c>
      <c r="S2402" t="e">
        <v>#DIV/0!</v>
      </c>
      <c r="T2402" t="s">
        <v>82</v>
      </c>
    </row>
    <row r="2403" spans="15:20" x14ac:dyDescent="0.25">
      <c r="O2403">
        <v>1</v>
      </c>
      <c r="S2403" t="e">
        <v>#DIV/0!</v>
      </c>
      <c r="T2403" t="s">
        <v>82</v>
      </c>
    </row>
    <row r="2404" spans="15:20" x14ac:dyDescent="0.25">
      <c r="O2404">
        <v>1</v>
      </c>
      <c r="S2404" t="e">
        <v>#DIV/0!</v>
      </c>
      <c r="T2404" t="s">
        <v>82</v>
      </c>
    </row>
    <row r="2405" spans="15:20" x14ac:dyDescent="0.25">
      <c r="O2405">
        <v>1</v>
      </c>
      <c r="S2405" t="e">
        <v>#DIV/0!</v>
      </c>
      <c r="T2405" t="s">
        <v>82</v>
      </c>
    </row>
    <row r="2406" spans="15:20" x14ac:dyDescent="0.25">
      <c r="O2406">
        <v>1</v>
      </c>
      <c r="S2406" t="e">
        <v>#DIV/0!</v>
      </c>
      <c r="T2406" t="s">
        <v>82</v>
      </c>
    </row>
    <row r="2407" spans="15:20" x14ac:dyDescent="0.25">
      <c r="O2407">
        <v>1</v>
      </c>
      <c r="S2407" t="e">
        <v>#DIV/0!</v>
      </c>
      <c r="T2407" t="s">
        <v>82</v>
      </c>
    </row>
    <row r="2408" spans="15:20" x14ac:dyDescent="0.25">
      <c r="O2408">
        <v>1</v>
      </c>
      <c r="S2408" t="e">
        <v>#DIV/0!</v>
      </c>
      <c r="T2408" t="s">
        <v>82</v>
      </c>
    </row>
    <row r="2409" spans="15:20" x14ac:dyDescent="0.25">
      <c r="O2409">
        <v>1</v>
      </c>
      <c r="S2409" t="e">
        <v>#DIV/0!</v>
      </c>
      <c r="T2409" t="s">
        <v>82</v>
      </c>
    </row>
    <row r="2410" spans="15:20" x14ac:dyDescent="0.25">
      <c r="O2410">
        <v>1</v>
      </c>
      <c r="S2410" t="e">
        <v>#DIV/0!</v>
      </c>
      <c r="T2410" t="s">
        <v>82</v>
      </c>
    </row>
    <row r="2411" spans="15:20" x14ac:dyDescent="0.25">
      <c r="O2411">
        <v>1</v>
      </c>
      <c r="S2411" t="e">
        <v>#DIV/0!</v>
      </c>
      <c r="T2411" t="s">
        <v>82</v>
      </c>
    </row>
    <row r="2412" spans="15:20" x14ac:dyDescent="0.25">
      <c r="O2412">
        <v>1</v>
      </c>
      <c r="S2412" t="e">
        <v>#DIV/0!</v>
      </c>
      <c r="T2412" t="s">
        <v>82</v>
      </c>
    </row>
    <row r="2413" spans="15:20" x14ac:dyDescent="0.25">
      <c r="O2413">
        <v>1</v>
      </c>
      <c r="S2413" t="e">
        <v>#DIV/0!</v>
      </c>
      <c r="T2413" t="s">
        <v>82</v>
      </c>
    </row>
    <row r="2414" spans="15:20" x14ac:dyDescent="0.25">
      <c r="O2414">
        <v>1</v>
      </c>
      <c r="S2414" t="e">
        <v>#DIV/0!</v>
      </c>
      <c r="T2414" t="s">
        <v>82</v>
      </c>
    </row>
    <row r="2415" spans="15:20" x14ac:dyDescent="0.25">
      <c r="O2415">
        <v>1</v>
      </c>
      <c r="S2415" t="e">
        <v>#DIV/0!</v>
      </c>
      <c r="T2415" t="s">
        <v>82</v>
      </c>
    </row>
    <row r="2416" spans="15:20" x14ac:dyDescent="0.25">
      <c r="O2416">
        <v>1</v>
      </c>
      <c r="S2416" t="e">
        <v>#DIV/0!</v>
      </c>
      <c r="T2416" t="s">
        <v>82</v>
      </c>
    </row>
    <row r="2417" spans="15:20" x14ac:dyDescent="0.25">
      <c r="O2417">
        <v>1</v>
      </c>
      <c r="S2417" t="e">
        <v>#DIV/0!</v>
      </c>
      <c r="T2417" t="s">
        <v>82</v>
      </c>
    </row>
    <row r="2418" spans="15:20" x14ac:dyDescent="0.25">
      <c r="O2418">
        <v>1</v>
      </c>
      <c r="S2418" t="e">
        <v>#DIV/0!</v>
      </c>
      <c r="T2418" t="s">
        <v>82</v>
      </c>
    </row>
    <row r="2419" spans="15:20" x14ac:dyDescent="0.25">
      <c r="O2419">
        <v>1</v>
      </c>
      <c r="S2419" t="e">
        <v>#DIV/0!</v>
      </c>
      <c r="T2419" t="s">
        <v>82</v>
      </c>
    </row>
    <row r="2420" spans="15:20" x14ac:dyDescent="0.25">
      <c r="O2420">
        <v>1</v>
      </c>
      <c r="S2420" t="e">
        <v>#DIV/0!</v>
      </c>
      <c r="T2420" t="s">
        <v>82</v>
      </c>
    </row>
    <row r="2421" spans="15:20" x14ac:dyDescent="0.25">
      <c r="O2421">
        <v>1</v>
      </c>
      <c r="S2421" t="e">
        <v>#DIV/0!</v>
      </c>
      <c r="T2421" t="s">
        <v>82</v>
      </c>
    </row>
    <row r="2422" spans="15:20" x14ac:dyDescent="0.25">
      <c r="O2422">
        <v>1</v>
      </c>
      <c r="S2422" t="e">
        <v>#DIV/0!</v>
      </c>
      <c r="T2422" t="s">
        <v>82</v>
      </c>
    </row>
    <row r="2423" spans="15:20" x14ac:dyDescent="0.25">
      <c r="O2423">
        <v>1</v>
      </c>
      <c r="S2423" t="e">
        <v>#DIV/0!</v>
      </c>
      <c r="T2423" t="s">
        <v>82</v>
      </c>
    </row>
    <row r="2424" spans="15:20" x14ac:dyDescent="0.25">
      <c r="O2424">
        <v>1</v>
      </c>
      <c r="S2424" t="e">
        <v>#DIV/0!</v>
      </c>
      <c r="T2424" t="s">
        <v>82</v>
      </c>
    </row>
    <row r="2425" spans="15:20" x14ac:dyDescent="0.25">
      <c r="O2425">
        <v>1</v>
      </c>
      <c r="S2425" t="e">
        <v>#DIV/0!</v>
      </c>
      <c r="T2425" t="s">
        <v>82</v>
      </c>
    </row>
    <row r="2426" spans="15:20" x14ac:dyDescent="0.25">
      <c r="O2426">
        <v>1</v>
      </c>
      <c r="S2426" t="e">
        <v>#DIV/0!</v>
      </c>
      <c r="T2426" t="s">
        <v>82</v>
      </c>
    </row>
    <row r="2427" spans="15:20" x14ac:dyDescent="0.25">
      <c r="O2427">
        <v>1</v>
      </c>
      <c r="S2427" t="e">
        <v>#DIV/0!</v>
      </c>
      <c r="T2427" t="s">
        <v>82</v>
      </c>
    </row>
    <row r="2428" spans="15:20" x14ac:dyDescent="0.25">
      <c r="O2428">
        <v>1</v>
      </c>
      <c r="S2428" t="e">
        <v>#DIV/0!</v>
      </c>
      <c r="T2428" t="s">
        <v>82</v>
      </c>
    </row>
    <row r="2429" spans="15:20" x14ac:dyDescent="0.25">
      <c r="O2429">
        <v>1</v>
      </c>
      <c r="S2429" t="e">
        <v>#DIV/0!</v>
      </c>
      <c r="T2429" t="s">
        <v>82</v>
      </c>
    </row>
    <row r="2430" spans="15:20" x14ac:dyDescent="0.25">
      <c r="O2430">
        <v>1</v>
      </c>
      <c r="S2430" t="e">
        <v>#DIV/0!</v>
      </c>
      <c r="T2430" t="s">
        <v>82</v>
      </c>
    </row>
    <row r="2431" spans="15:20" x14ac:dyDescent="0.25">
      <c r="O2431">
        <v>1</v>
      </c>
      <c r="S2431" t="e">
        <v>#DIV/0!</v>
      </c>
      <c r="T2431" t="s">
        <v>82</v>
      </c>
    </row>
    <row r="2432" spans="15:20" x14ac:dyDescent="0.25">
      <c r="O2432">
        <v>1</v>
      </c>
      <c r="S2432" t="e">
        <v>#DIV/0!</v>
      </c>
      <c r="T2432" t="s">
        <v>82</v>
      </c>
    </row>
    <row r="2433" spans="15:20" x14ac:dyDescent="0.25">
      <c r="O2433">
        <v>1</v>
      </c>
      <c r="S2433" t="e">
        <v>#DIV/0!</v>
      </c>
      <c r="T2433" t="s">
        <v>82</v>
      </c>
    </row>
    <row r="2434" spans="15:20" x14ac:dyDescent="0.25">
      <c r="O2434">
        <v>1</v>
      </c>
      <c r="S2434" t="e">
        <v>#DIV/0!</v>
      </c>
      <c r="T2434" t="s">
        <v>82</v>
      </c>
    </row>
    <row r="2435" spans="15:20" x14ac:dyDescent="0.25">
      <c r="O2435">
        <v>1</v>
      </c>
      <c r="S2435" t="e">
        <v>#DIV/0!</v>
      </c>
      <c r="T2435" t="s">
        <v>82</v>
      </c>
    </row>
    <row r="2436" spans="15:20" x14ac:dyDescent="0.25">
      <c r="O2436">
        <v>1</v>
      </c>
      <c r="S2436" t="e">
        <v>#DIV/0!</v>
      </c>
      <c r="T2436" t="s">
        <v>82</v>
      </c>
    </row>
    <row r="2437" spans="15:20" x14ac:dyDescent="0.25">
      <c r="O2437">
        <v>1</v>
      </c>
      <c r="S2437" t="e">
        <v>#DIV/0!</v>
      </c>
      <c r="T2437" t="s">
        <v>82</v>
      </c>
    </row>
    <row r="2438" spans="15:20" x14ac:dyDescent="0.25">
      <c r="O2438">
        <v>1</v>
      </c>
      <c r="S2438" t="e">
        <v>#DIV/0!</v>
      </c>
      <c r="T2438" t="s">
        <v>82</v>
      </c>
    </row>
    <row r="2439" spans="15:20" x14ac:dyDescent="0.25">
      <c r="O2439">
        <v>1</v>
      </c>
      <c r="S2439" t="e">
        <v>#DIV/0!</v>
      </c>
      <c r="T2439" t="s">
        <v>82</v>
      </c>
    </row>
    <row r="2440" spans="15:20" x14ac:dyDescent="0.25">
      <c r="O2440">
        <v>1</v>
      </c>
      <c r="S2440" t="e">
        <v>#DIV/0!</v>
      </c>
      <c r="T2440" t="s">
        <v>82</v>
      </c>
    </row>
    <row r="2441" spans="15:20" x14ac:dyDescent="0.25">
      <c r="O2441">
        <v>1</v>
      </c>
      <c r="S2441" t="e">
        <v>#DIV/0!</v>
      </c>
      <c r="T2441" t="s">
        <v>82</v>
      </c>
    </row>
    <row r="2442" spans="15:20" x14ac:dyDescent="0.25">
      <c r="O2442">
        <v>1</v>
      </c>
      <c r="S2442" t="e">
        <v>#DIV/0!</v>
      </c>
      <c r="T2442" t="s">
        <v>82</v>
      </c>
    </row>
    <row r="2443" spans="15:20" x14ac:dyDescent="0.25">
      <c r="O2443">
        <v>1</v>
      </c>
      <c r="S2443" t="e">
        <v>#DIV/0!</v>
      </c>
      <c r="T2443" t="s">
        <v>82</v>
      </c>
    </row>
    <row r="2444" spans="15:20" x14ac:dyDescent="0.25">
      <c r="O2444">
        <v>1</v>
      </c>
      <c r="S2444" t="e">
        <v>#DIV/0!</v>
      </c>
      <c r="T2444" t="s">
        <v>82</v>
      </c>
    </row>
    <row r="2445" spans="15:20" x14ac:dyDescent="0.25">
      <c r="O2445">
        <v>1</v>
      </c>
      <c r="S2445" t="e">
        <v>#DIV/0!</v>
      </c>
      <c r="T2445" t="s">
        <v>82</v>
      </c>
    </row>
    <row r="2446" spans="15:20" x14ac:dyDescent="0.25">
      <c r="O2446">
        <v>1</v>
      </c>
      <c r="S2446" t="e">
        <v>#DIV/0!</v>
      </c>
      <c r="T2446" t="s">
        <v>82</v>
      </c>
    </row>
    <row r="2447" spans="15:20" x14ac:dyDescent="0.25">
      <c r="O2447">
        <v>1</v>
      </c>
      <c r="S2447" t="e">
        <v>#DIV/0!</v>
      </c>
      <c r="T2447" t="s">
        <v>82</v>
      </c>
    </row>
    <row r="2448" spans="15:20" x14ac:dyDescent="0.25">
      <c r="O2448">
        <v>1</v>
      </c>
      <c r="S2448" t="e">
        <v>#DIV/0!</v>
      </c>
      <c r="T2448" t="s">
        <v>82</v>
      </c>
    </row>
    <row r="2449" spans="15:20" x14ac:dyDescent="0.25">
      <c r="O2449">
        <v>1</v>
      </c>
      <c r="S2449" t="e">
        <v>#DIV/0!</v>
      </c>
      <c r="T2449" t="s">
        <v>82</v>
      </c>
    </row>
    <row r="2450" spans="15:20" x14ac:dyDescent="0.25">
      <c r="O2450">
        <v>1</v>
      </c>
      <c r="S2450" t="e">
        <v>#DIV/0!</v>
      </c>
      <c r="T2450" t="s">
        <v>82</v>
      </c>
    </row>
    <row r="2451" spans="15:20" x14ac:dyDescent="0.25">
      <c r="O2451">
        <v>1</v>
      </c>
      <c r="S2451" t="e">
        <v>#DIV/0!</v>
      </c>
      <c r="T2451" t="s">
        <v>82</v>
      </c>
    </row>
    <row r="2452" spans="15:20" x14ac:dyDescent="0.25">
      <c r="O2452">
        <v>1</v>
      </c>
      <c r="S2452" t="e">
        <v>#DIV/0!</v>
      </c>
      <c r="T2452" t="s">
        <v>82</v>
      </c>
    </row>
    <row r="2453" spans="15:20" x14ac:dyDescent="0.25">
      <c r="O2453">
        <v>1</v>
      </c>
      <c r="S2453" t="e">
        <v>#DIV/0!</v>
      </c>
      <c r="T2453" t="s">
        <v>82</v>
      </c>
    </row>
    <row r="2454" spans="15:20" x14ac:dyDescent="0.25">
      <c r="O2454">
        <v>1</v>
      </c>
      <c r="S2454" t="e">
        <v>#DIV/0!</v>
      </c>
      <c r="T2454" t="s">
        <v>82</v>
      </c>
    </row>
    <row r="2455" spans="15:20" x14ac:dyDescent="0.25">
      <c r="O2455">
        <v>1</v>
      </c>
      <c r="S2455" t="e">
        <v>#DIV/0!</v>
      </c>
      <c r="T2455" t="s">
        <v>82</v>
      </c>
    </row>
    <row r="2456" spans="15:20" x14ac:dyDescent="0.25">
      <c r="O2456">
        <v>1</v>
      </c>
      <c r="S2456" t="e">
        <v>#DIV/0!</v>
      </c>
      <c r="T2456" t="s">
        <v>82</v>
      </c>
    </row>
    <row r="2457" spans="15:20" x14ac:dyDescent="0.25">
      <c r="O2457">
        <v>1</v>
      </c>
      <c r="S2457" t="e">
        <v>#DIV/0!</v>
      </c>
      <c r="T2457" t="s">
        <v>82</v>
      </c>
    </row>
    <row r="2458" spans="15:20" x14ac:dyDescent="0.25">
      <c r="O2458">
        <v>1</v>
      </c>
      <c r="S2458" t="e">
        <v>#DIV/0!</v>
      </c>
      <c r="T2458" t="s">
        <v>82</v>
      </c>
    </row>
    <row r="2459" spans="15:20" x14ac:dyDescent="0.25">
      <c r="O2459">
        <v>1</v>
      </c>
      <c r="S2459" t="e">
        <v>#DIV/0!</v>
      </c>
      <c r="T2459" t="s">
        <v>82</v>
      </c>
    </row>
    <row r="2460" spans="15:20" x14ac:dyDescent="0.25">
      <c r="O2460">
        <v>1</v>
      </c>
      <c r="S2460" t="e">
        <v>#DIV/0!</v>
      </c>
      <c r="T2460" t="s">
        <v>82</v>
      </c>
    </row>
    <row r="2461" spans="15:20" x14ac:dyDescent="0.25">
      <c r="O2461">
        <v>1</v>
      </c>
      <c r="S2461" t="e">
        <v>#DIV/0!</v>
      </c>
      <c r="T2461" t="s">
        <v>82</v>
      </c>
    </row>
    <row r="2462" spans="15:20" x14ac:dyDescent="0.25">
      <c r="O2462">
        <v>1</v>
      </c>
      <c r="S2462" t="e">
        <v>#DIV/0!</v>
      </c>
      <c r="T2462" t="s">
        <v>82</v>
      </c>
    </row>
    <row r="2463" spans="15:20" x14ac:dyDescent="0.25">
      <c r="O2463">
        <v>1</v>
      </c>
      <c r="S2463" t="e">
        <v>#DIV/0!</v>
      </c>
      <c r="T2463" t="s">
        <v>82</v>
      </c>
    </row>
    <row r="2464" spans="15:20" x14ac:dyDescent="0.25">
      <c r="O2464">
        <v>1</v>
      </c>
      <c r="S2464" t="e">
        <v>#DIV/0!</v>
      </c>
      <c r="T2464" t="s">
        <v>82</v>
      </c>
    </row>
    <row r="2465" spans="15:20" x14ac:dyDescent="0.25">
      <c r="O2465">
        <v>1</v>
      </c>
      <c r="S2465" t="e">
        <v>#DIV/0!</v>
      </c>
      <c r="T2465" t="s">
        <v>82</v>
      </c>
    </row>
    <row r="2466" spans="15:20" x14ac:dyDescent="0.25">
      <c r="O2466">
        <v>1</v>
      </c>
      <c r="S2466" t="e">
        <v>#DIV/0!</v>
      </c>
      <c r="T2466" t="s">
        <v>82</v>
      </c>
    </row>
    <row r="2467" spans="15:20" x14ac:dyDescent="0.25">
      <c r="O2467">
        <v>1</v>
      </c>
      <c r="S2467" t="e">
        <v>#DIV/0!</v>
      </c>
      <c r="T2467" t="s">
        <v>82</v>
      </c>
    </row>
    <row r="2468" spans="15:20" x14ac:dyDescent="0.25">
      <c r="O2468">
        <v>1</v>
      </c>
      <c r="S2468" t="e">
        <v>#DIV/0!</v>
      </c>
      <c r="T2468" t="s">
        <v>82</v>
      </c>
    </row>
    <row r="2469" spans="15:20" x14ac:dyDescent="0.25">
      <c r="O2469">
        <v>1</v>
      </c>
      <c r="S2469" t="e">
        <v>#DIV/0!</v>
      </c>
      <c r="T2469" t="s">
        <v>82</v>
      </c>
    </row>
    <row r="2470" spans="15:20" x14ac:dyDescent="0.25">
      <c r="O2470">
        <v>1</v>
      </c>
      <c r="S2470" t="e">
        <v>#DIV/0!</v>
      </c>
      <c r="T2470" t="s">
        <v>82</v>
      </c>
    </row>
    <row r="2471" spans="15:20" x14ac:dyDescent="0.25">
      <c r="O2471">
        <v>1</v>
      </c>
      <c r="S2471" t="e">
        <v>#DIV/0!</v>
      </c>
      <c r="T2471" t="s">
        <v>82</v>
      </c>
    </row>
    <row r="2472" spans="15:20" x14ac:dyDescent="0.25">
      <c r="O2472">
        <v>1</v>
      </c>
      <c r="S2472" t="e">
        <v>#DIV/0!</v>
      </c>
      <c r="T2472" t="s">
        <v>82</v>
      </c>
    </row>
    <row r="2473" spans="15:20" x14ac:dyDescent="0.25">
      <c r="O2473">
        <v>1</v>
      </c>
      <c r="S2473" t="e">
        <v>#DIV/0!</v>
      </c>
      <c r="T2473" t="s">
        <v>82</v>
      </c>
    </row>
    <row r="2474" spans="15:20" x14ac:dyDescent="0.25">
      <c r="O2474">
        <v>1</v>
      </c>
      <c r="S2474" t="e">
        <v>#DIV/0!</v>
      </c>
      <c r="T2474" t="s">
        <v>82</v>
      </c>
    </row>
    <row r="2475" spans="15:20" x14ac:dyDescent="0.25">
      <c r="O2475">
        <v>1</v>
      </c>
      <c r="S2475" t="e">
        <v>#DIV/0!</v>
      </c>
      <c r="T2475" t="s">
        <v>82</v>
      </c>
    </row>
    <row r="2476" spans="15:20" x14ac:dyDescent="0.25">
      <c r="O2476">
        <v>1</v>
      </c>
      <c r="S2476" t="e">
        <v>#DIV/0!</v>
      </c>
      <c r="T2476" t="s">
        <v>82</v>
      </c>
    </row>
    <row r="2477" spans="15:20" x14ac:dyDescent="0.25">
      <c r="O2477">
        <v>1</v>
      </c>
      <c r="S2477" t="e">
        <v>#DIV/0!</v>
      </c>
      <c r="T2477" t="s">
        <v>82</v>
      </c>
    </row>
    <row r="2478" spans="15:20" x14ac:dyDescent="0.25">
      <c r="O2478">
        <v>1</v>
      </c>
      <c r="S2478" t="e">
        <v>#DIV/0!</v>
      </c>
      <c r="T2478" t="s">
        <v>82</v>
      </c>
    </row>
    <row r="2479" spans="15:20" x14ac:dyDescent="0.25">
      <c r="O2479">
        <v>1</v>
      </c>
      <c r="S2479" t="e">
        <v>#DIV/0!</v>
      </c>
      <c r="T2479" t="s">
        <v>82</v>
      </c>
    </row>
    <row r="2480" spans="15:20" x14ac:dyDescent="0.25">
      <c r="O2480">
        <v>1</v>
      </c>
      <c r="S2480" t="e">
        <v>#DIV/0!</v>
      </c>
      <c r="T2480" t="s">
        <v>82</v>
      </c>
    </row>
    <row r="2481" spans="15:20" x14ac:dyDescent="0.25">
      <c r="O2481">
        <v>1</v>
      </c>
      <c r="S2481" t="e">
        <v>#DIV/0!</v>
      </c>
      <c r="T2481" t="s">
        <v>82</v>
      </c>
    </row>
    <row r="2482" spans="15:20" x14ac:dyDescent="0.25">
      <c r="O2482">
        <v>1</v>
      </c>
      <c r="S2482" t="e">
        <v>#DIV/0!</v>
      </c>
      <c r="T2482" t="s">
        <v>82</v>
      </c>
    </row>
    <row r="2483" spans="15:20" x14ac:dyDescent="0.25">
      <c r="O2483">
        <v>1</v>
      </c>
      <c r="S2483" t="e">
        <v>#DIV/0!</v>
      </c>
      <c r="T2483" t="s">
        <v>82</v>
      </c>
    </row>
    <row r="2484" spans="15:20" x14ac:dyDescent="0.25">
      <c r="O2484">
        <v>1</v>
      </c>
      <c r="S2484" t="e">
        <v>#DIV/0!</v>
      </c>
      <c r="T2484" t="s">
        <v>82</v>
      </c>
    </row>
    <row r="2485" spans="15:20" x14ac:dyDescent="0.25">
      <c r="O2485">
        <v>1</v>
      </c>
      <c r="S2485" t="e">
        <v>#DIV/0!</v>
      </c>
      <c r="T2485" t="s">
        <v>82</v>
      </c>
    </row>
    <row r="2486" spans="15:20" x14ac:dyDescent="0.25">
      <c r="O2486">
        <v>1</v>
      </c>
      <c r="S2486" t="e">
        <v>#DIV/0!</v>
      </c>
      <c r="T2486" t="s">
        <v>82</v>
      </c>
    </row>
    <row r="2487" spans="15:20" x14ac:dyDescent="0.25">
      <c r="O2487">
        <v>1</v>
      </c>
      <c r="S2487" t="e">
        <v>#DIV/0!</v>
      </c>
      <c r="T2487" t="s">
        <v>82</v>
      </c>
    </row>
    <row r="2488" spans="15:20" x14ac:dyDescent="0.25">
      <c r="O2488">
        <v>1</v>
      </c>
      <c r="S2488" t="e">
        <v>#DIV/0!</v>
      </c>
      <c r="T2488" t="s">
        <v>82</v>
      </c>
    </row>
    <row r="2489" spans="15:20" x14ac:dyDescent="0.25">
      <c r="O2489">
        <v>1</v>
      </c>
      <c r="S2489" t="e">
        <v>#DIV/0!</v>
      </c>
      <c r="T2489" t="s">
        <v>82</v>
      </c>
    </row>
    <row r="2490" spans="15:20" x14ac:dyDescent="0.25">
      <c r="O2490">
        <v>1</v>
      </c>
      <c r="S2490" t="e">
        <v>#DIV/0!</v>
      </c>
      <c r="T2490" t="s">
        <v>82</v>
      </c>
    </row>
    <row r="2491" spans="15:20" x14ac:dyDescent="0.25">
      <c r="O2491">
        <v>1</v>
      </c>
      <c r="S2491" t="e">
        <v>#DIV/0!</v>
      </c>
      <c r="T2491" t="s">
        <v>82</v>
      </c>
    </row>
    <row r="2492" spans="15:20" x14ac:dyDescent="0.25">
      <c r="O2492">
        <v>1</v>
      </c>
      <c r="S2492" t="e">
        <v>#DIV/0!</v>
      </c>
      <c r="T2492" t="s">
        <v>82</v>
      </c>
    </row>
    <row r="2493" spans="15:20" x14ac:dyDescent="0.25">
      <c r="O2493">
        <v>1</v>
      </c>
      <c r="S2493" t="e">
        <v>#DIV/0!</v>
      </c>
      <c r="T2493" t="s">
        <v>82</v>
      </c>
    </row>
    <row r="2494" spans="15:20" x14ac:dyDescent="0.25">
      <c r="O2494">
        <v>1</v>
      </c>
      <c r="S2494" t="e">
        <v>#DIV/0!</v>
      </c>
      <c r="T2494" t="s">
        <v>82</v>
      </c>
    </row>
    <row r="2495" spans="15:20" x14ac:dyDescent="0.25">
      <c r="O2495">
        <v>1</v>
      </c>
      <c r="S2495" t="e">
        <v>#DIV/0!</v>
      </c>
      <c r="T2495" t="s">
        <v>82</v>
      </c>
    </row>
    <row r="2496" spans="15:20" x14ac:dyDescent="0.25">
      <c r="O2496">
        <v>1</v>
      </c>
      <c r="S2496" t="e">
        <v>#DIV/0!</v>
      </c>
      <c r="T2496" t="s">
        <v>82</v>
      </c>
    </row>
    <row r="2497" spans="15:20" x14ac:dyDescent="0.25">
      <c r="O2497">
        <v>1</v>
      </c>
      <c r="S2497" t="e">
        <v>#DIV/0!</v>
      </c>
      <c r="T2497" t="s">
        <v>82</v>
      </c>
    </row>
    <row r="2498" spans="15:20" x14ac:dyDescent="0.25">
      <c r="O2498">
        <v>1</v>
      </c>
      <c r="S2498" t="e">
        <v>#DIV/0!</v>
      </c>
      <c r="T2498" t="s">
        <v>82</v>
      </c>
    </row>
    <row r="2499" spans="15:20" x14ac:dyDescent="0.25">
      <c r="O2499">
        <v>1</v>
      </c>
      <c r="S2499" t="e">
        <v>#DIV/0!</v>
      </c>
      <c r="T2499" t="s">
        <v>82</v>
      </c>
    </row>
    <row r="2500" spans="15:20" x14ac:dyDescent="0.25">
      <c r="O2500">
        <v>1</v>
      </c>
      <c r="S2500" t="e">
        <v>#DIV/0!</v>
      </c>
      <c r="T2500" t="s">
        <v>82</v>
      </c>
    </row>
    <row r="2501" spans="15:20" x14ac:dyDescent="0.25">
      <c r="O2501">
        <v>1</v>
      </c>
      <c r="S2501" t="e">
        <v>#DIV/0!</v>
      </c>
      <c r="T2501" t="s">
        <v>82</v>
      </c>
    </row>
    <row r="2502" spans="15:20" x14ac:dyDescent="0.25">
      <c r="O2502">
        <v>1</v>
      </c>
      <c r="S2502" t="e">
        <v>#DIV/0!</v>
      </c>
      <c r="T2502" t="s">
        <v>82</v>
      </c>
    </row>
    <row r="2503" spans="15:20" x14ac:dyDescent="0.25">
      <c r="O2503">
        <v>1</v>
      </c>
      <c r="S2503" t="e">
        <v>#DIV/0!</v>
      </c>
      <c r="T2503" t="s">
        <v>82</v>
      </c>
    </row>
    <row r="2504" spans="15:20" x14ac:dyDescent="0.25">
      <c r="O2504">
        <v>1</v>
      </c>
      <c r="S2504" t="e">
        <v>#DIV/0!</v>
      </c>
      <c r="T2504" t="s">
        <v>82</v>
      </c>
    </row>
    <row r="2505" spans="15:20" x14ac:dyDescent="0.25">
      <c r="O2505">
        <v>1</v>
      </c>
      <c r="S2505" t="e">
        <v>#DIV/0!</v>
      </c>
      <c r="T2505" t="s">
        <v>82</v>
      </c>
    </row>
    <row r="2506" spans="15:20" x14ac:dyDescent="0.25">
      <c r="O2506">
        <v>1</v>
      </c>
      <c r="S2506" t="e">
        <v>#DIV/0!</v>
      </c>
      <c r="T2506" t="s">
        <v>82</v>
      </c>
    </row>
    <row r="2507" spans="15:20" x14ac:dyDescent="0.25">
      <c r="O2507">
        <v>1</v>
      </c>
      <c r="S2507" t="e">
        <v>#DIV/0!</v>
      </c>
      <c r="T2507" t="s">
        <v>82</v>
      </c>
    </row>
    <row r="2508" spans="15:20" x14ac:dyDescent="0.25">
      <c r="O2508">
        <v>1</v>
      </c>
      <c r="S2508" t="e">
        <v>#DIV/0!</v>
      </c>
      <c r="T2508" t="s">
        <v>82</v>
      </c>
    </row>
    <row r="2509" spans="15:20" x14ac:dyDescent="0.25">
      <c r="O2509">
        <v>1</v>
      </c>
      <c r="S2509" t="e">
        <v>#DIV/0!</v>
      </c>
      <c r="T2509" t="s">
        <v>82</v>
      </c>
    </row>
    <row r="2510" spans="15:20" x14ac:dyDescent="0.25">
      <c r="O2510">
        <v>1</v>
      </c>
      <c r="S2510" t="e">
        <v>#DIV/0!</v>
      </c>
      <c r="T2510" t="s">
        <v>82</v>
      </c>
    </row>
    <row r="2511" spans="15:20" x14ac:dyDescent="0.25">
      <c r="O2511">
        <v>1</v>
      </c>
      <c r="S2511" t="e">
        <v>#DIV/0!</v>
      </c>
      <c r="T2511" t="s">
        <v>82</v>
      </c>
    </row>
    <row r="2512" spans="15:20" x14ac:dyDescent="0.25">
      <c r="O2512">
        <v>1</v>
      </c>
      <c r="S2512" t="e">
        <v>#DIV/0!</v>
      </c>
      <c r="T2512" t="s">
        <v>82</v>
      </c>
    </row>
    <row r="2513" spans="15:20" x14ac:dyDescent="0.25">
      <c r="O2513">
        <v>1</v>
      </c>
      <c r="S2513" t="e">
        <v>#DIV/0!</v>
      </c>
      <c r="T2513" t="s">
        <v>82</v>
      </c>
    </row>
    <row r="2514" spans="15:20" x14ac:dyDescent="0.25">
      <c r="O2514">
        <v>1</v>
      </c>
      <c r="S2514" t="e">
        <v>#DIV/0!</v>
      </c>
      <c r="T2514" t="s">
        <v>82</v>
      </c>
    </row>
    <row r="2515" spans="15:20" x14ac:dyDescent="0.25">
      <c r="O2515">
        <v>1</v>
      </c>
      <c r="S2515" t="e">
        <v>#DIV/0!</v>
      </c>
      <c r="T2515" t="s">
        <v>82</v>
      </c>
    </row>
    <row r="2516" spans="15:20" x14ac:dyDescent="0.25">
      <c r="O2516">
        <v>1</v>
      </c>
      <c r="S2516" t="e">
        <v>#DIV/0!</v>
      </c>
      <c r="T2516" t="s">
        <v>82</v>
      </c>
    </row>
    <row r="2517" spans="15:20" x14ac:dyDescent="0.25">
      <c r="O2517">
        <v>1</v>
      </c>
      <c r="S2517" t="e">
        <v>#DIV/0!</v>
      </c>
      <c r="T2517" t="s">
        <v>82</v>
      </c>
    </row>
    <row r="2518" spans="15:20" x14ac:dyDescent="0.25">
      <c r="O2518">
        <v>1</v>
      </c>
      <c r="S2518" t="e">
        <v>#DIV/0!</v>
      </c>
      <c r="T2518" t="s">
        <v>82</v>
      </c>
    </row>
    <row r="2519" spans="15:20" x14ac:dyDescent="0.25">
      <c r="O2519">
        <v>1</v>
      </c>
      <c r="S2519" t="e">
        <v>#DIV/0!</v>
      </c>
      <c r="T2519" t="s">
        <v>82</v>
      </c>
    </row>
    <row r="2520" spans="15:20" x14ac:dyDescent="0.25">
      <c r="O2520">
        <v>1</v>
      </c>
      <c r="S2520" t="e">
        <v>#DIV/0!</v>
      </c>
      <c r="T2520" t="s">
        <v>82</v>
      </c>
    </row>
    <row r="2521" spans="15:20" x14ac:dyDescent="0.25">
      <c r="O2521">
        <v>1</v>
      </c>
      <c r="S2521" t="e">
        <v>#DIV/0!</v>
      </c>
      <c r="T2521" t="s">
        <v>82</v>
      </c>
    </row>
    <row r="2522" spans="15:20" x14ac:dyDescent="0.25">
      <c r="O2522">
        <v>1</v>
      </c>
      <c r="S2522" t="e">
        <v>#DIV/0!</v>
      </c>
      <c r="T2522" t="s">
        <v>82</v>
      </c>
    </row>
    <row r="2523" spans="15:20" x14ac:dyDescent="0.25">
      <c r="O2523">
        <v>1</v>
      </c>
      <c r="S2523" t="e">
        <v>#DIV/0!</v>
      </c>
      <c r="T2523" t="s">
        <v>82</v>
      </c>
    </row>
    <row r="2524" spans="15:20" x14ac:dyDescent="0.25">
      <c r="O2524">
        <v>1</v>
      </c>
      <c r="S2524" t="e">
        <v>#DIV/0!</v>
      </c>
      <c r="T2524" t="s">
        <v>82</v>
      </c>
    </row>
    <row r="2525" spans="15:20" x14ac:dyDescent="0.25">
      <c r="O2525">
        <v>1</v>
      </c>
      <c r="S2525" t="e">
        <v>#DIV/0!</v>
      </c>
      <c r="T2525" t="s">
        <v>82</v>
      </c>
    </row>
    <row r="2526" spans="15:20" x14ac:dyDescent="0.25">
      <c r="O2526">
        <v>1</v>
      </c>
      <c r="S2526" t="e">
        <v>#DIV/0!</v>
      </c>
      <c r="T2526" t="s">
        <v>82</v>
      </c>
    </row>
    <row r="2527" spans="15:20" x14ac:dyDescent="0.25">
      <c r="O2527">
        <v>1</v>
      </c>
      <c r="S2527" t="e">
        <v>#DIV/0!</v>
      </c>
      <c r="T2527" t="s">
        <v>82</v>
      </c>
    </row>
    <row r="2528" spans="15:20" x14ac:dyDescent="0.25">
      <c r="O2528">
        <v>1</v>
      </c>
      <c r="S2528" t="e">
        <v>#DIV/0!</v>
      </c>
      <c r="T2528" t="s">
        <v>82</v>
      </c>
    </row>
    <row r="2529" spans="15:20" x14ac:dyDescent="0.25">
      <c r="O2529">
        <v>1</v>
      </c>
      <c r="S2529" t="e">
        <v>#DIV/0!</v>
      </c>
      <c r="T2529" t="s">
        <v>82</v>
      </c>
    </row>
    <row r="2530" spans="15:20" x14ac:dyDescent="0.25">
      <c r="O2530">
        <v>1</v>
      </c>
      <c r="S2530" t="e">
        <v>#DIV/0!</v>
      </c>
      <c r="T2530" t="s">
        <v>82</v>
      </c>
    </row>
    <row r="2531" spans="15:20" x14ac:dyDescent="0.25">
      <c r="O2531">
        <v>1</v>
      </c>
      <c r="S2531" t="e">
        <v>#DIV/0!</v>
      </c>
      <c r="T2531" t="s">
        <v>82</v>
      </c>
    </row>
    <row r="2532" spans="15:20" x14ac:dyDescent="0.25">
      <c r="O2532">
        <v>1</v>
      </c>
      <c r="S2532" t="e">
        <v>#DIV/0!</v>
      </c>
      <c r="T2532" t="s">
        <v>82</v>
      </c>
    </row>
    <row r="2533" spans="15:20" x14ac:dyDescent="0.25">
      <c r="O2533">
        <v>1</v>
      </c>
      <c r="S2533" t="e">
        <v>#DIV/0!</v>
      </c>
      <c r="T2533" t="s">
        <v>82</v>
      </c>
    </row>
    <row r="2534" spans="15:20" x14ac:dyDescent="0.25">
      <c r="O2534">
        <v>1</v>
      </c>
      <c r="S2534" t="e">
        <v>#DIV/0!</v>
      </c>
      <c r="T2534" t="s">
        <v>82</v>
      </c>
    </row>
    <row r="2535" spans="15:20" x14ac:dyDescent="0.25">
      <c r="O2535">
        <v>1</v>
      </c>
      <c r="S2535" t="e">
        <v>#DIV/0!</v>
      </c>
      <c r="T2535" t="s">
        <v>82</v>
      </c>
    </row>
    <row r="2536" spans="15:20" x14ac:dyDescent="0.25">
      <c r="O2536">
        <v>1</v>
      </c>
      <c r="S2536" t="e">
        <v>#DIV/0!</v>
      </c>
      <c r="T2536" t="s">
        <v>82</v>
      </c>
    </row>
    <row r="2537" spans="15:20" x14ac:dyDescent="0.25">
      <c r="O2537">
        <v>1</v>
      </c>
      <c r="S2537" t="e">
        <v>#DIV/0!</v>
      </c>
      <c r="T2537" t="s">
        <v>82</v>
      </c>
    </row>
    <row r="2538" spans="15:20" x14ac:dyDescent="0.25">
      <c r="O2538">
        <v>1</v>
      </c>
      <c r="S2538" t="e">
        <v>#DIV/0!</v>
      </c>
      <c r="T2538" t="s">
        <v>82</v>
      </c>
    </row>
    <row r="2539" spans="15:20" x14ac:dyDescent="0.25">
      <c r="O2539">
        <v>1</v>
      </c>
      <c r="S2539" t="e">
        <v>#DIV/0!</v>
      </c>
      <c r="T2539" t="s">
        <v>82</v>
      </c>
    </row>
    <row r="2540" spans="15:20" x14ac:dyDescent="0.25">
      <c r="O2540">
        <v>1</v>
      </c>
      <c r="S2540" t="e">
        <v>#DIV/0!</v>
      </c>
      <c r="T2540" t="s">
        <v>82</v>
      </c>
    </row>
    <row r="2541" spans="15:20" x14ac:dyDescent="0.25">
      <c r="O2541">
        <v>1</v>
      </c>
      <c r="S2541" t="e">
        <v>#DIV/0!</v>
      </c>
      <c r="T2541" t="s">
        <v>82</v>
      </c>
    </row>
    <row r="2542" spans="15:20" x14ac:dyDescent="0.25">
      <c r="O2542">
        <v>1</v>
      </c>
      <c r="S2542" t="e">
        <v>#DIV/0!</v>
      </c>
      <c r="T2542" t="s">
        <v>82</v>
      </c>
    </row>
    <row r="2543" spans="15:20" x14ac:dyDescent="0.25">
      <c r="O2543">
        <v>1</v>
      </c>
      <c r="S2543" t="e">
        <v>#DIV/0!</v>
      </c>
      <c r="T2543" t="s">
        <v>82</v>
      </c>
    </row>
    <row r="2544" spans="15:20" x14ac:dyDescent="0.25">
      <c r="O2544">
        <v>1</v>
      </c>
      <c r="S2544" t="e">
        <v>#DIV/0!</v>
      </c>
      <c r="T2544" t="s">
        <v>82</v>
      </c>
    </row>
    <row r="2545" spans="15:20" x14ac:dyDescent="0.25">
      <c r="O2545">
        <v>1</v>
      </c>
      <c r="S2545" t="e">
        <v>#DIV/0!</v>
      </c>
      <c r="T2545" t="s">
        <v>82</v>
      </c>
    </row>
    <row r="2546" spans="15:20" x14ac:dyDescent="0.25">
      <c r="O2546">
        <v>1</v>
      </c>
      <c r="S2546" t="e">
        <v>#DIV/0!</v>
      </c>
      <c r="T2546" t="s">
        <v>82</v>
      </c>
    </row>
    <row r="2547" spans="15:20" x14ac:dyDescent="0.25">
      <c r="O2547">
        <v>1</v>
      </c>
      <c r="S2547" t="e">
        <v>#DIV/0!</v>
      </c>
      <c r="T2547" t="s">
        <v>82</v>
      </c>
    </row>
    <row r="2548" spans="15:20" x14ac:dyDescent="0.25">
      <c r="O2548">
        <v>1</v>
      </c>
      <c r="S2548" t="e">
        <v>#DIV/0!</v>
      </c>
      <c r="T2548" t="s">
        <v>82</v>
      </c>
    </row>
    <row r="2549" spans="15:20" x14ac:dyDescent="0.25">
      <c r="O2549">
        <v>1</v>
      </c>
      <c r="S2549" t="e">
        <v>#DIV/0!</v>
      </c>
      <c r="T2549" t="s">
        <v>82</v>
      </c>
    </row>
    <row r="2550" spans="15:20" x14ac:dyDescent="0.25">
      <c r="O2550">
        <v>1</v>
      </c>
      <c r="S2550" t="e">
        <v>#DIV/0!</v>
      </c>
      <c r="T2550" t="s">
        <v>82</v>
      </c>
    </row>
    <row r="2551" spans="15:20" x14ac:dyDescent="0.25">
      <c r="O2551">
        <v>1</v>
      </c>
      <c r="S2551" t="e">
        <v>#DIV/0!</v>
      </c>
      <c r="T2551" t="s">
        <v>82</v>
      </c>
    </row>
    <row r="2552" spans="15:20" x14ac:dyDescent="0.25">
      <c r="O2552">
        <v>1</v>
      </c>
      <c r="S2552" t="e">
        <v>#DIV/0!</v>
      </c>
      <c r="T2552" t="s">
        <v>82</v>
      </c>
    </row>
    <row r="2553" spans="15:20" x14ac:dyDescent="0.25">
      <c r="O2553">
        <v>1</v>
      </c>
      <c r="S2553" t="e">
        <v>#DIV/0!</v>
      </c>
      <c r="T2553" t="s">
        <v>82</v>
      </c>
    </row>
    <row r="2554" spans="15:20" x14ac:dyDescent="0.25">
      <c r="O2554">
        <v>1</v>
      </c>
      <c r="S2554" t="e">
        <v>#DIV/0!</v>
      </c>
      <c r="T2554" t="s">
        <v>82</v>
      </c>
    </row>
    <row r="2555" spans="15:20" x14ac:dyDescent="0.25">
      <c r="O2555">
        <v>1</v>
      </c>
      <c r="S2555" t="e">
        <v>#DIV/0!</v>
      </c>
      <c r="T2555" t="s">
        <v>82</v>
      </c>
    </row>
    <row r="2556" spans="15:20" x14ac:dyDescent="0.25">
      <c r="O2556">
        <v>1</v>
      </c>
      <c r="S2556" t="e">
        <v>#DIV/0!</v>
      </c>
      <c r="T2556" t="s">
        <v>82</v>
      </c>
    </row>
    <row r="2557" spans="15:20" x14ac:dyDescent="0.25">
      <c r="O2557">
        <v>1</v>
      </c>
      <c r="S2557" t="e">
        <v>#DIV/0!</v>
      </c>
      <c r="T2557" t="s">
        <v>82</v>
      </c>
    </row>
    <row r="2558" spans="15:20" x14ac:dyDescent="0.25">
      <c r="O2558">
        <v>1</v>
      </c>
      <c r="S2558" t="e">
        <v>#DIV/0!</v>
      </c>
      <c r="T2558" t="s">
        <v>82</v>
      </c>
    </row>
    <row r="2559" spans="15:20" x14ac:dyDescent="0.25">
      <c r="O2559">
        <v>1</v>
      </c>
      <c r="S2559" t="e">
        <v>#DIV/0!</v>
      </c>
      <c r="T2559" t="s">
        <v>82</v>
      </c>
    </row>
    <row r="2560" spans="15:20" x14ac:dyDescent="0.25">
      <c r="O2560">
        <v>1</v>
      </c>
      <c r="S2560" t="e">
        <v>#DIV/0!</v>
      </c>
      <c r="T2560" t="s">
        <v>82</v>
      </c>
    </row>
    <row r="2561" spans="15:20" x14ac:dyDescent="0.25">
      <c r="O2561">
        <v>1</v>
      </c>
      <c r="S2561" t="e">
        <v>#DIV/0!</v>
      </c>
      <c r="T2561" t="s">
        <v>82</v>
      </c>
    </row>
    <row r="2562" spans="15:20" x14ac:dyDescent="0.25">
      <c r="O2562">
        <v>1</v>
      </c>
      <c r="S2562" t="e">
        <v>#DIV/0!</v>
      </c>
      <c r="T2562" t="s">
        <v>82</v>
      </c>
    </row>
    <row r="2563" spans="15:20" x14ac:dyDescent="0.25">
      <c r="O2563">
        <v>1</v>
      </c>
      <c r="S2563" t="e">
        <v>#DIV/0!</v>
      </c>
      <c r="T2563" t="s">
        <v>82</v>
      </c>
    </row>
    <row r="2564" spans="15:20" x14ac:dyDescent="0.25">
      <c r="O2564">
        <v>1</v>
      </c>
      <c r="S2564" t="e">
        <v>#DIV/0!</v>
      </c>
      <c r="T2564" t="s">
        <v>82</v>
      </c>
    </row>
    <row r="2565" spans="15:20" x14ac:dyDescent="0.25">
      <c r="O2565">
        <v>1</v>
      </c>
      <c r="S2565" t="e">
        <v>#DIV/0!</v>
      </c>
      <c r="T2565" t="s">
        <v>82</v>
      </c>
    </row>
    <row r="2566" spans="15:20" x14ac:dyDescent="0.25">
      <c r="O2566">
        <v>1</v>
      </c>
      <c r="S2566" t="e">
        <v>#DIV/0!</v>
      </c>
      <c r="T2566" t="s">
        <v>82</v>
      </c>
    </row>
    <row r="2567" spans="15:20" x14ac:dyDescent="0.25">
      <c r="O2567">
        <v>1</v>
      </c>
      <c r="S2567" t="e">
        <v>#DIV/0!</v>
      </c>
      <c r="T2567" t="s">
        <v>82</v>
      </c>
    </row>
    <row r="2568" spans="15:20" x14ac:dyDescent="0.25">
      <c r="O2568">
        <v>1</v>
      </c>
      <c r="S2568" t="e">
        <v>#DIV/0!</v>
      </c>
      <c r="T2568" t="s">
        <v>82</v>
      </c>
    </row>
    <row r="2569" spans="15:20" x14ac:dyDescent="0.25">
      <c r="O2569">
        <v>1</v>
      </c>
      <c r="S2569" t="e">
        <v>#DIV/0!</v>
      </c>
      <c r="T2569" t="s">
        <v>82</v>
      </c>
    </row>
    <row r="2570" spans="15:20" x14ac:dyDescent="0.25">
      <c r="O2570">
        <v>1</v>
      </c>
      <c r="S2570" t="e">
        <v>#DIV/0!</v>
      </c>
      <c r="T2570" t="s">
        <v>82</v>
      </c>
    </row>
    <row r="2571" spans="15:20" x14ac:dyDescent="0.25">
      <c r="O2571">
        <v>1</v>
      </c>
      <c r="S2571" t="e">
        <v>#DIV/0!</v>
      </c>
      <c r="T2571" t="s">
        <v>82</v>
      </c>
    </row>
    <row r="2572" spans="15:20" x14ac:dyDescent="0.25">
      <c r="O2572">
        <v>1</v>
      </c>
      <c r="S2572" t="e">
        <v>#DIV/0!</v>
      </c>
      <c r="T2572" t="s">
        <v>82</v>
      </c>
    </row>
    <row r="2573" spans="15:20" x14ac:dyDescent="0.25">
      <c r="O2573">
        <v>1</v>
      </c>
      <c r="S2573" t="e">
        <v>#DIV/0!</v>
      </c>
      <c r="T2573" t="s">
        <v>82</v>
      </c>
    </row>
    <row r="2574" spans="15:20" x14ac:dyDescent="0.25">
      <c r="O2574">
        <v>1</v>
      </c>
      <c r="S2574" t="e">
        <v>#DIV/0!</v>
      </c>
      <c r="T2574" t="s">
        <v>82</v>
      </c>
    </row>
    <row r="2575" spans="15:20" x14ac:dyDescent="0.25">
      <c r="O2575">
        <v>1</v>
      </c>
      <c r="S2575" t="e">
        <v>#DIV/0!</v>
      </c>
      <c r="T2575" t="s">
        <v>82</v>
      </c>
    </row>
    <row r="2576" spans="15:20" x14ac:dyDescent="0.25">
      <c r="O2576">
        <v>1</v>
      </c>
      <c r="S2576" t="e">
        <v>#DIV/0!</v>
      </c>
      <c r="T2576" t="s">
        <v>82</v>
      </c>
    </row>
    <row r="2577" spans="15:20" x14ac:dyDescent="0.25">
      <c r="O2577">
        <v>1</v>
      </c>
      <c r="S2577" t="e">
        <v>#DIV/0!</v>
      </c>
      <c r="T2577" t="s">
        <v>82</v>
      </c>
    </row>
    <row r="2578" spans="15:20" x14ac:dyDescent="0.25">
      <c r="O2578">
        <v>1</v>
      </c>
      <c r="S2578" t="e">
        <v>#DIV/0!</v>
      </c>
      <c r="T2578" t="s">
        <v>82</v>
      </c>
    </row>
    <row r="2579" spans="15:20" x14ac:dyDescent="0.25">
      <c r="O2579">
        <v>1</v>
      </c>
      <c r="S2579" t="e">
        <v>#DIV/0!</v>
      </c>
      <c r="T2579" t="s">
        <v>82</v>
      </c>
    </row>
    <row r="2580" spans="15:20" x14ac:dyDescent="0.25">
      <c r="O2580">
        <v>1</v>
      </c>
      <c r="S2580" t="e">
        <v>#DIV/0!</v>
      </c>
      <c r="T2580" t="s">
        <v>82</v>
      </c>
    </row>
    <row r="2581" spans="15:20" x14ac:dyDescent="0.25">
      <c r="O2581">
        <v>1</v>
      </c>
      <c r="S2581" t="e">
        <v>#DIV/0!</v>
      </c>
      <c r="T2581" t="s">
        <v>82</v>
      </c>
    </row>
    <row r="2582" spans="15:20" x14ac:dyDescent="0.25">
      <c r="O2582">
        <v>1</v>
      </c>
      <c r="S2582" t="e">
        <v>#DIV/0!</v>
      </c>
      <c r="T2582" t="s">
        <v>82</v>
      </c>
    </row>
    <row r="2583" spans="15:20" x14ac:dyDescent="0.25">
      <c r="O2583">
        <v>1</v>
      </c>
      <c r="S2583" t="e">
        <v>#DIV/0!</v>
      </c>
      <c r="T2583" t="s">
        <v>82</v>
      </c>
    </row>
    <row r="2584" spans="15:20" x14ac:dyDescent="0.25">
      <c r="O2584">
        <v>1</v>
      </c>
      <c r="S2584" t="e">
        <v>#DIV/0!</v>
      </c>
      <c r="T2584" t="s">
        <v>82</v>
      </c>
    </row>
    <row r="2585" spans="15:20" x14ac:dyDescent="0.25">
      <c r="O2585">
        <v>1</v>
      </c>
      <c r="S2585" t="e">
        <v>#DIV/0!</v>
      </c>
      <c r="T2585" t="s">
        <v>82</v>
      </c>
    </row>
    <row r="2586" spans="15:20" x14ac:dyDescent="0.25">
      <c r="O2586">
        <v>1</v>
      </c>
      <c r="S2586" t="e">
        <v>#DIV/0!</v>
      </c>
      <c r="T2586" t="s">
        <v>82</v>
      </c>
    </row>
    <row r="2587" spans="15:20" x14ac:dyDescent="0.25">
      <c r="O2587">
        <v>1</v>
      </c>
      <c r="S2587" t="e">
        <v>#DIV/0!</v>
      </c>
      <c r="T2587" t="s">
        <v>82</v>
      </c>
    </row>
    <row r="2588" spans="15:20" x14ac:dyDescent="0.25">
      <c r="O2588">
        <v>1</v>
      </c>
      <c r="S2588" t="e">
        <v>#DIV/0!</v>
      </c>
      <c r="T2588" t="s">
        <v>82</v>
      </c>
    </row>
    <row r="2589" spans="15:20" x14ac:dyDescent="0.25">
      <c r="O2589">
        <v>1</v>
      </c>
      <c r="S2589" t="e">
        <v>#DIV/0!</v>
      </c>
      <c r="T2589" t="s">
        <v>82</v>
      </c>
    </row>
    <row r="2590" spans="15:20" x14ac:dyDescent="0.25">
      <c r="O2590">
        <v>1</v>
      </c>
      <c r="S2590" t="e">
        <v>#DIV/0!</v>
      </c>
      <c r="T2590" t="s">
        <v>82</v>
      </c>
    </row>
    <row r="2591" spans="15:20" x14ac:dyDescent="0.25">
      <c r="O2591">
        <v>1</v>
      </c>
      <c r="S2591" t="e">
        <v>#DIV/0!</v>
      </c>
      <c r="T2591" t="s">
        <v>82</v>
      </c>
    </row>
    <row r="2592" spans="15:20" x14ac:dyDescent="0.25">
      <c r="O2592">
        <v>1</v>
      </c>
      <c r="S2592" t="e">
        <v>#DIV/0!</v>
      </c>
      <c r="T2592" t="s">
        <v>82</v>
      </c>
    </row>
    <row r="2593" spans="15:20" x14ac:dyDescent="0.25">
      <c r="O2593">
        <v>1</v>
      </c>
      <c r="S2593" t="e">
        <v>#DIV/0!</v>
      </c>
      <c r="T2593" t="s">
        <v>82</v>
      </c>
    </row>
    <row r="2594" spans="15:20" x14ac:dyDescent="0.25">
      <c r="O2594">
        <v>1</v>
      </c>
      <c r="S2594" t="e">
        <v>#DIV/0!</v>
      </c>
      <c r="T2594" t="s">
        <v>82</v>
      </c>
    </row>
    <row r="2595" spans="15:20" x14ac:dyDescent="0.25">
      <c r="O2595">
        <v>1</v>
      </c>
      <c r="S2595" t="e">
        <v>#DIV/0!</v>
      </c>
      <c r="T2595" t="s">
        <v>82</v>
      </c>
    </row>
    <row r="2596" spans="15:20" x14ac:dyDescent="0.25">
      <c r="O2596">
        <v>1</v>
      </c>
      <c r="S2596" t="e">
        <v>#DIV/0!</v>
      </c>
      <c r="T2596" t="s">
        <v>82</v>
      </c>
    </row>
    <row r="2597" spans="15:20" x14ac:dyDescent="0.25">
      <c r="O2597">
        <v>1</v>
      </c>
      <c r="S2597" t="e">
        <v>#DIV/0!</v>
      </c>
      <c r="T2597" t="s">
        <v>82</v>
      </c>
    </row>
    <row r="2598" spans="15:20" x14ac:dyDescent="0.25">
      <c r="O2598">
        <v>1</v>
      </c>
      <c r="S2598" t="e">
        <v>#DIV/0!</v>
      </c>
      <c r="T2598" t="s">
        <v>82</v>
      </c>
    </row>
    <row r="2599" spans="15:20" x14ac:dyDescent="0.25">
      <c r="O2599">
        <v>1</v>
      </c>
      <c r="S2599" t="e">
        <v>#DIV/0!</v>
      </c>
      <c r="T2599" t="s">
        <v>82</v>
      </c>
    </row>
    <row r="2600" spans="15:20" x14ac:dyDescent="0.25">
      <c r="O2600">
        <v>1</v>
      </c>
      <c r="S2600" t="e">
        <v>#DIV/0!</v>
      </c>
      <c r="T2600" t="s">
        <v>82</v>
      </c>
    </row>
    <row r="2601" spans="15:20" x14ac:dyDescent="0.25">
      <c r="O2601">
        <v>1</v>
      </c>
      <c r="S2601" t="e">
        <v>#DIV/0!</v>
      </c>
      <c r="T2601" t="s">
        <v>82</v>
      </c>
    </row>
    <row r="2602" spans="15:20" x14ac:dyDescent="0.25">
      <c r="O2602">
        <v>1</v>
      </c>
      <c r="S2602" t="e">
        <v>#DIV/0!</v>
      </c>
      <c r="T2602" t="s">
        <v>82</v>
      </c>
    </row>
    <row r="2603" spans="15:20" x14ac:dyDescent="0.25">
      <c r="O2603">
        <v>1</v>
      </c>
      <c r="S2603" t="e">
        <v>#DIV/0!</v>
      </c>
      <c r="T2603" t="s">
        <v>82</v>
      </c>
    </row>
    <row r="2604" spans="15:20" x14ac:dyDescent="0.25">
      <c r="O2604">
        <v>1</v>
      </c>
      <c r="S2604" t="e">
        <v>#DIV/0!</v>
      </c>
      <c r="T2604" t="s">
        <v>82</v>
      </c>
    </row>
    <row r="2605" spans="15:20" x14ac:dyDescent="0.25">
      <c r="O2605">
        <v>1</v>
      </c>
      <c r="S2605" t="e">
        <v>#DIV/0!</v>
      </c>
      <c r="T2605" t="s">
        <v>82</v>
      </c>
    </row>
    <row r="2606" spans="15:20" x14ac:dyDescent="0.25">
      <c r="O2606">
        <v>1</v>
      </c>
      <c r="S2606" t="e">
        <v>#DIV/0!</v>
      </c>
      <c r="T2606" t="s">
        <v>82</v>
      </c>
    </row>
    <row r="2607" spans="15:20" x14ac:dyDescent="0.25">
      <c r="O2607">
        <v>1</v>
      </c>
      <c r="S2607" t="e">
        <v>#DIV/0!</v>
      </c>
      <c r="T2607" t="s">
        <v>82</v>
      </c>
    </row>
    <row r="2608" spans="15:20" x14ac:dyDescent="0.25">
      <c r="O2608">
        <v>1</v>
      </c>
      <c r="S2608" t="e">
        <v>#DIV/0!</v>
      </c>
      <c r="T2608" t="s">
        <v>82</v>
      </c>
    </row>
    <row r="2609" spans="15:20" x14ac:dyDescent="0.25">
      <c r="O2609">
        <v>1</v>
      </c>
      <c r="S2609" t="e">
        <v>#DIV/0!</v>
      </c>
      <c r="T2609" t="s">
        <v>82</v>
      </c>
    </row>
    <row r="2610" spans="15:20" x14ac:dyDescent="0.25">
      <c r="O2610">
        <v>1</v>
      </c>
      <c r="S2610" t="e">
        <v>#DIV/0!</v>
      </c>
      <c r="T2610" t="s">
        <v>82</v>
      </c>
    </row>
    <row r="2611" spans="15:20" x14ac:dyDescent="0.25">
      <c r="O2611">
        <v>1</v>
      </c>
      <c r="S2611" t="e">
        <v>#DIV/0!</v>
      </c>
      <c r="T2611" t="s">
        <v>82</v>
      </c>
    </row>
    <row r="2612" spans="15:20" x14ac:dyDescent="0.25">
      <c r="O2612">
        <v>1</v>
      </c>
      <c r="S2612" t="e">
        <v>#DIV/0!</v>
      </c>
      <c r="T2612" t="s">
        <v>82</v>
      </c>
    </row>
    <row r="2613" spans="15:20" x14ac:dyDescent="0.25">
      <c r="O2613">
        <v>1</v>
      </c>
      <c r="S2613" t="e">
        <v>#DIV/0!</v>
      </c>
      <c r="T2613" t="s">
        <v>82</v>
      </c>
    </row>
    <row r="2614" spans="15:20" x14ac:dyDescent="0.25">
      <c r="O2614">
        <v>1</v>
      </c>
      <c r="S2614" t="e">
        <v>#DIV/0!</v>
      </c>
      <c r="T2614" t="s">
        <v>82</v>
      </c>
    </row>
    <row r="2615" spans="15:20" x14ac:dyDescent="0.25">
      <c r="O2615">
        <v>1</v>
      </c>
      <c r="S2615" t="e">
        <v>#DIV/0!</v>
      </c>
      <c r="T2615" t="s">
        <v>82</v>
      </c>
    </row>
    <row r="2616" spans="15:20" x14ac:dyDescent="0.25">
      <c r="O2616">
        <v>1</v>
      </c>
      <c r="S2616" t="e">
        <v>#DIV/0!</v>
      </c>
      <c r="T2616" t="s">
        <v>82</v>
      </c>
    </row>
    <row r="2617" spans="15:20" x14ac:dyDescent="0.25">
      <c r="O2617">
        <v>1</v>
      </c>
      <c r="S2617" t="e">
        <v>#DIV/0!</v>
      </c>
      <c r="T2617" t="s">
        <v>82</v>
      </c>
    </row>
    <row r="2618" spans="15:20" x14ac:dyDescent="0.25">
      <c r="O2618">
        <v>1</v>
      </c>
      <c r="S2618" t="e">
        <v>#DIV/0!</v>
      </c>
      <c r="T2618" t="s">
        <v>82</v>
      </c>
    </row>
    <row r="2619" spans="15:20" x14ac:dyDescent="0.25">
      <c r="O2619">
        <v>1</v>
      </c>
      <c r="S2619" t="e">
        <v>#DIV/0!</v>
      </c>
      <c r="T2619" t="s">
        <v>82</v>
      </c>
    </row>
    <row r="2620" spans="15:20" x14ac:dyDescent="0.25">
      <c r="O2620">
        <v>1</v>
      </c>
      <c r="S2620" t="e">
        <v>#DIV/0!</v>
      </c>
      <c r="T2620" t="s">
        <v>82</v>
      </c>
    </row>
    <row r="2621" spans="15:20" x14ac:dyDescent="0.25">
      <c r="O2621">
        <v>1</v>
      </c>
      <c r="S2621" t="e">
        <v>#DIV/0!</v>
      </c>
      <c r="T2621" t="s">
        <v>82</v>
      </c>
    </row>
    <row r="2622" spans="15:20" x14ac:dyDescent="0.25">
      <c r="O2622">
        <v>1</v>
      </c>
      <c r="S2622" t="e">
        <v>#DIV/0!</v>
      </c>
      <c r="T2622" t="s">
        <v>82</v>
      </c>
    </row>
    <row r="2623" spans="15:20" x14ac:dyDescent="0.25">
      <c r="O2623">
        <v>1</v>
      </c>
      <c r="S2623" t="e">
        <v>#DIV/0!</v>
      </c>
      <c r="T2623" t="s">
        <v>82</v>
      </c>
    </row>
    <row r="2624" spans="15:20" x14ac:dyDescent="0.25">
      <c r="O2624">
        <v>1</v>
      </c>
      <c r="S2624" t="e">
        <v>#DIV/0!</v>
      </c>
      <c r="T2624" t="s">
        <v>82</v>
      </c>
    </row>
    <row r="2625" spans="15:20" x14ac:dyDescent="0.25">
      <c r="O2625">
        <v>1</v>
      </c>
      <c r="S2625" t="e">
        <v>#DIV/0!</v>
      </c>
      <c r="T2625" t="s">
        <v>82</v>
      </c>
    </row>
    <row r="2626" spans="15:20" x14ac:dyDescent="0.25">
      <c r="O2626">
        <v>1</v>
      </c>
      <c r="S2626" t="e">
        <v>#DIV/0!</v>
      </c>
      <c r="T2626" t="s">
        <v>82</v>
      </c>
    </row>
    <row r="2627" spans="15:20" x14ac:dyDescent="0.25">
      <c r="O2627">
        <v>1</v>
      </c>
      <c r="S2627" t="e">
        <v>#DIV/0!</v>
      </c>
      <c r="T2627" t="s">
        <v>82</v>
      </c>
    </row>
    <row r="2628" spans="15:20" x14ac:dyDescent="0.25">
      <c r="O2628">
        <v>1</v>
      </c>
      <c r="S2628" t="e">
        <v>#DIV/0!</v>
      </c>
      <c r="T2628" t="s">
        <v>82</v>
      </c>
    </row>
    <row r="2629" spans="15:20" x14ac:dyDescent="0.25">
      <c r="O2629">
        <v>1</v>
      </c>
      <c r="S2629" t="e">
        <v>#DIV/0!</v>
      </c>
      <c r="T2629" t="s">
        <v>82</v>
      </c>
    </row>
    <row r="2630" spans="15:20" x14ac:dyDescent="0.25">
      <c r="O2630">
        <v>1</v>
      </c>
      <c r="S2630" t="e">
        <v>#DIV/0!</v>
      </c>
      <c r="T2630" t="s">
        <v>82</v>
      </c>
    </row>
    <row r="2631" spans="15:20" x14ac:dyDescent="0.25">
      <c r="O2631">
        <v>1</v>
      </c>
      <c r="S2631" t="e">
        <v>#DIV/0!</v>
      </c>
      <c r="T2631" t="s">
        <v>82</v>
      </c>
    </row>
    <row r="2632" spans="15:20" x14ac:dyDescent="0.25">
      <c r="O2632">
        <v>1</v>
      </c>
      <c r="S2632" t="e">
        <v>#DIV/0!</v>
      </c>
      <c r="T2632" t="s">
        <v>82</v>
      </c>
    </row>
    <row r="2633" spans="15:20" x14ac:dyDescent="0.25">
      <c r="O2633">
        <v>1</v>
      </c>
      <c r="S2633" t="e">
        <v>#DIV/0!</v>
      </c>
      <c r="T2633" t="s">
        <v>82</v>
      </c>
    </row>
    <row r="2634" spans="15:20" x14ac:dyDescent="0.25">
      <c r="O2634">
        <v>1</v>
      </c>
      <c r="S2634" t="e">
        <v>#DIV/0!</v>
      </c>
      <c r="T2634" t="s">
        <v>82</v>
      </c>
    </row>
    <row r="2635" spans="15:20" x14ac:dyDescent="0.25">
      <c r="O2635">
        <v>1</v>
      </c>
      <c r="S2635" t="e">
        <v>#DIV/0!</v>
      </c>
      <c r="T2635" t="s">
        <v>82</v>
      </c>
    </row>
    <row r="2636" spans="15:20" x14ac:dyDescent="0.25">
      <c r="O2636">
        <v>1</v>
      </c>
      <c r="S2636" t="e">
        <v>#DIV/0!</v>
      </c>
      <c r="T2636" t="s">
        <v>82</v>
      </c>
    </row>
    <row r="2637" spans="15:20" x14ac:dyDescent="0.25">
      <c r="O2637">
        <v>1</v>
      </c>
      <c r="S2637" t="e">
        <v>#DIV/0!</v>
      </c>
      <c r="T2637" t="s">
        <v>82</v>
      </c>
    </row>
    <row r="2638" spans="15:20" x14ac:dyDescent="0.25">
      <c r="O2638">
        <v>1</v>
      </c>
      <c r="S2638" t="e">
        <v>#DIV/0!</v>
      </c>
      <c r="T2638" t="s">
        <v>82</v>
      </c>
    </row>
    <row r="2639" spans="15:20" x14ac:dyDescent="0.25">
      <c r="O2639">
        <v>1</v>
      </c>
      <c r="S2639" t="e">
        <v>#DIV/0!</v>
      </c>
      <c r="T2639" t="s">
        <v>82</v>
      </c>
    </row>
    <row r="2640" spans="15:20" x14ac:dyDescent="0.25">
      <c r="O2640">
        <v>1</v>
      </c>
      <c r="S2640" t="e">
        <v>#DIV/0!</v>
      </c>
      <c r="T2640" t="s">
        <v>82</v>
      </c>
    </row>
    <row r="2641" spans="15:20" x14ac:dyDescent="0.25">
      <c r="O2641">
        <v>1</v>
      </c>
      <c r="S2641" t="e">
        <v>#DIV/0!</v>
      </c>
      <c r="T2641" t="s">
        <v>82</v>
      </c>
    </row>
    <row r="2642" spans="15:20" x14ac:dyDescent="0.25">
      <c r="O2642">
        <v>1</v>
      </c>
      <c r="S2642" t="e">
        <v>#DIV/0!</v>
      </c>
      <c r="T2642" t="s">
        <v>82</v>
      </c>
    </row>
    <row r="2643" spans="15:20" x14ac:dyDescent="0.25">
      <c r="O2643">
        <v>1</v>
      </c>
      <c r="S2643" t="e">
        <v>#DIV/0!</v>
      </c>
      <c r="T2643" t="s">
        <v>82</v>
      </c>
    </row>
    <row r="2644" spans="15:20" x14ac:dyDescent="0.25">
      <c r="O2644">
        <v>1</v>
      </c>
      <c r="S2644" t="e">
        <v>#DIV/0!</v>
      </c>
      <c r="T2644" t="s">
        <v>82</v>
      </c>
    </row>
    <row r="2645" spans="15:20" x14ac:dyDescent="0.25">
      <c r="O2645">
        <v>1</v>
      </c>
      <c r="S2645" t="e">
        <v>#DIV/0!</v>
      </c>
      <c r="T2645" t="s">
        <v>82</v>
      </c>
    </row>
    <row r="2646" spans="15:20" x14ac:dyDescent="0.25">
      <c r="O2646">
        <v>1</v>
      </c>
      <c r="S2646" t="e">
        <v>#DIV/0!</v>
      </c>
      <c r="T2646" t="s">
        <v>82</v>
      </c>
    </row>
    <row r="2647" spans="15:20" x14ac:dyDescent="0.25">
      <c r="O2647">
        <v>1</v>
      </c>
      <c r="S2647" t="e">
        <v>#DIV/0!</v>
      </c>
      <c r="T2647" t="s">
        <v>82</v>
      </c>
    </row>
    <row r="2648" spans="15:20" x14ac:dyDescent="0.25">
      <c r="O2648">
        <v>1</v>
      </c>
      <c r="S2648" t="e">
        <v>#DIV/0!</v>
      </c>
      <c r="T2648" t="s">
        <v>82</v>
      </c>
    </row>
    <row r="2649" spans="15:20" x14ac:dyDescent="0.25">
      <c r="O2649">
        <v>1</v>
      </c>
      <c r="S2649" t="e">
        <v>#DIV/0!</v>
      </c>
      <c r="T2649" t="s">
        <v>82</v>
      </c>
    </row>
    <row r="2650" spans="15:20" x14ac:dyDescent="0.25">
      <c r="O2650">
        <v>1</v>
      </c>
      <c r="S2650" t="e">
        <v>#DIV/0!</v>
      </c>
      <c r="T2650" t="s">
        <v>82</v>
      </c>
    </row>
    <row r="2651" spans="15:20" x14ac:dyDescent="0.25">
      <c r="O2651">
        <v>1</v>
      </c>
      <c r="S2651" t="e">
        <v>#DIV/0!</v>
      </c>
      <c r="T2651" t="s">
        <v>82</v>
      </c>
    </row>
    <row r="2652" spans="15:20" x14ac:dyDescent="0.25">
      <c r="O2652">
        <v>1</v>
      </c>
      <c r="S2652" t="e">
        <v>#DIV/0!</v>
      </c>
      <c r="T2652" t="s">
        <v>82</v>
      </c>
    </row>
    <row r="2653" spans="15:20" x14ac:dyDescent="0.25">
      <c r="O2653">
        <v>1</v>
      </c>
      <c r="S2653" t="e">
        <v>#DIV/0!</v>
      </c>
      <c r="T2653" t="s">
        <v>82</v>
      </c>
    </row>
    <row r="2654" spans="15:20" x14ac:dyDescent="0.25">
      <c r="O2654">
        <v>1</v>
      </c>
      <c r="S2654" t="e">
        <v>#DIV/0!</v>
      </c>
      <c r="T2654" t="s">
        <v>82</v>
      </c>
    </row>
    <row r="2655" spans="15:20" x14ac:dyDescent="0.25">
      <c r="O2655">
        <v>1</v>
      </c>
      <c r="S2655" t="e">
        <v>#DIV/0!</v>
      </c>
      <c r="T2655" t="s">
        <v>82</v>
      </c>
    </row>
    <row r="2656" spans="15:20" x14ac:dyDescent="0.25">
      <c r="O2656">
        <v>1</v>
      </c>
      <c r="S2656" t="e">
        <v>#DIV/0!</v>
      </c>
      <c r="T2656" t="s">
        <v>82</v>
      </c>
    </row>
    <row r="2657" spans="15:20" x14ac:dyDescent="0.25">
      <c r="O2657">
        <v>1</v>
      </c>
      <c r="S2657" t="e">
        <v>#DIV/0!</v>
      </c>
      <c r="T2657" t="s">
        <v>82</v>
      </c>
    </row>
    <row r="2658" spans="15:20" x14ac:dyDescent="0.25">
      <c r="O2658">
        <v>1</v>
      </c>
      <c r="S2658" t="e">
        <v>#DIV/0!</v>
      </c>
      <c r="T2658" t="s">
        <v>82</v>
      </c>
    </row>
    <row r="2659" spans="15:20" x14ac:dyDescent="0.25">
      <c r="O2659">
        <v>1</v>
      </c>
      <c r="S2659" t="e">
        <v>#DIV/0!</v>
      </c>
      <c r="T2659" t="s">
        <v>82</v>
      </c>
    </row>
    <row r="2660" spans="15:20" x14ac:dyDescent="0.25">
      <c r="O2660">
        <v>1</v>
      </c>
      <c r="S2660" t="e">
        <v>#DIV/0!</v>
      </c>
      <c r="T2660" t="s">
        <v>82</v>
      </c>
    </row>
    <row r="2661" spans="15:20" x14ac:dyDescent="0.25">
      <c r="O2661">
        <v>1</v>
      </c>
      <c r="S2661" t="e">
        <v>#DIV/0!</v>
      </c>
      <c r="T2661" t="s">
        <v>82</v>
      </c>
    </row>
    <row r="2662" spans="15:20" x14ac:dyDescent="0.25">
      <c r="O2662">
        <v>1</v>
      </c>
      <c r="S2662" t="e">
        <v>#DIV/0!</v>
      </c>
      <c r="T2662" t="s">
        <v>82</v>
      </c>
    </row>
    <row r="2663" spans="15:20" x14ac:dyDescent="0.25">
      <c r="O2663">
        <v>1</v>
      </c>
      <c r="S2663" t="e">
        <v>#DIV/0!</v>
      </c>
      <c r="T2663" t="s">
        <v>82</v>
      </c>
    </row>
    <row r="2664" spans="15:20" x14ac:dyDescent="0.25">
      <c r="O2664">
        <v>1</v>
      </c>
      <c r="S2664" t="e">
        <v>#DIV/0!</v>
      </c>
      <c r="T2664" t="s">
        <v>82</v>
      </c>
    </row>
    <row r="2665" spans="15:20" x14ac:dyDescent="0.25">
      <c r="O2665">
        <v>1</v>
      </c>
      <c r="S2665" t="e">
        <v>#DIV/0!</v>
      </c>
      <c r="T2665" t="s">
        <v>82</v>
      </c>
    </row>
    <row r="2666" spans="15:20" x14ac:dyDescent="0.25">
      <c r="O2666">
        <v>1</v>
      </c>
      <c r="S2666" t="e">
        <v>#DIV/0!</v>
      </c>
      <c r="T2666" t="s">
        <v>82</v>
      </c>
    </row>
    <row r="2667" spans="15:20" x14ac:dyDescent="0.25">
      <c r="O2667">
        <v>1</v>
      </c>
      <c r="S2667" t="e">
        <v>#DIV/0!</v>
      </c>
      <c r="T2667" t="s">
        <v>82</v>
      </c>
    </row>
    <row r="2668" spans="15:20" x14ac:dyDescent="0.25">
      <c r="O2668">
        <v>1</v>
      </c>
      <c r="S2668" t="e">
        <v>#DIV/0!</v>
      </c>
      <c r="T2668" t="s">
        <v>82</v>
      </c>
    </row>
    <row r="2669" spans="15:20" x14ac:dyDescent="0.25">
      <c r="O2669">
        <v>1</v>
      </c>
      <c r="S2669" t="e">
        <v>#DIV/0!</v>
      </c>
      <c r="T2669" t="s">
        <v>82</v>
      </c>
    </row>
    <row r="2670" spans="15:20" x14ac:dyDescent="0.25">
      <c r="O2670">
        <v>1</v>
      </c>
      <c r="S2670" t="e">
        <v>#DIV/0!</v>
      </c>
      <c r="T2670" t="s">
        <v>82</v>
      </c>
    </row>
    <row r="2671" spans="15:20" x14ac:dyDescent="0.25">
      <c r="O2671">
        <v>1</v>
      </c>
      <c r="S2671" t="e">
        <v>#DIV/0!</v>
      </c>
      <c r="T2671" t="s">
        <v>82</v>
      </c>
    </row>
    <row r="2672" spans="15:20" x14ac:dyDescent="0.25">
      <c r="O2672">
        <v>1</v>
      </c>
      <c r="S2672" t="e">
        <v>#DIV/0!</v>
      </c>
      <c r="T2672" t="s">
        <v>82</v>
      </c>
    </row>
    <row r="2673" spans="15:20" x14ac:dyDescent="0.25">
      <c r="O2673">
        <v>1</v>
      </c>
      <c r="S2673" t="e">
        <v>#DIV/0!</v>
      </c>
      <c r="T2673" t="s">
        <v>82</v>
      </c>
    </row>
    <row r="2674" spans="15:20" x14ac:dyDescent="0.25">
      <c r="O2674">
        <v>1</v>
      </c>
      <c r="S2674" t="e">
        <v>#DIV/0!</v>
      </c>
      <c r="T2674" t="s">
        <v>82</v>
      </c>
    </row>
    <row r="2675" spans="15:20" x14ac:dyDescent="0.25">
      <c r="O2675">
        <v>1</v>
      </c>
      <c r="S2675" t="e">
        <v>#DIV/0!</v>
      </c>
      <c r="T2675" t="s">
        <v>82</v>
      </c>
    </row>
    <row r="2676" spans="15:20" x14ac:dyDescent="0.25">
      <c r="O2676">
        <v>1</v>
      </c>
      <c r="S2676" t="e">
        <v>#DIV/0!</v>
      </c>
      <c r="T2676" t="s">
        <v>82</v>
      </c>
    </row>
    <row r="2677" spans="15:20" x14ac:dyDescent="0.25">
      <c r="O2677">
        <v>1</v>
      </c>
      <c r="S2677" t="e">
        <v>#DIV/0!</v>
      </c>
      <c r="T2677" t="s">
        <v>82</v>
      </c>
    </row>
    <row r="2678" spans="15:20" x14ac:dyDescent="0.25">
      <c r="O2678">
        <v>1</v>
      </c>
      <c r="S2678" t="e">
        <v>#DIV/0!</v>
      </c>
      <c r="T2678" t="s">
        <v>82</v>
      </c>
    </row>
    <row r="2679" spans="15:20" x14ac:dyDescent="0.25">
      <c r="O2679">
        <v>1</v>
      </c>
      <c r="S2679" t="e">
        <v>#DIV/0!</v>
      </c>
      <c r="T2679" t="s">
        <v>82</v>
      </c>
    </row>
    <row r="2680" spans="15:20" x14ac:dyDescent="0.25">
      <c r="O2680">
        <v>1</v>
      </c>
      <c r="S2680" t="e">
        <v>#DIV/0!</v>
      </c>
      <c r="T2680" t="s">
        <v>82</v>
      </c>
    </row>
    <row r="2681" spans="15:20" x14ac:dyDescent="0.25">
      <c r="O2681">
        <v>1</v>
      </c>
      <c r="S2681" t="e">
        <v>#DIV/0!</v>
      </c>
      <c r="T2681" t="s">
        <v>82</v>
      </c>
    </row>
    <row r="2682" spans="15:20" x14ac:dyDescent="0.25">
      <c r="O2682">
        <v>1</v>
      </c>
      <c r="S2682" t="e">
        <v>#DIV/0!</v>
      </c>
      <c r="T2682" t="s">
        <v>82</v>
      </c>
    </row>
    <row r="2683" spans="15:20" x14ac:dyDescent="0.25">
      <c r="O2683">
        <v>1</v>
      </c>
      <c r="S2683" t="e">
        <v>#DIV/0!</v>
      </c>
      <c r="T2683" t="s">
        <v>82</v>
      </c>
    </row>
    <row r="2684" spans="15:20" x14ac:dyDescent="0.25">
      <c r="O2684">
        <v>1</v>
      </c>
      <c r="S2684" t="e">
        <v>#DIV/0!</v>
      </c>
      <c r="T2684" t="s">
        <v>82</v>
      </c>
    </row>
    <row r="2685" spans="15:20" x14ac:dyDescent="0.25">
      <c r="O2685">
        <v>1</v>
      </c>
      <c r="S2685" t="e">
        <v>#DIV/0!</v>
      </c>
      <c r="T2685" t="s">
        <v>82</v>
      </c>
    </row>
    <row r="2686" spans="15:20" x14ac:dyDescent="0.25">
      <c r="O2686">
        <v>1</v>
      </c>
      <c r="S2686" t="e">
        <v>#DIV/0!</v>
      </c>
      <c r="T2686" t="s">
        <v>82</v>
      </c>
    </row>
    <row r="2687" spans="15:20" x14ac:dyDescent="0.25">
      <c r="O2687">
        <v>1</v>
      </c>
      <c r="S2687" t="e">
        <v>#DIV/0!</v>
      </c>
      <c r="T2687" t="s">
        <v>82</v>
      </c>
    </row>
    <row r="2688" spans="15:20" x14ac:dyDescent="0.25">
      <c r="O2688">
        <v>1</v>
      </c>
      <c r="S2688" t="e">
        <v>#DIV/0!</v>
      </c>
      <c r="T2688" t="s">
        <v>82</v>
      </c>
    </row>
    <row r="2689" spans="15:20" x14ac:dyDescent="0.25">
      <c r="O2689">
        <v>1</v>
      </c>
      <c r="S2689" t="e">
        <v>#DIV/0!</v>
      </c>
      <c r="T2689" t="s">
        <v>82</v>
      </c>
    </row>
    <row r="2690" spans="15:20" x14ac:dyDescent="0.25">
      <c r="O2690">
        <v>1</v>
      </c>
      <c r="S2690" t="e">
        <v>#DIV/0!</v>
      </c>
      <c r="T2690" t="s">
        <v>82</v>
      </c>
    </row>
    <row r="2691" spans="15:20" x14ac:dyDescent="0.25">
      <c r="O2691">
        <v>1</v>
      </c>
      <c r="S2691" t="e">
        <v>#DIV/0!</v>
      </c>
      <c r="T2691" t="s">
        <v>82</v>
      </c>
    </row>
    <row r="2692" spans="15:20" x14ac:dyDescent="0.25">
      <c r="O2692">
        <v>1</v>
      </c>
      <c r="S2692" t="e">
        <v>#DIV/0!</v>
      </c>
      <c r="T2692" t="s">
        <v>82</v>
      </c>
    </row>
    <row r="2693" spans="15:20" x14ac:dyDescent="0.25">
      <c r="O2693">
        <v>1</v>
      </c>
      <c r="S2693" t="e">
        <v>#DIV/0!</v>
      </c>
      <c r="T2693" t="s">
        <v>82</v>
      </c>
    </row>
    <row r="2694" spans="15:20" x14ac:dyDescent="0.25">
      <c r="O2694">
        <v>1</v>
      </c>
      <c r="S2694" t="e">
        <v>#DIV/0!</v>
      </c>
      <c r="T2694" t="s">
        <v>82</v>
      </c>
    </row>
    <row r="2695" spans="15:20" x14ac:dyDescent="0.25">
      <c r="O2695">
        <v>1</v>
      </c>
      <c r="S2695" t="e">
        <v>#DIV/0!</v>
      </c>
      <c r="T2695" t="s">
        <v>82</v>
      </c>
    </row>
    <row r="2696" spans="15:20" x14ac:dyDescent="0.25">
      <c r="O2696">
        <v>1</v>
      </c>
      <c r="S2696" t="e">
        <v>#DIV/0!</v>
      </c>
      <c r="T2696" t="s">
        <v>82</v>
      </c>
    </row>
    <row r="2697" spans="15:20" x14ac:dyDescent="0.25">
      <c r="O2697">
        <v>1</v>
      </c>
      <c r="S2697" t="e">
        <v>#DIV/0!</v>
      </c>
      <c r="T2697" t="s">
        <v>82</v>
      </c>
    </row>
    <row r="2698" spans="15:20" x14ac:dyDescent="0.25">
      <c r="O2698">
        <v>1</v>
      </c>
      <c r="S2698" t="e">
        <v>#DIV/0!</v>
      </c>
      <c r="T2698" t="s">
        <v>82</v>
      </c>
    </row>
    <row r="2699" spans="15:20" x14ac:dyDescent="0.25">
      <c r="O2699">
        <v>1</v>
      </c>
      <c r="S2699" t="e">
        <v>#DIV/0!</v>
      </c>
      <c r="T2699" t="s">
        <v>82</v>
      </c>
    </row>
    <row r="2700" spans="15:20" x14ac:dyDescent="0.25">
      <c r="O2700">
        <v>1</v>
      </c>
      <c r="S2700" t="e">
        <v>#DIV/0!</v>
      </c>
      <c r="T2700" t="s">
        <v>82</v>
      </c>
    </row>
    <row r="2701" spans="15:20" x14ac:dyDescent="0.25">
      <c r="O2701">
        <v>1</v>
      </c>
      <c r="S2701" t="e">
        <v>#DIV/0!</v>
      </c>
      <c r="T2701" t="s">
        <v>82</v>
      </c>
    </row>
    <row r="2702" spans="15:20" x14ac:dyDescent="0.25">
      <c r="O2702">
        <v>1</v>
      </c>
      <c r="S2702" t="e">
        <v>#DIV/0!</v>
      </c>
      <c r="T2702" t="s">
        <v>82</v>
      </c>
    </row>
    <row r="2703" spans="15:20" x14ac:dyDescent="0.25">
      <c r="O2703">
        <v>1</v>
      </c>
      <c r="S2703" t="e">
        <v>#DIV/0!</v>
      </c>
      <c r="T2703" t="s">
        <v>82</v>
      </c>
    </row>
    <row r="2704" spans="15:20" x14ac:dyDescent="0.25">
      <c r="O2704">
        <v>1</v>
      </c>
      <c r="S2704" t="e">
        <v>#DIV/0!</v>
      </c>
      <c r="T2704" t="s">
        <v>82</v>
      </c>
    </row>
    <row r="2705" spans="15:20" x14ac:dyDescent="0.25">
      <c r="O2705">
        <v>1</v>
      </c>
      <c r="S2705" t="e">
        <v>#DIV/0!</v>
      </c>
      <c r="T2705" t="s">
        <v>82</v>
      </c>
    </row>
    <row r="2706" spans="15:20" x14ac:dyDescent="0.25">
      <c r="O2706">
        <v>1</v>
      </c>
      <c r="S2706" t="e">
        <v>#DIV/0!</v>
      </c>
      <c r="T2706" t="s">
        <v>82</v>
      </c>
    </row>
    <row r="2707" spans="15:20" x14ac:dyDescent="0.25">
      <c r="O2707">
        <v>1</v>
      </c>
      <c r="S2707" t="e">
        <v>#DIV/0!</v>
      </c>
      <c r="T2707" t="s">
        <v>82</v>
      </c>
    </row>
    <row r="2708" spans="15:20" x14ac:dyDescent="0.25">
      <c r="O2708">
        <v>1</v>
      </c>
      <c r="S2708" t="e">
        <v>#DIV/0!</v>
      </c>
      <c r="T2708" t="s">
        <v>82</v>
      </c>
    </row>
    <row r="2709" spans="15:20" x14ac:dyDescent="0.25">
      <c r="O2709">
        <v>1</v>
      </c>
      <c r="S2709" t="e">
        <v>#DIV/0!</v>
      </c>
      <c r="T2709" t="s">
        <v>82</v>
      </c>
    </row>
    <row r="2710" spans="15:20" x14ac:dyDescent="0.25">
      <c r="O2710">
        <v>1</v>
      </c>
      <c r="S2710" t="e">
        <v>#DIV/0!</v>
      </c>
      <c r="T2710" t="s">
        <v>82</v>
      </c>
    </row>
    <row r="2711" spans="15:20" x14ac:dyDescent="0.25">
      <c r="O2711">
        <v>1</v>
      </c>
      <c r="S2711" t="e">
        <v>#DIV/0!</v>
      </c>
      <c r="T2711" t="s">
        <v>82</v>
      </c>
    </row>
    <row r="2712" spans="15:20" x14ac:dyDescent="0.25">
      <c r="O2712">
        <v>1</v>
      </c>
      <c r="S2712" t="e">
        <v>#DIV/0!</v>
      </c>
      <c r="T2712" t="s">
        <v>82</v>
      </c>
    </row>
    <row r="2713" spans="15:20" x14ac:dyDescent="0.25">
      <c r="O2713">
        <v>1</v>
      </c>
      <c r="S2713" t="e">
        <v>#DIV/0!</v>
      </c>
      <c r="T2713" t="s">
        <v>82</v>
      </c>
    </row>
    <row r="2714" spans="15:20" x14ac:dyDescent="0.25">
      <c r="O2714">
        <v>1</v>
      </c>
      <c r="S2714" t="e">
        <v>#DIV/0!</v>
      </c>
      <c r="T2714" t="s">
        <v>82</v>
      </c>
    </row>
    <row r="2715" spans="15:20" x14ac:dyDescent="0.25">
      <c r="O2715">
        <v>1</v>
      </c>
      <c r="S2715" t="e">
        <v>#DIV/0!</v>
      </c>
      <c r="T2715" t="s">
        <v>82</v>
      </c>
    </row>
    <row r="2716" spans="15:20" x14ac:dyDescent="0.25">
      <c r="O2716">
        <v>1</v>
      </c>
      <c r="S2716" t="e">
        <v>#DIV/0!</v>
      </c>
      <c r="T2716" t="s">
        <v>82</v>
      </c>
    </row>
    <row r="2717" spans="15:20" x14ac:dyDescent="0.25">
      <c r="O2717">
        <v>1</v>
      </c>
      <c r="S2717" t="e">
        <v>#DIV/0!</v>
      </c>
      <c r="T2717" t="s">
        <v>82</v>
      </c>
    </row>
    <row r="2718" spans="15:20" x14ac:dyDescent="0.25">
      <c r="O2718">
        <v>1</v>
      </c>
      <c r="S2718" t="e">
        <v>#DIV/0!</v>
      </c>
      <c r="T2718" t="s">
        <v>82</v>
      </c>
    </row>
    <row r="2719" spans="15:20" x14ac:dyDescent="0.25">
      <c r="O2719">
        <v>1</v>
      </c>
      <c r="S2719" t="e">
        <v>#DIV/0!</v>
      </c>
      <c r="T2719" t="s">
        <v>82</v>
      </c>
    </row>
    <row r="2720" spans="15:20" x14ac:dyDescent="0.25">
      <c r="O2720">
        <v>1</v>
      </c>
      <c r="S2720" t="e">
        <v>#DIV/0!</v>
      </c>
      <c r="T2720" t="s">
        <v>82</v>
      </c>
    </row>
    <row r="2721" spans="15:20" x14ac:dyDescent="0.25">
      <c r="O2721">
        <v>1</v>
      </c>
      <c r="S2721" t="e">
        <v>#DIV/0!</v>
      </c>
      <c r="T2721" t="s">
        <v>82</v>
      </c>
    </row>
    <row r="2722" spans="15:20" x14ac:dyDescent="0.25">
      <c r="O2722">
        <v>1</v>
      </c>
      <c r="S2722" t="e">
        <v>#DIV/0!</v>
      </c>
      <c r="T2722" t="s">
        <v>82</v>
      </c>
    </row>
    <row r="2723" spans="15:20" x14ac:dyDescent="0.25">
      <c r="O2723">
        <v>1</v>
      </c>
      <c r="S2723" t="e">
        <v>#DIV/0!</v>
      </c>
      <c r="T2723" t="s">
        <v>82</v>
      </c>
    </row>
    <row r="2724" spans="15:20" x14ac:dyDescent="0.25">
      <c r="O2724">
        <v>1</v>
      </c>
      <c r="S2724" t="e">
        <v>#DIV/0!</v>
      </c>
      <c r="T2724" t="s">
        <v>82</v>
      </c>
    </row>
    <row r="2725" spans="15:20" x14ac:dyDescent="0.25">
      <c r="O2725">
        <v>1</v>
      </c>
      <c r="S2725" t="e">
        <v>#DIV/0!</v>
      </c>
      <c r="T2725" t="s">
        <v>82</v>
      </c>
    </row>
    <row r="2726" spans="15:20" x14ac:dyDescent="0.25">
      <c r="O2726">
        <v>1</v>
      </c>
      <c r="S2726" t="e">
        <v>#DIV/0!</v>
      </c>
      <c r="T2726" t="s">
        <v>82</v>
      </c>
    </row>
    <row r="2727" spans="15:20" x14ac:dyDescent="0.25">
      <c r="O2727">
        <v>1</v>
      </c>
      <c r="S2727" t="e">
        <v>#DIV/0!</v>
      </c>
      <c r="T2727" t="s">
        <v>82</v>
      </c>
    </row>
    <row r="2728" spans="15:20" x14ac:dyDescent="0.25">
      <c r="O2728">
        <v>1</v>
      </c>
      <c r="S2728" t="e">
        <v>#DIV/0!</v>
      </c>
      <c r="T2728" t="s">
        <v>82</v>
      </c>
    </row>
    <row r="2729" spans="15:20" x14ac:dyDescent="0.25">
      <c r="O2729">
        <v>1</v>
      </c>
      <c r="S2729" t="e">
        <v>#DIV/0!</v>
      </c>
      <c r="T2729" t="s">
        <v>82</v>
      </c>
    </row>
    <row r="2730" spans="15:20" x14ac:dyDescent="0.25">
      <c r="O2730">
        <v>1</v>
      </c>
      <c r="S2730" t="e">
        <v>#DIV/0!</v>
      </c>
      <c r="T2730" t="s">
        <v>82</v>
      </c>
    </row>
    <row r="2731" spans="15:20" x14ac:dyDescent="0.25">
      <c r="O2731">
        <v>1</v>
      </c>
      <c r="S2731" t="e">
        <v>#DIV/0!</v>
      </c>
      <c r="T2731" t="s">
        <v>82</v>
      </c>
    </row>
    <row r="2732" spans="15:20" x14ac:dyDescent="0.25">
      <c r="O2732">
        <v>1</v>
      </c>
      <c r="S2732" t="e">
        <v>#DIV/0!</v>
      </c>
      <c r="T2732" t="s">
        <v>82</v>
      </c>
    </row>
    <row r="2733" spans="15:20" x14ac:dyDescent="0.25">
      <c r="O2733">
        <v>1</v>
      </c>
      <c r="S2733" t="e">
        <v>#DIV/0!</v>
      </c>
      <c r="T2733" t="s">
        <v>82</v>
      </c>
    </row>
    <row r="2734" spans="15:20" x14ac:dyDescent="0.25">
      <c r="O2734">
        <v>1</v>
      </c>
      <c r="S2734" t="e">
        <v>#DIV/0!</v>
      </c>
      <c r="T2734" t="s">
        <v>82</v>
      </c>
    </row>
    <row r="2735" spans="15:20" x14ac:dyDescent="0.25">
      <c r="O2735">
        <v>1</v>
      </c>
      <c r="S2735" t="e">
        <v>#DIV/0!</v>
      </c>
      <c r="T2735" t="s">
        <v>82</v>
      </c>
    </row>
    <row r="2736" spans="15:20" x14ac:dyDescent="0.25">
      <c r="O2736">
        <v>1</v>
      </c>
      <c r="S2736" t="e">
        <v>#DIV/0!</v>
      </c>
      <c r="T2736" t="s">
        <v>82</v>
      </c>
    </row>
    <row r="2737" spans="15:20" x14ac:dyDescent="0.25">
      <c r="O2737">
        <v>1</v>
      </c>
      <c r="S2737" t="e">
        <v>#DIV/0!</v>
      </c>
      <c r="T2737" t="s">
        <v>82</v>
      </c>
    </row>
    <row r="2738" spans="15:20" x14ac:dyDescent="0.25">
      <c r="O2738">
        <v>1</v>
      </c>
      <c r="S2738" t="e">
        <v>#DIV/0!</v>
      </c>
      <c r="T2738" t="s">
        <v>82</v>
      </c>
    </row>
    <row r="2739" spans="15:20" x14ac:dyDescent="0.25">
      <c r="O2739">
        <v>1</v>
      </c>
      <c r="S2739" t="e">
        <v>#DIV/0!</v>
      </c>
      <c r="T2739" t="s">
        <v>82</v>
      </c>
    </row>
    <row r="2740" spans="15:20" x14ac:dyDescent="0.25">
      <c r="O2740">
        <v>1</v>
      </c>
      <c r="S2740" t="e">
        <v>#DIV/0!</v>
      </c>
      <c r="T2740" t="s">
        <v>82</v>
      </c>
    </row>
    <row r="2741" spans="15:20" x14ac:dyDescent="0.25">
      <c r="O2741">
        <v>1</v>
      </c>
      <c r="S2741" t="e">
        <v>#DIV/0!</v>
      </c>
      <c r="T2741" t="s">
        <v>82</v>
      </c>
    </row>
    <row r="2742" spans="15:20" x14ac:dyDescent="0.25">
      <c r="O2742">
        <v>1</v>
      </c>
      <c r="S2742" t="e">
        <v>#DIV/0!</v>
      </c>
      <c r="T2742" t="s">
        <v>82</v>
      </c>
    </row>
    <row r="2743" spans="15:20" x14ac:dyDescent="0.25">
      <c r="O2743">
        <v>1</v>
      </c>
      <c r="S2743" t="e">
        <v>#DIV/0!</v>
      </c>
      <c r="T2743" t="s">
        <v>82</v>
      </c>
    </row>
    <row r="2744" spans="15:20" x14ac:dyDescent="0.25">
      <c r="O2744">
        <v>1</v>
      </c>
      <c r="S2744" t="e">
        <v>#DIV/0!</v>
      </c>
      <c r="T2744" t="s">
        <v>82</v>
      </c>
    </row>
    <row r="2745" spans="15:20" x14ac:dyDescent="0.25">
      <c r="O2745">
        <v>1</v>
      </c>
      <c r="S2745" t="e">
        <v>#DIV/0!</v>
      </c>
      <c r="T2745" t="s">
        <v>82</v>
      </c>
    </row>
    <row r="2746" spans="15:20" x14ac:dyDescent="0.25">
      <c r="O2746">
        <v>1</v>
      </c>
      <c r="S2746" t="e">
        <v>#DIV/0!</v>
      </c>
      <c r="T2746" t="s">
        <v>82</v>
      </c>
    </row>
    <row r="2747" spans="15:20" x14ac:dyDescent="0.25">
      <c r="O2747">
        <v>1</v>
      </c>
      <c r="S2747" t="e">
        <v>#DIV/0!</v>
      </c>
      <c r="T2747" t="s">
        <v>82</v>
      </c>
    </row>
    <row r="2748" spans="15:20" x14ac:dyDescent="0.25">
      <c r="O2748">
        <v>1</v>
      </c>
      <c r="S2748" t="e">
        <v>#DIV/0!</v>
      </c>
      <c r="T2748" t="s">
        <v>82</v>
      </c>
    </row>
    <row r="2749" spans="15:20" x14ac:dyDescent="0.25">
      <c r="O2749">
        <v>1</v>
      </c>
      <c r="S2749" t="e">
        <v>#DIV/0!</v>
      </c>
      <c r="T2749" t="s">
        <v>82</v>
      </c>
    </row>
    <row r="2750" spans="15:20" x14ac:dyDescent="0.25">
      <c r="O2750">
        <v>1</v>
      </c>
      <c r="S2750" t="e">
        <v>#DIV/0!</v>
      </c>
      <c r="T2750" t="s">
        <v>82</v>
      </c>
    </row>
    <row r="2751" spans="15:20" x14ac:dyDescent="0.25">
      <c r="O2751">
        <v>1</v>
      </c>
      <c r="S2751" t="e">
        <v>#DIV/0!</v>
      </c>
      <c r="T2751" t="s">
        <v>82</v>
      </c>
    </row>
    <row r="2752" spans="15:20" x14ac:dyDescent="0.25">
      <c r="O2752">
        <v>1</v>
      </c>
      <c r="S2752" t="e">
        <v>#DIV/0!</v>
      </c>
      <c r="T2752" t="s">
        <v>82</v>
      </c>
    </row>
    <row r="2753" spans="15:20" x14ac:dyDescent="0.25">
      <c r="O2753">
        <v>1</v>
      </c>
      <c r="S2753" t="e">
        <v>#DIV/0!</v>
      </c>
      <c r="T2753" t="s">
        <v>82</v>
      </c>
    </row>
    <row r="2754" spans="15:20" x14ac:dyDescent="0.25">
      <c r="O2754">
        <v>1</v>
      </c>
      <c r="S2754" t="e">
        <v>#DIV/0!</v>
      </c>
      <c r="T2754" t="s">
        <v>82</v>
      </c>
    </row>
    <row r="2755" spans="15:20" x14ac:dyDescent="0.25">
      <c r="O2755">
        <v>1</v>
      </c>
      <c r="S2755" t="e">
        <v>#DIV/0!</v>
      </c>
      <c r="T2755" t="s">
        <v>82</v>
      </c>
    </row>
    <row r="2756" spans="15:20" x14ac:dyDescent="0.25">
      <c r="O2756">
        <v>1</v>
      </c>
      <c r="S2756" t="e">
        <v>#DIV/0!</v>
      </c>
      <c r="T2756" t="s">
        <v>82</v>
      </c>
    </row>
    <row r="2757" spans="15:20" x14ac:dyDescent="0.25">
      <c r="O2757">
        <v>1</v>
      </c>
      <c r="S2757" t="e">
        <v>#DIV/0!</v>
      </c>
      <c r="T2757" t="s">
        <v>82</v>
      </c>
    </row>
    <row r="2758" spans="15:20" x14ac:dyDescent="0.25">
      <c r="O2758">
        <v>1</v>
      </c>
      <c r="S2758" t="e">
        <v>#DIV/0!</v>
      </c>
      <c r="T2758" t="s">
        <v>82</v>
      </c>
    </row>
    <row r="2759" spans="15:20" x14ac:dyDescent="0.25">
      <c r="O2759">
        <v>1</v>
      </c>
      <c r="S2759" t="e">
        <v>#DIV/0!</v>
      </c>
      <c r="T2759" t="s">
        <v>82</v>
      </c>
    </row>
    <row r="2760" spans="15:20" x14ac:dyDescent="0.25">
      <c r="O2760">
        <v>1</v>
      </c>
      <c r="S2760" t="e">
        <v>#DIV/0!</v>
      </c>
      <c r="T2760" t="s">
        <v>82</v>
      </c>
    </row>
    <row r="2761" spans="15:20" x14ac:dyDescent="0.25">
      <c r="O2761">
        <v>1</v>
      </c>
      <c r="S2761" t="e">
        <v>#DIV/0!</v>
      </c>
      <c r="T2761" t="s">
        <v>82</v>
      </c>
    </row>
    <row r="2762" spans="15:20" x14ac:dyDescent="0.25">
      <c r="O2762">
        <v>1</v>
      </c>
      <c r="S2762" t="e">
        <v>#DIV/0!</v>
      </c>
      <c r="T2762" t="s">
        <v>82</v>
      </c>
    </row>
    <row r="2763" spans="15:20" x14ac:dyDescent="0.25">
      <c r="O2763">
        <v>1</v>
      </c>
      <c r="S2763" t="e">
        <v>#DIV/0!</v>
      </c>
      <c r="T2763" t="s">
        <v>82</v>
      </c>
    </row>
    <row r="2764" spans="15:20" x14ac:dyDescent="0.25">
      <c r="O2764">
        <v>1</v>
      </c>
      <c r="S2764" t="e">
        <v>#DIV/0!</v>
      </c>
      <c r="T2764" t="s">
        <v>82</v>
      </c>
    </row>
    <row r="2765" spans="15:20" x14ac:dyDescent="0.25">
      <c r="O2765">
        <v>1</v>
      </c>
      <c r="S2765" t="e">
        <v>#DIV/0!</v>
      </c>
      <c r="T2765" t="s">
        <v>82</v>
      </c>
    </row>
    <row r="2766" spans="15:20" x14ac:dyDescent="0.25">
      <c r="O2766">
        <v>1</v>
      </c>
      <c r="S2766" t="e">
        <v>#DIV/0!</v>
      </c>
      <c r="T2766" t="s">
        <v>82</v>
      </c>
    </row>
    <row r="2767" spans="15:20" x14ac:dyDescent="0.25">
      <c r="O2767">
        <v>1</v>
      </c>
      <c r="S2767" t="e">
        <v>#DIV/0!</v>
      </c>
      <c r="T2767" t="s">
        <v>82</v>
      </c>
    </row>
    <row r="2768" spans="15:20" x14ac:dyDescent="0.25">
      <c r="O2768">
        <v>1</v>
      </c>
      <c r="S2768" t="e">
        <v>#DIV/0!</v>
      </c>
      <c r="T2768" t="s">
        <v>82</v>
      </c>
    </row>
    <row r="2769" spans="15:20" x14ac:dyDescent="0.25">
      <c r="O2769">
        <v>1</v>
      </c>
      <c r="S2769" t="e">
        <v>#DIV/0!</v>
      </c>
      <c r="T2769" t="s">
        <v>82</v>
      </c>
    </row>
    <row r="2770" spans="15:20" x14ac:dyDescent="0.25">
      <c r="O2770">
        <v>1</v>
      </c>
      <c r="S2770" t="e">
        <v>#DIV/0!</v>
      </c>
      <c r="T2770" t="s">
        <v>82</v>
      </c>
    </row>
    <row r="2771" spans="15:20" x14ac:dyDescent="0.25">
      <c r="O2771">
        <v>1</v>
      </c>
      <c r="S2771" t="e">
        <v>#DIV/0!</v>
      </c>
      <c r="T2771" t="s">
        <v>82</v>
      </c>
    </row>
    <row r="2772" spans="15:20" x14ac:dyDescent="0.25">
      <c r="O2772">
        <v>1</v>
      </c>
      <c r="S2772" t="e">
        <v>#DIV/0!</v>
      </c>
      <c r="T2772" t="s">
        <v>82</v>
      </c>
    </row>
    <row r="2773" spans="15:20" x14ac:dyDescent="0.25">
      <c r="O2773">
        <v>1</v>
      </c>
      <c r="S2773" t="e">
        <v>#DIV/0!</v>
      </c>
      <c r="T2773" t="s">
        <v>82</v>
      </c>
    </row>
    <row r="2774" spans="15:20" x14ac:dyDescent="0.25">
      <c r="O2774">
        <v>1</v>
      </c>
      <c r="S2774" t="e">
        <v>#DIV/0!</v>
      </c>
      <c r="T2774" t="s">
        <v>82</v>
      </c>
    </row>
    <row r="2775" spans="15:20" x14ac:dyDescent="0.25">
      <c r="O2775">
        <v>1</v>
      </c>
      <c r="S2775" t="e">
        <v>#DIV/0!</v>
      </c>
      <c r="T2775" t="s">
        <v>82</v>
      </c>
    </row>
    <row r="2776" spans="15:20" x14ac:dyDescent="0.25">
      <c r="O2776">
        <v>1</v>
      </c>
      <c r="S2776" t="e">
        <v>#DIV/0!</v>
      </c>
      <c r="T2776" t="s">
        <v>82</v>
      </c>
    </row>
    <row r="2777" spans="15:20" x14ac:dyDescent="0.25">
      <c r="O2777">
        <v>1</v>
      </c>
      <c r="S2777" t="e">
        <v>#DIV/0!</v>
      </c>
      <c r="T2777" t="s">
        <v>82</v>
      </c>
    </row>
    <row r="2778" spans="15:20" x14ac:dyDescent="0.25">
      <c r="O2778">
        <v>1</v>
      </c>
      <c r="S2778" t="e">
        <v>#DIV/0!</v>
      </c>
      <c r="T2778" t="s">
        <v>82</v>
      </c>
    </row>
    <row r="2779" spans="15:20" x14ac:dyDescent="0.25">
      <c r="O2779">
        <v>1</v>
      </c>
      <c r="S2779" t="e">
        <v>#DIV/0!</v>
      </c>
      <c r="T2779" t="s">
        <v>82</v>
      </c>
    </row>
    <row r="2780" spans="15:20" x14ac:dyDescent="0.25">
      <c r="O2780">
        <v>1</v>
      </c>
      <c r="S2780" t="e">
        <v>#DIV/0!</v>
      </c>
      <c r="T2780" t="s">
        <v>82</v>
      </c>
    </row>
    <row r="2781" spans="15:20" x14ac:dyDescent="0.25">
      <c r="O2781">
        <v>1</v>
      </c>
      <c r="S2781" t="e">
        <v>#DIV/0!</v>
      </c>
      <c r="T2781" t="s">
        <v>82</v>
      </c>
    </row>
    <row r="2782" spans="15:20" x14ac:dyDescent="0.25">
      <c r="O2782">
        <v>1</v>
      </c>
      <c r="S2782" t="e">
        <v>#DIV/0!</v>
      </c>
      <c r="T2782" t="s">
        <v>82</v>
      </c>
    </row>
    <row r="2783" spans="15:20" x14ac:dyDescent="0.25">
      <c r="O2783">
        <v>1</v>
      </c>
      <c r="S2783" t="e">
        <v>#DIV/0!</v>
      </c>
      <c r="T2783" t="s">
        <v>82</v>
      </c>
    </row>
    <row r="2784" spans="15:20" x14ac:dyDescent="0.25">
      <c r="O2784">
        <v>1</v>
      </c>
      <c r="S2784" t="e">
        <v>#DIV/0!</v>
      </c>
      <c r="T2784" t="s">
        <v>82</v>
      </c>
    </row>
    <row r="2785" spans="15:20" x14ac:dyDescent="0.25">
      <c r="O2785">
        <v>1</v>
      </c>
      <c r="S2785" t="e">
        <v>#DIV/0!</v>
      </c>
      <c r="T2785" t="s">
        <v>82</v>
      </c>
    </row>
    <row r="2786" spans="15:20" x14ac:dyDescent="0.25">
      <c r="O2786">
        <v>1</v>
      </c>
      <c r="S2786" t="e">
        <v>#DIV/0!</v>
      </c>
      <c r="T2786" t="s">
        <v>82</v>
      </c>
    </row>
    <row r="2787" spans="15:20" x14ac:dyDescent="0.25">
      <c r="O2787">
        <v>1</v>
      </c>
      <c r="S2787" t="e">
        <v>#DIV/0!</v>
      </c>
      <c r="T2787" t="s">
        <v>82</v>
      </c>
    </row>
    <row r="2788" spans="15:20" x14ac:dyDescent="0.25">
      <c r="O2788">
        <v>1</v>
      </c>
      <c r="S2788" t="e">
        <v>#DIV/0!</v>
      </c>
      <c r="T2788" t="s">
        <v>82</v>
      </c>
    </row>
    <row r="2789" spans="15:20" x14ac:dyDescent="0.25">
      <c r="O2789">
        <v>1</v>
      </c>
      <c r="S2789" t="e">
        <v>#DIV/0!</v>
      </c>
      <c r="T2789" t="s">
        <v>82</v>
      </c>
    </row>
    <row r="2790" spans="15:20" x14ac:dyDescent="0.25">
      <c r="O2790">
        <v>1</v>
      </c>
      <c r="S2790" t="e">
        <v>#DIV/0!</v>
      </c>
      <c r="T2790" t="s">
        <v>82</v>
      </c>
    </row>
    <row r="2791" spans="15:20" x14ac:dyDescent="0.25">
      <c r="O2791">
        <v>1</v>
      </c>
      <c r="S2791" t="e">
        <v>#DIV/0!</v>
      </c>
      <c r="T2791" t="s">
        <v>82</v>
      </c>
    </row>
    <row r="2792" spans="15:20" x14ac:dyDescent="0.25">
      <c r="O2792">
        <v>1</v>
      </c>
      <c r="S2792" t="e">
        <v>#DIV/0!</v>
      </c>
      <c r="T2792" t="s">
        <v>82</v>
      </c>
    </row>
    <row r="2793" spans="15:20" x14ac:dyDescent="0.25">
      <c r="O2793">
        <v>1</v>
      </c>
      <c r="S2793" t="e">
        <v>#DIV/0!</v>
      </c>
      <c r="T2793" t="s">
        <v>82</v>
      </c>
    </row>
    <row r="2794" spans="15:20" x14ac:dyDescent="0.25">
      <c r="O2794">
        <v>1</v>
      </c>
      <c r="S2794" t="e">
        <v>#DIV/0!</v>
      </c>
      <c r="T2794" t="s">
        <v>82</v>
      </c>
    </row>
    <row r="2795" spans="15:20" x14ac:dyDescent="0.25">
      <c r="O2795">
        <v>1</v>
      </c>
      <c r="S2795" t="e">
        <v>#DIV/0!</v>
      </c>
      <c r="T2795" t="s">
        <v>82</v>
      </c>
    </row>
    <row r="2796" spans="15:20" x14ac:dyDescent="0.25">
      <c r="O2796">
        <v>1</v>
      </c>
      <c r="S2796" t="e">
        <v>#DIV/0!</v>
      </c>
      <c r="T2796" t="s">
        <v>82</v>
      </c>
    </row>
    <row r="2797" spans="15:20" x14ac:dyDescent="0.25">
      <c r="O2797">
        <v>1</v>
      </c>
      <c r="S2797" t="e">
        <v>#DIV/0!</v>
      </c>
      <c r="T2797" t="s">
        <v>82</v>
      </c>
    </row>
    <row r="2798" spans="15:20" x14ac:dyDescent="0.25">
      <c r="O2798">
        <v>1</v>
      </c>
      <c r="S2798" t="e">
        <v>#DIV/0!</v>
      </c>
      <c r="T2798" t="s">
        <v>82</v>
      </c>
    </row>
    <row r="2799" spans="15:20" x14ac:dyDescent="0.25">
      <c r="O2799">
        <v>1</v>
      </c>
      <c r="S2799" t="e">
        <v>#DIV/0!</v>
      </c>
      <c r="T2799" t="s">
        <v>82</v>
      </c>
    </row>
    <row r="2800" spans="15:20" x14ac:dyDescent="0.25">
      <c r="O2800">
        <v>1</v>
      </c>
      <c r="S2800" t="e">
        <v>#DIV/0!</v>
      </c>
      <c r="T2800" t="s">
        <v>82</v>
      </c>
    </row>
    <row r="2801" spans="15:20" x14ac:dyDescent="0.25">
      <c r="O2801">
        <v>1</v>
      </c>
      <c r="S2801" t="e">
        <v>#DIV/0!</v>
      </c>
      <c r="T2801" t="s">
        <v>82</v>
      </c>
    </row>
    <row r="2802" spans="15:20" x14ac:dyDescent="0.25">
      <c r="O2802">
        <v>1</v>
      </c>
      <c r="S2802" t="e">
        <v>#DIV/0!</v>
      </c>
      <c r="T2802" t="s">
        <v>82</v>
      </c>
    </row>
    <row r="2803" spans="15:20" x14ac:dyDescent="0.25">
      <c r="O2803">
        <v>1</v>
      </c>
      <c r="S2803" t="e">
        <v>#DIV/0!</v>
      </c>
      <c r="T2803" t="s">
        <v>82</v>
      </c>
    </row>
    <row r="2804" spans="15:20" x14ac:dyDescent="0.25">
      <c r="O2804">
        <v>1</v>
      </c>
      <c r="S2804" t="e">
        <v>#DIV/0!</v>
      </c>
      <c r="T2804" t="s">
        <v>82</v>
      </c>
    </row>
    <row r="2805" spans="15:20" x14ac:dyDescent="0.25">
      <c r="O2805">
        <v>1</v>
      </c>
      <c r="S2805" t="e">
        <v>#DIV/0!</v>
      </c>
      <c r="T2805" t="s">
        <v>82</v>
      </c>
    </row>
    <row r="2806" spans="15:20" x14ac:dyDescent="0.25">
      <c r="O2806">
        <v>1</v>
      </c>
      <c r="S2806" t="e">
        <v>#DIV/0!</v>
      </c>
      <c r="T2806" t="s">
        <v>82</v>
      </c>
    </row>
    <row r="2807" spans="15:20" x14ac:dyDescent="0.25">
      <c r="O2807">
        <v>1</v>
      </c>
      <c r="S2807" t="e">
        <v>#DIV/0!</v>
      </c>
      <c r="T2807" t="s">
        <v>82</v>
      </c>
    </row>
    <row r="2808" spans="15:20" x14ac:dyDescent="0.25">
      <c r="O2808">
        <v>1</v>
      </c>
      <c r="S2808" t="e">
        <v>#DIV/0!</v>
      </c>
      <c r="T2808" t="s">
        <v>82</v>
      </c>
    </row>
    <row r="2809" spans="15:20" x14ac:dyDescent="0.25">
      <c r="O2809">
        <v>1</v>
      </c>
      <c r="S2809" t="e">
        <v>#DIV/0!</v>
      </c>
      <c r="T2809" t="s">
        <v>82</v>
      </c>
    </row>
    <row r="2810" spans="15:20" x14ac:dyDescent="0.25">
      <c r="O2810">
        <v>1</v>
      </c>
      <c r="S2810" t="e">
        <v>#DIV/0!</v>
      </c>
      <c r="T2810" t="s">
        <v>82</v>
      </c>
    </row>
    <row r="2811" spans="15:20" x14ac:dyDescent="0.25">
      <c r="O2811">
        <v>1</v>
      </c>
      <c r="S2811" t="e">
        <v>#DIV/0!</v>
      </c>
      <c r="T2811" t="s">
        <v>82</v>
      </c>
    </row>
    <row r="2812" spans="15:20" x14ac:dyDescent="0.25">
      <c r="O2812">
        <v>1</v>
      </c>
      <c r="S2812" t="e">
        <v>#DIV/0!</v>
      </c>
      <c r="T2812" t="s">
        <v>82</v>
      </c>
    </row>
    <row r="2813" spans="15:20" x14ac:dyDescent="0.25">
      <c r="O2813">
        <v>1</v>
      </c>
      <c r="S2813" t="e">
        <v>#DIV/0!</v>
      </c>
      <c r="T2813" t="s">
        <v>82</v>
      </c>
    </row>
    <row r="2814" spans="15:20" x14ac:dyDescent="0.25">
      <c r="O2814">
        <v>1</v>
      </c>
      <c r="S2814" t="e">
        <v>#DIV/0!</v>
      </c>
      <c r="T2814" t="s">
        <v>82</v>
      </c>
    </row>
    <row r="2815" spans="15:20" x14ac:dyDescent="0.25">
      <c r="O2815">
        <v>1</v>
      </c>
      <c r="S2815" t="e">
        <v>#DIV/0!</v>
      </c>
      <c r="T2815" t="s">
        <v>82</v>
      </c>
    </row>
    <row r="2816" spans="15:20" x14ac:dyDescent="0.25">
      <c r="O2816">
        <v>1</v>
      </c>
      <c r="S2816" t="e">
        <v>#DIV/0!</v>
      </c>
      <c r="T2816" t="s">
        <v>82</v>
      </c>
    </row>
    <row r="2817" spans="15:20" x14ac:dyDescent="0.25">
      <c r="O2817">
        <v>1</v>
      </c>
      <c r="S2817" t="e">
        <v>#DIV/0!</v>
      </c>
      <c r="T2817" t="s">
        <v>82</v>
      </c>
    </row>
    <row r="2818" spans="15:20" x14ac:dyDescent="0.25">
      <c r="O2818">
        <v>1</v>
      </c>
      <c r="S2818" t="e">
        <v>#DIV/0!</v>
      </c>
      <c r="T2818" t="s">
        <v>82</v>
      </c>
    </row>
    <row r="2819" spans="15:20" x14ac:dyDescent="0.25">
      <c r="O2819">
        <v>1</v>
      </c>
      <c r="S2819" t="e">
        <v>#DIV/0!</v>
      </c>
      <c r="T2819" t="s">
        <v>82</v>
      </c>
    </row>
    <row r="2820" spans="15:20" x14ac:dyDescent="0.25">
      <c r="O2820">
        <v>1</v>
      </c>
      <c r="S2820" t="e">
        <v>#DIV/0!</v>
      </c>
      <c r="T2820" t="s">
        <v>82</v>
      </c>
    </row>
    <row r="2821" spans="15:20" x14ac:dyDescent="0.25">
      <c r="O2821">
        <v>1</v>
      </c>
      <c r="S2821" t="e">
        <v>#DIV/0!</v>
      </c>
      <c r="T2821" t="s">
        <v>82</v>
      </c>
    </row>
    <row r="2822" spans="15:20" x14ac:dyDescent="0.25">
      <c r="O2822">
        <v>1</v>
      </c>
      <c r="S2822" t="e">
        <v>#DIV/0!</v>
      </c>
      <c r="T2822" t="s">
        <v>82</v>
      </c>
    </row>
    <row r="2823" spans="15:20" x14ac:dyDescent="0.25">
      <c r="O2823">
        <v>1</v>
      </c>
      <c r="S2823" t="e">
        <v>#DIV/0!</v>
      </c>
      <c r="T2823" t="s">
        <v>82</v>
      </c>
    </row>
    <row r="2824" spans="15:20" x14ac:dyDescent="0.25">
      <c r="O2824">
        <v>1</v>
      </c>
      <c r="S2824" t="e">
        <v>#DIV/0!</v>
      </c>
      <c r="T2824" t="s">
        <v>82</v>
      </c>
    </row>
    <row r="2825" spans="15:20" x14ac:dyDescent="0.25">
      <c r="O2825">
        <v>1</v>
      </c>
      <c r="S2825" t="e">
        <v>#DIV/0!</v>
      </c>
      <c r="T2825" t="s">
        <v>82</v>
      </c>
    </row>
    <row r="2826" spans="15:20" x14ac:dyDescent="0.25">
      <c r="O2826">
        <v>1</v>
      </c>
      <c r="S2826" t="e">
        <v>#DIV/0!</v>
      </c>
      <c r="T2826" t="s">
        <v>82</v>
      </c>
    </row>
    <row r="2827" spans="15:20" x14ac:dyDescent="0.25">
      <c r="O2827">
        <v>1</v>
      </c>
      <c r="S2827" t="e">
        <v>#DIV/0!</v>
      </c>
      <c r="T2827" t="s">
        <v>82</v>
      </c>
    </row>
    <row r="2828" spans="15:20" x14ac:dyDescent="0.25">
      <c r="O2828">
        <v>1</v>
      </c>
      <c r="S2828" t="e">
        <v>#DIV/0!</v>
      </c>
      <c r="T2828" t="s">
        <v>82</v>
      </c>
    </row>
    <row r="2829" spans="15:20" x14ac:dyDescent="0.25">
      <c r="O2829">
        <v>1</v>
      </c>
      <c r="S2829" t="e">
        <v>#DIV/0!</v>
      </c>
      <c r="T2829" t="s">
        <v>82</v>
      </c>
    </row>
    <row r="2830" spans="15:20" x14ac:dyDescent="0.25">
      <c r="O2830">
        <v>1</v>
      </c>
      <c r="S2830" t="e">
        <v>#DIV/0!</v>
      </c>
      <c r="T2830" t="s">
        <v>82</v>
      </c>
    </row>
    <row r="2831" spans="15:20" x14ac:dyDescent="0.25">
      <c r="O2831">
        <v>1</v>
      </c>
      <c r="S2831" t="e">
        <v>#DIV/0!</v>
      </c>
      <c r="T2831" t="s">
        <v>82</v>
      </c>
    </row>
    <row r="2832" spans="15:20" x14ac:dyDescent="0.25">
      <c r="O2832">
        <v>1</v>
      </c>
      <c r="S2832" t="e">
        <v>#DIV/0!</v>
      </c>
      <c r="T2832" t="s">
        <v>82</v>
      </c>
    </row>
    <row r="2833" spans="15:20" x14ac:dyDescent="0.25">
      <c r="O2833">
        <v>1</v>
      </c>
      <c r="S2833" t="e">
        <v>#DIV/0!</v>
      </c>
      <c r="T2833" t="s">
        <v>82</v>
      </c>
    </row>
    <row r="2834" spans="15:20" x14ac:dyDescent="0.25">
      <c r="O2834">
        <v>1</v>
      </c>
      <c r="S2834" t="e">
        <v>#DIV/0!</v>
      </c>
      <c r="T2834" t="s">
        <v>82</v>
      </c>
    </row>
    <row r="2835" spans="15:20" x14ac:dyDescent="0.25">
      <c r="O2835">
        <v>1</v>
      </c>
      <c r="S2835" t="e">
        <v>#DIV/0!</v>
      </c>
      <c r="T2835" t="s">
        <v>82</v>
      </c>
    </row>
    <row r="2836" spans="15:20" x14ac:dyDescent="0.25">
      <c r="O2836">
        <v>1</v>
      </c>
      <c r="S2836" t="e">
        <v>#DIV/0!</v>
      </c>
      <c r="T2836" t="s">
        <v>82</v>
      </c>
    </row>
    <row r="2837" spans="15:20" x14ac:dyDescent="0.25">
      <c r="O2837">
        <v>1</v>
      </c>
      <c r="S2837" t="e">
        <v>#DIV/0!</v>
      </c>
      <c r="T2837" t="s">
        <v>82</v>
      </c>
    </row>
    <row r="2838" spans="15:20" x14ac:dyDescent="0.25">
      <c r="O2838">
        <v>1</v>
      </c>
      <c r="S2838" t="e">
        <v>#DIV/0!</v>
      </c>
      <c r="T2838" t="s">
        <v>82</v>
      </c>
    </row>
    <row r="2839" spans="15:20" x14ac:dyDescent="0.25">
      <c r="O2839">
        <v>1</v>
      </c>
      <c r="S2839" t="e">
        <v>#DIV/0!</v>
      </c>
      <c r="T2839" t="s">
        <v>82</v>
      </c>
    </row>
    <row r="2840" spans="15:20" x14ac:dyDescent="0.25">
      <c r="O2840">
        <v>1</v>
      </c>
      <c r="S2840" t="e">
        <v>#DIV/0!</v>
      </c>
      <c r="T2840" t="s">
        <v>82</v>
      </c>
    </row>
    <row r="2841" spans="15:20" x14ac:dyDescent="0.25">
      <c r="O2841">
        <v>1</v>
      </c>
      <c r="S2841" t="e">
        <v>#DIV/0!</v>
      </c>
      <c r="T2841" t="s">
        <v>82</v>
      </c>
    </row>
    <row r="2842" spans="15:20" x14ac:dyDescent="0.25">
      <c r="O2842">
        <v>1</v>
      </c>
      <c r="S2842" t="e">
        <v>#DIV/0!</v>
      </c>
      <c r="T2842" t="s">
        <v>82</v>
      </c>
    </row>
    <row r="2843" spans="15:20" x14ac:dyDescent="0.25">
      <c r="O2843">
        <v>1</v>
      </c>
      <c r="S2843" t="e">
        <v>#DIV/0!</v>
      </c>
      <c r="T2843" t="s">
        <v>82</v>
      </c>
    </row>
    <row r="2844" spans="15:20" x14ac:dyDescent="0.25">
      <c r="O2844">
        <v>1</v>
      </c>
      <c r="S2844" t="e">
        <v>#DIV/0!</v>
      </c>
      <c r="T2844" t="s">
        <v>82</v>
      </c>
    </row>
    <row r="2845" spans="15:20" x14ac:dyDescent="0.25">
      <c r="O2845">
        <v>1</v>
      </c>
      <c r="S2845" t="e">
        <v>#DIV/0!</v>
      </c>
      <c r="T2845" t="s">
        <v>82</v>
      </c>
    </row>
    <row r="2846" spans="15:20" x14ac:dyDescent="0.25">
      <c r="O2846">
        <v>1</v>
      </c>
      <c r="S2846" t="e">
        <v>#DIV/0!</v>
      </c>
      <c r="T2846" t="s">
        <v>82</v>
      </c>
    </row>
    <row r="2847" spans="15:20" x14ac:dyDescent="0.25">
      <c r="O2847">
        <v>1</v>
      </c>
      <c r="S2847" t="e">
        <v>#DIV/0!</v>
      </c>
      <c r="T2847" t="s">
        <v>82</v>
      </c>
    </row>
    <row r="2848" spans="15:20" x14ac:dyDescent="0.25">
      <c r="O2848">
        <v>1</v>
      </c>
      <c r="S2848" t="e">
        <v>#DIV/0!</v>
      </c>
      <c r="T2848" t="s">
        <v>82</v>
      </c>
    </row>
    <row r="2849" spans="15:20" x14ac:dyDescent="0.25">
      <c r="O2849">
        <v>1</v>
      </c>
      <c r="S2849" t="e">
        <v>#DIV/0!</v>
      </c>
      <c r="T2849" t="s">
        <v>82</v>
      </c>
    </row>
    <row r="2850" spans="15:20" x14ac:dyDescent="0.25">
      <c r="O2850">
        <v>1</v>
      </c>
      <c r="S2850" t="e">
        <v>#DIV/0!</v>
      </c>
      <c r="T2850" t="s">
        <v>82</v>
      </c>
    </row>
    <row r="2851" spans="15:20" x14ac:dyDescent="0.25">
      <c r="O2851">
        <v>1</v>
      </c>
      <c r="S2851" t="e">
        <v>#DIV/0!</v>
      </c>
      <c r="T2851" t="s">
        <v>82</v>
      </c>
    </row>
    <row r="2852" spans="15:20" x14ac:dyDescent="0.25">
      <c r="O2852">
        <v>1</v>
      </c>
      <c r="S2852" t="e">
        <v>#DIV/0!</v>
      </c>
      <c r="T2852" t="s">
        <v>82</v>
      </c>
    </row>
    <row r="2853" spans="15:20" x14ac:dyDescent="0.25">
      <c r="O2853">
        <v>1</v>
      </c>
      <c r="S2853" t="e">
        <v>#DIV/0!</v>
      </c>
      <c r="T2853" t="s">
        <v>82</v>
      </c>
    </row>
    <row r="2854" spans="15:20" x14ac:dyDescent="0.25">
      <c r="O2854">
        <v>1</v>
      </c>
      <c r="S2854" t="e">
        <v>#DIV/0!</v>
      </c>
      <c r="T2854" t="s">
        <v>82</v>
      </c>
    </row>
    <row r="2855" spans="15:20" x14ac:dyDescent="0.25">
      <c r="O2855">
        <v>1</v>
      </c>
      <c r="S2855" t="e">
        <v>#DIV/0!</v>
      </c>
      <c r="T2855" t="s">
        <v>82</v>
      </c>
    </row>
    <row r="2856" spans="15:20" x14ac:dyDescent="0.25">
      <c r="O2856">
        <v>1</v>
      </c>
      <c r="S2856" t="e">
        <v>#DIV/0!</v>
      </c>
      <c r="T2856" t="s">
        <v>82</v>
      </c>
    </row>
    <row r="2857" spans="15:20" x14ac:dyDescent="0.25">
      <c r="O2857">
        <v>1</v>
      </c>
      <c r="S2857" t="e">
        <v>#DIV/0!</v>
      </c>
      <c r="T2857" t="s">
        <v>82</v>
      </c>
    </row>
    <row r="2858" spans="15:20" x14ac:dyDescent="0.25">
      <c r="O2858">
        <v>1</v>
      </c>
      <c r="S2858" t="e">
        <v>#DIV/0!</v>
      </c>
      <c r="T2858" t="s">
        <v>82</v>
      </c>
    </row>
    <row r="2859" spans="15:20" x14ac:dyDescent="0.25">
      <c r="O2859">
        <v>1</v>
      </c>
      <c r="S2859" t="e">
        <v>#DIV/0!</v>
      </c>
      <c r="T2859" t="s">
        <v>82</v>
      </c>
    </row>
    <row r="2860" spans="15:20" x14ac:dyDescent="0.25">
      <c r="O2860">
        <v>1</v>
      </c>
      <c r="S2860" t="e">
        <v>#DIV/0!</v>
      </c>
      <c r="T2860" t="s">
        <v>82</v>
      </c>
    </row>
    <row r="2861" spans="15:20" x14ac:dyDescent="0.25">
      <c r="O2861">
        <v>1</v>
      </c>
      <c r="S2861" t="e">
        <v>#DIV/0!</v>
      </c>
      <c r="T2861" t="s">
        <v>82</v>
      </c>
    </row>
    <row r="2862" spans="15:20" x14ac:dyDescent="0.25">
      <c r="O2862">
        <v>1</v>
      </c>
      <c r="S2862" t="e">
        <v>#DIV/0!</v>
      </c>
      <c r="T2862" t="s">
        <v>82</v>
      </c>
    </row>
    <row r="2863" spans="15:20" x14ac:dyDescent="0.25">
      <c r="O2863">
        <v>1</v>
      </c>
      <c r="S2863" t="e">
        <v>#DIV/0!</v>
      </c>
      <c r="T2863" t="s">
        <v>82</v>
      </c>
    </row>
    <row r="2864" spans="15:20" x14ac:dyDescent="0.25">
      <c r="O2864">
        <v>1</v>
      </c>
      <c r="S2864" t="e">
        <v>#DIV/0!</v>
      </c>
      <c r="T2864" t="s">
        <v>82</v>
      </c>
    </row>
    <row r="2865" spans="15:20" x14ac:dyDescent="0.25">
      <c r="O2865">
        <v>1</v>
      </c>
      <c r="S2865" t="e">
        <v>#DIV/0!</v>
      </c>
      <c r="T2865" t="s">
        <v>82</v>
      </c>
    </row>
    <row r="2866" spans="15:20" x14ac:dyDescent="0.25">
      <c r="O2866">
        <v>1</v>
      </c>
      <c r="S2866" t="e">
        <v>#DIV/0!</v>
      </c>
      <c r="T2866" t="s">
        <v>82</v>
      </c>
    </row>
    <row r="2867" spans="15:20" x14ac:dyDescent="0.25">
      <c r="O2867">
        <v>1</v>
      </c>
      <c r="S2867" t="e">
        <v>#DIV/0!</v>
      </c>
      <c r="T2867" t="s">
        <v>82</v>
      </c>
    </row>
    <row r="2868" spans="15:20" x14ac:dyDescent="0.25">
      <c r="O2868">
        <v>1</v>
      </c>
      <c r="S2868" t="e">
        <v>#DIV/0!</v>
      </c>
      <c r="T2868" t="s">
        <v>82</v>
      </c>
    </row>
    <row r="2869" spans="15:20" x14ac:dyDescent="0.25">
      <c r="O2869">
        <v>1</v>
      </c>
      <c r="S2869" t="e">
        <v>#DIV/0!</v>
      </c>
      <c r="T2869" t="s">
        <v>82</v>
      </c>
    </row>
    <row r="2870" spans="15:20" x14ac:dyDescent="0.25">
      <c r="O2870">
        <v>1</v>
      </c>
      <c r="S2870" t="e">
        <v>#DIV/0!</v>
      </c>
      <c r="T2870" t="s">
        <v>82</v>
      </c>
    </row>
    <row r="2871" spans="15:20" x14ac:dyDescent="0.25">
      <c r="O2871">
        <v>1</v>
      </c>
      <c r="S2871" t="e">
        <v>#DIV/0!</v>
      </c>
      <c r="T2871" t="s">
        <v>82</v>
      </c>
    </row>
    <row r="2872" spans="15:20" x14ac:dyDescent="0.25">
      <c r="O2872">
        <v>1</v>
      </c>
      <c r="S2872" t="e">
        <v>#DIV/0!</v>
      </c>
      <c r="T2872" t="s">
        <v>82</v>
      </c>
    </row>
    <row r="2873" spans="15:20" x14ac:dyDescent="0.25">
      <c r="O2873">
        <v>1</v>
      </c>
      <c r="S2873" t="e">
        <v>#DIV/0!</v>
      </c>
      <c r="T2873" t="s">
        <v>82</v>
      </c>
    </row>
    <row r="2874" spans="15:20" x14ac:dyDescent="0.25">
      <c r="O2874">
        <v>1</v>
      </c>
      <c r="S2874" t="e">
        <v>#DIV/0!</v>
      </c>
      <c r="T2874" t="s">
        <v>82</v>
      </c>
    </row>
    <row r="2875" spans="15:20" x14ac:dyDescent="0.25">
      <c r="O2875">
        <v>1</v>
      </c>
      <c r="S2875" t="e">
        <v>#DIV/0!</v>
      </c>
      <c r="T2875" t="s">
        <v>82</v>
      </c>
    </row>
    <row r="2876" spans="15:20" x14ac:dyDescent="0.25">
      <c r="O2876">
        <v>1</v>
      </c>
      <c r="S2876" t="e">
        <v>#DIV/0!</v>
      </c>
      <c r="T2876" t="s">
        <v>82</v>
      </c>
    </row>
    <row r="2877" spans="15:20" x14ac:dyDescent="0.25">
      <c r="O2877">
        <v>1</v>
      </c>
      <c r="S2877" t="e">
        <v>#DIV/0!</v>
      </c>
      <c r="T2877" t="s">
        <v>82</v>
      </c>
    </row>
    <row r="2878" spans="15:20" x14ac:dyDescent="0.25">
      <c r="O2878">
        <v>1</v>
      </c>
      <c r="S2878" t="e">
        <v>#DIV/0!</v>
      </c>
      <c r="T2878" t="s">
        <v>82</v>
      </c>
    </row>
    <row r="2879" spans="15:20" x14ac:dyDescent="0.25">
      <c r="O2879">
        <v>1</v>
      </c>
      <c r="S2879" t="e">
        <v>#DIV/0!</v>
      </c>
      <c r="T2879" t="s">
        <v>82</v>
      </c>
    </row>
    <row r="2880" spans="15:20" x14ac:dyDescent="0.25">
      <c r="O2880">
        <v>1</v>
      </c>
      <c r="S2880" t="e">
        <v>#DIV/0!</v>
      </c>
      <c r="T2880" t="s">
        <v>82</v>
      </c>
    </row>
    <row r="2881" spans="15:20" x14ac:dyDescent="0.25">
      <c r="O2881">
        <v>1</v>
      </c>
      <c r="S2881" t="e">
        <v>#DIV/0!</v>
      </c>
      <c r="T2881" t="s">
        <v>82</v>
      </c>
    </row>
    <row r="2882" spans="15:20" x14ac:dyDescent="0.25">
      <c r="O2882">
        <v>1</v>
      </c>
      <c r="S2882" t="e">
        <v>#DIV/0!</v>
      </c>
      <c r="T2882" t="s">
        <v>82</v>
      </c>
    </row>
    <row r="2883" spans="15:20" x14ac:dyDescent="0.25">
      <c r="O2883">
        <v>1</v>
      </c>
      <c r="S2883" t="e">
        <v>#DIV/0!</v>
      </c>
      <c r="T2883" t="s">
        <v>82</v>
      </c>
    </row>
    <row r="2884" spans="15:20" x14ac:dyDescent="0.25">
      <c r="O2884">
        <v>1</v>
      </c>
      <c r="S2884" t="e">
        <v>#DIV/0!</v>
      </c>
      <c r="T2884" t="s">
        <v>82</v>
      </c>
    </row>
    <row r="2885" spans="15:20" x14ac:dyDescent="0.25">
      <c r="O2885">
        <v>1</v>
      </c>
      <c r="S2885" t="e">
        <v>#DIV/0!</v>
      </c>
      <c r="T2885" t="s">
        <v>82</v>
      </c>
    </row>
    <row r="2886" spans="15:20" x14ac:dyDescent="0.25">
      <c r="O2886">
        <v>1</v>
      </c>
      <c r="S2886" t="e">
        <v>#DIV/0!</v>
      </c>
      <c r="T2886" t="s">
        <v>82</v>
      </c>
    </row>
    <row r="2887" spans="15:20" x14ac:dyDescent="0.25">
      <c r="O2887">
        <v>1</v>
      </c>
      <c r="S2887" t="e">
        <v>#DIV/0!</v>
      </c>
      <c r="T2887" t="s">
        <v>82</v>
      </c>
    </row>
    <row r="2888" spans="15:20" x14ac:dyDescent="0.25">
      <c r="O2888">
        <v>1</v>
      </c>
      <c r="S2888" t="e">
        <v>#DIV/0!</v>
      </c>
      <c r="T2888" t="s">
        <v>82</v>
      </c>
    </row>
    <row r="2889" spans="15:20" x14ac:dyDescent="0.25">
      <c r="O2889">
        <v>1</v>
      </c>
      <c r="S2889" t="e">
        <v>#DIV/0!</v>
      </c>
      <c r="T2889" t="s">
        <v>82</v>
      </c>
    </row>
    <row r="2890" spans="15:20" x14ac:dyDescent="0.25">
      <c r="O2890">
        <v>1</v>
      </c>
      <c r="S2890" t="e">
        <v>#DIV/0!</v>
      </c>
      <c r="T2890" t="s">
        <v>82</v>
      </c>
    </row>
    <row r="2891" spans="15:20" x14ac:dyDescent="0.25">
      <c r="O2891">
        <v>1</v>
      </c>
      <c r="S2891" t="e">
        <v>#DIV/0!</v>
      </c>
      <c r="T2891" t="s">
        <v>82</v>
      </c>
    </row>
    <row r="2892" spans="15:20" x14ac:dyDescent="0.25">
      <c r="O2892">
        <v>1</v>
      </c>
      <c r="S2892" t="e">
        <v>#DIV/0!</v>
      </c>
      <c r="T2892" t="s">
        <v>82</v>
      </c>
    </row>
    <row r="2893" spans="15:20" x14ac:dyDescent="0.25">
      <c r="O2893">
        <v>1</v>
      </c>
      <c r="S2893" t="e">
        <v>#DIV/0!</v>
      </c>
      <c r="T2893" t="s">
        <v>82</v>
      </c>
    </row>
    <row r="2894" spans="15:20" x14ac:dyDescent="0.25">
      <c r="O2894">
        <v>1</v>
      </c>
      <c r="S2894" t="e">
        <v>#DIV/0!</v>
      </c>
      <c r="T2894" t="s">
        <v>82</v>
      </c>
    </row>
    <row r="2895" spans="15:20" x14ac:dyDescent="0.25">
      <c r="O2895">
        <v>1</v>
      </c>
      <c r="S2895" t="e">
        <v>#DIV/0!</v>
      </c>
      <c r="T2895" t="s">
        <v>82</v>
      </c>
    </row>
    <row r="2896" spans="15:20" x14ac:dyDescent="0.25">
      <c r="O2896">
        <v>1</v>
      </c>
      <c r="S2896" t="e">
        <v>#DIV/0!</v>
      </c>
      <c r="T2896" t="s">
        <v>82</v>
      </c>
    </row>
    <row r="2897" spans="15:20" x14ac:dyDescent="0.25">
      <c r="O2897">
        <v>1</v>
      </c>
      <c r="S2897" t="e">
        <v>#DIV/0!</v>
      </c>
      <c r="T2897" t="s">
        <v>82</v>
      </c>
    </row>
    <row r="2898" spans="15:20" x14ac:dyDescent="0.25">
      <c r="O2898">
        <v>1</v>
      </c>
      <c r="S2898" t="e">
        <v>#DIV/0!</v>
      </c>
      <c r="T2898" t="s">
        <v>82</v>
      </c>
    </row>
    <row r="2899" spans="15:20" x14ac:dyDescent="0.25">
      <c r="O2899">
        <v>1</v>
      </c>
      <c r="S2899" t="e">
        <v>#DIV/0!</v>
      </c>
      <c r="T2899" t="s">
        <v>82</v>
      </c>
    </row>
    <row r="2900" spans="15:20" x14ac:dyDescent="0.25">
      <c r="O2900">
        <v>1</v>
      </c>
      <c r="S2900" t="e">
        <v>#DIV/0!</v>
      </c>
      <c r="T2900" t="s">
        <v>82</v>
      </c>
    </row>
    <row r="2901" spans="15:20" x14ac:dyDescent="0.25">
      <c r="O2901">
        <v>1</v>
      </c>
      <c r="S2901" t="e">
        <v>#DIV/0!</v>
      </c>
      <c r="T2901" t="s">
        <v>82</v>
      </c>
    </row>
    <row r="2902" spans="15:20" x14ac:dyDescent="0.25">
      <c r="O2902">
        <v>1</v>
      </c>
      <c r="S2902" t="e">
        <v>#DIV/0!</v>
      </c>
      <c r="T2902" t="s">
        <v>82</v>
      </c>
    </row>
    <row r="2903" spans="15:20" x14ac:dyDescent="0.25">
      <c r="O2903">
        <v>1</v>
      </c>
      <c r="S2903" t="e">
        <v>#DIV/0!</v>
      </c>
      <c r="T2903" t="s">
        <v>82</v>
      </c>
    </row>
    <row r="2904" spans="15:20" x14ac:dyDescent="0.25">
      <c r="O2904">
        <v>1</v>
      </c>
      <c r="S2904" t="e">
        <v>#DIV/0!</v>
      </c>
      <c r="T2904" t="s">
        <v>82</v>
      </c>
    </row>
    <row r="2905" spans="15:20" x14ac:dyDescent="0.25">
      <c r="O2905">
        <v>1</v>
      </c>
      <c r="S2905" t="e">
        <v>#DIV/0!</v>
      </c>
      <c r="T2905" t="s">
        <v>82</v>
      </c>
    </row>
    <row r="2906" spans="15:20" x14ac:dyDescent="0.25">
      <c r="O2906">
        <v>1</v>
      </c>
      <c r="S2906" t="e">
        <v>#DIV/0!</v>
      </c>
      <c r="T2906" t="s">
        <v>82</v>
      </c>
    </row>
    <row r="2907" spans="15:20" x14ac:dyDescent="0.25">
      <c r="O2907">
        <v>1</v>
      </c>
      <c r="S2907" t="e">
        <v>#DIV/0!</v>
      </c>
      <c r="T2907" t="s">
        <v>82</v>
      </c>
    </row>
    <row r="2908" spans="15:20" x14ac:dyDescent="0.25">
      <c r="O2908">
        <v>1</v>
      </c>
      <c r="S2908" t="e">
        <v>#DIV/0!</v>
      </c>
      <c r="T2908" t="s">
        <v>82</v>
      </c>
    </row>
    <row r="2909" spans="15:20" x14ac:dyDescent="0.25">
      <c r="O2909">
        <v>1</v>
      </c>
      <c r="S2909" t="e">
        <v>#DIV/0!</v>
      </c>
      <c r="T2909" t="s">
        <v>82</v>
      </c>
    </row>
    <row r="2910" spans="15:20" x14ac:dyDescent="0.25">
      <c r="O2910">
        <v>1</v>
      </c>
      <c r="S2910" t="e">
        <v>#DIV/0!</v>
      </c>
      <c r="T2910" t="s">
        <v>82</v>
      </c>
    </row>
    <row r="2911" spans="15:20" x14ac:dyDescent="0.25">
      <c r="O2911">
        <v>1</v>
      </c>
      <c r="S2911" t="e">
        <v>#DIV/0!</v>
      </c>
      <c r="T2911" t="s">
        <v>82</v>
      </c>
    </row>
    <row r="2912" spans="15:20" x14ac:dyDescent="0.25">
      <c r="O2912">
        <v>1</v>
      </c>
      <c r="S2912" t="e">
        <v>#DIV/0!</v>
      </c>
      <c r="T2912" t="s">
        <v>82</v>
      </c>
    </row>
    <row r="2913" spans="15:20" x14ac:dyDescent="0.25">
      <c r="O2913">
        <v>1</v>
      </c>
      <c r="S2913" t="e">
        <v>#DIV/0!</v>
      </c>
      <c r="T2913" t="s">
        <v>82</v>
      </c>
    </row>
    <row r="2914" spans="15:20" x14ac:dyDescent="0.25">
      <c r="O2914">
        <v>1</v>
      </c>
      <c r="S2914" t="e">
        <v>#DIV/0!</v>
      </c>
      <c r="T2914" t="s">
        <v>82</v>
      </c>
    </row>
    <row r="2915" spans="15:20" x14ac:dyDescent="0.25">
      <c r="O2915">
        <v>1</v>
      </c>
      <c r="S2915" t="e">
        <v>#DIV/0!</v>
      </c>
      <c r="T2915" t="s">
        <v>82</v>
      </c>
    </row>
    <row r="2916" spans="15:20" x14ac:dyDescent="0.25">
      <c r="O2916">
        <v>1</v>
      </c>
      <c r="S2916" t="e">
        <v>#DIV/0!</v>
      </c>
      <c r="T2916" t="s">
        <v>82</v>
      </c>
    </row>
    <row r="2917" spans="15:20" x14ac:dyDescent="0.25">
      <c r="O2917">
        <v>1</v>
      </c>
      <c r="S2917" t="e">
        <v>#DIV/0!</v>
      </c>
      <c r="T2917" t="s">
        <v>82</v>
      </c>
    </row>
    <row r="2918" spans="15:20" x14ac:dyDescent="0.25">
      <c r="O2918">
        <v>1</v>
      </c>
      <c r="S2918" t="e">
        <v>#DIV/0!</v>
      </c>
      <c r="T2918" t="s">
        <v>82</v>
      </c>
    </row>
    <row r="2919" spans="15:20" x14ac:dyDescent="0.25">
      <c r="O2919">
        <v>1</v>
      </c>
      <c r="S2919" t="e">
        <v>#DIV/0!</v>
      </c>
      <c r="T2919" t="s">
        <v>82</v>
      </c>
    </row>
    <row r="2920" spans="15:20" x14ac:dyDescent="0.25">
      <c r="O2920">
        <v>1</v>
      </c>
      <c r="S2920" t="e">
        <v>#DIV/0!</v>
      </c>
      <c r="T2920" t="s">
        <v>82</v>
      </c>
    </row>
    <row r="2921" spans="15:20" x14ac:dyDescent="0.25">
      <c r="O2921">
        <v>1</v>
      </c>
      <c r="S2921" t="e">
        <v>#DIV/0!</v>
      </c>
      <c r="T2921" t="s">
        <v>82</v>
      </c>
    </row>
    <row r="2922" spans="15:20" x14ac:dyDescent="0.25">
      <c r="O2922">
        <v>1</v>
      </c>
      <c r="S2922" t="e">
        <v>#DIV/0!</v>
      </c>
      <c r="T2922" t="s">
        <v>82</v>
      </c>
    </row>
    <row r="2923" spans="15:20" x14ac:dyDescent="0.25">
      <c r="O2923">
        <v>1</v>
      </c>
      <c r="S2923" t="e">
        <v>#DIV/0!</v>
      </c>
      <c r="T2923" t="s">
        <v>82</v>
      </c>
    </row>
    <row r="2924" spans="15:20" x14ac:dyDescent="0.25">
      <c r="O2924">
        <v>1</v>
      </c>
      <c r="S2924" t="e">
        <v>#DIV/0!</v>
      </c>
      <c r="T2924" t="s">
        <v>82</v>
      </c>
    </row>
    <row r="2925" spans="15:20" x14ac:dyDescent="0.25">
      <c r="O2925">
        <v>1</v>
      </c>
      <c r="S2925" t="e">
        <v>#DIV/0!</v>
      </c>
      <c r="T2925" t="s">
        <v>82</v>
      </c>
    </row>
    <row r="2926" spans="15:20" x14ac:dyDescent="0.25">
      <c r="O2926">
        <v>1</v>
      </c>
      <c r="S2926" t="e">
        <v>#DIV/0!</v>
      </c>
      <c r="T2926" t="s">
        <v>82</v>
      </c>
    </row>
    <row r="2927" spans="15:20" x14ac:dyDescent="0.25">
      <c r="O2927">
        <v>1</v>
      </c>
      <c r="S2927" t="e">
        <v>#DIV/0!</v>
      </c>
      <c r="T2927" t="s">
        <v>82</v>
      </c>
    </row>
    <row r="2928" spans="15:20" x14ac:dyDescent="0.25">
      <c r="O2928">
        <v>1</v>
      </c>
      <c r="S2928" t="e">
        <v>#DIV/0!</v>
      </c>
      <c r="T2928" t="s">
        <v>82</v>
      </c>
    </row>
    <row r="2929" spans="15:20" x14ac:dyDescent="0.25">
      <c r="O2929">
        <v>1</v>
      </c>
      <c r="S2929" t="e">
        <v>#DIV/0!</v>
      </c>
      <c r="T2929" t="s">
        <v>82</v>
      </c>
    </row>
    <row r="2930" spans="15:20" x14ac:dyDescent="0.25">
      <c r="O2930">
        <v>1</v>
      </c>
      <c r="S2930" t="e">
        <v>#DIV/0!</v>
      </c>
      <c r="T2930" t="s">
        <v>82</v>
      </c>
    </row>
    <row r="2931" spans="15:20" x14ac:dyDescent="0.25">
      <c r="O2931">
        <v>1</v>
      </c>
      <c r="S2931" t="e">
        <v>#DIV/0!</v>
      </c>
      <c r="T2931" t="s">
        <v>82</v>
      </c>
    </row>
    <row r="2932" spans="15:20" x14ac:dyDescent="0.25">
      <c r="O2932">
        <v>1</v>
      </c>
      <c r="S2932" t="e">
        <v>#DIV/0!</v>
      </c>
      <c r="T2932" t="s">
        <v>82</v>
      </c>
    </row>
    <row r="2933" spans="15:20" x14ac:dyDescent="0.25">
      <c r="O2933">
        <v>1</v>
      </c>
      <c r="S2933" t="e">
        <v>#DIV/0!</v>
      </c>
      <c r="T2933" t="s">
        <v>82</v>
      </c>
    </row>
    <row r="2934" spans="15:20" x14ac:dyDescent="0.25">
      <c r="O2934">
        <v>1</v>
      </c>
      <c r="S2934" t="e">
        <v>#DIV/0!</v>
      </c>
      <c r="T2934" t="s">
        <v>82</v>
      </c>
    </row>
    <row r="2935" spans="15:20" x14ac:dyDescent="0.25">
      <c r="O2935">
        <v>1</v>
      </c>
      <c r="S2935" t="e">
        <v>#DIV/0!</v>
      </c>
      <c r="T2935" t="s">
        <v>82</v>
      </c>
    </row>
    <row r="2936" spans="15:20" x14ac:dyDescent="0.25">
      <c r="O2936">
        <v>1</v>
      </c>
      <c r="S2936" t="e">
        <v>#DIV/0!</v>
      </c>
      <c r="T2936" t="s">
        <v>82</v>
      </c>
    </row>
    <row r="2937" spans="15:20" x14ac:dyDescent="0.25">
      <c r="O2937">
        <v>1</v>
      </c>
      <c r="S2937" t="e">
        <v>#DIV/0!</v>
      </c>
      <c r="T2937" t="s">
        <v>82</v>
      </c>
    </row>
    <row r="2938" spans="15:20" x14ac:dyDescent="0.25">
      <c r="O2938">
        <v>1</v>
      </c>
      <c r="S2938" t="e">
        <v>#DIV/0!</v>
      </c>
      <c r="T2938" t="s">
        <v>82</v>
      </c>
    </row>
    <row r="2939" spans="15:20" x14ac:dyDescent="0.25">
      <c r="O2939">
        <v>1</v>
      </c>
      <c r="S2939" t="e">
        <v>#DIV/0!</v>
      </c>
      <c r="T2939" t="s">
        <v>82</v>
      </c>
    </row>
    <row r="2940" spans="15:20" x14ac:dyDescent="0.25">
      <c r="O2940">
        <v>1</v>
      </c>
      <c r="S2940" t="e">
        <v>#DIV/0!</v>
      </c>
      <c r="T2940" t="s">
        <v>82</v>
      </c>
    </row>
    <row r="2941" spans="15:20" x14ac:dyDescent="0.25">
      <c r="O2941">
        <v>1</v>
      </c>
      <c r="S2941" t="e">
        <v>#DIV/0!</v>
      </c>
      <c r="T2941" t="s">
        <v>82</v>
      </c>
    </row>
    <row r="2942" spans="15:20" x14ac:dyDescent="0.25">
      <c r="O2942">
        <v>1</v>
      </c>
      <c r="S2942" t="e">
        <v>#DIV/0!</v>
      </c>
      <c r="T2942" t="s">
        <v>82</v>
      </c>
    </row>
    <row r="2943" spans="15:20" x14ac:dyDescent="0.25">
      <c r="O2943">
        <v>1</v>
      </c>
      <c r="S2943" t="e">
        <v>#DIV/0!</v>
      </c>
      <c r="T2943" t="s">
        <v>82</v>
      </c>
    </row>
    <row r="2944" spans="15:20" x14ac:dyDescent="0.25">
      <c r="O2944">
        <v>1</v>
      </c>
      <c r="S2944" t="e">
        <v>#DIV/0!</v>
      </c>
      <c r="T2944" t="s">
        <v>82</v>
      </c>
    </row>
    <row r="2945" spans="15:20" x14ac:dyDescent="0.25">
      <c r="O2945">
        <v>1</v>
      </c>
      <c r="S2945" t="e">
        <v>#DIV/0!</v>
      </c>
      <c r="T2945" t="s">
        <v>82</v>
      </c>
    </row>
    <row r="2946" spans="15:20" x14ac:dyDescent="0.25">
      <c r="O2946">
        <v>1</v>
      </c>
      <c r="S2946" t="e">
        <v>#DIV/0!</v>
      </c>
      <c r="T2946" t="s">
        <v>82</v>
      </c>
    </row>
    <row r="2947" spans="15:20" x14ac:dyDescent="0.25">
      <c r="O2947">
        <v>1</v>
      </c>
      <c r="S2947" t="e">
        <v>#DIV/0!</v>
      </c>
      <c r="T2947" t="s">
        <v>82</v>
      </c>
    </row>
    <row r="2948" spans="15:20" x14ac:dyDescent="0.25">
      <c r="O2948">
        <v>1</v>
      </c>
      <c r="S2948" t="e">
        <v>#DIV/0!</v>
      </c>
      <c r="T2948" t="s">
        <v>82</v>
      </c>
    </row>
    <row r="2949" spans="15:20" x14ac:dyDescent="0.25">
      <c r="O2949">
        <v>1</v>
      </c>
      <c r="S2949" t="e">
        <v>#DIV/0!</v>
      </c>
      <c r="T2949" t="s">
        <v>82</v>
      </c>
    </row>
    <row r="2950" spans="15:20" x14ac:dyDescent="0.25">
      <c r="O2950">
        <v>1</v>
      </c>
      <c r="S2950" t="e">
        <v>#DIV/0!</v>
      </c>
      <c r="T2950" t="s">
        <v>82</v>
      </c>
    </row>
    <row r="2951" spans="15:20" x14ac:dyDescent="0.25">
      <c r="O2951">
        <v>1</v>
      </c>
      <c r="S2951" t="e">
        <v>#DIV/0!</v>
      </c>
      <c r="T2951" t="s">
        <v>82</v>
      </c>
    </row>
    <row r="2952" spans="15:20" x14ac:dyDescent="0.25">
      <c r="O2952">
        <v>1</v>
      </c>
      <c r="S2952" t="e">
        <v>#DIV/0!</v>
      </c>
      <c r="T2952" t="s">
        <v>82</v>
      </c>
    </row>
    <row r="2953" spans="15:20" x14ac:dyDescent="0.25">
      <c r="O2953">
        <v>1</v>
      </c>
      <c r="S2953" t="e">
        <v>#DIV/0!</v>
      </c>
      <c r="T2953" t="s">
        <v>82</v>
      </c>
    </row>
    <row r="2954" spans="15:20" x14ac:dyDescent="0.25">
      <c r="O2954">
        <v>1</v>
      </c>
      <c r="S2954" t="e">
        <v>#DIV/0!</v>
      </c>
      <c r="T2954" t="s">
        <v>82</v>
      </c>
    </row>
    <row r="2955" spans="15:20" x14ac:dyDescent="0.25">
      <c r="O2955">
        <v>1</v>
      </c>
      <c r="S2955" t="e">
        <v>#DIV/0!</v>
      </c>
      <c r="T2955" t="s">
        <v>82</v>
      </c>
    </row>
    <row r="2956" spans="15:20" x14ac:dyDescent="0.25">
      <c r="O2956">
        <v>1</v>
      </c>
      <c r="S2956" t="e">
        <v>#DIV/0!</v>
      </c>
      <c r="T2956" t="s">
        <v>82</v>
      </c>
    </row>
    <row r="2957" spans="15:20" x14ac:dyDescent="0.25">
      <c r="O2957">
        <v>1</v>
      </c>
      <c r="S2957" t="e">
        <v>#DIV/0!</v>
      </c>
      <c r="T2957" t="s">
        <v>82</v>
      </c>
    </row>
    <row r="2958" spans="15:20" x14ac:dyDescent="0.25">
      <c r="O2958">
        <v>1</v>
      </c>
      <c r="S2958" t="e">
        <v>#DIV/0!</v>
      </c>
      <c r="T2958" t="s">
        <v>82</v>
      </c>
    </row>
    <row r="2959" spans="15:20" x14ac:dyDescent="0.25">
      <c r="O2959">
        <v>1</v>
      </c>
      <c r="S2959" t="e">
        <v>#DIV/0!</v>
      </c>
      <c r="T2959" t="s">
        <v>82</v>
      </c>
    </row>
    <row r="2960" spans="15:20" x14ac:dyDescent="0.25">
      <c r="O2960">
        <v>1</v>
      </c>
      <c r="S2960" t="e">
        <v>#DIV/0!</v>
      </c>
      <c r="T2960" t="s">
        <v>82</v>
      </c>
    </row>
    <row r="2961" spans="15:20" x14ac:dyDescent="0.25">
      <c r="O2961">
        <v>1</v>
      </c>
      <c r="S2961" t="e">
        <v>#DIV/0!</v>
      </c>
      <c r="T2961" t="s">
        <v>82</v>
      </c>
    </row>
    <row r="2962" spans="15:20" x14ac:dyDescent="0.25">
      <c r="O2962">
        <v>1</v>
      </c>
      <c r="S2962" t="e">
        <v>#DIV/0!</v>
      </c>
      <c r="T2962" t="s">
        <v>82</v>
      </c>
    </row>
    <row r="2963" spans="15:20" x14ac:dyDescent="0.25">
      <c r="O2963">
        <v>1</v>
      </c>
      <c r="S2963" t="e">
        <v>#DIV/0!</v>
      </c>
      <c r="T2963" t="s">
        <v>82</v>
      </c>
    </row>
    <row r="2964" spans="15:20" x14ac:dyDescent="0.25">
      <c r="O2964">
        <v>1</v>
      </c>
      <c r="S2964" t="e">
        <v>#DIV/0!</v>
      </c>
      <c r="T2964" t="s">
        <v>82</v>
      </c>
    </row>
    <row r="2965" spans="15:20" x14ac:dyDescent="0.25">
      <c r="O2965">
        <v>1</v>
      </c>
      <c r="S2965" t="e">
        <v>#DIV/0!</v>
      </c>
      <c r="T2965" t="s">
        <v>82</v>
      </c>
    </row>
    <row r="2966" spans="15:20" x14ac:dyDescent="0.25">
      <c r="O2966">
        <v>1</v>
      </c>
      <c r="S2966" t="e">
        <v>#DIV/0!</v>
      </c>
      <c r="T2966" t="s">
        <v>82</v>
      </c>
    </row>
    <row r="2967" spans="15:20" x14ac:dyDescent="0.25">
      <c r="O2967">
        <v>1</v>
      </c>
      <c r="S2967" t="e">
        <v>#DIV/0!</v>
      </c>
      <c r="T2967" t="s">
        <v>82</v>
      </c>
    </row>
    <row r="2968" spans="15:20" x14ac:dyDescent="0.25">
      <c r="O2968">
        <v>1</v>
      </c>
      <c r="S2968" t="e">
        <v>#DIV/0!</v>
      </c>
      <c r="T2968" t="s">
        <v>82</v>
      </c>
    </row>
    <row r="2969" spans="15:20" x14ac:dyDescent="0.25">
      <c r="O2969">
        <v>1</v>
      </c>
      <c r="S2969" t="e">
        <v>#DIV/0!</v>
      </c>
      <c r="T2969" t="s">
        <v>82</v>
      </c>
    </row>
    <row r="2970" spans="15:20" x14ac:dyDescent="0.25">
      <c r="O2970">
        <v>1</v>
      </c>
      <c r="S2970" t="e">
        <v>#DIV/0!</v>
      </c>
      <c r="T2970" t="s">
        <v>82</v>
      </c>
    </row>
    <row r="2971" spans="15:20" x14ac:dyDescent="0.25">
      <c r="O2971">
        <v>1</v>
      </c>
      <c r="S2971" t="e">
        <v>#DIV/0!</v>
      </c>
      <c r="T2971" t="s">
        <v>82</v>
      </c>
    </row>
    <row r="2972" spans="15:20" x14ac:dyDescent="0.25">
      <c r="O2972">
        <v>1</v>
      </c>
      <c r="S2972" t="e">
        <v>#DIV/0!</v>
      </c>
      <c r="T2972" t="s">
        <v>82</v>
      </c>
    </row>
    <row r="2973" spans="15:20" x14ac:dyDescent="0.25">
      <c r="O2973">
        <v>1</v>
      </c>
      <c r="S2973" t="e">
        <v>#DIV/0!</v>
      </c>
      <c r="T2973" t="s">
        <v>82</v>
      </c>
    </row>
    <row r="2974" spans="15:20" x14ac:dyDescent="0.25">
      <c r="O2974">
        <v>1</v>
      </c>
      <c r="S2974" t="e">
        <v>#DIV/0!</v>
      </c>
      <c r="T2974" t="s">
        <v>82</v>
      </c>
    </row>
    <row r="2975" spans="15:20" x14ac:dyDescent="0.25">
      <c r="O2975">
        <v>1</v>
      </c>
      <c r="S2975" t="e">
        <v>#DIV/0!</v>
      </c>
      <c r="T2975" t="s">
        <v>82</v>
      </c>
    </row>
    <row r="2976" spans="15:20" x14ac:dyDescent="0.25">
      <c r="O2976">
        <v>1</v>
      </c>
      <c r="S2976" t="e">
        <v>#DIV/0!</v>
      </c>
      <c r="T2976" t="s">
        <v>82</v>
      </c>
    </row>
    <row r="2977" spans="15:20" x14ac:dyDescent="0.25">
      <c r="O2977">
        <v>1</v>
      </c>
      <c r="S2977" t="e">
        <v>#DIV/0!</v>
      </c>
      <c r="T2977" t="s">
        <v>82</v>
      </c>
    </row>
    <row r="2978" spans="15:20" x14ac:dyDescent="0.25">
      <c r="O2978">
        <v>1</v>
      </c>
      <c r="S2978" t="e">
        <v>#DIV/0!</v>
      </c>
      <c r="T2978" t="s">
        <v>82</v>
      </c>
    </row>
    <row r="2979" spans="15:20" x14ac:dyDescent="0.25">
      <c r="O2979">
        <v>1</v>
      </c>
      <c r="S2979" t="e">
        <v>#DIV/0!</v>
      </c>
      <c r="T2979" t="s">
        <v>82</v>
      </c>
    </row>
    <row r="2980" spans="15:20" x14ac:dyDescent="0.25">
      <c r="O2980">
        <v>1</v>
      </c>
      <c r="S2980" t="e">
        <v>#DIV/0!</v>
      </c>
      <c r="T2980" t="s">
        <v>82</v>
      </c>
    </row>
    <row r="2981" spans="15:20" x14ac:dyDescent="0.25">
      <c r="O2981">
        <v>1</v>
      </c>
      <c r="S2981" t="e">
        <v>#DIV/0!</v>
      </c>
      <c r="T2981" t="s">
        <v>82</v>
      </c>
    </row>
    <row r="2982" spans="15:20" x14ac:dyDescent="0.25">
      <c r="O2982">
        <v>1</v>
      </c>
      <c r="S2982" t="e">
        <v>#DIV/0!</v>
      </c>
      <c r="T2982" t="s">
        <v>82</v>
      </c>
    </row>
    <row r="2983" spans="15:20" x14ac:dyDescent="0.25">
      <c r="O2983">
        <v>1</v>
      </c>
      <c r="S2983" t="e">
        <v>#DIV/0!</v>
      </c>
      <c r="T2983" t="s">
        <v>82</v>
      </c>
    </row>
    <row r="2984" spans="15:20" x14ac:dyDescent="0.25">
      <c r="O2984">
        <v>1</v>
      </c>
      <c r="S2984" t="e">
        <v>#DIV/0!</v>
      </c>
      <c r="T2984" t="s">
        <v>82</v>
      </c>
    </row>
    <row r="2985" spans="15:20" x14ac:dyDescent="0.25">
      <c r="O2985">
        <v>1</v>
      </c>
      <c r="S2985" t="e">
        <v>#DIV/0!</v>
      </c>
      <c r="T2985" t="s">
        <v>82</v>
      </c>
    </row>
    <row r="2986" spans="15:20" x14ac:dyDescent="0.25">
      <c r="O2986">
        <v>1</v>
      </c>
      <c r="S2986" t="e">
        <v>#DIV/0!</v>
      </c>
      <c r="T2986" t="s">
        <v>82</v>
      </c>
    </row>
    <row r="2987" spans="15:20" x14ac:dyDescent="0.25">
      <c r="O2987">
        <v>1</v>
      </c>
      <c r="S2987" t="e">
        <v>#DIV/0!</v>
      </c>
      <c r="T2987" t="s">
        <v>82</v>
      </c>
    </row>
    <row r="2988" spans="15:20" x14ac:dyDescent="0.25">
      <c r="O2988">
        <v>1</v>
      </c>
      <c r="S2988" t="e">
        <v>#DIV/0!</v>
      </c>
      <c r="T2988" t="s">
        <v>82</v>
      </c>
    </row>
    <row r="2989" spans="15:20" x14ac:dyDescent="0.25">
      <c r="O2989">
        <v>1</v>
      </c>
      <c r="S2989" t="e">
        <v>#DIV/0!</v>
      </c>
      <c r="T2989" t="s">
        <v>82</v>
      </c>
    </row>
    <row r="2990" spans="15:20" x14ac:dyDescent="0.25">
      <c r="O2990">
        <v>1</v>
      </c>
      <c r="S2990" t="e">
        <v>#DIV/0!</v>
      </c>
      <c r="T2990" t="s">
        <v>82</v>
      </c>
    </row>
    <row r="2991" spans="15:20" x14ac:dyDescent="0.25">
      <c r="O2991">
        <v>1</v>
      </c>
      <c r="S2991" t="e">
        <v>#DIV/0!</v>
      </c>
      <c r="T2991" t="s">
        <v>82</v>
      </c>
    </row>
    <row r="2992" spans="15:20" x14ac:dyDescent="0.25">
      <c r="O2992">
        <v>1</v>
      </c>
      <c r="S2992" t="e">
        <v>#DIV/0!</v>
      </c>
      <c r="T2992" t="s">
        <v>82</v>
      </c>
    </row>
    <row r="2993" spans="15:20" x14ac:dyDescent="0.25">
      <c r="O2993">
        <v>1</v>
      </c>
      <c r="S2993" t="e">
        <v>#DIV/0!</v>
      </c>
      <c r="T2993" t="s">
        <v>82</v>
      </c>
    </row>
    <row r="2994" spans="15:20" x14ac:dyDescent="0.25">
      <c r="O2994">
        <v>1</v>
      </c>
      <c r="S2994" t="e">
        <v>#DIV/0!</v>
      </c>
      <c r="T2994" t="s">
        <v>82</v>
      </c>
    </row>
    <row r="2995" spans="15:20" x14ac:dyDescent="0.25">
      <c r="O2995">
        <v>1</v>
      </c>
      <c r="S2995" t="e">
        <v>#DIV/0!</v>
      </c>
      <c r="T2995" t="s">
        <v>82</v>
      </c>
    </row>
    <row r="2996" spans="15:20" x14ac:dyDescent="0.25">
      <c r="O2996">
        <v>1</v>
      </c>
      <c r="S2996" t="e">
        <v>#DIV/0!</v>
      </c>
      <c r="T2996" t="s">
        <v>82</v>
      </c>
    </row>
    <row r="2997" spans="15:20" x14ac:dyDescent="0.25">
      <c r="O2997">
        <v>1</v>
      </c>
      <c r="S2997" t="e">
        <v>#DIV/0!</v>
      </c>
      <c r="T2997" t="s">
        <v>82</v>
      </c>
    </row>
    <row r="2998" spans="15:20" x14ac:dyDescent="0.25">
      <c r="O2998">
        <v>1</v>
      </c>
      <c r="S2998" t="e">
        <v>#DIV/0!</v>
      </c>
      <c r="T2998" t="s">
        <v>82</v>
      </c>
    </row>
    <row r="2999" spans="15:20" x14ac:dyDescent="0.25">
      <c r="O2999">
        <v>1</v>
      </c>
      <c r="S2999" t="e">
        <v>#DIV/0!</v>
      </c>
      <c r="T2999" t="s">
        <v>82</v>
      </c>
    </row>
    <row r="3000" spans="15:20" x14ac:dyDescent="0.25">
      <c r="O3000">
        <v>1</v>
      </c>
      <c r="S3000" t="e">
        <v>#DIV/0!</v>
      </c>
      <c r="T3000" t="s">
        <v>82</v>
      </c>
    </row>
    <row r="3001" spans="15:20" x14ac:dyDescent="0.25">
      <c r="O3001">
        <v>1</v>
      </c>
      <c r="S3001" t="e">
        <v>#DIV/0!</v>
      </c>
      <c r="T3001" t="s">
        <v>82</v>
      </c>
    </row>
    <row r="3002" spans="15:20" x14ac:dyDescent="0.25">
      <c r="O3002">
        <v>1</v>
      </c>
      <c r="S3002" t="e">
        <v>#DIV/0!</v>
      </c>
      <c r="T3002" t="s">
        <v>82</v>
      </c>
    </row>
    <row r="3003" spans="15:20" x14ac:dyDescent="0.25">
      <c r="O3003">
        <v>1</v>
      </c>
      <c r="S3003" t="e">
        <v>#DIV/0!</v>
      </c>
      <c r="T3003" t="s">
        <v>82</v>
      </c>
    </row>
    <row r="3004" spans="15:20" x14ac:dyDescent="0.25">
      <c r="O3004">
        <v>1</v>
      </c>
      <c r="S3004" t="e">
        <v>#DIV/0!</v>
      </c>
      <c r="T3004" t="s">
        <v>82</v>
      </c>
    </row>
    <row r="3005" spans="15:20" x14ac:dyDescent="0.25">
      <c r="O3005">
        <v>1</v>
      </c>
      <c r="S3005" t="e">
        <v>#DIV/0!</v>
      </c>
      <c r="T3005" t="s">
        <v>82</v>
      </c>
    </row>
    <row r="3006" spans="15:20" x14ac:dyDescent="0.25">
      <c r="O3006">
        <v>1</v>
      </c>
      <c r="S3006" t="e">
        <v>#DIV/0!</v>
      </c>
      <c r="T3006" t="s">
        <v>82</v>
      </c>
    </row>
    <row r="3007" spans="15:20" x14ac:dyDescent="0.25">
      <c r="O3007">
        <v>1</v>
      </c>
      <c r="S3007" t="e">
        <v>#DIV/0!</v>
      </c>
      <c r="T3007" t="s">
        <v>82</v>
      </c>
    </row>
    <row r="3008" spans="15:20" x14ac:dyDescent="0.25">
      <c r="O3008">
        <v>1</v>
      </c>
      <c r="S3008" t="e">
        <v>#DIV/0!</v>
      </c>
      <c r="T3008" t="s">
        <v>82</v>
      </c>
    </row>
    <row r="3009" spans="15:20" x14ac:dyDescent="0.25">
      <c r="O3009">
        <v>1</v>
      </c>
      <c r="S3009" t="e">
        <v>#DIV/0!</v>
      </c>
      <c r="T3009" t="s">
        <v>82</v>
      </c>
    </row>
    <row r="3010" spans="15:20" x14ac:dyDescent="0.25">
      <c r="O3010">
        <v>1</v>
      </c>
      <c r="S3010" t="e">
        <v>#DIV/0!</v>
      </c>
      <c r="T3010" t="s">
        <v>82</v>
      </c>
    </row>
    <row r="3011" spans="15:20" x14ac:dyDescent="0.25">
      <c r="O3011">
        <v>1</v>
      </c>
      <c r="S3011" t="e">
        <v>#DIV/0!</v>
      </c>
      <c r="T3011" t="s">
        <v>82</v>
      </c>
    </row>
    <row r="3012" spans="15:20" x14ac:dyDescent="0.25">
      <c r="O3012">
        <v>1</v>
      </c>
      <c r="S3012" t="e">
        <v>#DIV/0!</v>
      </c>
      <c r="T3012" t="s">
        <v>82</v>
      </c>
    </row>
    <row r="3013" spans="15:20" x14ac:dyDescent="0.25">
      <c r="O3013">
        <v>1</v>
      </c>
      <c r="S3013" t="e">
        <v>#DIV/0!</v>
      </c>
      <c r="T3013" t="s">
        <v>82</v>
      </c>
    </row>
    <row r="3014" spans="15:20" x14ac:dyDescent="0.25">
      <c r="O3014">
        <v>1</v>
      </c>
      <c r="S3014" t="e">
        <v>#DIV/0!</v>
      </c>
      <c r="T3014" t="s">
        <v>82</v>
      </c>
    </row>
    <row r="3015" spans="15:20" x14ac:dyDescent="0.25">
      <c r="O3015">
        <v>1</v>
      </c>
      <c r="S3015" t="e">
        <v>#DIV/0!</v>
      </c>
      <c r="T3015" t="s">
        <v>82</v>
      </c>
    </row>
    <row r="3016" spans="15:20" x14ac:dyDescent="0.25">
      <c r="O3016">
        <v>1</v>
      </c>
      <c r="S3016" t="e">
        <v>#DIV/0!</v>
      </c>
      <c r="T3016" t="s">
        <v>82</v>
      </c>
    </row>
    <row r="3017" spans="15:20" x14ac:dyDescent="0.25">
      <c r="O3017">
        <v>1</v>
      </c>
      <c r="S3017" t="e">
        <v>#DIV/0!</v>
      </c>
      <c r="T3017" t="s">
        <v>82</v>
      </c>
    </row>
    <row r="3018" spans="15:20" x14ac:dyDescent="0.25">
      <c r="O3018">
        <v>1</v>
      </c>
      <c r="S3018" t="e">
        <v>#DIV/0!</v>
      </c>
      <c r="T3018" t="s">
        <v>82</v>
      </c>
    </row>
    <row r="3019" spans="15:20" x14ac:dyDescent="0.25">
      <c r="O3019">
        <v>1</v>
      </c>
      <c r="S3019" t="e">
        <v>#DIV/0!</v>
      </c>
      <c r="T3019" t="s">
        <v>82</v>
      </c>
    </row>
    <row r="3020" spans="15:20" x14ac:dyDescent="0.25">
      <c r="O3020">
        <v>1</v>
      </c>
      <c r="S3020" t="e">
        <v>#DIV/0!</v>
      </c>
      <c r="T3020" t="s">
        <v>82</v>
      </c>
    </row>
    <row r="3021" spans="15:20" x14ac:dyDescent="0.25">
      <c r="O3021">
        <v>1</v>
      </c>
      <c r="S3021" t="e">
        <v>#DIV/0!</v>
      </c>
      <c r="T3021" t="s">
        <v>82</v>
      </c>
    </row>
    <row r="3022" spans="15:20" x14ac:dyDescent="0.25">
      <c r="O3022">
        <v>1</v>
      </c>
      <c r="S3022" t="e">
        <v>#DIV/0!</v>
      </c>
      <c r="T3022" t="s">
        <v>82</v>
      </c>
    </row>
    <row r="3023" spans="15:20" x14ac:dyDescent="0.25">
      <c r="O3023">
        <v>1</v>
      </c>
      <c r="S3023" t="e">
        <v>#DIV/0!</v>
      </c>
      <c r="T3023" t="s">
        <v>82</v>
      </c>
    </row>
    <row r="3024" spans="15:20" x14ac:dyDescent="0.25">
      <c r="O3024">
        <v>1</v>
      </c>
      <c r="S3024" t="e">
        <v>#DIV/0!</v>
      </c>
      <c r="T3024" t="s">
        <v>82</v>
      </c>
    </row>
    <row r="3025" spans="15:20" x14ac:dyDescent="0.25">
      <c r="O3025">
        <v>1</v>
      </c>
      <c r="S3025" t="e">
        <v>#DIV/0!</v>
      </c>
      <c r="T3025" t="s">
        <v>82</v>
      </c>
    </row>
    <row r="3026" spans="15:20" x14ac:dyDescent="0.25">
      <c r="O3026">
        <v>1</v>
      </c>
      <c r="S3026" t="e">
        <v>#DIV/0!</v>
      </c>
      <c r="T3026" t="s">
        <v>82</v>
      </c>
    </row>
    <row r="3027" spans="15:20" x14ac:dyDescent="0.25">
      <c r="O3027">
        <v>1</v>
      </c>
      <c r="S3027" t="e">
        <v>#DIV/0!</v>
      </c>
      <c r="T3027" t="s">
        <v>82</v>
      </c>
    </row>
    <row r="3028" spans="15:20" x14ac:dyDescent="0.25">
      <c r="O3028">
        <v>1</v>
      </c>
      <c r="S3028" t="e">
        <v>#DIV/0!</v>
      </c>
      <c r="T3028" t="s">
        <v>82</v>
      </c>
    </row>
    <row r="3029" spans="15:20" x14ac:dyDescent="0.25">
      <c r="O3029">
        <v>1</v>
      </c>
      <c r="S3029" t="e">
        <v>#DIV/0!</v>
      </c>
      <c r="T3029" t="s">
        <v>82</v>
      </c>
    </row>
    <row r="3030" spans="15:20" x14ac:dyDescent="0.25">
      <c r="O3030">
        <v>1</v>
      </c>
      <c r="S3030" t="e">
        <v>#DIV/0!</v>
      </c>
      <c r="T3030" t="s">
        <v>82</v>
      </c>
    </row>
    <row r="3031" spans="15:20" x14ac:dyDescent="0.25">
      <c r="O3031">
        <v>1</v>
      </c>
      <c r="S3031" t="e">
        <v>#DIV/0!</v>
      </c>
      <c r="T3031" t="s">
        <v>82</v>
      </c>
    </row>
    <row r="3032" spans="15:20" x14ac:dyDescent="0.25">
      <c r="O3032">
        <v>1</v>
      </c>
      <c r="S3032" t="e">
        <v>#DIV/0!</v>
      </c>
      <c r="T3032" t="s">
        <v>82</v>
      </c>
    </row>
    <row r="3033" spans="15:20" x14ac:dyDescent="0.25">
      <c r="O3033">
        <v>1</v>
      </c>
      <c r="S3033" t="e">
        <v>#DIV/0!</v>
      </c>
      <c r="T3033" t="s">
        <v>82</v>
      </c>
    </row>
    <row r="3034" spans="15:20" x14ac:dyDescent="0.25">
      <c r="O3034">
        <v>1</v>
      </c>
      <c r="S3034" t="e">
        <v>#DIV/0!</v>
      </c>
      <c r="T3034" t="s">
        <v>82</v>
      </c>
    </row>
    <row r="3035" spans="15:20" x14ac:dyDescent="0.25">
      <c r="O3035">
        <v>1</v>
      </c>
      <c r="S3035" t="e">
        <v>#DIV/0!</v>
      </c>
      <c r="T3035" t="s">
        <v>82</v>
      </c>
    </row>
    <row r="3036" spans="15:20" x14ac:dyDescent="0.25">
      <c r="O3036">
        <v>1</v>
      </c>
      <c r="S3036" t="e">
        <v>#DIV/0!</v>
      </c>
      <c r="T3036" t="s">
        <v>82</v>
      </c>
    </row>
    <row r="3037" spans="15:20" x14ac:dyDescent="0.25">
      <c r="O3037">
        <v>1</v>
      </c>
      <c r="S3037" t="e">
        <v>#DIV/0!</v>
      </c>
      <c r="T3037" t="s">
        <v>82</v>
      </c>
    </row>
    <row r="3038" spans="15:20" x14ac:dyDescent="0.25">
      <c r="O3038">
        <v>1</v>
      </c>
      <c r="S3038" t="e">
        <v>#DIV/0!</v>
      </c>
      <c r="T3038" t="s">
        <v>82</v>
      </c>
    </row>
    <row r="3039" spans="15:20" x14ac:dyDescent="0.25">
      <c r="O3039">
        <v>1</v>
      </c>
      <c r="S3039" t="e">
        <v>#DIV/0!</v>
      </c>
      <c r="T3039" t="s">
        <v>82</v>
      </c>
    </row>
    <row r="3040" spans="15:20" x14ac:dyDescent="0.25">
      <c r="O3040">
        <v>1</v>
      </c>
      <c r="S3040" t="e">
        <v>#DIV/0!</v>
      </c>
      <c r="T3040" t="s">
        <v>82</v>
      </c>
    </row>
    <row r="3041" spans="15:20" x14ac:dyDescent="0.25">
      <c r="O3041">
        <v>1</v>
      </c>
      <c r="S3041" t="e">
        <v>#DIV/0!</v>
      </c>
      <c r="T3041" t="s">
        <v>82</v>
      </c>
    </row>
    <row r="3042" spans="15:20" x14ac:dyDescent="0.25">
      <c r="O3042">
        <v>1</v>
      </c>
      <c r="S3042" t="e">
        <v>#DIV/0!</v>
      </c>
      <c r="T3042" t="s">
        <v>82</v>
      </c>
    </row>
    <row r="3043" spans="15:20" x14ac:dyDescent="0.25">
      <c r="O3043">
        <v>1</v>
      </c>
      <c r="S3043" t="e">
        <v>#DIV/0!</v>
      </c>
      <c r="T3043" t="s">
        <v>82</v>
      </c>
    </row>
    <row r="3044" spans="15:20" x14ac:dyDescent="0.25">
      <c r="O3044">
        <v>1</v>
      </c>
      <c r="S3044" t="e">
        <v>#DIV/0!</v>
      </c>
      <c r="T3044" t="s">
        <v>82</v>
      </c>
    </row>
    <row r="3045" spans="15:20" x14ac:dyDescent="0.25">
      <c r="O3045">
        <v>1</v>
      </c>
      <c r="S3045" t="e">
        <v>#DIV/0!</v>
      </c>
      <c r="T3045" t="s">
        <v>82</v>
      </c>
    </row>
    <row r="3046" spans="15:20" x14ac:dyDescent="0.25">
      <c r="O3046">
        <v>1</v>
      </c>
      <c r="S3046" t="e">
        <v>#DIV/0!</v>
      </c>
      <c r="T3046" t="s">
        <v>82</v>
      </c>
    </row>
    <row r="3047" spans="15:20" x14ac:dyDescent="0.25">
      <c r="O3047">
        <v>1</v>
      </c>
      <c r="S3047" t="e">
        <v>#DIV/0!</v>
      </c>
      <c r="T3047" t="s">
        <v>82</v>
      </c>
    </row>
    <row r="3048" spans="15:20" x14ac:dyDescent="0.25">
      <c r="O3048">
        <v>1</v>
      </c>
      <c r="S3048" t="e">
        <v>#DIV/0!</v>
      </c>
      <c r="T3048" t="s">
        <v>82</v>
      </c>
    </row>
    <row r="3049" spans="15:20" x14ac:dyDescent="0.25">
      <c r="O3049">
        <v>1</v>
      </c>
      <c r="S3049" t="e">
        <v>#DIV/0!</v>
      </c>
      <c r="T3049" t="s">
        <v>82</v>
      </c>
    </row>
    <row r="3050" spans="15:20" x14ac:dyDescent="0.25">
      <c r="O3050">
        <v>1</v>
      </c>
      <c r="S3050" t="e">
        <v>#DIV/0!</v>
      </c>
      <c r="T3050" t="s">
        <v>82</v>
      </c>
    </row>
    <row r="3051" spans="15:20" x14ac:dyDescent="0.25">
      <c r="O3051">
        <v>1</v>
      </c>
      <c r="S3051" t="e">
        <v>#DIV/0!</v>
      </c>
      <c r="T3051" t="s">
        <v>82</v>
      </c>
    </row>
    <row r="3052" spans="15:20" x14ac:dyDescent="0.25">
      <c r="O3052">
        <v>1</v>
      </c>
      <c r="S3052" t="e">
        <v>#DIV/0!</v>
      </c>
      <c r="T3052" t="s">
        <v>82</v>
      </c>
    </row>
    <row r="3053" spans="15:20" x14ac:dyDescent="0.25">
      <c r="O3053">
        <v>1</v>
      </c>
      <c r="S3053" t="e">
        <v>#DIV/0!</v>
      </c>
      <c r="T3053" t="s">
        <v>82</v>
      </c>
    </row>
    <row r="3054" spans="15:20" x14ac:dyDescent="0.25">
      <c r="O3054">
        <v>1</v>
      </c>
      <c r="S3054" t="e">
        <v>#DIV/0!</v>
      </c>
      <c r="T3054" t="s">
        <v>82</v>
      </c>
    </row>
    <row r="3055" spans="15:20" x14ac:dyDescent="0.25">
      <c r="O3055">
        <v>1</v>
      </c>
      <c r="S3055" t="e">
        <v>#DIV/0!</v>
      </c>
      <c r="T3055" t="s">
        <v>82</v>
      </c>
    </row>
    <row r="3056" spans="15:20" x14ac:dyDescent="0.25">
      <c r="O3056">
        <v>1</v>
      </c>
      <c r="S3056" t="e">
        <v>#DIV/0!</v>
      </c>
      <c r="T3056" t="s">
        <v>82</v>
      </c>
    </row>
    <row r="3057" spans="15:20" x14ac:dyDescent="0.25">
      <c r="O3057">
        <v>1</v>
      </c>
      <c r="S3057" t="e">
        <v>#DIV/0!</v>
      </c>
      <c r="T3057" t="s">
        <v>82</v>
      </c>
    </row>
    <row r="3058" spans="15:20" x14ac:dyDescent="0.25">
      <c r="O3058">
        <v>1</v>
      </c>
      <c r="S3058" t="e">
        <v>#DIV/0!</v>
      </c>
      <c r="T3058" t="s">
        <v>82</v>
      </c>
    </row>
    <row r="3059" spans="15:20" x14ac:dyDescent="0.25">
      <c r="O3059">
        <v>1</v>
      </c>
      <c r="S3059" t="e">
        <v>#DIV/0!</v>
      </c>
      <c r="T3059" t="s">
        <v>82</v>
      </c>
    </row>
    <row r="3060" spans="15:20" x14ac:dyDescent="0.25">
      <c r="O3060">
        <v>1</v>
      </c>
      <c r="S3060" t="e">
        <v>#DIV/0!</v>
      </c>
      <c r="T3060" t="s">
        <v>82</v>
      </c>
    </row>
    <row r="3061" spans="15:20" x14ac:dyDescent="0.25">
      <c r="O3061">
        <v>1</v>
      </c>
      <c r="S3061" t="e">
        <v>#DIV/0!</v>
      </c>
      <c r="T3061" t="s">
        <v>82</v>
      </c>
    </row>
    <row r="3062" spans="15:20" x14ac:dyDescent="0.25">
      <c r="O3062">
        <v>1</v>
      </c>
      <c r="S3062" t="e">
        <v>#DIV/0!</v>
      </c>
      <c r="T3062" t="s">
        <v>82</v>
      </c>
    </row>
    <row r="3063" spans="15:20" x14ac:dyDescent="0.25">
      <c r="O3063">
        <v>1</v>
      </c>
      <c r="S3063" t="e">
        <v>#DIV/0!</v>
      </c>
      <c r="T3063" t="s">
        <v>82</v>
      </c>
    </row>
    <row r="3064" spans="15:20" x14ac:dyDescent="0.25">
      <c r="O3064">
        <v>1</v>
      </c>
      <c r="S3064" t="e">
        <v>#DIV/0!</v>
      </c>
      <c r="T3064" t="s">
        <v>82</v>
      </c>
    </row>
    <row r="3065" spans="15:20" x14ac:dyDescent="0.25">
      <c r="O3065">
        <v>1</v>
      </c>
      <c r="S3065" t="e">
        <v>#DIV/0!</v>
      </c>
      <c r="T3065" t="s">
        <v>82</v>
      </c>
    </row>
    <row r="3066" spans="15:20" x14ac:dyDescent="0.25">
      <c r="O3066">
        <v>1</v>
      </c>
      <c r="S3066" t="e">
        <v>#DIV/0!</v>
      </c>
      <c r="T3066" t="s">
        <v>82</v>
      </c>
    </row>
    <row r="3067" spans="15:20" x14ac:dyDescent="0.25">
      <c r="O3067">
        <v>1</v>
      </c>
      <c r="S3067" t="e">
        <v>#DIV/0!</v>
      </c>
      <c r="T3067" t="s">
        <v>82</v>
      </c>
    </row>
    <row r="3068" spans="15:20" x14ac:dyDescent="0.25">
      <c r="O3068">
        <v>1</v>
      </c>
      <c r="S3068" t="e">
        <v>#DIV/0!</v>
      </c>
      <c r="T3068" t="s">
        <v>82</v>
      </c>
    </row>
    <row r="3069" spans="15:20" x14ac:dyDescent="0.25">
      <c r="O3069">
        <v>1</v>
      </c>
      <c r="S3069" t="e">
        <v>#DIV/0!</v>
      </c>
      <c r="T3069" t="s">
        <v>82</v>
      </c>
    </row>
    <row r="3070" spans="15:20" x14ac:dyDescent="0.25">
      <c r="O3070">
        <v>1</v>
      </c>
      <c r="S3070" t="e">
        <v>#DIV/0!</v>
      </c>
      <c r="T3070" t="s">
        <v>82</v>
      </c>
    </row>
    <row r="3071" spans="15:20" x14ac:dyDescent="0.25">
      <c r="O3071">
        <v>1</v>
      </c>
      <c r="S3071" t="e">
        <v>#DIV/0!</v>
      </c>
      <c r="T3071" t="s">
        <v>82</v>
      </c>
    </row>
    <row r="3072" spans="15:20" x14ac:dyDescent="0.25">
      <c r="O3072">
        <v>1</v>
      </c>
      <c r="S3072" t="e">
        <v>#DIV/0!</v>
      </c>
      <c r="T3072" t="s">
        <v>82</v>
      </c>
    </row>
    <row r="3073" spans="15:20" x14ac:dyDescent="0.25">
      <c r="O3073">
        <v>1</v>
      </c>
      <c r="S3073" t="e">
        <v>#DIV/0!</v>
      </c>
      <c r="T3073" t="s">
        <v>82</v>
      </c>
    </row>
    <row r="3074" spans="15:20" x14ac:dyDescent="0.25">
      <c r="O3074">
        <v>1</v>
      </c>
      <c r="S3074" t="e">
        <v>#DIV/0!</v>
      </c>
      <c r="T3074" t="s">
        <v>82</v>
      </c>
    </row>
    <row r="3075" spans="15:20" x14ac:dyDescent="0.25">
      <c r="O3075">
        <v>1</v>
      </c>
      <c r="S3075" t="e">
        <v>#DIV/0!</v>
      </c>
      <c r="T3075" t="s">
        <v>82</v>
      </c>
    </row>
    <row r="3076" spans="15:20" x14ac:dyDescent="0.25">
      <c r="O3076">
        <v>1</v>
      </c>
      <c r="S3076" t="e">
        <v>#DIV/0!</v>
      </c>
      <c r="T3076" t="s">
        <v>82</v>
      </c>
    </row>
    <row r="3077" spans="15:20" x14ac:dyDescent="0.25">
      <c r="O3077">
        <v>1</v>
      </c>
      <c r="S3077" t="e">
        <v>#DIV/0!</v>
      </c>
      <c r="T3077" t="s">
        <v>82</v>
      </c>
    </row>
    <row r="3078" spans="15:20" x14ac:dyDescent="0.25">
      <c r="O3078">
        <v>1</v>
      </c>
      <c r="S3078" t="e">
        <v>#DIV/0!</v>
      </c>
      <c r="T3078" t="s">
        <v>82</v>
      </c>
    </row>
    <row r="3079" spans="15:20" x14ac:dyDescent="0.25">
      <c r="O3079">
        <v>1</v>
      </c>
      <c r="S3079" t="e">
        <v>#DIV/0!</v>
      </c>
      <c r="T3079" t="s">
        <v>82</v>
      </c>
    </row>
    <row r="3080" spans="15:20" x14ac:dyDescent="0.25">
      <c r="O3080">
        <v>1</v>
      </c>
      <c r="S3080" t="e">
        <v>#DIV/0!</v>
      </c>
      <c r="T3080" t="s">
        <v>82</v>
      </c>
    </row>
    <row r="3081" spans="15:20" x14ac:dyDescent="0.25">
      <c r="O3081">
        <v>1</v>
      </c>
      <c r="S3081" t="e">
        <v>#DIV/0!</v>
      </c>
      <c r="T3081" t="s">
        <v>82</v>
      </c>
    </row>
    <row r="3082" spans="15:20" x14ac:dyDescent="0.25">
      <c r="O3082">
        <v>1</v>
      </c>
      <c r="S3082" t="e">
        <v>#DIV/0!</v>
      </c>
      <c r="T3082" t="s">
        <v>82</v>
      </c>
    </row>
    <row r="3083" spans="15:20" x14ac:dyDescent="0.25">
      <c r="O3083">
        <v>1</v>
      </c>
      <c r="S3083" t="e">
        <v>#DIV/0!</v>
      </c>
      <c r="T3083" t="s">
        <v>82</v>
      </c>
    </row>
    <row r="3084" spans="15:20" x14ac:dyDescent="0.25">
      <c r="O3084">
        <v>1</v>
      </c>
      <c r="S3084" t="e">
        <v>#DIV/0!</v>
      </c>
      <c r="T3084" t="s">
        <v>82</v>
      </c>
    </row>
    <row r="3085" spans="15:20" x14ac:dyDescent="0.25">
      <c r="O3085">
        <v>1</v>
      </c>
      <c r="S3085" t="e">
        <v>#DIV/0!</v>
      </c>
      <c r="T3085" t="s">
        <v>82</v>
      </c>
    </row>
    <row r="3086" spans="15:20" x14ac:dyDescent="0.25">
      <c r="O3086">
        <v>1</v>
      </c>
      <c r="S3086" t="e">
        <v>#DIV/0!</v>
      </c>
      <c r="T3086" t="s">
        <v>82</v>
      </c>
    </row>
    <row r="3087" spans="15:20" x14ac:dyDescent="0.25">
      <c r="O3087">
        <v>1</v>
      </c>
      <c r="S3087" t="e">
        <v>#DIV/0!</v>
      </c>
      <c r="T3087" t="s">
        <v>82</v>
      </c>
    </row>
    <row r="3088" spans="15:20" x14ac:dyDescent="0.25">
      <c r="O3088">
        <v>1</v>
      </c>
      <c r="S3088" t="e">
        <v>#DIV/0!</v>
      </c>
      <c r="T3088" t="s">
        <v>82</v>
      </c>
    </row>
    <row r="3089" spans="15:20" x14ac:dyDescent="0.25">
      <c r="O3089">
        <v>1</v>
      </c>
      <c r="S3089" t="e">
        <v>#DIV/0!</v>
      </c>
      <c r="T3089" t="s">
        <v>82</v>
      </c>
    </row>
    <row r="3090" spans="15:20" x14ac:dyDescent="0.25">
      <c r="O3090">
        <v>1</v>
      </c>
      <c r="S3090" t="e">
        <v>#DIV/0!</v>
      </c>
      <c r="T3090" t="s">
        <v>82</v>
      </c>
    </row>
    <row r="3091" spans="15:20" x14ac:dyDescent="0.25">
      <c r="O3091">
        <v>1</v>
      </c>
      <c r="S3091" t="e">
        <v>#DIV/0!</v>
      </c>
      <c r="T3091" t="s">
        <v>82</v>
      </c>
    </row>
    <row r="3092" spans="15:20" x14ac:dyDescent="0.25">
      <c r="O3092">
        <v>1</v>
      </c>
      <c r="S3092" t="e">
        <v>#DIV/0!</v>
      </c>
      <c r="T3092" t="s">
        <v>82</v>
      </c>
    </row>
    <row r="3093" spans="15:20" x14ac:dyDescent="0.25">
      <c r="O3093">
        <v>1</v>
      </c>
      <c r="S3093" t="e">
        <v>#DIV/0!</v>
      </c>
      <c r="T3093" t="s">
        <v>82</v>
      </c>
    </row>
    <row r="3094" spans="15:20" x14ac:dyDescent="0.25">
      <c r="O3094">
        <v>1</v>
      </c>
      <c r="S3094" t="e">
        <v>#DIV/0!</v>
      </c>
      <c r="T3094" t="s">
        <v>82</v>
      </c>
    </row>
    <row r="3095" spans="15:20" x14ac:dyDescent="0.25">
      <c r="O3095">
        <v>1</v>
      </c>
      <c r="S3095" t="e">
        <v>#DIV/0!</v>
      </c>
      <c r="T3095" t="s">
        <v>82</v>
      </c>
    </row>
    <row r="3096" spans="15:20" x14ac:dyDescent="0.25">
      <c r="O3096">
        <v>1</v>
      </c>
      <c r="S3096" t="e">
        <v>#DIV/0!</v>
      </c>
      <c r="T3096" t="s">
        <v>82</v>
      </c>
    </row>
    <row r="3097" spans="15:20" x14ac:dyDescent="0.25">
      <c r="O3097">
        <v>1</v>
      </c>
      <c r="S3097" t="e">
        <v>#DIV/0!</v>
      </c>
      <c r="T3097" t="s">
        <v>82</v>
      </c>
    </row>
    <row r="3098" spans="15:20" x14ac:dyDescent="0.25">
      <c r="O3098">
        <v>1</v>
      </c>
      <c r="S3098" t="e">
        <v>#DIV/0!</v>
      </c>
      <c r="T3098" t="s">
        <v>82</v>
      </c>
    </row>
    <row r="3099" spans="15:20" x14ac:dyDescent="0.25">
      <c r="O3099">
        <v>1</v>
      </c>
      <c r="S3099" t="e">
        <v>#DIV/0!</v>
      </c>
      <c r="T3099" t="s">
        <v>82</v>
      </c>
    </row>
    <row r="3100" spans="15:20" x14ac:dyDescent="0.25">
      <c r="O3100">
        <v>1</v>
      </c>
      <c r="S3100" t="e">
        <v>#DIV/0!</v>
      </c>
      <c r="T3100" t="s">
        <v>82</v>
      </c>
    </row>
    <row r="3101" spans="15:20" x14ac:dyDescent="0.25">
      <c r="O3101">
        <v>1</v>
      </c>
      <c r="S3101" t="e">
        <v>#DIV/0!</v>
      </c>
      <c r="T3101" t="s">
        <v>82</v>
      </c>
    </row>
    <row r="3102" spans="15:20" x14ac:dyDescent="0.25">
      <c r="O3102">
        <v>1</v>
      </c>
      <c r="S3102" t="e">
        <v>#DIV/0!</v>
      </c>
      <c r="T3102" t="s">
        <v>82</v>
      </c>
    </row>
    <row r="3103" spans="15:20" x14ac:dyDescent="0.25">
      <c r="O3103">
        <v>1</v>
      </c>
      <c r="S3103" t="e">
        <v>#DIV/0!</v>
      </c>
      <c r="T3103" t="s">
        <v>82</v>
      </c>
    </row>
    <row r="3104" spans="15:20" x14ac:dyDescent="0.25">
      <c r="O3104">
        <v>1</v>
      </c>
      <c r="S3104" t="e">
        <v>#DIV/0!</v>
      </c>
      <c r="T3104" t="s">
        <v>82</v>
      </c>
    </row>
    <row r="3105" spans="15:20" x14ac:dyDescent="0.25">
      <c r="O3105">
        <v>1</v>
      </c>
      <c r="S3105" t="e">
        <v>#DIV/0!</v>
      </c>
      <c r="T3105" t="s">
        <v>82</v>
      </c>
    </row>
    <row r="3106" spans="15:20" x14ac:dyDescent="0.25">
      <c r="O3106">
        <v>1</v>
      </c>
      <c r="S3106" t="e">
        <v>#DIV/0!</v>
      </c>
      <c r="T3106" t="s">
        <v>82</v>
      </c>
    </row>
    <row r="3107" spans="15:20" x14ac:dyDescent="0.25">
      <c r="O3107">
        <v>1</v>
      </c>
      <c r="S3107" t="e">
        <v>#DIV/0!</v>
      </c>
      <c r="T3107" t="s">
        <v>82</v>
      </c>
    </row>
    <row r="3108" spans="15:20" x14ac:dyDescent="0.25">
      <c r="O3108">
        <v>1</v>
      </c>
      <c r="S3108" t="e">
        <v>#DIV/0!</v>
      </c>
      <c r="T3108" t="s">
        <v>82</v>
      </c>
    </row>
    <row r="3109" spans="15:20" x14ac:dyDescent="0.25">
      <c r="O3109">
        <v>1</v>
      </c>
      <c r="S3109" t="e">
        <v>#DIV/0!</v>
      </c>
      <c r="T3109" t="s">
        <v>82</v>
      </c>
    </row>
    <row r="3110" spans="15:20" x14ac:dyDescent="0.25">
      <c r="O3110">
        <v>1</v>
      </c>
      <c r="S3110" t="e">
        <v>#DIV/0!</v>
      </c>
      <c r="T3110" t="s">
        <v>82</v>
      </c>
    </row>
    <row r="3111" spans="15:20" x14ac:dyDescent="0.25">
      <c r="O3111">
        <v>1</v>
      </c>
      <c r="S3111" t="e">
        <v>#DIV/0!</v>
      </c>
      <c r="T3111" t="s">
        <v>82</v>
      </c>
    </row>
    <row r="3112" spans="15:20" x14ac:dyDescent="0.25">
      <c r="O3112">
        <v>1</v>
      </c>
      <c r="S3112" t="e">
        <v>#DIV/0!</v>
      </c>
      <c r="T3112" t="s">
        <v>82</v>
      </c>
    </row>
    <row r="3113" spans="15:20" x14ac:dyDescent="0.25">
      <c r="O3113">
        <v>1</v>
      </c>
      <c r="S3113" t="e">
        <v>#DIV/0!</v>
      </c>
      <c r="T3113" t="s">
        <v>82</v>
      </c>
    </row>
    <row r="3114" spans="15:20" x14ac:dyDescent="0.25">
      <c r="O3114">
        <v>1</v>
      </c>
      <c r="S3114" t="e">
        <v>#DIV/0!</v>
      </c>
      <c r="T3114" t="s">
        <v>82</v>
      </c>
    </row>
    <row r="3115" spans="15:20" x14ac:dyDescent="0.25">
      <c r="O3115">
        <v>1</v>
      </c>
      <c r="S3115" t="e">
        <v>#DIV/0!</v>
      </c>
      <c r="T3115" t="s">
        <v>82</v>
      </c>
    </row>
    <row r="3116" spans="15:20" x14ac:dyDescent="0.25">
      <c r="O3116">
        <v>1</v>
      </c>
      <c r="S3116" t="e">
        <v>#DIV/0!</v>
      </c>
      <c r="T3116" t="s">
        <v>82</v>
      </c>
    </row>
    <row r="3117" spans="15:20" x14ac:dyDescent="0.25">
      <c r="O3117">
        <v>1</v>
      </c>
      <c r="S3117" t="e">
        <v>#DIV/0!</v>
      </c>
      <c r="T3117" t="s">
        <v>82</v>
      </c>
    </row>
    <row r="3118" spans="15:20" x14ac:dyDescent="0.25">
      <c r="O3118">
        <v>1</v>
      </c>
      <c r="S3118" t="e">
        <v>#DIV/0!</v>
      </c>
      <c r="T3118" t="s">
        <v>82</v>
      </c>
    </row>
    <row r="3119" spans="15:20" x14ac:dyDescent="0.25">
      <c r="O3119">
        <v>1</v>
      </c>
      <c r="S3119" t="e">
        <v>#DIV/0!</v>
      </c>
      <c r="T3119" t="s">
        <v>82</v>
      </c>
    </row>
    <row r="3120" spans="15:20" x14ac:dyDescent="0.25">
      <c r="O3120">
        <v>1</v>
      </c>
      <c r="S3120" t="e">
        <v>#DIV/0!</v>
      </c>
      <c r="T3120" t="s">
        <v>82</v>
      </c>
    </row>
    <row r="3121" spans="15:20" x14ac:dyDescent="0.25">
      <c r="O3121">
        <v>1</v>
      </c>
      <c r="S3121" t="e">
        <v>#DIV/0!</v>
      </c>
      <c r="T3121" t="s">
        <v>82</v>
      </c>
    </row>
    <row r="3122" spans="15:20" x14ac:dyDescent="0.25">
      <c r="O3122">
        <v>1</v>
      </c>
      <c r="S3122" t="e">
        <v>#DIV/0!</v>
      </c>
      <c r="T3122" t="s">
        <v>82</v>
      </c>
    </row>
    <row r="3123" spans="15:20" x14ac:dyDescent="0.25">
      <c r="O3123">
        <v>1</v>
      </c>
      <c r="S3123" t="e">
        <v>#DIV/0!</v>
      </c>
      <c r="T3123" t="s">
        <v>82</v>
      </c>
    </row>
    <row r="3124" spans="15:20" x14ac:dyDescent="0.25">
      <c r="O3124">
        <v>1</v>
      </c>
      <c r="S3124" t="e">
        <v>#DIV/0!</v>
      </c>
      <c r="T3124" t="s">
        <v>82</v>
      </c>
    </row>
    <row r="3125" spans="15:20" x14ac:dyDescent="0.25">
      <c r="O3125">
        <v>1</v>
      </c>
      <c r="S3125" t="e">
        <v>#DIV/0!</v>
      </c>
      <c r="T3125" t="s">
        <v>82</v>
      </c>
    </row>
    <row r="3126" spans="15:20" x14ac:dyDescent="0.25">
      <c r="O3126">
        <v>1</v>
      </c>
      <c r="S3126" t="e">
        <v>#DIV/0!</v>
      </c>
      <c r="T3126" t="s">
        <v>82</v>
      </c>
    </row>
    <row r="3127" spans="15:20" x14ac:dyDescent="0.25">
      <c r="O3127">
        <v>1</v>
      </c>
      <c r="S3127" t="e">
        <v>#DIV/0!</v>
      </c>
      <c r="T3127" t="s">
        <v>82</v>
      </c>
    </row>
    <row r="3128" spans="15:20" x14ac:dyDescent="0.25">
      <c r="O3128">
        <v>1</v>
      </c>
      <c r="S3128" t="e">
        <v>#DIV/0!</v>
      </c>
      <c r="T3128" t="s">
        <v>82</v>
      </c>
    </row>
    <row r="3129" spans="15:20" x14ac:dyDescent="0.25">
      <c r="O3129">
        <v>1</v>
      </c>
      <c r="S3129" t="e">
        <v>#DIV/0!</v>
      </c>
      <c r="T3129" t="s">
        <v>82</v>
      </c>
    </row>
    <row r="3130" spans="15:20" x14ac:dyDescent="0.25">
      <c r="O3130">
        <v>1</v>
      </c>
      <c r="S3130" t="e">
        <v>#DIV/0!</v>
      </c>
      <c r="T3130" t="s">
        <v>82</v>
      </c>
    </row>
    <row r="3131" spans="15:20" x14ac:dyDescent="0.25">
      <c r="O3131">
        <v>1</v>
      </c>
      <c r="S3131" t="e">
        <v>#DIV/0!</v>
      </c>
      <c r="T3131" t="s">
        <v>82</v>
      </c>
    </row>
    <row r="3132" spans="15:20" x14ac:dyDescent="0.25">
      <c r="O3132">
        <v>1</v>
      </c>
      <c r="S3132" t="e">
        <v>#DIV/0!</v>
      </c>
      <c r="T3132" t="s">
        <v>82</v>
      </c>
    </row>
    <row r="3133" spans="15:20" x14ac:dyDescent="0.25">
      <c r="O3133">
        <v>1</v>
      </c>
      <c r="S3133" t="e">
        <v>#DIV/0!</v>
      </c>
      <c r="T3133" t="s">
        <v>82</v>
      </c>
    </row>
    <row r="3134" spans="15:20" x14ac:dyDescent="0.25">
      <c r="O3134">
        <v>1</v>
      </c>
      <c r="S3134" t="e">
        <v>#DIV/0!</v>
      </c>
      <c r="T3134" t="s">
        <v>82</v>
      </c>
    </row>
    <row r="3135" spans="15:20" x14ac:dyDescent="0.25">
      <c r="O3135">
        <v>1</v>
      </c>
      <c r="S3135" t="e">
        <v>#DIV/0!</v>
      </c>
      <c r="T3135" t="s">
        <v>82</v>
      </c>
    </row>
    <row r="3136" spans="15:20" x14ac:dyDescent="0.25">
      <c r="O3136">
        <v>1</v>
      </c>
      <c r="S3136" t="e">
        <v>#DIV/0!</v>
      </c>
      <c r="T3136" t="s">
        <v>82</v>
      </c>
    </row>
    <row r="3137" spans="15:20" x14ac:dyDescent="0.25">
      <c r="O3137">
        <v>1</v>
      </c>
      <c r="S3137" t="e">
        <v>#DIV/0!</v>
      </c>
      <c r="T3137" t="s">
        <v>82</v>
      </c>
    </row>
    <row r="3138" spans="15:20" x14ac:dyDescent="0.25">
      <c r="O3138">
        <v>1</v>
      </c>
      <c r="S3138" t="e">
        <v>#DIV/0!</v>
      </c>
      <c r="T3138" t="s">
        <v>82</v>
      </c>
    </row>
    <row r="3139" spans="15:20" x14ac:dyDescent="0.25">
      <c r="O3139">
        <v>1</v>
      </c>
      <c r="S3139" t="e">
        <v>#DIV/0!</v>
      </c>
      <c r="T3139" t="s">
        <v>82</v>
      </c>
    </row>
    <row r="3140" spans="15:20" x14ac:dyDescent="0.25">
      <c r="O3140">
        <v>1</v>
      </c>
      <c r="S3140" t="e">
        <v>#DIV/0!</v>
      </c>
      <c r="T3140" t="s">
        <v>82</v>
      </c>
    </row>
    <row r="3141" spans="15:20" x14ac:dyDescent="0.25">
      <c r="O3141">
        <v>1</v>
      </c>
      <c r="S3141" t="e">
        <v>#DIV/0!</v>
      </c>
      <c r="T3141" t="s">
        <v>82</v>
      </c>
    </row>
    <row r="3142" spans="15:20" x14ac:dyDescent="0.25">
      <c r="O3142">
        <v>1</v>
      </c>
      <c r="S3142" t="e">
        <v>#DIV/0!</v>
      </c>
      <c r="T3142" t="s">
        <v>82</v>
      </c>
    </row>
    <row r="3143" spans="15:20" x14ac:dyDescent="0.25">
      <c r="O3143">
        <v>1</v>
      </c>
      <c r="S3143" t="e">
        <v>#DIV/0!</v>
      </c>
      <c r="T3143" t="s">
        <v>82</v>
      </c>
    </row>
    <row r="3144" spans="15:20" x14ac:dyDescent="0.25">
      <c r="O3144">
        <v>1</v>
      </c>
      <c r="S3144" t="e">
        <v>#DIV/0!</v>
      </c>
      <c r="T3144" t="s">
        <v>82</v>
      </c>
    </row>
    <row r="3145" spans="15:20" x14ac:dyDescent="0.25">
      <c r="O3145">
        <v>1</v>
      </c>
      <c r="S3145" t="e">
        <v>#DIV/0!</v>
      </c>
      <c r="T3145" t="s">
        <v>82</v>
      </c>
    </row>
    <row r="3146" spans="15:20" x14ac:dyDescent="0.25">
      <c r="O3146">
        <v>1</v>
      </c>
      <c r="S3146" t="e">
        <v>#DIV/0!</v>
      </c>
      <c r="T3146" t="s">
        <v>82</v>
      </c>
    </row>
    <row r="3147" spans="15:20" x14ac:dyDescent="0.25">
      <c r="O3147">
        <v>1</v>
      </c>
      <c r="S3147" t="e">
        <v>#DIV/0!</v>
      </c>
      <c r="T3147" t="s">
        <v>82</v>
      </c>
    </row>
    <row r="3148" spans="15:20" x14ac:dyDescent="0.25">
      <c r="O3148">
        <v>1</v>
      </c>
      <c r="S3148" t="e">
        <v>#DIV/0!</v>
      </c>
      <c r="T3148" t="s">
        <v>82</v>
      </c>
    </row>
    <row r="3149" spans="15:20" x14ac:dyDescent="0.25">
      <c r="O3149">
        <v>1</v>
      </c>
      <c r="S3149" t="e">
        <v>#DIV/0!</v>
      </c>
      <c r="T3149" t="s">
        <v>82</v>
      </c>
    </row>
    <row r="3150" spans="15:20" x14ac:dyDescent="0.25">
      <c r="O3150">
        <v>1</v>
      </c>
      <c r="S3150" t="e">
        <v>#DIV/0!</v>
      </c>
      <c r="T3150" t="s">
        <v>82</v>
      </c>
    </row>
    <row r="3151" spans="15:20" x14ac:dyDescent="0.25">
      <c r="O3151">
        <v>1</v>
      </c>
      <c r="S3151" t="e">
        <v>#DIV/0!</v>
      </c>
      <c r="T3151" t="s">
        <v>82</v>
      </c>
    </row>
    <row r="3152" spans="15:20" x14ac:dyDescent="0.25">
      <c r="O3152">
        <v>1</v>
      </c>
      <c r="S3152" t="e">
        <v>#DIV/0!</v>
      </c>
      <c r="T3152" t="s">
        <v>82</v>
      </c>
    </row>
    <row r="3153" spans="15:20" x14ac:dyDescent="0.25">
      <c r="O3153">
        <v>1</v>
      </c>
      <c r="S3153" t="e">
        <v>#DIV/0!</v>
      </c>
      <c r="T3153" t="s">
        <v>82</v>
      </c>
    </row>
    <row r="3154" spans="15:20" x14ac:dyDescent="0.25">
      <c r="O3154">
        <v>1</v>
      </c>
      <c r="S3154" t="e">
        <v>#DIV/0!</v>
      </c>
      <c r="T3154" t="s">
        <v>82</v>
      </c>
    </row>
    <row r="3155" spans="15:20" x14ac:dyDescent="0.25">
      <c r="O3155">
        <v>1</v>
      </c>
      <c r="S3155" t="e">
        <v>#DIV/0!</v>
      </c>
      <c r="T3155" t="s">
        <v>82</v>
      </c>
    </row>
    <row r="3156" spans="15:20" x14ac:dyDescent="0.25">
      <c r="O3156">
        <v>1</v>
      </c>
      <c r="S3156" t="e">
        <v>#DIV/0!</v>
      </c>
      <c r="T3156" t="s">
        <v>82</v>
      </c>
    </row>
    <row r="3157" spans="15:20" x14ac:dyDescent="0.25">
      <c r="O3157">
        <v>1</v>
      </c>
      <c r="S3157" t="e">
        <v>#DIV/0!</v>
      </c>
      <c r="T3157" t="s">
        <v>82</v>
      </c>
    </row>
    <row r="3158" spans="15:20" x14ac:dyDescent="0.25">
      <c r="O3158">
        <v>1</v>
      </c>
      <c r="S3158" t="e">
        <v>#DIV/0!</v>
      </c>
      <c r="T3158" t="s">
        <v>82</v>
      </c>
    </row>
    <row r="3159" spans="15:20" x14ac:dyDescent="0.25">
      <c r="O3159">
        <v>1</v>
      </c>
      <c r="S3159" t="e">
        <v>#DIV/0!</v>
      </c>
      <c r="T3159" t="s">
        <v>82</v>
      </c>
    </row>
    <row r="3160" spans="15:20" x14ac:dyDescent="0.25">
      <c r="O3160">
        <v>1</v>
      </c>
      <c r="S3160" t="e">
        <v>#DIV/0!</v>
      </c>
      <c r="T3160" t="s">
        <v>82</v>
      </c>
    </row>
    <row r="3161" spans="15:20" x14ac:dyDescent="0.25">
      <c r="O3161">
        <v>1</v>
      </c>
      <c r="S3161" t="e">
        <v>#DIV/0!</v>
      </c>
      <c r="T3161" t="s">
        <v>82</v>
      </c>
    </row>
    <row r="3162" spans="15:20" x14ac:dyDescent="0.25">
      <c r="O3162">
        <v>1</v>
      </c>
      <c r="S3162" t="e">
        <v>#DIV/0!</v>
      </c>
      <c r="T3162" t="s">
        <v>82</v>
      </c>
    </row>
    <row r="3163" spans="15:20" x14ac:dyDescent="0.25">
      <c r="O3163">
        <v>1</v>
      </c>
      <c r="S3163" t="e">
        <v>#DIV/0!</v>
      </c>
      <c r="T3163" t="s">
        <v>82</v>
      </c>
    </row>
    <row r="3164" spans="15:20" x14ac:dyDescent="0.25">
      <c r="O3164">
        <v>1</v>
      </c>
      <c r="S3164" t="e">
        <v>#DIV/0!</v>
      </c>
      <c r="T3164" t="s">
        <v>82</v>
      </c>
    </row>
    <row r="3165" spans="15:20" x14ac:dyDescent="0.25">
      <c r="O3165">
        <v>1</v>
      </c>
      <c r="S3165" t="e">
        <v>#DIV/0!</v>
      </c>
      <c r="T3165" t="s">
        <v>82</v>
      </c>
    </row>
    <row r="3166" spans="15:20" x14ac:dyDescent="0.25">
      <c r="O3166">
        <v>1</v>
      </c>
      <c r="S3166" t="e">
        <v>#DIV/0!</v>
      </c>
      <c r="T3166" t="s">
        <v>82</v>
      </c>
    </row>
    <row r="3167" spans="15:20" x14ac:dyDescent="0.25">
      <c r="O3167">
        <v>1</v>
      </c>
      <c r="S3167" t="e">
        <v>#DIV/0!</v>
      </c>
      <c r="T3167" t="s">
        <v>82</v>
      </c>
    </row>
    <row r="3168" spans="15:20" x14ac:dyDescent="0.25">
      <c r="O3168">
        <v>1</v>
      </c>
      <c r="S3168" t="e">
        <v>#DIV/0!</v>
      </c>
      <c r="T3168" t="s">
        <v>82</v>
      </c>
    </row>
    <row r="3169" spans="15:20" x14ac:dyDescent="0.25">
      <c r="O3169">
        <v>1</v>
      </c>
      <c r="S3169" t="e">
        <v>#DIV/0!</v>
      </c>
      <c r="T3169" t="s">
        <v>82</v>
      </c>
    </row>
    <row r="3170" spans="15:20" x14ac:dyDescent="0.25">
      <c r="O3170">
        <v>1</v>
      </c>
      <c r="S3170" t="e">
        <v>#DIV/0!</v>
      </c>
      <c r="T3170" t="s">
        <v>82</v>
      </c>
    </row>
    <row r="3171" spans="15:20" x14ac:dyDescent="0.25">
      <c r="O3171">
        <v>1</v>
      </c>
      <c r="S3171" t="e">
        <v>#DIV/0!</v>
      </c>
      <c r="T3171" t="s">
        <v>82</v>
      </c>
    </row>
    <row r="3172" spans="15:20" x14ac:dyDescent="0.25">
      <c r="O3172">
        <v>1</v>
      </c>
      <c r="S3172" t="e">
        <v>#DIV/0!</v>
      </c>
      <c r="T3172" t="s">
        <v>82</v>
      </c>
    </row>
    <row r="3173" spans="15:20" x14ac:dyDescent="0.25">
      <c r="O3173">
        <v>1</v>
      </c>
      <c r="S3173" t="e">
        <v>#DIV/0!</v>
      </c>
      <c r="T3173" t="s">
        <v>82</v>
      </c>
    </row>
    <row r="3174" spans="15:20" x14ac:dyDescent="0.25">
      <c r="O3174">
        <v>1</v>
      </c>
      <c r="S3174" t="e">
        <v>#DIV/0!</v>
      </c>
      <c r="T3174" t="s">
        <v>82</v>
      </c>
    </row>
    <row r="3175" spans="15:20" x14ac:dyDescent="0.25">
      <c r="O3175">
        <v>1</v>
      </c>
      <c r="S3175" t="e">
        <v>#DIV/0!</v>
      </c>
      <c r="T3175" t="s">
        <v>82</v>
      </c>
    </row>
    <row r="3176" spans="15:20" x14ac:dyDescent="0.25">
      <c r="O3176">
        <v>1</v>
      </c>
      <c r="S3176" t="e">
        <v>#DIV/0!</v>
      </c>
      <c r="T3176" t="s">
        <v>82</v>
      </c>
    </row>
    <row r="3177" spans="15:20" x14ac:dyDescent="0.25">
      <c r="O3177">
        <v>1</v>
      </c>
      <c r="S3177" t="e">
        <v>#DIV/0!</v>
      </c>
      <c r="T3177" t="s">
        <v>82</v>
      </c>
    </row>
    <row r="3178" spans="15:20" x14ac:dyDescent="0.25">
      <c r="O3178">
        <v>1</v>
      </c>
      <c r="S3178" t="e">
        <v>#DIV/0!</v>
      </c>
      <c r="T3178" t="s">
        <v>82</v>
      </c>
    </row>
    <row r="3179" spans="15:20" x14ac:dyDescent="0.25">
      <c r="O3179">
        <v>1</v>
      </c>
      <c r="S3179" t="e">
        <v>#DIV/0!</v>
      </c>
      <c r="T3179" t="s">
        <v>82</v>
      </c>
    </row>
    <row r="3180" spans="15:20" x14ac:dyDescent="0.25">
      <c r="O3180">
        <v>1</v>
      </c>
      <c r="S3180" t="e">
        <v>#DIV/0!</v>
      </c>
      <c r="T3180" t="s">
        <v>82</v>
      </c>
    </row>
    <row r="3181" spans="15:20" x14ac:dyDescent="0.25">
      <c r="O3181">
        <v>1</v>
      </c>
      <c r="S3181" t="e">
        <v>#DIV/0!</v>
      </c>
      <c r="T3181" t="s">
        <v>82</v>
      </c>
    </row>
    <row r="3182" spans="15:20" x14ac:dyDescent="0.25">
      <c r="O3182">
        <v>1</v>
      </c>
      <c r="S3182" t="e">
        <v>#DIV/0!</v>
      </c>
      <c r="T3182" t="s">
        <v>82</v>
      </c>
    </row>
    <row r="3183" spans="15:20" x14ac:dyDescent="0.25">
      <c r="O3183">
        <v>1</v>
      </c>
      <c r="S3183" t="e">
        <v>#DIV/0!</v>
      </c>
      <c r="T3183" t="s">
        <v>82</v>
      </c>
    </row>
    <row r="3184" spans="15:20" x14ac:dyDescent="0.25">
      <c r="O3184">
        <v>1</v>
      </c>
      <c r="S3184" t="e">
        <v>#DIV/0!</v>
      </c>
      <c r="T3184" t="s">
        <v>82</v>
      </c>
    </row>
    <row r="3185" spans="15:20" x14ac:dyDescent="0.25">
      <c r="O3185">
        <v>1</v>
      </c>
      <c r="S3185" t="e">
        <v>#DIV/0!</v>
      </c>
      <c r="T3185" t="s">
        <v>82</v>
      </c>
    </row>
    <row r="3186" spans="15:20" x14ac:dyDescent="0.25">
      <c r="O3186">
        <v>1</v>
      </c>
      <c r="S3186" t="e">
        <v>#DIV/0!</v>
      </c>
      <c r="T3186" t="s">
        <v>82</v>
      </c>
    </row>
    <row r="3187" spans="15:20" x14ac:dyDescent="0.25">
      <c r="O3187">
        <v>1</v>
      </c>
      <c r="S3187" t="e">
        <v>#DIV/0!</v>
      </c>
      <c r="T3187" t="s">
        <v>82</v>
      </c>
    </row>
    <row r="3188" spans="15:20" x14ac:dyDescent="0.25">
      <c r="O3188">
        <v>1</v>
      </c>
      <c r="S3188" t="e">
        <v>#DIV/0!</v>
      </c>
      <c r="T3188" t="s">
        <v>82</v>
      </c>
    </row>
    <row r="3189" spans="15:20" x14ac:dyDescent="0.25">
      <c r="O3189">
        <v>1</v>
      </c>
      <c r="S3189" t="e">
        <v>#DIV/0!</v>
      </c>
      <c r="T3189" t="s">
        <v>82</v>
      </c>
    </row>
    <row r="3190" spans="15:20" x14ac:dyDescent="0.25">
      <c r="O3190">
        <v>1</v>
      </c>
      <c r="S3190" t="e">
        <v>#DIV/0!</v>
      </c>
      <c r="T3190" t="s">
        <v>82</v>
      </c>
    </row>
    <row r="3191" spans="15:20" x14ac:dyDescent="0.25">
      <c r="O3191">
        <v>1</v>
      </c>
      <c r="S3191" t="e">
        <v>#DIV/0!</v>
      </c>
      <c r="T3191" t="s">
        <v>82</v>
      </c>
    </row>
    <row r="3192" spans="15:20" x14ac:dyDescent="0.25">
      <c r="O3192">
        <v>1</v>
      </c>
      <c r="S3192" t="e">
        <v>#DIV/0!</v>
      </c>
      <c r="T3192" t="s">
        <v>82</v>
      </c>
    </row>
    <row r="3193" spans="15:20" x14ac:dyDescent="0.25">
      <c r="O3193">
        <v>1</v>
      </c>
      <c r="S3193" t="e">
        <v>#DIV/0!</v>
      </c>
      <c r="T3193" t="s">
        <v>82</v>
      </c>
    </row>
    <row r="3194" spans="15:20" x14ac:dyDescent="0.25">
      <c r="O3194">
        <v>1</v>
      </c>
      <c r="S3194" t="e">
        <v>#DIV/0!</v>
      </c>
      <c r="T3194" t="s">
        <v>82</v>
      </c>
    </row>
    <row r="3195" spans="15:20" x14ac:dyDescent="0.25">
      <c r="O3195">
        <v>1</v>
      </c>
      <c r="S3195" t="e">
        <v>#DIV/0!</v>
      </c>
      <c r="T3195" t="s">
        <v>82</v>
      </c>
    </row>
    <row r="3196" spans="15:20" x14ac:dyDescent="0.25">
      <c r="O3196">
        <v>1</v>
      </c>
      <c r="S3196" t="e">
        <v>#DIV/0!</v>
      </c>
      <c r="T3196" t="s">
        <v>82</v>
      </c>
    </row>
    <row r="3197" spans="15:20" x14ac:dyDescent="0.25">
      <c r="O3197">
        <v>1</v>
      </c>
      <c r="S3197" t="e">
        <v>#DIV/0!</v>
      </c>
      <c r="T3197" t="s">
        <v>82</v>
      </c>
    </row>
    <row r="3198" spans="15:20" x14ac:dyDescent="0.25">
      <c r="O3198">
        <v>1</v>
      </c>
      <c r="S3198" t="e">
        <v>#DIV/0!</v>
      </c>
      <c r="T3198" t="s">
        <v>82</v>
      </c>
    </row>
    <row r="3199" spans="15:20" x14ac:dyDescent="0.25">
      <c r="O3199">
        <v>1</v>
      </c>
      <c r="S3199" t="e">
        <v>#DIV/0!</v>
      </c>
      <c r="T3199" t="s">
        <v>82</v>
      </c>
    </row>
    <row r="3200" spans="15:20" x14ac:dyDescent="0.25">
      <c r="O3200">
        <v>1</v>
      </c>
      <c r="S3200" t="e">
        <v>#DIV/0!</v>
      </c>
      <c r="T3200" t="s">
        <v>82</v>
      </c>
    </row>
    <row r="3201" spans="15:20" x14ac:dyDescent="0.25">
      <c r="O3201">
        <v>1</v>
      </c>
      <c r="S3201" t="e">
        <v>#DIV/0!</v>
      </c>
      <c r="T3201" t="s">
        <v>82</v>
      </c>
    </row>
    <row r="3202" spans="15:20" x14ac:dyDescent="0.25">
      <c r="O3202">
        <v>1</v>
      </c>
      <c r="S3202" t="e">
        <v>#DIV/0!</v>
      </c>
      <c r="T3202" t="s">
        <v>82</v>
      </c>
    </row>
    <row r="3203" spans="15:20" x14ac:dyDescent="0.25">
      <c r="O3203">
        <v>1</v>
      </c>
      <c r="S3203" t="e">
        <v>#DIV/0!</v>
      </c>
      <c r="T3203" t="s">
        <v>82</v>
      </c>
    </row>
    <row r="3204" spans="15:20" x14ac:dyDescent="0.25">
      <c r="O3204">
        <v>1</v>
      </c>
      <c r="S3204" t="e">
        <v>#DIV/0!</v>
      </c>
      <c r="T3204" t="s">
        <v>82</v>
      </c>
    </row>
    <row r="3205" spans="15:20" x14ac:dyDescent="0.25">
      <c r="O3205">
        <v>1</v>
      </c>
      <c r="S3205" t="e">
        <v>#DIV/0!</v>
      </c>
      <c r="T3205" t="s">
        <v>82</v>
      </c>
    </row>
    <row r="3206" spans="15:20" x14ac:dyDescent="0.25">
      <c r="O3206">
        <v>1</v>
      </c>
      <c r="S3206" t="e">
        <v>#DIV/0!</v>
      </c>
      <c r="T3206" t="s">
        <v>82</v>
      </c>
    </row>
    <row r="3207" spans="15:20" x14ac:dyDescent="0.25">
      <c r="O3207">
        <v>1</v>
      </c>
      <c r="S3207" t="e">
        <v>#DIV/0!</v>
      </c>
      <c r="T3207" t="s">
        <v>82</v>
      </c>
    </row>
    <row r="3208" spans="15:20" x14ac:dyDescent="0.25">
      <c r="O3208">
        <v>1</v>
      </c>
      <c r="S3208" t="e">
        <v>#DIV/0!</v>
      </c>
      <c r="T3208" t="s">
        <v>82</v>
      </c>
    </row>
    <row r="3209" spans="15:20" x14ac:dyDescent="0.25">
      <c r="O3209">
        <v>1</v>
      </c>
      <c r="S3209" t="e">
        <v>#DIV/0!</v>
      </c>
      <c r="T3209" t="s">
        <v>82</v>
      </c>
    </row>
    <row r="3210" spans="15:20" x14ac:dyDescent="0.25">
      <c r="O3210">
        <v>1</v>
      </c>
      <c r="S3210" t="e">
        <v>#DIV/0!</v>
      </c>
      <c r="T3210" t="s">
        <v>82</v>
      </c>
    </row>
    <row r="3211" spans="15:20" x14ac:dyDescent="0.25">
      <c r="O3211">
        <v>1</v>
      </c>
      <c r="S3211" t="e">
        <v>#DIV/0!</v>
      </c>
      <c r="T3211" t="s">
        <v>82</v>
      </c>
    </row>
    <row r="3212" spans="15:20" x14ac:dyDescent="0.25">
      <c r="O3212">
        <v>1</v>
      </c>
      <c r="S3212" t="e">
        <v>#DIV/0!</v>
      </c>
      <c r="T3212" t="s">
        <v>82</v>
      </c>
    </row>
    <row r="3213" spans="15:20" x14ac:dyDescent="0.25">
      <c r="O3213">
        <v>1</v>
      </c>
      <c r="S3213" t="e">
        <v>#DIV/0!</v>
      </c>
      <c r="T3213" t="s">
        <v>82</v>
      </c>
    </row>
    <row r="3214" spans="15:20" x14ac:dyDescent="0.25">
      <c r="O3214">
        <v>1</v>
      </c>
      <c r="S3214" t="e">
        <v>#DIV/0!</v>
      </c>
      <c r="T3214" t="s">
        <v>82</v>
      </c>
    </row>
    <row r="3215" spans="15:20" x14ac:dyDescent="0.25">
      <c r="O3215">
        <v>1</v>
      </c>
      <c r="S3215" t="e">
        <v>#DIV/0!</v>
      </c>
      <c r="T3215" t="s">
        <v>82</v>
      </c>
    </row>
    <row r="3216" spans="15:20" x14ac:dyDescent="0.25">
      <c r="O3216">
        <v>1</v>
      </c>
      <c r="S3216" t="e">
        <v>#DIV/0!</v>
      </c>
      <c r="T3216" t="s">
        <v>82</v>
      </c>
    </row>
    <row r="3217" spans="15:20" x14ac:dyDescent="0.25">
      <c r="O3217">
        <v>1</v>
      </c>
      <c r="S3217" t="e">
        <v>#DIV/0!</v>
      </c>
      <c r="T3217" t="s">
        <v>82</v>
      </c>
    </row>
    <row r="3218" spans="15:20" x14ac:dyDescent="0.25">
      <c r="O3218">
        <v>1</v>
      </c>
      <c r="S3218" t="e">
        <v>#DIV/0!</v>
      </c>
      <c r="T3218" t="s">
        <v>82</v>
      </c>
    </row>
    <row r="3219" spans="15:20" x14ac:dyDescent="0.25">
      <c r="O3219">
        <v>1</v>
      </c>
      <c r="S3219" t="e">
        <v>#DIV/0!</v>
      </c>
      <c r="T3219" t="s">
        <v>82</v>
      </c>
    </row>
    <row r="3220" spans="15:20" x14ac:dyDescent="0.25">
      <c r="O3220">
        <v>1</v>
      </c>
      <c r="S3220" t="e">
        <v>#DIV/0!</v>
      </c>
      <c r="T3220" t="s">
        <v>82</v>
      </c>
    </row>
    <row r="3221" spans="15:20" x14ac:dyDescent="0.25">
      <c r="O3221">
        <v>1</v>
      </c>
      <c r="S3221" t="e">
        <v>#DIV/0!</v>
      </c>
      <c r="T3221" t="s">
        <v>82</v>
      </c>
    </row>
    <row r="3222" spans="15:20" x14ac:dyDescent="0.25">
      <c r="O3222">
        <v>1</v>
      </c>
      <c r="S3222" t="e">
        <v>#DIV/0!</v>
      </c>
      <c r="T3222" t="s">
        <v>82</v>
      </c>
    </row>
    <row r="3223" spans="15:20" x14ac:dyDescent="0.25">
      <c r="O3223">
        <v>1</v>
      </c>
      <c r="S3223" t="e">
        <v>#DIV/0!</v>
      </c>
      <c r="T3223" t="s">
        <v>82</v>
      </c>
    </row>
    <row r="3224" spans="15:20" x14ac:dyDescent="0.25">
      <c r="O3224">
        <v>1</v>
      </c>
      <c r="S3224" t="e">
        <v>#DIV/0!</v>
      </c>
      <c r="T3224" t="s">
        <v>82</v>
      </c>
    </row>
    <row r="3225" spans="15:20" x14ac:dyDescent="0.25">
      <c r="O3225">
        <v>1</v>
      </c>
      <c r="S3225" t="e">
        <v>#DIV/0!</v>
      </c>
      <c r="T3225" t="s">
        <v>82</v>
      </c>
    </row>
    <row r="3226" spans="15:20" x14ac:dyDescent="0.25">
      <c r="O3226">
        <v>1</v>
      </c>
      <c r="S3226" t="e">
        <v>#DIV/0!</v>
      </c>
      <c r="T3226" t="s">
        <v>82</v>
      </c>
    </row>
    <row r="3227" spans="15:20" x14ac:dyDescent="0.25">
      <c r="O3227">
        <v>1</v>
      </c>
      <c r="S3227" t="e">
        <v>#DIV/0!</v>
      </c>
      <c r="T3227" t="s">
        <v>82</v>
      </c>
    </row>
    <row r="3228" spans="15:20" x14ac:dyDescent="0.25">
      <c r="O3228">
        <v>1</v>
      </c>
      <c r="S3228" t="e">
        <v>#DIV/0!</v>
      </c>
      <c r="T3228" t="s">
        <v>82</v>
      </c>
    </row>
    <row r="3229" spans="15:20" x14ac:dyDescent="0.25">
      <c r="O3229">
        <v>1</v>
      </c>
      <c r="S3229" t="e">
        <v>#DIV/0!</v>
      </c>
      <c r="T3229" t="s">
        <v>82</v>
      </c>
    </row>
    <row r="3230" spans="15:20" x14ac:dyDescent="0.25">
      <c r="O3230">
        <v>1</v>
      </c>
      <c r="S3230" t="e">
        <v>#DIV/0!</v>
      </c>
      <c r="T3230" t="s">
        <v>82</v>
      </c>
    </row>
    <row r="3231" spans="15:20" x14ac:dyDescent="0.25">
      <c r="O3231">
        <v>1</v>
      </c>
      <c r="S3231" t="e">
        <v>#DIV/0!</v>
      </c>
      <c r="T3231" t="s">
        <v>82</v>
      </c>
    </row>
    <row r="3232" spans="15:20" x14ac:dyDescent="0.25">
      <c r="O3232">
        <v>1</v>
      </c>
      <c r="S3232" t="e">
        <v>#DIV/0!</v>
      </c>
      <c r="T3232" t="s">
        <v>82</v>
      </c>
    </row>
    <row r="3233" spans="15:20" x14ac:dyDescent="0.25">
      <c r="O3233">
        <v>1</v>
      </c>
      <c r="S3233" t="e">
        <v>#DIV/0!</v>
      </c>
      <c r="T3233" t="s">
        <v>82</v>
      </c>
    </row>
    <row r="3234" spans="15:20" x14ac:dyDescent="0.25">
      <c r="O3234">
        <v>1</v>
      </c>
      <c r="S3234" t="e">
        <v>#DIV/0!</v>
      </c>
      <c r="T3234" t="s">
        <v>82</v>
      </c>
    </row>
    <row r="3235" spans="15:20" x14ac:dyDescent="0.25">
      <c r="O3235">
        <v>1</v>
      </c>
      <c r="S3235" t="e">
        <v>#DIV/0!</v>
      </c>
      <c r="T3235" t="s">
        <v>82</v>
      </c>
    </row>
    <row r="3236" spans="15:20" x14ac:dyDescent="0.25">
      <c r="O3236">
        <v>1</v>
      </c>
      <c r="S3236" t="e">
        <v>#DIV/0!</v>
      </c>
      <c r="T3236" t="s">
        <v>82</v>
      </c>
    </row>
    <row r="3237" spans="15:20" x14ac:dyDescent="0.25">
      <c r="O3237">
        <v>1</v>
      </c>
      <c r="S3237" t="e">
        <v>#DIV/0!</v>
      </c>
      <c r="T3237" t="s">
        <v>82</v>
      </c>
    </row>
    <row r="3238" spans="15:20" x14ac:dyDescent="0.25">
      <c r="O3238">
        <v>1</v>
      </c>
      <c r="S3238" t="e">
        <v>#DIV/0!</v>
      </c>
      <c r="T3238" t="s">
        <v>82</v>
      </c>
    </row>
    <row r="3239" spans="15:20" x14ac:dyDescent="0.25">
      <c r="O3239">
        <v>1</v>
      </c>
      <c r="S3239" t="e">
        <v>#DIV/0!</v>
      </c>
      <c r="T3239" t="s">
        <v>82</v>
      </c>
    </row>
    <row r="3240" spans="15:20" x14ac:dyDescent="0.25">
      <c r="O3240">
        <v>1</v>
      </c>
      <c r="S3240" t="e">
        <v>#DIV/0!</v>
      </c>
      <c r="T3240" t="s">
        <v>82</v>
      </c>
    </row>
    <row r="3241" spans="15:20" x14ac:dyDescent="0.25">
      <c r="O3241">
        <v>1</v>
      </c>
      <c r="S3241" t="e">
        <v>#DIV/0!</v>
      </c>
      <c r="T3241" t="s">
        <v>82</v>
      </c>
    </row>
    <row r="3242" spans="15:20" x14ac:dyDescent="0.25">
      <c r="O3242">
        <v>1</v>
      </c>
      <c r="S3242" t="e">
        <v>#DIV/0!</v>
      </c>
      <c r="T3242" t="s">
        <v>82</v>
      </c>
    </row>
    <row r="3243" spans="15:20" x14ac:dyDescent="0.25">
      <c r="O3243">
        <v>1</v>
      </c>
      <c r="S3243" t="e">
        <v>#DIV/0!</v>
      </c>
      <c r="T3243" t="s">
        <v>82</v>
      </c>
    </row>
    <row r="3244" spans="15:20" x14ac:dyDescent="0.25">
      <c r="O3244">
        <v>1</v>
      </c>
      <c r="S3244" t="e">
        <v>#DIV/0!</v>
      </c>
      <c r="T3244" t="s">
        <v>82</v>
      </c>
    </row>
    <row r="3245" spans="15:20" x14ac:dyDescent="0.25">
      <c r="O3245">
        <v>1</v>
      </c>
      <c r="S3245" t="e">
        <v>#DIV/0!</v>
      </c>
      <c r="T3245" t="s">
        <v>82</v>
      </c>
    </row>
    <row r="3246" spans="15:20" x14ac:dyDescent="0.25">
      <c r="O3246">
        <v>1</v>
      </c>
      <c r="S3246" t="e">
        <v>#DIV/0!</v>
      </c>
      <c r="T3246" t="s">
        <v>82</v>
      </c>
    </row>
    <row r="3247" spans="15:20" x14ac:dyDescent="0.25">
      <c r="O3247">
        <v>1</v>
      </c>
      <c r="S3247" t="e">
        <v>#DIV/0!</v>
      </c>
      <c r="T3247" t="s">
        <v>82</v>
      </c>
    </row>
    <row r="3248" spans="15:20" x14ac:dyDescent="0.25">
      <c r="O3248">
        <v>1</v>
      </c>
      <c r="S3248" t="e">
        <v>#DIV/0!</v>
      </c>
      <c r="T3248" t="s">
        <v>82</v>
      </c>
    </row>
    <row r="3249" spans="15:20" x14ac:dyDescent="0.25">
      <c r="O3249">
        <v>1</v>
      </c>
      <c r="S3249" t="e">
        <v>#DIV/0!</v>
      </c>
      <c r="T3249" t="s">
        <v>82</v>
      </c>
    </row>
    <row r="3250" spans="15:20" x14ac:dyDescent="0.25">
      <c r="O3250">
        <v>1</v>
      </c>
      <c r="S3250" t="e">
        <v>#DIV/0!</v>
      </c>
      <c r="T3250" t="s">
        <v>82</v>
      </c>
    </row>
    <row r="3251" spans="15:20" x14ac:dyDescent="0.25">
      <c r="O3251">
        <v>1</v>
      </c>
      <c r="S3251" t="e">
        <v>#DIV/0!</v>
      </c>
      <c r="T3251" t="s">
        <v>82</v>
      </c>
    </row>
    <row r="3252" spans="15:20" x14ac:dyDescent="0.25">
      <c r="O3252">
        <v>1</v>
      </c>
      <c r="S3252" t="e">
        <v>#DIV/0!</v>
      </c>
      <c r="T3252" t="s">
        <v>82</v>
      </c>
    </row>
    <row r="3253" spans="15:20" x14ac:dyDescent="0.25">
      <c r="O3253">
        <v>1</v>
      </c>
      <c r="S3253" t="e">
        <v>#DIV/0!</v>
      </c>
      <c r="T3253" t="s">
        <v>82</v>
      </c>
    </row>
    <row r="3254" spans="15:20" x14ac:dyDescent="0.25">
      <c r="O3254">
        <v>1</v>
      </c>
      <c r="S3254" t="e">
        <v>#DIV/0!</v>
      </c>
      <c r="T3254" t="s">
        <v>82</v>
      </c>
    </row>
    <row r="3255" spans="15:20" x14ac:dyDescent="0.25">
      <c r="O3255">
        <v>1</v>
      </c>
      <c r="S3255" t="e">
        <v>#DIV/0!</v>
      </c>
      <c r="T3255" t="s">
        <v>82</v>
      </c>
    </row>
    <row r="3256" spans="15:20" x14ac:dyDescent="0.25">
      <c r="O3256">
        <v>1</v>
      </c>
      <c r="S3256" t="e">
        <v>#DIV/0!</v>
      </c>
      <c r="T3256" t="s">
        <v>82</v>
      </c>
    </row>
    <row r="3257" spans="15:20" x14ac:dyDescent="0.25">
      <c r="O3257">
        <v>1</v>
      </c>
      <c r="S3257" t="e">
        <v>#DIV/0!</v>
      </c>
      <c r="T3257" t="s">
        <v>82</v>
      </c>
    </row>
    <row r="3258" spans="15:20" x14ac:dyDescent="0.25">
      <c r="O3258">
        <v>1</v>
      </c>
      <c r="S3258" t="e">
        <v>#DIV/0!</v>
      </c>
      <c r="T3258" t="s">
        <v>82</v>
      </c>
    </row>
    <row r="3259" spans="15:20" x14ac:dyDescent="0.25">
      <c r="O3259">
        <v>1</v>
      </c>
      <c r="S3259" t="e">
        <v>#DIV/0!</v>
      </c>
      <c r="T3259" t="s">
        <v>82</v>
      </c>
    </row>
    <row r="3260" spans="15:20" x14ac:dyDescent="0.25">
      <c r="O3260">
        <v>1</v>
      </c>
      <c r="S3260" t="e">
        <v>#DIV/0!</v>
      </c>
      <c r="T3260" t="s">
        <v>82</v>
      </c>
    </row>
    <row r="3261" spans="15:20" x14ac:dyDescent="0.25">
      <c r="O3261">
        <v>1</v>
      </c>
      <c r="S3261" t="e">
        <v>#DIV/0!</v>
      </c>
      <c r="T3261" t="s">
        <v>82</v>
      </c>
    </row>
    <row r="3262" spans="15:20" x14ac:dyDescent="0.25">
      <c r="O3262">
        <v>1</v>
      </c>
      <c r="S3262" t="e">
        <v>#DIV/0!</v>
      </c>
      <c r="T3262" t="s">
        <v>82</v>
      </c>
    </row>
    <row r="3263" spans="15:20" x14ac:dyDescent="0.25">
      <c r="O3263">
        <v>1</v>
      </c>
      <c r="S3263" t="e">
        <v>#DIV/0!</v>
      </c>
      <c r="T3263" t="s">
        <v>82</v>
      </c>
    </row>
    <row r="3264" spans="15:20" x14ac:dyDescent="0.25">
      <c r="O3264">
        <v>1</v>
      </c>
      <c r="S3264" t="e">
        <v>#DIV/0!</v>
      </c>
      <c r="T3264" t="s">
        <v>82</v>
      </c>
    </row>
    <row r="3265" spans="15:20" x14ac:dyDescent="0.25">
      <c r="O3265">
        <v>1</v>
      </c>
      <c r="S3265" t="e">
        <v>#DIV/0!</v>
      </c>
      <c r="T3265" t="s">
        <v>82</v>
      </c>
    </row>
    <row r="3266" spans="15:20" x14ac:dyDescent="0.25">
      <c r="O3266">
        <v>1</v>
      </c>
      <c r="S3266" t="e">
        <v>#DIV/0!</v>
      </c>
      <c r="T3266" t="s">
        <v>82</v>
      </c>
    </row>
    <row r="3267" spans="15:20" x14ac:dyDescent="0.25">
      <c r="O3267">
        <v>1</v>
      </c>
      <c r="S3267" t="e">
        <v>#DIV/0!</v>
      </c>
      <c r="T3267" t="s">
        <v>82</v>
      </c>
    </row>
    <row r="3268" spans="15:20" x14ac:dyDescent="0.25">
      <c r="O3268">
        <v>1</v>
      </c>
      <c r="S3268" t="e">
        <v>#DIV/0!</v>
      </c>
      <c r="T3268" t="s">
        <v>82</v>
      </c>
    </row>
    <row r="3269" spans="15:20" x14ac:dyDescent="0.25">
      <c r="O3269">
        <v>1</v>
      </c>
      <c r="S3269" t="e">
        <v>#DIV/0!</v>
      </c>
      <c r="T3269" t="s">
        <v>82</v>
      </c>
    </row>
    <row r="3270" spans="15:20" x14ac:dyDescent="0.25">
      <c r="O3270">
        <v>1</v>
      </c>
      <c r="S3270" t="e">
        <v>#DIV/0!</v>
      </c>
      <c r="T3270" t="s">
        <v>82</v>
      </c>
    </row>
    <row r="3271" spans="15:20" x14ac:dyDescent="0.25">
      <c r="O3271">
        <v>1</v>
      </c>
      <c r="S3271" t="e">
        <v>#DIV/0!</v>
      </c>
      <c r="T3271" t="s">
        <v>82</v>
      </c>
    </row>
    <row r="3272" spans="15:20" x14ac:dyDescent="0.25">
      <c r="O3272">
        <v>1</v>
      </c>
      <c r="S3272" t="e">
        <v>#DIV/0!</v>
      </c>
      <c r="T3272" t="s">
        <v>82</v>
      </c>
    </row>
    <row r="3273" spans="15:20" x14ac:dyDescent="0.25">
      <c r="O3273">
        <v>1</v>
      </c>
      <c r="S3273" t="e">
        <v>#DIV/0!</v>
      </c>
      <c r="T3273" t="s">
        <v>82</v>
      </c>
    </row>
    <row r="3274" spans="15:20" x14ac:dyDescent="0.25">
      <c r="O3274">
        <v>1</v>
      </c>
      <c r="S3274" t="e">
        <v>#DIV/0!</v>
      </c>
      <c r="T3274" t="s">
        <v>82</v>
      </c>
    </row>
    <row r="3275" spans="15:20" x14ac:dyDescent="0.25">
      <c r="O3275">
        <v>1</v>
      </c>
      <c r="S3275" t="e">
        <v>#DIV/0!</v>
      </c>
      <c r="T3275" t="s">
        <v>82</v>
      </c>
    </row>
    <row r="3276" spans="15:20" x14ac:dyDescent="0.25">
      <c r="O3276">
        <v>1</v>
      </c>
      <c r="S3276" t="e">
        <v>#DIV/0!</v>
      </c>
      <c r="T3276" t="s">
        <v>82</v>
      </c>
    </row>
    <row r="3277" spans="15:20" x14ac:dyDescent="0.25">
      <c r="O3277">
        <v>1</v>
      </c>
      <c r="S3277" t="e">
        <v>#DIV/0!</v>
      </c>
      <c r="T3277" t="s">
        <v>82</v>
      </c>
    </row>
    <row r="3278" spans="15:20" x14ac:dyDescent="0.25">
      <c r="O3278">
        <v>1</v>
      </c>
      <c r="S3278" t="e">
        <v>#DIV/0!</v>
      </c>
      <c r="T3278" t="s">
        <v>82</v>
      </c>
    </row>
    <row r="3279" spans="15:20" x14ac:dyDescent="0.25">
      <c r="O3279">
        <v>1</v>
      </c>
      <c r="S3279" t="e">
        <v>#DIV/0!</v>
      </c>
      <c r="T3279" t="s">
        <v>82</v>
      </c>
    </row>
    <row r="3280" spans="15:20" x14ac:dyDescent="0.25">
      <c r="O3280">
        <v>1</v>
      </c>
      <c r="S3280" t="e">
        <v>#DIV/0!</v>
      </c>
      <c r="T3280" t="s">
        <v>82</v>
      </c>
    </row>
    <row r="3281" spans="15:20" x14ac:dyDescent="0.25">
      <c r="O3281">
        <v>1</v>
      </c>
      <c r="S3281" t="e">
        <v>#DIV/0!</v>
      </c>
      <c r="T3281" t="s">
        <v>82</v>
      </c>
    </row>
    <row r="3282" spans="15:20" x14ac:dyDescent="0.25">
      <c r="O3282">
        <v>1</v>
      </c>
      <c r="S3282" t="e">
        <v>#DIV/0!</v>
      </c>
      <c r="T3282" t="s">
        <v>82</v>
      </c>
    </row>
    <row r="3283" spans="15:20" x14ac:dyDescent="0.25">
      <c r="O3283">
        <v>1</v>
      </c>
      <c r="S3283" t="e">
        <v>#DIV/0!</v>
      </c>
      <c r="T3283" t="s">
        <v>82</v>
      </c>
    </row>
    <row r="3284" spans="15:20" x14ac:dyDescent="0.25">
      <c r="O3284">
        <v>1</v>
      </c>
      <c r="S3284" t="e">
        <v>#DIV/0!</v>
      </c>
      <c r="T3284" t="s">
        <v>82</v>
      </c>
    </row>
    <row r="3285" spans="15:20" x14ac:dyDescent="0.25">
      <c r="O3285">
        <v>1</v>
      </c>
      <c r="S3285" t="e">
        <v>#DIV/0!</v>
      </c>
      <c r="T3285" t="s">
        <v>82</v>
      </c>
    </row>
    <row r="3286" spans="15:20" x14ac:dyDescent="0.25">
      <c r="O3286">
        <v>1</v>
      </c>
      <c r="S3286" t="e">
        <v>#DIV/0!</v>
      </c>
      <c r="T3286" t="s">
        <v>82</v>
      </c>
    </row>
    <row r="3287" spans="15:20" x14ac:dyDescent="0.25">
      <c r="O3287">
        <v>1</v>
      </c>
      <c r="S3287" t="e">
        <v>#DIV/0!</v>
      </c>
      <c r="T3287" t="s">
        <v>82</v>
      </c>
    </row>
    <row r="3288" spans="15:20" x14ac:dyDescent="0.25">
      <c r="O3288">
        <v>1</v>
      </c>
      <c r="S3288" t="e">
        <v>#DIV/0!</v>
      </c>
      <c r="T3288" t="s">
        <v>82</v>
      </c>
    </row>
    <row r="3289" spans="15:20" x14ac:dyDescent="0.25">
      <c r="O3289">
        <v>1</v>
      </c>
      <c r="S3289" t="e">
        <v>#DIV/0!</v>
      </c>
      <c r="T3289" t="s">
        <v>82</v>
      </c>
    </row>
    <row r="3290" spans="15:20" x14ac:dyDescent="0.25">
      <c r="O3290">
        <v>1</v>
      </c>
      <c r="S3290" t="e">
        <v>#DIV/0!</v>
      </c>
      <c r="T3290" t="s">
        <v>82</v>
      </c>
    </row>
    <row r="3291" spans="15:20" x14ac:dyDescent="0.25">
      <c r="O3291">
        <v>1</v>
      </c>
      <c r="S3291" t="e">
        <v>#DIV/0!</v>
      </c>
      <c r="T3291" t="s">
        <v>82</v>
      </c>
    </row>
    <row r="3292" spans="15:20" x14ac:dyDescent="0.25">
      <c r="O3292">
        <v>1</v>
      </c>
      <c r="S3292" t="e">
        <v>#DIV/0!</v>
      </c>
      <c r="T3292" t="s">
        <v>82</v>
      </c>
    </row>
    <row r="3293" spans="15:20" x14ac:dyDescent="0.25">
      <c r="O3293">
        <v>1</v>
      </c>
      <c r="S3293" t="e">
        <v>#DIV/0!</v>
      </c>
      <c r="T3293" t="s">
        <v>82</v>
      </c>
    </row>
    <row r="3294" spans="15:20" x14ac:dyDescent="0.25">
      <c r="O3294">
        <v>1</v>
      </c>
      <c r="S3294" t="e">
        <v>#DIV/0!</v>
      </c>
      <c r="T3294" t="s">
        <v>82</v>
      </c>
    </row>
    <row r="3295" spans="15:20" x14ac:dyDescent="0.25">
      <c r="O3295">
        <v>1</v>
      </c>
      <c r="S3295" t="e">
        <v>#DIV/0!</v>
      </c>
      <c r="T3295" t="s">
        <v>82</v>
      </c>
    </row>
    <row r="3296" spans="15:20" x14ac:dyDescent="0.25">
      <c r="O3296">
        <v>1</v>
      </c>
      <c r="S3296" t="e">
        <v>#DIV/0!</v>
      </c>
      <c r="T3296" t="s">
        <v>82</v>
      </c>
    </row>
    <row r="3297" spans="15:20" x14ac:dyDescent="0.25">
      <c r="O3297">
        <v>1</v>
      </c>
      <c r="S3297" t="e">
        <v>#DIV/0!</v>
      </c>
      <c r="T3297" t="s">
        <v>82</v>
      </c>
    </row>
    <row r="3298" spans="15:20" x14ac:dyDescent="0.25">
      <c r="O3298">
        <v>1</v>
      </c>
      <c r="S3298" t="e">
        <v>#DIV/0!</v>
      </c>
      <c r="T3298" t="s">
        <v>82</v>
      </c>
    </row>
    <row r="3299" spans="15:20" x14ac:dyDescent="0.25">
      <c r="O3299">
        <v>1</v>
      </c>
      <c r="S3299" t="e">
        <v>#DIV/0!</v>
      </c>
      <c r="T3299" t="s">
        <v>82</v>
      </c>
    </row>
    <row r="3300" spans="15:20" x14ac:dyDescent="0.25">
      <c r="O3300">
        <v>1</v>
      </c>
      <c r="S3300" t="e">
        <v>#DIV/0!</v>
      </c>
      <c r="T3300" t="s">
        <v>82</v>
      </c>
    </row>
    <row r="3301" spans="15:20" x14ac:dyDescent="0.25">
      <c r="O3301">
        <v>1</v>
      </c>
      <c r="S3301" t="e">
        <v>#DIV/0!</v>
      </c>
      <c r="T3301" t="s">
        <v>82</v>
      </c>
    </row>
    <row r="3302" spans="15:20" x14ac:dyDescent="0.25">
      <c r="O3302">
        <v>1</v>
      </c>
      <c r="S3302" t="e">
        <v>#DIV/0!</v>
      </c>
      <c r="T3302" t="s">
        <v>82</v>
      </c>
    </row>
    <row r="3303" spans="15:20" x14ac:dyDescent="0.25">
      <c r="O3303">
        <v>1</v>
      </c>
      <c r="S3303" t="e">
        <v>#DIV/0!</v>
      </c>
      <c r="T3303" t="s">
        <v>82</v>
      </c>
    </row>
    <row r="3304" spans="15:20" x14ac:dyDescent="0.25">
      <c r="O3304">
        <v>1</v>
      </c>
      <c r="S3304" t="e">
        <v>#DIV/0!</v>
      </c>
      <c r="T3304" t="s">
        <v>82</v>
      </c>
    </row>
    <row r="3305" spans="15:20" x14ac:dyDescent="0.25">
      <c r="O3305">
        <v>1</v>
      </c>
      <c r="S3305" t="e">
        <v>#DIV/0!</v>
      </c>
      <c r="T3305" t="s">
        <v>82</v>
      </c>
    </row>
    <row r="3306" spans="15:20" x14ac:dyDescent="0.25">
      <c r="O3306">
        <v>1</v>
      </c>
      <c r="S3306" t="e">
        <v>#DIV/0!</v>
      </c>
      <c r="T3306" t="s">
        <v>82</v>
      </c>
    </row>
    <row r="3307" spans="15:20" x14ac:dyDescent="0.25">
      <c r="O3307">
        <v>1</v>
      </c>
      <c r="S3307" t="e">
        <v>#DIV/0!</v>
      </c>
      <c r="T3307" t="s">
        <v>82</v>
      </c>
    </row>
    <row r="3308" spans="15:20" x14ac:dyDescent="0.25">
      <c r="O3308">
        <v>1</v>
      </c>
      <c r="S3308" t="e">
        <v>#DIV/0!</v>
      </c>
      <c r="T3308" t="s">
        <v>82</v>
      </c>
    </row>
    <row r="3309" spans="15:20" x14ac:dyDescent="0.25">
      <c r="O3309">
        <v>1</v>
      </c>
      <c r="S3309" t="e">
        <v>#DIV/0!</v>
      </c>
      <c r="T3309" t="s">
        <v>82</v>
      </c>
    </row>
    <row r="3310" spans="15:20" x14ac:dyDescent="0.25">
      <c r="O3310">
        <v>1</v>
      </c>
      <c r="S3310" t="e">
        <v>#DIV/0!</v>
      </c>
      <c r="T3310" t="s">
        <v>82</v>
      </c>
    </row>
    <row r="3311" spans="15:20" x14ac:dyDescent="0.25">
      <c r="O3311">
        <v>1</v>
      </c>
      <c r="S3311" t="e">
        <v>#DIV/0!</v>
      </c>
      <c r="T3311" t="s">
        <v>82</v>
      </c>
    </row>
    <row r="3312" spans="15:20" x14ac:dyDescent="0.25">
      <c r="O3312">
        <v>1</v>
      </c>
      <c r="S3312" t="e">
        <v>#DIV/0!</v>
      </c>
      <c r="T3312" t="s">
        <v>82</v>
      </c>
    </row>
    <row r="3313" spans="15:20" x14ac:dyDescent="0.25">
      <c r="O3313">
        <v>1</v>
      </c>
      <c r="S3313" t="e">
        <v>#DIV/0!</v>
      </c>
      <c r="T3313" t="s">
        <v>82</v>
      </c>
    </row>
    <row r="3314" spans="15:20" x14ac:dyDescent="0.25">
      <c r="O3314">
        <v>1</v>
      </c>
      <c r="S3314" t="e">
        <v>#DIV/0!</v>
      </c>
      <c r="T3314" t="s">
        <v>82</v>
      </c>
    </row>
    <row r="3315" spans="15:20" x14ac:dyDescent="0.25">
      <c r="O3315">
        <v>1</v>
      </c>
      <c r="S3315" t="e">
        <v>#DIV/0!</v>
      </c>
      <c r="T3315" t="s">
        <v>82</v>
      </c>
    </row>
    <row r="3316" spans="15:20" x14ac:dyDescent="0.25">
      <c r="O3316">
        <v>1</v>
      </c>
      <c r="S3316" t="e">
        <v>#DIV/0!</v>
      </c>
      <c r="T3316" t="s">
        <v>82</v>
      </c>
    </row>
    <row r="3317" spans="15:20" x14ac:dyDescent="0.25">
      <c r="O3317">
        <v>1</v>
      </c>
      <c r="S3317" t="e">
        <v>#DIV/0!</v>
      </c>
      <c r="T3317" t="s">
        <v>82</v>
      </c>
    </row>
    <row r="3318" spans="15:20" x14ac:dyDescent="0.25">
      <c r="O3318">
        <v>1</v>
      </c>
      <c r="S3318" t="e">
        <v>#DIV/0!</v>
      </c>
      <c r="T3318" t="s">
        <v>82</v>
      </c>
    </row>
    <row r="3319" spans="15:20" x14ac:dyDescent="0.25">
      <c r="O3319">
        <v>1</v>
      </c>
      <c r="S3319" t="e">
        <v>#DIV/0!</v>
      </c>
      <c r="T3319" t="s">
        <v>82</v>
      </c>
    </row>
    <row r="3320" spans="15:20" x14ac:dyDescent="0.25">
      <c r="O3320">
        <v>1</v>
      </c>
      <c r="S3320" t="e">
        <v>#DIV/0!</v>
      </c>
      <c r="T3320" t="s">
        <v>82</v>
      </c>
    </row>
    <row r="3321" spans="15:20" x14ac:dyDescent="0.25">
      <c r="O3321">
        <v>1</v>
      </c>
      <c r="S3321" t="e">
        <v>#DIV/0!</v>
      </c>
      <c r="T3321" t="s">
        <v>82</v>
      </c>
    </row>
    <row r="3322" spans="15:20" x14ac:dyDescent="0.25">
      <c r="O3322">
        <v>1</v>
      </c>
      <c r="S3322" t="e">
        <v>#DIV/0!</v>
      </c>
      <c r="T3322" t="s">
        <v>82</v>
      </c>
    </row>
    <row r="3323" spans="15:20" x14ac:dyDescent="0.25">
      <c r="O3323">
        <v>1</v>
      </c>
      <c r="S3323" t="e">
        <v>#DIV/0!</v>
      </c>
      <c r="T3323" t="s">
        <v>82</v>
      </c>
    </row>
    <row r="3324" spans="15:20" x14ac:dyDescent="0.25">
      <c r="O3324">
        <v>1</v>
      </c>
      <c r="S3324" t="e">
        <v>#DIV/0!</v>
      </c>
      <c r="T3324" t="s">
        <v>82</v>
      </c>
    </row>
    <row r="3325" spans="15:20" x14ac:dyDescent="0.25">
      <c r="O3325">
        <v>1</v>
      </c>
      <c r="S3325" t="e">
        <v>#DIV/0!</v>
      </c>
      <c r="T3325" t="s">
        <v>82</v>
      </c>
    </row>
    <row r="3326" spans="15:20" x14ac:dyDescent="0.25">
      <c r="O3326">
        <v>1</v>
      </c>
      <c r="S3326" t="e">
        <v>#DIV/0!</v>
      </c>
      <c r="T3326" t="s">
        <v>82</v>
      </c>
    </row>
    <row r="3327" spans="15:20" x14ac:dyDescent="0.25">
      <c r="O3327">
        <v>1</v>
      </c>
      <c r="S3327" t="e">
        <v>#DIV/0!</v>
      </c>
      <c r="T3327" t="s">
        <v>82</v>
      </c>
    </row>
    <row r="3328" spans="15:20" x14ac:dyDescent="0.25">
      <c r="O3328">
        <v>1</v>
      </c>
      <c r="S3328" t="e">
        <v>#DIV/0!</v>
      </c>
      <c r="T3328" t="s">
        <v>82</v>
      </c>
    </row>
    <row r="3329" spans="15:20" x14ac:dyDescent="0.25">
      <c r="O3329">
        <v>1</v>
      </c>
      <c r="S3329" t="e">
        <v>#DIV/0!</v>
      </c>
      <c r="T3329" t="s">
        <v>82</v>
      </c>
    </row>
    <row r="3330" spans="15:20" x14ac:dyDescent="0.25">
      <c r="O3330">
        <v>1</v>
      </c>
      <c r="S3330" t="e">
        <v>#DIV/0!</v>
      </c>
      <c r="T3330" t="s">
        <v>82</v>
      </c>
    </row>
    <row r="3331" spans="15:20" x14ac:dyDescent="0.25">
      <c r="O3331">
        <v>1</v>
      </c>
      <c r="S3331" t="e">
        <v>#DIV/0!</v>
      </c>
      <c r="T3331" t="s">
        <v>82</v>
      </c>
    </row>
    <row r="3332" spans="15:20" x14ac:dyDescent="0.25">
      <c r="O3332">
        <v>1</v>
      </c>
      <c r="S3332" t="e">
        <v>#DIV/0!</v>
      </c>
      <c r="T3332" t="s">
        <v>82</v>
      </c>
    </row>
    <row r="3333" spans="15:20" x14ac:dyDescent="0.25">
      <c r="O3333">
        <v>1</v>
      </c>
      <c r="S3333" t="e">
        <v>#DIV/0!</v>
      </c>
      <c r="T3333" t="s">
        <v>82</v>
      </c>
    </row>
    <row r="3334" spans="15:20" x14ac:dyDescent="0.25">
      <c r="O3334">
        <v>1</v>
      </c>
      <c r="S3334" t="e">
        <v>#DIV/0!</v>
      </c>
      <c r="T3334" t="s">
        <v>82</v>
      </c>
    </row>
    <row r="3335" spans="15:20" x14ac:dyDescent="0.25">
      <c r="O3335">
        <v>1</v>
      </c>
      <c r="S3335" t="e">
        <v>#DIV/0!</v>
      </c>
      <c r="T3335" t="s">
        <v>82</v>
      </c>
    </row>
    <row r="3336" spans="15:20" x14ac:dyDescent="0.25">
      <c r="O3336">
        <v>1</v>
      </c>
      <c r="S3336" t="e">
        <v>#DIV/0!</v>
      </c>
      <c r="T3336" t="s">
        <v>82</v>
      </c>
    </row>
    <row r="3337" spans="15:20" x14ac:dyDescent="0.25">
      <c r="O3337">
        <v>1</v>
      </c>
      <c r="S3337" t="e">
        <v>#DIV/0!</v>
      </c>
      <c r="T3337" t="s">
        <v>82</v>
      </c>
    </row>
    <row r="3338" spans="15:20" x14ac:dyDescent="0.25">
      <c r="O3338">
        <v>1</v>
      </c>
      <c r="S3338" t="e">
        <v>#DIV/0!</v>
      </c>
      <c r="T3338" t="s">
        <v>82</v>
      </c>
    </row>
    <row r="3339" spans="15:20" x14ac:dyDescent="0.25">
      <c r="O3339">
        <v>1</v>
      </c>
      <c r="S3339" t="e">
        <v>#DIV/0!</v>
      </c>
      <c r="T3339" t="s">
        <v>82</v>
      </c>
    </row>
    <row r="3340" spans="15:20" x14ac:dyDescent="0.25">
      <c r="O3340">
        <v>1</v>
      </c>
      <c r="S3340" t="e">
        <v>#DIV/0!</v>
      </c>
      <c r="T3340" t="s">
        <v>82</v>
      </c>
    </row>
    <row r="3341" spans="15:20" x14ac:dyDescent="0.25">
      <c r="O3341">
        <v>1</v>
      </c>
      <c r="S3341" t="e">
        <v>#DIV/0!</v>
      </c>
      <c r="T3341" t="s">
        <v>82</v>
      </c>
    </row>
    <row r="3342" spans="15:20" x14ac:dyDescent="0.25">
      <c r="O3342">
        <v>1</v>
      </c>
      <c r="S3342" t="e">
        <v>#DIV/0!</v>
      </c>
      <c r="T3342" t="s">
        <v>82</v>
      </c>
    </row>
    <row r="3343" spans="15:20" x14ac:dyDescent="0.25">
      <c r="O3343">
        <v>1</v>
      </c>
      <c r="S3343" t="e">
        <v>#DIV/0!</v>
      </c>
      <c r="T3343" t="s">
        <v>82</v>
      </c>
    </row>
    <row r="3344" spans="15:20" x14ac:dyDescent="0.25">
      <c r="O3344">
        <v>1</v>
      </c>
      <c r="S3344" t="e">
        <v>#DIV/0!</v>
      </c>
      <c r="T3344" t="s">
        <v>82</v>
      </c>
    </row>
    <row r="3345" spans="15:20" x14ac:dyDescent="0.25">
      <c r="O3345">
        <v>1</v>
      </c>
      <c r="S3345" t="e">
        <v>#DIV/0!</v>
      </c>
      <c r="T3345" t="s">
        <v>82</v>
      </c>
    </row>
    <row r="3346" spans="15:20" x14ac:dyDescent="0.25">
      <c r="O3346">
        <v>1</v>
      </c>
      <c r="S3346" t="e">
        <v>#DIV/0!</v>
      </c>
      <c r="T3346" t="s">
        <v>82</v>
      </c>
    </row>
    <row r="3347" spans="15:20" x14ac:dyDescent="0.25">
      <c r="O3347">
        <v>1</v>
      </c>
      <c r="S3347" t="e">
        <v>#DIV/0!</v>
      </c>
      <c r="T3347" t="s">
        <v>82</v>
      </c>
    </row>
    <row r="3348" spans="15:20" x14ac:dyDescent="0.25">
      <c r="O3348">
        <v>1</v>
      </c>
      <c r="S3348" t="e">
        <v>#DIV/0!</v>
      </c>
      <c r="T3348" t="s">
        <v>82</v>
      </c>
    </row>
    <row r="3349" spans="15:20" x14ac:dyDescent="0.25">
      <c r="O3349">
        <v>1</v>
      </c>
      <c r="S3349" t="e">
        <v>#DIV/0!</v>
      </c>
      <c r="T3349" t="s">
        <v>82</v>
      </c>
    </row>
    <row r="3350" spans="15:20" x14ac:dyDescent="0.25">
      <c r="O3350">
        <v>1</v>
      </c>
      <c r="S3350" t="e">
        <v>#DIV/0!</v>
      </c>
      <c r="T3350" t="s">
        <v>82</v>
      </c>
    </row>
    <row r="3351" spans="15:20" x14ac:dyDescent="0.25">
      <c r="O3351">
        <v>1</v>
      </c>
      <c r="S3351" t="e">
        <v>#DIV/0!</v>
      </c>
      <c r="T3351" t="s">
        <v>82</v>
      </c>
    </row>
    <row r="3352" spans="15:20" x14ac:dyDescent="0.25">
      <c r="O3352">
        <v>1</v>
      </c>
      <c r="S3352" t="e">
        <v>#DIV/0!</v>
      </c>
      <c r="T3352" t="s">
        <v>82</v>
      </c>
    </row>
    <row r="3353" spans="15:20" x14ac:dyDescent="0.25">
      <c r="O3353">
        <v>1</v>
      </c>
      <c r="S3353" t="e">
        <v>#DIV/0!</v>
      </c>
      <c r="T3353" t="s">
        <v>82</v>
      </c>
    </row>
    <row r="3354" spans="15:20" x14ac:dyDescent="0.25">
      <c r="O3354">
        <v>1</v>
      </c>
      <c r="S3354" t="e">
        <v>#DIV/0!</v>
      </c>
      <c r="T3354" t="s">
        <v>82</v>
      </c>
    </row>
    <row r="3355" spans="15:20" x14ac:dyDescent="0.25">
      <c r="O3355">
        <v>1</v>
      </c>
      <c r="S3355" t="e">
        <v>#DIV/0!</v>
      </c>
      <c r="T3355" t="s">
        <v>82</v>
      </c>
    </row>
    <row r="3356" spans="15:20" x14ac:dyDescent="0.25">
      <c r="O3356">
        <v>1</v>
      </c>
      <c r="S3356" t="e">
        <v>#DIV/0!</v>
      </c>
      <c r="T3356" t="s">
        <v>82</v>
      </c>
    </row>
    <row r="3357" spans="15:20" x14ac:dyDescent="0.25">
      <c r="O3357">
        <v>1</v>
      </c>
      <c r="S3357" t="e">
        <v>#DIV/0!</v>
      </c>
      <c r="T3357" t="s">
        <v>82</v>
      </c>
    </row>
    <row r="3358" spans="15:20" x14ac:dyDescent="0.25">
      <c r="O3358">
        <v>1</v>
      </c>
      <c r="S3358" t="e">
        <v>#DIV/0!</v>
      </c>
      <c r="T3358" t="s">
        <v>82</v>
      </c>
    </row>
    <row r="3359" spans="15:20" x14ac:dyDescent="0.25">
      <c r="O3359">
        <v>1</v>
      </c>
      <c r="S3359" t="e">
        <v>#DIV/0!</v>
      </c>
      <c r="T3359" t="s">
        <v>82</v>
      </c>
    </row>
    <row r="3360" spans="15:20" x14ac:dyDescent="0.25">
      <c r="O3360">
        <v>1</v>
      </c>
      <c r="S3360" t="e">
        <v>#DIV/0!</v>
      </c>
      <c r="T3360" t="s">
        <v>82</v>
      </c>
    </row>
    <row r="3361" spans="15:20" x14ac:dyDescent="0.25">
      <c r="O3361">
        <v>1</v>
      </c>
      <c r="S3361" t="e">
        <v>#DIV/0!</v>
      </c>
      <c r="T3361" t="s">
        <v>82</v>
      </c>
    </row>
    <row r="3362" spans="15:20" x14ac:dyDescent="0.25">
      <c r="O3362">
        <v>1</v>
      </c>
      <c r="S3362" t="e">
        <v>#DIV/0!</v>
      </c>
      <c r="T3362" t="s">
        <v>82</v>
      </c>
    </row>
    <row r="3363" spans="15:20" x14ac:dyDescent="0.25">
      <c r="O3363">
        <v>1</v>
      </c>
      <c r="S3363" t="e">
        <v>#DIV/0!</v>
      </c>
      <c r="T3363" t="s">
        <v>82</v>
      </c>
    </row>
    <row r="3364" spans="15:20" x14ac:dyDescent="0.25">
      <c r="O3364">
        <v>1</v>
      </c>
      <c r="S3364" t="e">
        <v>#DIV/0!</v>
      </c>
      <c r="T3364" t="s">
        <v>82</v>
      </c>
    </row>
    <row r="3365" spans="15:20" x14ac:dyDescent="0.25">
      <c r="O3365">
        <v>1</v>
      </c>
      <c r="S3365" t="e">
        <v>#DIV/0!</v>
      </c>
      <c r="T3365" t="s">
        <v>82</v>
      </c>
    </row>
    <row r="3366" spans="15:20" x14ac:dyDescent="0.25">
      <c r="O3366">
        <v>1</v>
      </c>
      <c r="S3366" t="e">
        <v>#DIV/0!</v>
      </c>
      <c r="T3366" t="s">
        <v>82</v>
      </c>
    </row>
    <row r="3367" spans="15:20" x14ac:dyDescent="0.25">
      <c r="O3367">
        <v>1</v>
      </c>
      <c r="S3367" t="e">
        <v>#DIV/0!</v>
      </c>
      <c r="T3367" t="s">
        <v>82</v>
      </c>
    </row>
    <row r="3368" spans="15:20" x14ac:dyDescent="0.25">
      <c r="O3368">
        <v>1</v>
      </c>
      <c r="S3368" t="e">
        <v>#DIV/0!</v>
      </c>
      <c r="T3368" t="s">
        <v>82</v>
      </c>
    </row>
    <row r="3369" spans="15:20" x14ac:dyDescent="0.25">
      <c r="O3369">
        <v>1</v>
      </c>
      <c r="S3369" t="e">
        <v>#DIV/0!</v>
      </c>
      <c r="T3369" t="s">
        <v>82</v>
      </c>
    </row>
    <row r="3370" spans="15:20" x14ac:dyDescent="0.25">
      <c r="O3370">
        <v>1</v>
      </c>
      <c r="S3370" t="e">
        <v>#DIV/0!</v>
      </c>
      <c r="T3370" t="s">
        <v>82</v>
      </c>
    </row>
    <row r="3371" spans="15:20" x14ac:dyDescent="0.25">
      <c r="O3371">
        <v>1</v>
      </c>
      <c r="S3371" t="e">
        <v>#DIV/0!</v>
      </c>
      <c r="T3371" t="s">
        <v>82</v>
      </c>
    </row>
    <row r="3372" spans="15:20" x14ac:dyDescent="0.25">
      <c r="O3372">
        <v>1</v>
      </c>
      <c r="S3372" t="e">
        <v>#DIV/0!</v>
      </c>
      <c r="T3372" t="s">
        <v>82</v>
      </c>
    </row>
    <row r="3373" spans="15:20" x14ac:dyDescent="0.25">
      <c r="O3373">
        <v>1</v>
      </c>
      <c r="S3373" t="e">
        <v>#DIV/0!</v>
      </c>
      <c r="T3373" t="s">
        <v>82</v>
      </c>
    </row>
    <row r="3374" spans="15:20" x14ac:dyDescent="0.25">
      <c r="O3374">
        <v>1</v>
      </c>
      <c r="S3374" t="e">
        <v>#DIV/0!</v>
      </c>
      <c r="T3374" t="s">
        <v>82</v>
      </c>
    </row>
    <row r="3375" spans="15:20" x14ac:dyDescent="0.25">
      <c r="O3375">
        <v>1</v>
      </c>
      <c r="S3375" t="e">
        <v>#DIV/0!</v>
      </c>
      <c r="T3375" t="s">
        <v>82</v>
      </c>
    </row>
    <row r="3376" spans="15:20" x14ac:dyDescent="0.25">
      <c r="O3376">
        <v>1</v>
      </c>
      <c r="S3376" t="e">
        <v>#DIV/0!</v>
      </c>
      <c r="T3376" t="s">
        <v>82</v>
      </c>
    </row>
    <row r="3377" spans="15:20" x14ac:dyDescent="0.25">
      <c r="O3377">
        <v>1</v>
      </c>
      <c r="S3377" t="e">
        <v>#DIV/0!</v>
      </c>
      <c r="T3377" t="s">
        <v>82</v>
      </c>
    </row>
    <row r="3378" spans="15:20" x14ac:dyDescent="0.25">
      <c r="O3378">
        <v>1</v>
      </c>
      <c r="S3378" t="e">
        <v>#DIV/0!</v>
      </c>
      <c r="T3378" t="s">
        <v>82</v>
      </c>
    </row>
    <row r="3379" spans="15:20" x14ac:dyDescent="0.25">
      <c r="O3379">
        <v>1</v>
      </c>
      <c r="S3379" t="e">
        <v>#DIV/0!</v>
      </c>
      <c r="T3379" t="s">
        <v>82</v>
      </c>
    </row>
    <row r="3380" spans="15:20" x14ac:dyDescent="0.25">
      <c r="O3380">
        <v>1</v>
      </c>
      <c r="S3380" t="e">
        <v>#DIV/0!</v>
      </c>
      <c r="T3380" t="s">
        <v>82</v>
      </c>
    </row>
    <row r="3381" spans="15:20" x14ac:dyDescent="0.25">
      <c r="O3381">
        <v>1</v>
      </c>
      <c r="S3381" t="e">
        <v>#DIV/0!</v>
      </c>
      <c r="T3381" t="s">
        <v>82</v>
      </c>
    </row>
    <row r="3382" spans="15:20" x14ac:dyDescent="0.25">
      <c r="O3382">
        <v>1</v>
      </c>
      <c r="S3382" t="e">
        <v>#DIV/0!</v>
      </c>
      <c r="T3382" t="s">
        <v>82</v>
      </c>
    </row>
    <row r="3383" spans="15:20" x14ac:dyDescent="0.25">
      <c r="O3383">
        <v>1</v>
      </c>
      <c r="S3383" t="e">
        <v>#DIV/0!</v>
      </c>
      <c r="T3383" t="s">
        <v>82</v>
      </c>
    </row>
    <row r="3384" spans="15:20" x14ac:dyDescent="0.25">
      <c r="O3384">
        <v>1</v>
      </c>
      <c r="S3384" t="e">
        <v>#DIV/0!</v>
      </c>
      <c r="T3384" t="s">
        <v>82</v>
      </c>
    </row>
    <row r="3385" spans="15:20" x14ac:dyDescent="0.25">
      <c r="O3385">
        <v>1</v>
      </c>
      <c r="S3385" t="e">
        <v>#DIV/0!</v>
      </c>
      <c r="T3385" t="s">
        <v>82</v>
      </c>
    </row>
    <row r="3386" spans="15:20" x14ac:dyDescent="0.25">
      <c r="O3386">
        <v>1</v>
      </c>
      <c r="S3386" t="e">
        <v>#DIV/0!</v>
      </c>
      <c r="T3386" t="s">
        <v>82</v>
      </c>
    </row>
    <row r="3387" spans="15:20" x14ac:dyDescent="0.25">
      <c r="O3387">
        <v>1</v>
      </c>
      <c r="S3387" t="e">
        <v>#DIV/0!</v>
      </c>
      <c r="T3387" t="s">
        <v>82</v>
      </c>
    </row>
    <row r="3388" spans="15:20" x14ac:dyDescent="0.25">
      <c r="O3388">
        <v>1</v>
      </c>
      <c r="S3388" t="e">
        <v>#DIV/0!</v>
      </c>
      <c r="T3388" t="s">
        <v>82</v>
      </c>
    </row>
    <row r="3389" spans="15:20" x14ac:dyDescent="0.25">
      <c r="O3389">
        <v>1</v>
      </c>
      <c r="S3389" t="e">
        <v>#DIV/0!</v>
      </c>
      <c r="T3389" t="s">
        <v>82</v>
      </c>
    </row>
    <row r="3390" spans="15:20" x14ac:dyDescent="0.25">
      <c r="O3390">
        <v>1</v>
      </c>
      <c r="S3390" t="e">
        <v>#DIV/0!</v>
      </c>
      <c r="T3390" t="s">
        <v>82</v>
      </c>
    </row>
    <row r="3391" spans="15:20" x14ac:dyDescent="0.25">
      <c r="O3391">
        <v>1</v>
      </c>
      <c r="S3391" t="e">
        <v>#DIV/0!</v>
      </c>
      <c r="T3391" t="s">
        <v>82</v>
      </c>
    </row>
    <row r="3392" spans="15:20" x14ac:dyDescent="0.25">
      <c r="O3392">
        <v>1</v>
      </c>
      <c r="S3392" t="e">
        <v>#DIV/0!</v>
      </c>
      <c r="T3392" t="s">
        <v>82</v>
      </c>
    </row>
    <row r="3393" spans="15:20" x14ac:dyDescent="0.25">
      <c r="O3393">
        <v>1</v>
      </c>
      <c r="S3393" t="e">
        <v>#DIV/0!</v>
      </c>
      <c r="T3393" t="s">
        <v>82</v>
      </c>
    </row>
    <row r="3394" spans="15:20" x14ac:dyDescent="0.25">
      <c r="O3394">
        <v>1</v>
      </c>
      <c r="S3394" t="e">
        <v>#DIV/0!</v>
      </c>
      <c r="T3394" t="s">
        <v>82</v>
      </c>
    </row>
    <row r="3395" spans="15:20" x14ac:dyDescent="0.25">
      <c r="O3395">
        <v>1</v>
      </c>
      <c r="S3395" t="e">
        <v>#DIV/0!</v>
      </c>
      <c r="T3395" t="s">
        <v>82</v>
      </c>
    </row>
    <row r="3396" spans="15:20" x14ac:dyDescent="0.25">
      <c r="O3396">
        <v>1</v>
      </c>
      <c r="S3396" t="e">
        <v>#DIV/0!</v>
      </c>
      <c r="T3396" t="s">
        <v>82</v>
      </c>
    </row>
    <row r="3397" spans="15:20" x14ac:dyDescent="0.25">
      <c r="O3397">
        <v>1</v>
      </c>
      <c r="S3397" t="e">
        <v>#DIV/0!</v>
      </c>
      <c r="T3397" t="s">
        <v>82</v>
      </c>
    </row>
    <row r="3398" spans="15:20" x14ac:dyDescent="0.25">
      <c r="O3398">
        <v>1</v>
      </c>
      <c r="S3398" t="e">
        <v>#DIV/0!</v>
      </c>
      <c r="T3398" t="s">
        <v>82</v>
      </c>
    </row>
    <row r="3399" spans="15:20" x14ac:dyDescent="0.25">
      <c r="O3399">
        <v>1</v>
      </c>
      <c r="S3399" t="e">
        <v>#DIV/0!</v>
      </c>
      <c r="T3399" t="s">
        <v>82</v>
      </c>
    </row>
    <row r="3400" spans="15:20" x14ac:dyDescent="0.25">
      <c r="O3400">
        <v>1</v>
      </c>
      <c r="S3400" t="e">
        <v>#DIV/0!</v>
      </c>
      <c r="T3400" t="s">
        <v>82</v>
      </c>
    </row>
    <row r="3401" spans="15:20" x14ac:dyDescent="0.25">
      <c r="O3401">
        <v>1</v>
      </c>
      <c r="S3401" t="e">
        <v>#DIV/0!</v>
      </c>
      <c r="T3401" t="s">
        <v>82</v>
      </c>
    </row>
    <row r="3402" spans="15:20" x14ac:dyDescent="0.25">
      <c r="O3402">
        <v>1</v>
      </c>
      <c r="S3402" t="e">
        <v>#DIV/0!</v>
      </c>
      <c r="T3402" t="s">
        <v>82</v>
      </c>
    </row>
    <row r="3403" spans="15:20" x14ac:dyDescent="0.25">
      <c r="O3403">
        <v>1</v>
      </c>
      <c r="S3403" t="e">
        <v>#DIV/0!</v>
      </c>
      <c r="T3403" t="s">
        <v>82</v>
      </c>
    </row>
    <row r="3404" spans="15:20" x14ac:dyDescent="0.25">
      <c r="O3404">
        <v>1</v>
      </c>
      <c r="S3404" t="e">
        <v>#DIV/0!</v>
      </c>
      <c r="T3404" t="s">
        <v>82</v>
      </c>
    </row>
    <row r="3405" spans="15:20" x14ac:dyDescent="0.25">
      <c r="O3405">
        <v>1</v>
      </c>
      <c r="S3405" t="e">
        <v>#DIV/0!</v>
      </c>
      <c r="T3405" t="s">
        <v>82</v>
      </c>
    </row>
    <row r="3406" spans="15:20" x14ac:dyDescent="0.25">
      <c r="O3406">
        <v>1</v>
      </c>
      <c r="S3406" t="e">
        <v>#DIV/0!</v>
      </c>
      <c r="T3406" t="s">
        <v>82</v>
      </c>
    </row>
    <row r="3407" spans="15:20" x14ac:dyDescent="0.25">
      <c r="O3407">
        <v>1</v>
      </c>
      <c r="S3407" t="e">
        <v>#DIV/0!</v>
      </c>
      <c r="T3407" t="s">
        <v>82</v>
      </c>
    </row>
    <row r="3408" spans="15:20" x14ac:dyDescent="0.25">
      <c r="O3408">
        <v>1</v>
      </c>
      <c r="S3408" t="e">
        <v>#DIV/0!</v>
      </c>
      <c r="T3408" t="s">
        <v>82</v>
      </c>
    </row>
    <row r="3409" spans="15:20" x14ac:dyDescent="0.25">
      <c r="O3409">
        <v>1</v>
      </c>
      <c r="S3409" t="e">
        <v>#DIV/0!</v>
      </c>
      <c r="T3409" t="s">
        <v>82</v>
      </c>
    </row>
    <row r="3410" spans="15:20" x14ac:dyDescent="0.25">
      <c r="O3410">
        <v>1</v>
      </c>
      <c r="S3410" t="e">
        <v>#DIV/0!</v>
      </c>
      <c r="T3410" t="s">
        <v>82</v>
      </c>
    </row>
    <row r="3411" spans="15:20" x14ac:dyDescent="0.25">
      <c r="O3411">
        <v>1</v>
      </c>
      <c r="S3411" t="e">
        <v>#DIV/0!</v>
      </c>
      <c r="T3411" t="s">
        <v>82</v>
      </c>
    </row>
    <row r="3412" spans="15:20" x14ac:dyDescent="0.25">
      <c r="O3412">
        <v>1</v>
      </c>
      <c r="S3412" t="e">
        <v>#DIV/0!</v>
      </c>
      <c r="T3412" t="s">
        <v>82</v>
      </c>
    </row>
    <row r="3413" spans="15:20" x14ac:dyDescent="0.25">
      <c r="O3413">
        <v>1</v>
      </c>
      <c r="S3413" t="e">
        <v>#DIV/0!</v>
      </c>
      <c r="T3413" t="s">
        <v>82</v>
      </c>
    </row>
    <row r="3414" spans="15:20" x14ac:dyDescent="0.25">
      <c r="O3414">
        <v>1</v>
      </c>
      <c r="S3414" t="e">
        <v>#DIV/0!</v>
      </c>
      <c r="T3414" t="s">
        <v>82</v>
      </c>
    </row>
    <row r="3415" spans="15:20" x14ac:dyDescent="0.25">
      <c r="O3415">
        <v>1</v>
      </c>
      <c r="S3415" t="e">
        <v>#DIV/0!</v>
      </c>
      <c r="T3415" t="s">
        <v>82</v>
      </c>
    </row>
    <row r="3416" spans="15:20" x14ac:dyDescent="0.25">
      <c r="O3416">
        <v>1</v>
      </c>
      <c r="S3416" t="e">
        <v>#DIV/0!</v>
      </c>
      <c r="T3416" t="s">
        <v>82</v>
      </c>
    </row>
    <row r="3417" spans="15:20" x14ac:dyDescent="0.25">
      <c r="O3417">
        <v>1</v>
      </c>
      <c r="S3417" t="e">
        <v>#DIV/0!</v>
      </c>
      <c r="T3417" t="s">
        <v>82</v>
      </c>
    </row>
    <row r="3418" spans="15:20" x14ac:dyDescent="0.25">
      <c r="O3418">
        <v>1</v>
      </c>
      <c r="S3418" t="e">
        <v>#DIV/0!</v>
      </c>
      <c r="T3418" t="s">
        <v>82</v>
      </c>
    </row>
    <row r="3419" spans="15:20" x14ac:dyDescent="0.25">
      <c r="O3419">
        <v>1</v>
      </c>
      <c r="S3419" t="e">
        <v>#DIV/0!</v>
      </c>
      <c r="T3419" t="s">
        <v>82</v>
      </c>
    </row>
    <row r="3420" spans="15:20" x14ac:dyDescent="0.25">
      <c r="O3420">
        <v>1</v>
      </c>
      <c r="S3420" t="e">
        <v>#DIV/0!</v>
      </c>
      <c r="T3420" t="s">
        <v>82</v>
      </c>
    </row>
    <row r="3421" spans="15:20" x14ac:dyDescent="0.25">
      <c r="O3421">
        <v>1</v>
      </c>
      <c r="S3421" t="e">
        <v>#DIV/0!</v>
      </c>
      <c r="T3421" t="s">
        <v>82</v>
      </c>
    </row>
    <row r="3422" spans="15:20" x14ac:dyDescent="0.25">
      <c r="O3422">
        <v>1</v>
      </c>
      <c r="S3422" t="e">
        <v>#DIV/0!</v>
      </c>
      <c r="T3422" t="s">
        <v>82</v>
      </c>
    </row>
    <row r="3423" spans="15:20" x14ac:dyDescent="0.25">
      <c r="O3423">
        <v>1</v>
      </c>
      <c r="S3423" t="e">
        <v>#DIV/0!</v>
      </c>
      <c r="T3423" t="s">
        <v>82</v>
      </c>
    </row>
    <row r="3424" spans="15:20" x14ac:dyDescent="0.25">
      <c r="O3424">
        <v>1</v>
      </c>
      <c r="S3424" t="e">
        <v>#DIV/0!</v>
      </c>
      <c r="T3424" t="s">
        <v>82</v>
      </c>
    </row>
    <row r="3425" spans="15:20" x14ac:dyDescent="0.25">
      <c r="O3425">
        <v>1</v>
      </c>
      <c r="S3425" t="e">
        <v>#DIV/0!</v>
      </c>
      <c r="T3425" t="s">
        <v>82</v>
      </c>
    </row>
    <row r="3426" spans="15:20" x14ac:dyDescent="0.25">
      <c r="O3426">
        <v>1</v>
      </c>
      <c r="S3426" t="e">
        <v>#DIV/0!</v>
      </c>
      <c r="T3426" t="s">
        <v>82</v>
      </c>
    </row>
    <row r="3427" spans="15:20" x14ac:dyDescent="0.25">
      <c r="O3427">
        <v>1</v>
      </c>
      <c r="S3427" t="e">
        <v>#DIV/0!</v>
      </c>
      <c r="T3427" t="s">
        <v>82</v>
      </c>
    </row>
    <row r="3428" spans="15:20" x14ac:dyDescent="0.25">
      <c r="O3428">
        <v>1</v>
      </c>
      <c r="S3428" t="e">
        <v>#DIV/0!</v>
      </c>
      <c r="T3428" t="s">
        <v>82</v>
      </c>
    </row>
    <row r="3429" spans="15:20" x14ac:dyDescent="0.25">
      <c r="O3429">
        <v>1</v>
      </c>
      <c r="S3429" t="e">
        <v>#DIV/0!</v>
      </c>
      <c r="T3429" t="s">
        <v>82</v>
      </c>
    </row>
    <row r="3430" spans="15:20" x14ac:dyDescent="0.25">
      <c r="O3430">
        <v>1</v>
      </c>
      <c r="S3430" t="e">
        <v>#DIV/0!</v>
      </c>
      <c r="T3430" t="s">
        <v>82</v>
      </c>
    </row>
    <row r="3431" spans="15:20" x14ac:dyDescent="0.25">
      <c r="O3431">
        <v>1</v>
      </c>
      <c r="S3431" t="e">
        <v>#DIV/0!</v>
      </c>
      <c r="T3431" t="s">
        <v>82</v>
      </c>
    </row>
    <row r="3432" spans="15:20" x14ac:dyDescent="0.25">
      <c r="O3432">
        <v>1</v>
      </c>
      <c r="S3432" t="e">
        <v>#DIV/0!</v>
      </c>
      <c r="T3432" t="s">
        <v>82</v>
      </c>
    </row>
    <row r="3433" spans="15:20" x14ac:dyDescent="0.25">
      <c r="O3433">
        <v>1</v>
      </c>
      <c r="S3433" t="e">
        <v>#DIV/0!</v>
      </c>
      <c r="T3433" t="s">
        <v>82</v>
      </c>
    </row>
    <row r="3434" spans="15:20" x14ac:dyDescent="0.25">
      <c r="O3434">
        <v>1</v>
      </c>
      <c r="S3434" t="e">
        <v>#DIV/0!</v>
      </c>
      <c r="T3434" t="s">
        <v>82</v>
      </c>
    </row>
    <row r="3435" spans="15:20" x14ac:dyDescent="0.25">
      <c r="O3435">
        <v>1</v>
      </c>
      <c r="S3435" t="e">
        <v>#DIV/0!</v>
      </c>
      <c r="T3435" t="s">
        <v>82</v>
      </c>
    </row>
    <row r="3436" spans="15:20" x14ac:dyDescent="0.25">
      <c r="O3436">
        <v>1</v>
      </c>
      <c r="S3436" t="e">
        <v>#DIV/0!</v>
      </c>
      <c r="T3436" t="s">
        <v>82</v>
      </c>
    </row>
    <row r="3437" spans="15:20" x14ac:dyDescent="0.25">
      <c r="O3437">
        <v>1</v>
      </c>
      <c r="S3437" t="e">
        <v>#DIV/0!</v>
      </c>
      <c r="T3437" t="s">
        <v>82</v>
      </c>
    </row>
    <row r="3438" spans="15:20" x14ac:dyDescent="0.25">
      <c r="O3438">
        <v>1</v>
      </c>
      <c r="S3438" t="e">
        <v>#DIV/0!</v>
      </c>
      <c r="T3438" t="s">
        <v>82</v>
      </c>
    </row>
    <row r="3439" spans="15:20" x14ac:dyDescent="0.25">
      <c r="O3439">
        <v>1</v>
      </c>
      <c r="S3439" t="e">
        <v>#DIV/0!</v>
      </c>
      <c r="T3439" t="s">
        <v>82</v>
      </c>
    </row>
    <row r="3440" spans="15:20" x14ac:dyDescent="0.25">
      <c r="O3440">
        <v>1</v>
      </c>
      <c r="S3440" t="e">
        <v>#DIV/0!</v>
      </c>
      <c r="T3440" t="s">
        <v>82</v>
      </c>
    </row>
    <row r="3441" spans="15:20" x14ac:dyDescent="0.25">
      <c r="O3441">
        <v>1</v>
      </c>
      <c r="S3441" t="e">
        <v>#DIV/0!</v>
      </c>
      <c r="T3441" t="s">
        <v>82</v>
      </c>
    </row>
    <row r="3442" spans="15:20" x14ac:dyDescent="0.25">
      <c r="O3442">
        <v>1</v>
      </c>
      <c r="S3442" t="e">
        <v>#DIV/0!</v>
      </c>
      <c r="T3442" t="s">
        <v>82</v>
      </c>
    </row>
    <row r="3443" spans="15:20" x14ac:dyDescent="0.25">
      <c r="O3443">
        <v>1</v>
      </c>
      <c r="S3443" t="e">
        <v>#DIV/0!</v>
      </c>
      <c r="T3443" t="s">
        <v>82</v>
      </c>
    </row>
    <row r="3444" spans="15:20" x14ac:dyDescent="0.25">
      <c r="O3444">
        <v>1</v>
      </c>
      <c r="S3444" t="e">
        <v>#DIV/0!</v>
      </c>
      <c r="T3444" t="s">
        <v>82</v>
      </c>
    </row>
    <row r="3445" spans="15:20" x14ac:dyDescent="0.25">
      <c r="O3445">
        <v>1</v>
      </c>
      <c r="S3445" t="e">
        <v>#DIV/0!</v>
      </c>
      <c r="T3445" t="s">
        <v>82</v>
      </c>
    </row>
    <row r="3446" spans="15:20" x14ac:dyDescent="0.25">
      <c r="O3446">
        <v>1</v>
      </c>
      <c r="S3446" t="e">
        <v>#DIV/0!</v>
      </c>
      <c r="T3446" t="s">
        <v>82</v>
      </c>
    </row>
    <row r="3447" spans="15:20" x14ac:dyDescent="0.25">
      <c r="O3447">
        <v>1</v>
      </c>
      <c r="S3447" t="e">
        <v>#DIV/0!</v>
      </c>
      <c r="T3447" t="s">
        <v>82</v>
      </c>
    </row>
    <row r="3448" spans="15:20" x14ac:dyDescent="0.25">
      <c r="O3448">
        <v>1</v>
      </c>
      <c r="S3448" t="e">
        <v>#DIV/0!</v>
      </c>
      <c r="T3448" t="s">
        <v>82</v>
      </c>
    </row>
    <row r="3449" spans="15:20" x14ac:dyDescent="0.25">
      <c r="O3449">
        <v>1</v>
      </c>
      <c r="S3449" t="e">
        <v>#DIV/0!</v>
      </c>
      <c r="T3449" t="s">
        <v>82</v>
      </c>
    </row>
    <row r="3450" spans="15:20" x14ac:dyDescent="0.25">
      <c r="O3450">
        <v>1</v>
      </c>
      <c r="S3450" t="e">
        <v>#DIV/0!</v>
      </c>
      <c r="T3450" t="s">
        <v>82</v>
      </c>
    </row>
    <row r="3451" spans="15:20" x14ac:dyDescent="0.25">
      <c r="O3451">
        <v>1</v>
      </c>
      <c r="S3451" t="e">
        <v>#DIV/0!</v>
      </c>
      <c r="T3451" t="s">
        <v>82</v>
      </c>
    </row>
    <row r="3452" spans="15:20" x14ac:dyDescent="0.25">
      <c r="O3452">
        <v>1</v>
      </c>
      <c r="S3452" t="e">
        <v>#DIV/0!</v>
      </c>
      <c r="T3452" t="s">
        <v>82</v>
      </c>
    </row>
    <row r="3453" spans="15:20" x14ac:dyDescent="0.25">
      <c r="O3453">
        <v>1</v>
      </c>
      <c r="S3453" t="e">
        <v>#DIV/0!</v>
      </c>
      <c r="T3453" t="s">
        <v>82</v>
      </c>
    </row>
    <row r="3454" spans="15:20" x14ac:dyDescent="0.25">
      <c r="O3454">
        <v>1</v>
      </c>
      <c r="S3454" t="e">
        <v>#DIV/0!</v>
      </c>
      <c r="T3454" t="s">
        <v>82</v>
      </c>
    </row>
    <row r="3455" spans="15:20" x14ac:dyDescent="0.25">
      <c r="O3455">
        <v>1</v>
      </c>
      <c r="S3455" t="e">
        <v>#DIV/0!</v>
      </c>
      <c r="T3455" t="s">
        <v>82</v>
      </c>
    </row>
    <row r="3456" spans="15:20" x14ac:dyDescent="0.25">
      <c r="O3456">
        <v>1</v>
      </c>
      <c r="S3456" t="e">
        <v>#DIV/0!</v>
      </c>
      <c r="T3456" t="s">
        <v>82</v>
      </c>
    </row>
    <row r="3457" spans="15:20" x14ac:dyDescent="0.25">
      <c r="O3457">
        <v>1</v>
      </c>
      <c r="S3457" t="e">
        <v>#DIV/0!</v>
      </c>
      <c r="T3457" t="s">
        <v>82</v>
      </c>
    </row>
    <row r="3458" spans="15:20" x14ac:dyDescent="0.25">
      <c r="O3458">
        <v>1</v>
      </c>
      <c r="S3458" t="e">
        <v>#DIV/0!</v>
      </c>
      <c r="T3458" t="s">
        <v>82</v>
      </c>
    </row>
    <row r="3459" spans="15:20" x14ac:dyDescent="0.25">
      <c r="O3459">
        <v>1</v>
      </c>
      <c r="S3459" t="e">
        <v>#DIV/0!</v>
      </c>
      <c r="T3459" t="s">
        <v>82</v>
      </c>
    </row>
    <row r="3460" spans="15:20" x14ac:dyDescent="0.25">
      <c r="O3460">
        <v>1</v>
      </c>
      <c r="S3460" t="e">
        <v>#DIV/0!</v>
      </c>
      <c r="T3460" t="s">
        <v>82</v>
      </c>
    </row>
    <row r="3461" spans="15:20" x14ac:dyDescent="0.25">
      <c r="O3461">
        <v>1</v>
      </c>
      <c r="S3461" t="e">
        <v>#DIV/0!</v>
      </c>
      <c r="T3461" t="s">
        <v>82</v>
      </c>
    </row>
    <row r="3462" spans="15:20" x14ac:dyDescent="0.25">
      <c r="O3462">
        <v>1</v>
      </c>
      <c r="S3462" t="e">
        <v>#DIV/0!</v>
      </c>
      <c r="T3462" t="s">
        <v>82</v>
      </c>
    </row>
    <row r="3463" spans="15:20" x14ac:dyDescent="0.25">
      <c r="O3463">
        <v>1</v>
      </c>
      <c r="S3463" t="e">
        <v>#DIV/0!</v>
      </c>
      <c r="T3463" t="s">
        <v>82</v>
      </c>
    </row>
    <row r="3464" spans="15:20" x14ac:dyDescent="0.25">
      <c r="O3464">
        <v>1</v>
      </c>
      <c r="S3464" t="e">
        <v>#DIV/0!</v>
      </c>
      <c r="T3464" t="s">
        <v>82</v>
      </c>
    </row>
    <row r="3465" spans="15:20" x14ac:dyDescent="0.25">
      <c r="O3465">
        <v>1</v>
      </c>
      <c r="S3465" t="e">
        <v>#DIV/0!</v>
      </c>
      <c r="T3465" t="s">
        <v>82</v>
      </c>
    </row>
    <row r="3466" spans="15:20" x14ac:dyDescent="0.25">
      <c r="O3466">
        <v>1</v>
      </c>
      <c r="S3466" t="e">
        <v>#DIV/0!</v>
      </c>
      <c r="T3466" t="s">
        <v>82</v>
      </c>
    </row>
    <row r="3467" spans="15:20" x14ac:dyDescent="0.25">
      <c r="O3467">
        <v>1</v>
      </c>
      <c r="S3467" t="e">
        <v>#DIV/0!</v>
      </c>
      <c r="T3467" t="s">
        <v>82</v>
      </c>
    </row>
    <row r="3468" spans="15:20" x14ac:dyDescent="0.25">
      <c r="O3468">
        <v>1</v>
      </c>
      <c r="S3468" t="e">
        <v>#DIV/0!</v>
      </c>
      <c r="T3468" t="s">
        <v>82</v>
      </c>
    </row>
    <row r="3469" spans="15:20" x14ac:dyDescent="0.25">
      <c r="O3469">
        <v>1</v>
      </c>
      <c r="S3469" t="e">
        <v>#DIV/0!</v>
      </c>
      <c r="T3469" t="s">
        <v>82</v>
      </c>
    </row>
    <row r="3470" spans="15:20" x14ac:dyDescent="0.25">
      <c r="O3470">
        <v>1</v>
      </c>
      <c r="S3470" t="e">
        <v>#DIV/0!</v>
      </c>
      <c r="T3470" t="s">
        <v>82</v>
      </c>
    </row>
    <row r="3471" spans="15:20" x14ac:dyDescent="0.25">
      <c r="O3471">
        <v>1</v>
      </c>
      <c r="S3471" t="e">
        <v>#DIV/0!</v>
      </c>
      <c r="T3471" t="s">
        <v>82</v>
      </c>
    </row>
    <row r="3472" spans="15:20" x14ac:dyDescent="0.25">
      <c r="O3472">
        <v>1</v>
      </c>
      <c r="S3472" t="e">
        <v>#DIV/0!</v>
      </c>
      <c r="T3472" t="s">
        <v>82</v>
      </c>
    </row>
    <row r="3473" spans="15:20" x14ac:dyDescent="0.25">
      <c r="O3473">
        <v>1</v>
      </c>
      <c r="S3473" t="e">
        <v>#DIV/0!</v>
      </c>
      <c r="T3473" t="s">
        <v>82</v>
      </c>
    </row>
    <row r="3474" spans="15:20" x14ac:dyDescent="0.25">
      <c r="O3474">
        <v>1</v>
      </c>
      <c r="S3474" t="e">
        <v>#DIV/0!</v>
      </c>
      <c r="T3474" t="s">
        <v>82</v>
      </c>
    </row>
    <row r="3475" spans="15:20" x14ac:dyDescent="0.25">
      <c r="O3475">
        <v>1</v>
      </c>
      <c r="S3475" t="e">
        <v>#DIV/0!</v>
      </c>
      <c r="T3475" t="s">
        <v>82</v>
      </c>
    </row>
    <row r="3476" spans="15:20" x14ac:dyDescent="0.25">
      <c r="O3476">
        <v>1</v>
      </c>
      <c r="S3476" t="e">
        <v>#DIV/0!</v>
      </c>
      <c r="T3476" t="s">
        <v>82</v>
      </c>
    </row>
    <row r="3477" spans="15:20" x14ac:dyDescent="0.25">
      <c r="O3477">
        <v>1</v>
      </c>
      <c r="S3477" t="e">
        <v>#DIV/0!</v>
      </c>
      <c r="T3477" t="s">
        <v>82</v>
      </c>
    </row>
    <row r="3478" spans="15:20" x14ac:dyDescent="0.25">
      <c r="O3478">
        <v>1</v>
      </c>
      <c r="S3478" t="e">
        <v>#DIV/0!</v>
      </c>
      <c r="T3478" t="s">
        <v>82</v>
      </c>
    </row>
    <row r="3479" spans="15:20" x14ac:dyDescent="0.25">
      <c r="O3479">
        <v>1</v>
      </c>
      <c r="S3479" t="e">
        <v>#DIV/0!</v>
      </c>
      <c r="T3479" t="s">
        <v>82</v>
      </c>
    </row>
    <row r="3480" spans="15:20" x14ac:dyDescent="0.25">
      <c r="O3480">
        <v>1</v>
      </c>
      <c r="S3480" t="e">
        <v>#DIV/0!</v>
      </c>
      <c r="T3480" t="s">
        <v>82</v>
      </c>
    </row>
    <row r="3481" spans="15:20" x14ac:dyDescent="0.25">
      <c r="O3481">
        <v>1</v>
      </c>
      <c r="S3481" t="e">
        <v>#DIV/0!</v>
      </c>
      <c r="T3481" t="s">
        <v>82</v>
      </c>
    </row>
    <row r="3482" spans="15:20" x14ac:dyDescent="0.25">
      <c r="O3482">
        <v>1</v>
      </c>
      <c r="S3482" t="e">
        <v>#DIV/0!</v>
      </c>
      <c r="T3482" t="s">
        <v>82</v>
      </c>
    </row>
    <row r="3483" spans="15:20" x14ac:dyDescent="0.25">
      <c r="O3483">
        <v>1</v>
      </c>
      <c r="S3483" t="e">
        <v>#DIV/0!</v>
      </c>
      <c r="T3483" t="s">
        <v>82</v>
      </c>
    </row>
    <row r="3484" spans="15:20" x14ac:dyDescent="0.25">
      <c r="O3484">
        <v>1</v>
      </c>
      <c r="S3484" t="e">
        <v>#DIV/0!</v>
      </c>
      <c r="T3484" t="s">
        <v>82</v>
      </c>
    </row>
    <row r="3485" spans="15:20" x14ac:dyDescent="0.25">
      <c r="O3485">
        <v>1</v>
      </c>
      <c r="S3485" t="e">
        <v>#DIV/0!</v>
      </c>
      <c r="T3485" t="s">
        <v>82</v>
      </c>
    </row>
    <row r="3486" spans="15:20" x14ac:dyDescent="0.25">
      <c r="O3486">
        <v>1</v>
      </c>
      <c r="S3486" t="e">
        <v>#DIV/0!</v>
      </c>
      <c r="T3486" t="s">
        <v>82</v>
      </c>
    </row>
    <row r="3487" spans="15:20" x14ac:dyDescent="0.25">
      <c r="O3487">
        <v>1</v>
      </c>
      <c r="S3487" t="e">
        <v>#DIV/0!</v>
      </c>
      <c r="T3487" t="s">
        <v>82</v>
      </c>
    </row>
    <row r="3488" spans="15:20" x14ac:dyDescent="0.25">
      <c r="O3488">
        <v>1</v>
      </c>
      <c r="S3488" t="e">
        <v>#DIV/0!</v>
      </c>
      <c r="T3488" t="s">
        <v>82</v>
      </c>
    </row>
    <row r="3489" spans="15:20" x14ac:dyDescent="0.25">
      <c r="O3489">
        <v>1</v>
      </c>
      <c r="S3489" t="e">
        <v>#DIV/0!</v>
      </c>
      <c r="T3489" t="s">
        <v>82</v>
      </c>
    </row>
    <row r="3490" spans="15:20" x14ac:dyDescent="0.25">
      <c r="O3490">
        <v>1</v>
      </c>
      <c r="S3490" t="e">
        <v>#DIV/0!</v>
      </c>
      <c r="T3490" t="s">
        <v>82</v>
      </c>
    </row>
    <row r="3491" spans="15:20" x14ac:dyDescent="0.25">
      <c r="O3491">
        <v>1</v>
      </c>
      <c r="S3491" t="e">
        <v>#DIV/0!</v>
      </c>
      <c r="T3491" t="s">
        <v>82</v>
      </c>
    </row>
    <row r="3492" spans="15:20" x14ac:dyDescent="0.25">
      <c r="O3492">
        <v>1</v>
      </c>
      <c r="S3492" t="e">
        <v>#DIV/0!</v>
      </c>
      <c r="T3492" t="s">
        <v>82</v>
      </c>
    </row>
    <row r="3493" spans="15:20" x14ac:dyDescent="0.25">
      <c r="O3493">
        <v>1</v>
      </c>
      <c r="S3493" t="e">
        <v>#DIV/0!</v>
      </c>
      <c r="T3493" t="s">
        <v>82</v>
      </c>
    </row>
    <row r="3494" spans="15:20" x14ac:dyDescent="0.25">
      <c r="O3494">
        <v>1</v>
      </c>
      <c r="S3494" t="e">
        <v>#DIV/0!</v>
      </c>
      <c r="T3494" t="s">
        <v>82</v>
      </c>
    </row>
    <row r="3495" spans="15:20" x14ac:dyDescent="0.25">
      <c r="O3495">
        <v>1</v>
      </c>
      <c r="S3495" t="e">
        <v>#DIV/0!</v>
      </c>
      <c r="T3495" t="s">
        <v>82</v>
      </c>
    </row>
    <row r="3496" spans="15:20" x14ac:dyDescent="0.25">
      <c r="O3496">
        <v>1</v>
      </c>
      <c r="S3496" t="e">
        <v>#DIV/0!</v>
      </c>
      <c r="T3496" t="s">
        <v>82</v>
      </c>
    </row>
    <row r="3497" spans="15:20" x14ac:dyDescent="0.25">
      <c r="O3497">
        <v>1</v>
      </c>
      <c r="S3497" t="e">
        <v>#DIV/0!</v>
      </c>
      <c r="T3497" t="s">
        <v>82</v>
      </c>
    </row>
    <row r="3498" spans="15:20" x14ac:dyDescent="0.25">
      <c r="O3498">
        <v>1</v>
      </c>
      <c r="S3498" t="e">
        <v>#DIV/0!</v>
      </c>
      <c r="T3498" t="s">
        <v>82</v>
      </c>
    </row>
    <row r="3499" spans="15:20" x14ac:dyDescent="0.25">
      <c r="O3499">
        <v>1</v>
      </c>
      <c r="S3499" t="e">
        <v>#DIV/0!</v>
      </c>
      <c r="T3499" t="s">
        <v>82</v>
      </c>
    </row>
    <row r="3500" spans="15:20" x14ac:dyDescent="0.25">
      <c r="O3500">
        <v>1</v>
      </c>
      <c r="S3500" t="e">
        <v>#DIV/0!</v>
      </c>
      <c r="T3500" t="s">
        <v>82</v>
      </c>
    </row>
    <row r="3501" spans="15:20" x14ac:dyDescent="0.25">
      <c r="O3501">
        <v>1</v>
      </c>
      <c r="S3501" t="e">
        <v>#DIV/0!</v>
      </c>
      <c r="T3501" t="s">
        <v>82</v>
      </c>
    </row>
    <row r="3502" spans="15:20" x14ac:dyDescent="0.25">
      <c r="O3502">
        <v>1</v>
      </c>
      <c r="S3502" t="e">
        <v>#DIV/0!</v>
      </c>
      <c r="T3502" t="s">
        <v>82</v>
      </c>
    </row>
    <row r="3503" spans="15:20" x14ac:dyDescent="0.25">
      <c r="O3503">
        <v>1</v>
      </c>
      <c r="S3503" t="e">
        <v>#DIV/0!</v>
      </c>
      <c r="T3503" t="s">
        <v>82</v>
      </c>
    </row>
    <row r="3504" spans="15:20" x14ac:dyDescent="0.25">
      <c r="O3504">
        <v>1</v>
      </c>
      <c r="S3504" t="e">
        <v>#DIV/0!</v>
      </c>
      <c r="T3504" t="s">
        <v>82</v>
      </c>
    </row>
    <row r="3505" spans="15:20" x14ac:dyDescent="0.25">
      <c r="O3505">
        <v>1</v>
      </c>
      <c r="S3505" t="e">
        <v>#DIV/0!</v>
      </c>
      <c r="T3505" t="s">
        <v>82</v>
      </c>
    </row>
    <row r="3506" spans="15:20" x14ac:dyDescent="0.25">
      <c r="O3506">
        <v>1</v>
      </c>
      <c r="S3506" t="e">
        <v>#DIV/0!</v>
      </c>
      <c r="T3506" t="s">
        <v>82</v>
      </c>
    </row>
    <row r="3507" spans="15:20" x14ac:dyDescent="0.25">
      <c r="O3507">
        <v>1</v>
      </c>
      <c r="S3507" t="e">
        <v>#DIV/0!</v>
      </c>
      <c r="T3507" t="s">
        <v>82</v>
      </c>
    </row>
    <row r="3508" spans="15:20" x14ac:dyDescent="0.25">
      <c r="O3508">
        <v>1</v>
      </c>
      <c r="S3508" t="e">
        <v>#DIV/0!</v>
      </c>
      <c r="T3508" t="s">
        <v>82</v>
      </c>
    </row>
    <row r="3509" spans="15:20" x14ac:dyDescent="0.25">
      <c r="O3509">
        <v>1</v>
      </c>
      <c r="S3509" t="e">
        <v>#DIV/0!</v>
      </c>
      <c r="T3509" t="s">
        <v>82</v>
      </c>
    </row>
    <row r="3510" spans="15:20" x14ac:dyDescent="0.25">
      <c r="O3510">
        <v>1</v>
      </c>
      <c r="S3510" t="e">
        <v>#DIV/0!</v>
      </c>
      <c r="T3510" t="s">
        <v>82</v>
      </c>
    </row>
    <row r="3511" spans="15:20" x14ac:dyDescent="0.25">
      <c r="O3511">
        <v>1</v>
      </c>
      <c r="S3511" t="e">
        <v>#DIV/0!</v>
      </c>
      <c r="T3511" t="s">
        <v>82</v>
      </c>
    </row>
    <row r="3512" spans="15:20" x14ac:dyDescent="0.25">
      <c r="O3512">
        <v>1</v>
      </c>
      <c r="S3512" t="e">
        <v>#DIV/0!</v>
      </c>
      <c r="T3512" t="s">
        <v>82</v>
      </c>
    </row>
    <row r="3513" spans="15:20" x14ac:dyDescent="0.25">
      <c r="O3513">
        <v>1</v>
      </c>
      <c r="S3513" t="e">
        <v>#DIV/0!</v>
      </c>
      <c r="T3513" t="s">
        <v>82</v>
      </c>
    </row>
    <row r="3514" spans="15:20" x14ac:dyDescent="0.25">
      <c r="O3514">
        <v>1</v>
      </c>
      <c r="S3514" t="e">
        <v>#DIV/0!</v>
      </c>
      <c r="T3514" t="s">
        <v>82</v>
      </c>
    </row>
    <row r="3515" spans="15:20" x14ac:dyDescent="0.25">
      <c r="O3515">
        <v>1</v>
      </c>
      <c r="S3515" t="e">
        <v>#DIV/0!</v>
      </c>
      <c r="T3515" t="s">
        <v>82</v>
      </c>
    </row>
    <row r="3516" spans="15:20" x14ac:dyDescent="0.25">
      <c r="O3516">
        <v>1</v>
      </c>
      <c r="S3516" t="e">
        <v>#DIV/0!</v>
      </c>
      <c r="T3516" t="s">
        <v>82</v>
      </c>
    </row>
    <row r="3517" spans="15:20" x14ac:dyDescent="0.25">
      <c r="O3517">
        <v>1</v>
      </c>
      <c r="S3517" t="e">
        <v>#DIV/0!</v>
      </c>
      <c r="T3517" t="s">
        <v>82</v>
      </c>
    </row>
    <row r="3518" spans="15:20" x14ac:dyDescent="0.25">
      <c r="O3518">
        <v>1</v>
      </c>
      <c r="S3518" t="e">
        <v>#DIV/0!</v>
      </c>
      <c r="T3518" t="s">
        <v>82</v>
      </c>
    </row>
    <row r="3519" spans="15:20" x14ac:dyDescent="0.25">
      <c r="O3519">
        <v>1</v>
      </c>
      <c r="S3519" t="e">
        <v>#DIV/0!</v>
      </c>
      <c r="T3519" t="s">
        <v>82</v>
      </c>
    </row>
    <row r="3520" spans="15:20" x14ac:dyDescent="0.25">
      <c r="O3520">
        <v>1</v>
      </c>
      <c r="S3520" t="e">
        <v>#DIV/0!</v>
      </c>
      <c r="T3520" t="s">
        <v>82</v>
      </c>
    </row>
    <row r="3521" spans="15:20" x14ac:dyDescent="0.25">
      <c r="O3521">
        <v>1</v>
      </c>
      <c r="S3521" t="e">
        <v>#DIV/0!</v>
      </c>
      <c r="T3521" t="s">
        <v>82</v>
      </c>
    </row>
    <row r="3522" spans="15:20" x14ac:dyDescent="0.25">
      <c r="O3522">
        <v>1</v>
      </c>
      <c r="S3522" t="e">
        <v>#DIV/0!</v>
      </c>
      <c r="T3522" t="s">
        <v>82</v>
      </c>
    </row>
    <row r="3523" spans="15:20" x14ac:dyDescent="0.25">
      <c r="O3523">
        <v>1</v>
      </c>
      <c r="S3523" t="e">
        <v>#DIV/0!</v>
      </c>
      <c r="T3523" t="s">
        <v>82</v>
      </c>
    </row>
    <row r="3524" spans="15:20" x14ac:dyDescent="0.25">
      <c r="O3524">
        <v>1</v>
      </c>
      <c r="S3524" t="e">
        <v>#DIV/0!</v>
      </c>
      <c r="T3524" t="s">
        <v>82</v>
      </c>
    </row>
    <row r="3525" spans="15:20" x14ac:dyDescent="0.25">
      <c r="O3525">
        <v>1</v>
      </c>
      <c r="S3525" t="e">
        <v>#DIV/0!</v>
      </c>
      <c r="T3525" t="s">
        <v>82</v>
      </c>
    </row>
    <row r="3526" spans="15:20" x14ac:dyDescent="0.25">
      <c r="O3526">
        <v>1</v>
      </c>
      <c r="S3526" t="e">
        <v>#DIV/0!</v>
      </c>
      <c r="T3526" t="s">
        <v>82</v>
      </c>
    </row>
    <row r="3527" spans="15:20" x14ac:dyDescent="0.25">
      <c r="O3527">
        <v>1</v>
      </c>
      <c r="S3527" t="e">
        <v>#DIV/0!</v>
      </c>
      <c r="T3527" t="s">
        <v>82</v>
      </c>
    </row>
    <row r="3528" spans="15:20" x14ac:dyDescent="0.25">
      <c r="O3528">
        <v>1</v>
      </c>
      <c r="S3528" t="e">
        <v>#DIV/0!</v>
      </c>
      <c r="T3528" t="s">
        <v>82</v>
      </c>
    </row>
    <row r="3529" spans="15:20" x14ac:dyDescent="0.25">
      <c r="O3529">
        <v>1</v>
      </c>
      <c r="S3529" t="e">
        <v>#DIV/0!</v>
      </c>
      <c r="T3529" t="s">
        <v>82</v>
      </c>
    </row>
    <row r="3530" spans="15:20" x14ac:dyDescent="0.25">
      <c r="O3530">
        <v>1</v>
      </c>
      <c r="S3530" t="e">
        <v>#DIV/0!</v>
      </c>
      <c r="T3530" t="s">
        <v>82</v>
      </c>
    </row>
    <row r="3531" spans="15:20" x14ac:dyDescent="0.25">
      <c r="O3531">
        <v>1</v>
      </c>
      <c r="S3531" t="e">
        <v>#DIV/0!</v>
      </c>
      <c r="T3531" t="s">
        <v>82</v>
      </c>
    </row>
    <row r="3532" spans="15:20" x14ac:dyDescent="0.25">
      <c r="O3532">
        <v>1</v>
      </c>
      <c r="S3532" t="e">
        <v>#DIV/0!</v>
      </c>
      <c r="T3532" t="s">
        <v>82</v>
      </c>
    </row>
    <row r="3533" spans="15:20" x14ac:dyDescent="0.25">
      <c r="O3533">
        <v>1</v>
      </c>
      <c r="S3533" t="e">
        <v>#DIV/0!</v>
      </c>
      <c r="T3533" t="s">
        <v>82</v>
      </c>
    </row>
    <row r="3534" spans="15:20" x14ac:dyDescent="0.25">
      <c r="O3534">
        <v>1</v>
      </c>
      <c r="S3534" t="e">
        <v>#DIV/0!</v>
      </c>
      <c r="T3534" t="s">
        <v>82</v>
      </c>
    </row>
    <row r="3535" spans="15:20" x14ac:dyDescent="0.25">
      <c r="O3535">
        <v>1</v>
      </c>
      <c r="S3535" t="e">
        <v>#DIV/0!</v>
      </c>
      <c r="T3535" t="s">
        <v>82</v>
      </c>
    </row>
    <row r="3536" spans="15:20" x14ac:dyDescent="0.25">
      <c r="O3536">
        <v>1</v>
      </c>
      <c r="S3536" t="e">
        <v>#DIV/0!</v>
      </c>
      <c r="T3536" t="s">
        <v>82</v>
      </c>
    </row>
    <row r="3537" spans="15:20" x14ac:dyDescent="0.25">
      <c r="O3537">
        <v>1</v>
      </c>
      <c r="S3537" t="e">
        <v>#DIV/0!</v>
      </c>
      <c r="T3537" t="s">
        <v>82</v>
      </c>
    </row>
    <row r="3538" spans="15:20" x14ac:dyDescent="0.25">
      <c r="O3538">
        <v>1</v>
      </c>
      <c r="S3538" t="e">
        <v>#DIV/0!</v>
      </c>
      <c r="T3538" t="s">
        <v>82</v>
      </c>
    </row>
    <row r="3539" spans="15:20" x14ac:dyDescent="0.25">
      <c r="O3539">
        <v>1</v>
      </c>
      <c r="S3539" t="e">
        <v>#DIV/0!</v>
      </c>
      <c r="T3539" t="s">
        <v>82</v>
      </c>
    </row>
    <row r="3540" spans="15:20" x14ac:dyDescent="0.25">
      <c r="O3540">
        <v>1</v>
      </c>
      <c r="S3540" t="e">
        <v>#DIV/0!</v>
      </c>
      <c r="T3540" t="s">
        <v>82</v>
      </c>
    </row>
    <row r="3541" spans="15:20" x14ac:dyDescent="0.25">
      <c r="O3541">
        <v>1</v>
      </c>
      <c r="S3541" t="e">
        <v>#DIV/0!</v>
      </c>
      <c r="T3541" t="s">
        <v>82</v>
      </c>
    </row>
    <row r="3542" spans="15:20" x14ac:dyDescent="0.25">
      <c r="O3542">
        <v>1</v>
      </c>
      <c r="S3542" t="e">
        <v>#DIV/0!</v>
      </c>
      <c r="T3542" t="s">
        <v>82</v>
      </c>
    </row>
    <row r="3543" spans="15:20" x14ac:dyDescent="0.25">
      <c r="O3543">
        <v>1</v>
      </c>
      <c r="S3543" t="e">
        <v>#DIV/0!</v>
      </c>
      <c r="T3543" t="s">
        <v>82</v>
      </c>
    </row>
    <row r="3544" spans="15:20" x14ac:dyDescent="0.25">
      <c r="O3544">
        <v>1</v>
      </c>
      <c r="S3544" t="e">
        <v>#DIV/0!</v>
      </c>
      <c r="T3544" t="s">
        <v>82</v>
      </c>
    </row>
    <row r="3545" spans="15:20" x14ac:dyDescent="0.25">
      <c r="O3545">
        <v>1</v>
      </c>
      <c r="S3545" t="e">
        <v>#DIV/0!</v>
      </c>
      <c r="T3545" t="s">
        <v>82</v>
      </c>
    </row>
    <row r="3546" spans="15:20" x14ac:dyDescent="0.25">
      <c r="O3546">
        <v>1</v>
      </c>
      <c r="S3546" t="e">
        <v>#DIV/0!</v>
      </c>
      <c r="T3546" t="s">
        <v>82</v>
      </c>
    </row>
    <row r="3547" spans="15:20" x14ac:dyDescent="0.25">
      <c r="O3547">
        <v>1</v>
      </c>
      <c r="S3547" t="e">
        <v>#DIV/0!</v>
      </c>
      <c r="T3547" t="s">
        <v>82</v>
      </c>
    </row>
    <row r="3548" spans="15:20" x14ac:dyDescent="0.25">
      <c r="O3548">
        <v>1</v>
      </c>
      <c r="S3548" t="e">
        <v>#DIV/0!</v>
      </c>
      <c r="T3548" t="s">
        <v>82</v>
      </c>
    </row>
    <row r="3549" spans="15:20" x14ac:dyDescent="0.25">
      <c r="O3549">
        <v>1</v>
      </c>
      <c r="S3549" t="e">
        <v>#DIV/0!</v>
      </c>
      <c r="T3549" t="s">
        <v>82</v>
      </c>
    </row>
    <row r="3550" spans="15:20" x14ac:dyDescent="0.25">
      <c r="O3550">
        <v>1</v>
      </c>
      <c r="S3550" t="e">
        <v>#DIV/0!</v>
      </c>
      <c r="T3550" t="s">
        <v>82</v>
      </c>
    </row>
    <row r="3551" spans="15:20" x14ac:dyDescent="0.25">
      <c r="O3551">
        <v>1</v>
      </c>
      <c r="S3551" t="e">
        <v>#DIV/0!</v>
      </c>
      <c r="T3551" t="s">
        <v>82</v>
      </c>
    </row>
    <row r="3552" spans="15:20" x14ac:dyDescent="0.25">
      <c r="O3552">
        <v>1</v>
      </c>
      <c r="S3552" t="e">
        <v>#DIV/0!</v>
      </c>
      <c r="T3552" t="s">
        <v>82</v>
      </c>
    </row>
    <row r="3553" spans="15:20" x14ac:dyDescent="0.25">
      <c r="O3553">
        <v>1</v>
      </c>
      <c r="S3553" t="e">
        <v>#DIV/0!</v>
      </c>
      <c r="T3553" t="s">
        <v>82</v>
      </c>
    </row>
    <row r="3554" spans="15:20" x14ac:dyDescent="0.25">
      <c r="O3554">
        <v>1</v>
      </c>
      <c r="S3554" t="e">
        <v>#DIV/0!</v>
      </c>
      <c r="T3554" t="s">
        <v>82</v>
      </c>
    </row>
    <row r="3555" spans="15:20" x14ac:dyDescent="0.25">
      <c r="O3555">
        <v>1</v>
      </c>
      <c r="S3555" t="e">
        <v>#DIV/0!</v>
      </c>
      <c r="T3555" t="s">
        <v>82</v>
      </c>
    </row>
    <row r="3556" spans="15:20" x14ac:dyDescent="0.25">
      <c r="O3556">
        <v>1</v>
      </c>
      <c r="S3556" t="e">
        <v>#DIV/0!</v>
      </c>
      <c r="T3556" t="s">
        <v>82</v>
      </c>
    </row>
    <row r="3557" spans="15:20" x14ac:dyDescent="0.25">
      <c r="O3557">
        <v>1</v>
      </c>
      <c r="S3557" t="e">
        <v>#DIV/0!</v>
      </c>
      <c r="T3557" t="s">
        <v>82</v>
      </c>
    </row>
    <row r="3558" spans="15:20" x14ac:dyDescent="0.25">
      <c r="O3558">
        <v>1</v>
      </c>
      <c r="S3558" t="e">
        <v>#DIV/0!</v>
      </c>
      <c r="T3558" t="s">
        <v>82</v>
      </c>
    </row>
    <row r="3559" spans="15:20" x14ac:dyDescent="0.25">
      <c r="O3559">
        <v>1</v>
      </c>
      <c r="S3559" t="e">
        <v>#DIV/0!</v>
      </c>
      <c r="T3559" t="s">
        <v>82</v>
      </c>
    </row>
    <row r="3560" spans="15:20" x14ac:dyDescent="0.25">
      <c r="O3560">
        <v>1</v>
      </c>
      <c r="S3560" t="e">
        <v>#DIV/0!</v>
      </c>
      <c r="T3560" t="s">
        <v>82</v>
      </c>
    </row>
    <row r="3561" spans="15:20" x14ac:dyDescent="0.25">
      <c r="O3561">
        <v>1</v>
      </c>
      <c r="S3561" t="e">
        <v>#DIV/0!</v>
      </c>
      <c r="T3561" t="s">
        <v>82</v>
      </c>
    </row>
    <row r="3562" spans="15:20" x14ac:dyDescent="0.25">
      <c r="O3562">
        <v>1</v>
      </c>
      <c r="S3562" t="e">
        <v>#DIV/0!</v>
      </c>
      <c r="T3562" t="s">
        <v>82</v>
      </c>
    </row>
    <row r="3563" spans="15:20" x14ac:dyDescent="0.25">
      <c r="O3563">
        <v>1</v>
      </c>
      <c r="S3563" t="e">
        <v>#DIV/0!</v>
      </c>
      <c r="T3563" t="s">
        <v>82</v>
      </c>
    </row>
    <row r="3564" spans="15:20" x14ac:dyDescent="0.25">
      <c r="O3564">
        <v>1</v>
      </c>
      <c r="S3564" t="e">
        <v>#DIV/0!</v>
      </c>
      <c r="T3564" t="s">
        <v>82</v>
      </c>
    </row>
    <row r="3565" spans="15:20" x14ac:dyDescent="0.25">
      <c r="O3565">
        <v>1</v>
      </c>
      <c r="S3565" t="e">
        <v>#DIV/0!</v>
      </c>
      <c r="T3565" t="s">
        <v>82</v>
      </c>
    </row>
    <row r="3566" spans="15:20" x14ac:dyDescent="0.25">
      <c r="O3566">
        <v>1</v>
      </c>
      <c r="S3566" t="e">
        <v>#DIV/0!</v>
      </c>
      <c r="T3566" t="s">
        <v>82</v>
      </c>
    </row>
    <row r="3567" spans="15:20" x14ac:dyDescent="0.25">
      <c r="O3567">
        <v>1</v>
      </c>
      <c r="S3567" t="e">
        <v>#DIV/0!</v>
      </c>
      <c r="T3567" t="s">
        <v>82</v>
      </c>
    </row>
    <row r="3568" spans="15:20" x14ac:dyDescent="0.25">
      <c r="O3568">
        <v>1</v>
      </c>
      <c r="S3568" t="e">
        <v>#DIV/0!</v>
      </c>
      <c r="T3568" t="s">
        <v>82</v>
      </c>
    </row>
    <row r="3569" spans="15:20" x14ac:dyDescent="0.25">
      <c r="O3569">
        <v>1</v>
      </c>
      <c r="S3569" t="e">
        <v>#DIV/0!</v>
      </c>
      <c r="T3569" t="s">
        <v>82</v>
      </c>
    </row>
    <row r="3570" spans="15:20" x14ac:dyDescent="0.25">
      <c r="O3570">
        <v>1</v>
      </c>
      <c r="S3570" t="e">
        <v>#DIV/0!</v>
      </c>
      <c r="T3570" t="s">
        <v>82</v>
      </c>
    </row>
    <row r="3571" spans="15:20" x14ac:dyDescent="0.25">
      <c r="O3571">
        <v>1</v>
      </c>
      <c r="S3571" t="e">
        <v>#DIV/0!</v>
      </c>
      <c r="T3571" t="s">
        <v>82</v>
      </c>
    </row>
    <row r="3572" spans="15:20" x14ac:dyDescent="0.25">
      <c r="O3572">
        <v>1</v>
      </c>
      <c r="S3572" t="e">
        <v>#DIV/0!</v>
      </c>
      <c r="T3572" t="s">
        <v>82</v>
      </c>
    </row>
    <row r="3573" spans="15:20" x14ac:dyDescent="0.25">
      <c r="O3573">
        <v>1</v>
      </c>
      <c r="S3573" t="e">
        <v>#DIV/0!</v>
      </c>
      <c r="T3573" t="s">
        <v>82</v>
      </c>
    </row>
    <row r="3574" spans="15:20" x14ac:dyDescent="0.25">
      <c r="O3574">
        <v>1</v>
      </c>
      <c r="S3574" t="e">
        <v>#DIV/0!</v>
      </c>
      <c r="T3574" t="s">
        <v>82</v>
      </c>
    </row>
    <row r="3575" spans="15:20" x14ac:dyDescent="0.25">
      <c r="O3575">
        <v>1</v>
      </c>
      <c r="S3575" t="e">
        <v>#DIV/0!</v>
      </c>
      <c r="T3575" t="s">
        <v>82</v>
      </c>
    </row>
    <row r="3576" spans="15:20" x14ac:dyDescent="0.25">
      <c r="O3576">
        <v>1</v>
      </c>
      <c r="S3576" t="e">
        <v>#DIV/0!</v>
      </c>
      <c r="T3576" t="s">
        <v>82</v>
      </c>
    </row>
    <row r="3577" spans="15:20" x14ac:dyDescent="0.25">
      <c r="O3577">
        <v>1</v>
      </c>
      <c r="S3577" t="e">
        <v>#DIV/0!</v>
      </c>
      <c r="T3577" t="s">
        <v>82</v>
      </c>
    </row>
    <row r="3578" spans="15:20" x14ac:dyDescent="0.25">
      <c r="O3578">
        <v>1</v>
      </c>
      <c r="S3578" t="e">
        <v>#DIV/0!</v>
      </c>
      <c r="T3578" t="s">
        <v>82</v>
      </c>
    </row>
    <row r="3579" spans="15:20" x14ac:dyDescent="0.25">
      <c r="O3579">
        <v>1</v>
      </c>
      <c r="S3579" t="e">
        <v>#DIV/0!</v>
      </c>
      <c r="T3579" t="s">
        <v>82</v>
      </c>
    </row>
    <row r="3580" spans="15:20" x14ac:dyDescent="0.25">
      <c r="O3580">
        <v>1</v>
      </c>
      <c r="S3580" t="e">
        <v>#DIV/0!</v>
      </c>
      <c r="T3580" t="s">
        <v>82</v>
      </c>
    </row>
    <row r="3581" spans="15:20" x14ac:dyDescent="0.25">
      <c r="O3581">
        <v>1</v>
      </c>
      <c r="S3581" t="e">
        <v>#DIV/0!</v>
      </c>
      <c r="T3581" t="s">
        <v>82</v>
      </c>
    </row>
    <row r="3582" spans="15:20" x14ac:dyDescent="0.25">
      <c r="O3582">
        <v>1</v>
      </c>
      <c r="S3582" t="e">
        <v>#DIV/0!</v>
      </c>
      <c r="T3582" t="s">
        <v>82</v>
      </c>
    </row>
    <row r="3583" spans="15:20" x14ac:dyDescent="0.25">
      <c r="O3583">
        <v>1</v>
      </c>
      <c r="S3583" t="e">
        <v>#DIV/0!</v>
      </c>
      <c r="T3583" t="s">
        <v>82</v>
      </c>
    </row>
    <row r="3584" spans="15:20" x14ac:dyDescent="0.25">
      <c r="O3584">
        <v>1</v>
      </c>
      <c r="S3584" t="e">
        <v>#DIV/0!</v>
      </c>
      <c r="T3584" t="s">
        <v>82</v>
      </c>
    </row>
    <row r="3585" spans="15:20" x14ac:dyDescent="0.25">
      <c r="O3585">
        <v>1</v>
      </c>
      <c r="S3585" t="e">
        <v>#DIV/0!</v>
      </c>
      <c r="T3585" t="s">
        <v>82</v>
      </c>
    </row>
    <row r="3586" spans="15:20" x14ac:dyDescent="0.25">
      <c r="O3586">
        <v>1</v>
      </c>
      <c r="S3586" t="e">
        <v>#DIV/0!</v>
      </c>
      <c r="T3586" t="s">
        <v>82</v>
      </c>
    </row>
    <row r="3587" spans="15:20" x14ac:dyDescent="0.25">
      <c r="O3587">
        <v>1</v>
      </c>
      <c r="S3587" t="e">
        <v>#DIV/0!</v>
      </c>
      <c r="T3587" t="s">
        <v>82</v>
      </c>
    </row>
    <row r="3588" spans="15:20" x14ac:dyDescent="0.25">
      <c r="O3588">
        <v>1</v>
      </c>
      <c r="S3588" t="e">
        <v>#DIV/0!</v>
      </c>
      <c r="T3588" t="s">
        <v>82</v>
      </c>
    </row>
    <row r="3589" spans="15:20" x14ac:dyDescent="0.25">
      <c r="O3589">
        <v>1</v>
      </c>
      <c r="S3589" t="e">
        <v>#DIV/0!</v>
      </c>
      <c r="T3589" t="s">
        <v>82</v>
      </c>
    </row>
    <row r="3590" spans="15:20" x14ac:dyDescent="0.25">
      <c r="O3590">
        <v>1</v>
      </c>
      <c r="S3590" t="e">
        <v>#DIV/0!</v>
      </c>
      <c r="T3590" t="s">
        <v>82</v>
      </c>
    </row>
    <row r="3591" spans="15:20" x14ac:dyDescent="0.25">
      <c r="O3591">
        <v>1</v>
      </c>
      <c r="S3591" t="e">
        <v>#DIV/0!</v>
      </c>
      <c r="T3591" t="s">
        <v>82</v>
      </c>
    </row>
    <row r="3592" spans="15:20" x14ac:dyDescent="0.25">
      <c r="O3592">
        <v>1</v>
      </c>
      <c r="S3592" t="e">
        <v>#DIV/0!</v>
      </c>
      <c r="T3592" t="s">
        <v>82</v>
      </c>
    </row>
    <row r="3593" spans="15:20" x14ac:dyDescent="0.25">
      <c r="O3593">
        <v>1</v>
      </c>
      <c r="S3593" t="e">
        <v>#DIV/0!</v>
      </c>
      <c r="T3593" t="s">
        <v>82</v>
      </c>
    </row>
    <row r="3594" spans="15:20" x14ac:dyDescent="0.25">
      <c r="O3594">
        <v>1</v>
      </c>
      <c r="S3594" t="e">
        <v>#DIV/0!</v>
      </c>
      <c r="T3594" t="s">
        <v>82</v>
      </c>
    </row>
    <row r="3595" spans="15:20" x14ac:dyDescent="0.25">
      <c r="O3595">
        <v>1</v>
      </c>
      <c r="S3595" t="e">
        <v>#DIV/0!</v>
      </c>
      <c r="T3595" t="s">
        <v>82</v>
      </c>
    </row>
    <row r="3596" spans="15:20" x14ac:dyDescent="0.25">
      <c r="O3596">
        <v>1</v>
      </c>
      <c r="S3596" t="e">
        <v>#DIV/0!</v>
      </c>
      <c r="T3596" t="s">
        <v>82</v>
      </c>
    </row>
    <row r="3597" spans="15:20" x14ac:dyDescent="0.25">
      <c r="O3597">
        <v>1</v>
      </c>
      <c r="S3597" t="e">
        <v>#DIV/0!</v>
      </c>
      <c r="T3597" t="s">
        <v>82</v>
      </c>
    </row>
    <row r="3598" spans="15:20" x14ac:dyDescent="0.25">
      <c r="O3598">
        <v>1</v>
      </c>
      <c r="S3598" t="e">
        <v>#DIV/0!</v>
      </c>
      <c r="T3598" t="s">
        <v>82</v>
      </c>
    </row>
    <row r="3599" spans="15:20" x14ac:dyDescent="0.25">
      <c r="O3599">
        <v>1</v>
      </c>
      <c r="S3599" t="e">
        <v>#DIV/0!</v>
      </c>
      <c r="T3599" t="s">
        <v>82</v>
      </c>
    </row>
    <row r="3600" spans="15:20" x14ac:dyDescent="0.25">
      <c r="O3600">
        <v>1</v>
      </c>
      <c r="S3600" t="e">
        <v>#DIV/0!</v>
      </c>
      <c r="T3600" t="s">
        <v>82</v>
      </c>
    </row>
    <row r="3601" spans="15:20" x14ac:dyDescent="0.25">
      <c r="O3601">
        <v>1</v>
      </c>
      <c r="S3601" t="e">
        <v>#DIV/0!</v>
      </c>
      <c r="T3601" t="s">
        <v>82</v>
      </c>
    </row>
    <row r="3602" spans="15:20" x14ac:dyDescent="0.25">
      <c r="O3602">
        <v>1</v>
      </c>
      <c r="S3602" t="e">
        <v>#DIV/0!</v>
      </c>
      <c r="T3602" t="s">
        <v>82</v>
      </c>
    </row>
    <row r="3603" spans="15:20" x14ac:dyDescent="0.25">
      <c r="O3603">
        <v>1</v>
      </c>
      <c r="S3603" t="e">
        <v>#DIV/0!</v>
      </c>
      <c r="T3603" t="s">
        <v>82</v>
      </c>
    </row>
    <row r="3604" spans="15:20" x14ac:dyDescent="0.25">
      <c r="O3604">
        <v>1</v>
      </c>
      <c r="S3604" t="e">
        <v>#DIV/0!</v>
      </c>
      <c r="T3604" t="s">
        <v>82</v>
      </c>
    </row>
    <row r="3605" spans="15:20" x14ac:dyDescent="0.25">
      <c r="O3605">
        <v>1</v>
      </c>
      <c r="S3605" t="e">
        <v>#DIV/0!</v>
      </c>
      <c r="T3605" t="s">
        <v>82</v>
      </c>
    </row>
    <row r="3606" spans="15:20" x14ac:dyDescent="0.25">
      <c r="O3606">
        <v>1</v>
      </c>
      <c r="S3606" t="e">
        <v>#DIV/0!</v>
      </c>
      <c r="T3606" t="s">
        <v>82</v>
      </c>
    </row>
    <row r="3607" spans="15:20" x14ac:dyDescent="0.25">
      <c r="O3607">
        <v>1</v>
      </c>
      <c r="S3607" t="e">
        <v>#DIV/0!</v>
      </c>
      <c r="T3607" t="s">
        <v>82</v>
      </c>
    </row>
    <row r="3608" spans="15:20" x14ac:dyDescent="0.25">
      <c r="O3608">
        <v>1</v>
      </c>
      <c r="S3608" t="e">
        <v>#DIV/0!</v>
      </c>
      <c r="T3608" t="s">
        <v>82</v>
      </c>
    </row>
    <row r="3609" spans="15:20" x14ac:dyDescent="0.25">
      <c r="O3609">
        <v>1</v>
      </c>
      <c r="S3609" t="e">
        <v>#DIV/0!</v>
      </c>
      <c r="T3609" t="s">
        <v>82</v>
      </c>
    </row>
    <row r="3610" spans="15:20" x14ac:dyDescent="0.25">
      <c r="O3610">
        <v>1</v>
      </c>
      <c r="S3610" t="e">
        <v>#DIV/0!</v>
      </c>
      <c r="T3610" t="s">
        <v>82</v>
      </c>
    </row>
    <row r="3611" spans="15:20" x14ac:dyDescent="0.25">
      <c r="O3611">
        <v>1</v>
      </c>
      <c r="S3611" t="e">
        <v>#DIV/0!</v>
      </c>
      <c r="T3611" t="s">
        <v>82</v>
      </c>
    </row>
    <row r="3612" spans="15:20" x14ac:dyDescent="0.25">
      <c r="O3612">
        <v>1</v>
      </c>
      <c r="S3612" t="e">
        <v>#DIV/0!</v>
      </c>
      <c r="T3612" t="s">
        <v>82</v>
      </c>
    </row>
    <row r="3613" spans="15:20" x14ac:dyDescent="0.25">
      <c r="O3613">
        <v>1</v>
      </c>
      <c r="S3613" t="e">
        <v>#DIV/0!</v>
      </c>
      <c r="T3613" t="s">
        <v>82</v>
      </c>
    </row>
    <row r="3614" spans="15:20" x14ac:dyDescent="0.25">
      <c r="O3614">
        <v>1</v>
      </c>
      <c r="S3614" t="e">
        <v>#DIV/0!</v>
      </c>
      <c r="T3614" t="s">
        <v>82</v>
      </c>
    </row>
    <row r="3615" spans="15:20" x14ac:dyDescent="0.25">
      <c r="O3615">
        <v>1</v>
      </c>
      <c r="S3615" t="e">
        <v>#DIV/0!</v>
      </c>
      <c r="T3615" t="s">
        <v>82</v>
      </c>
    </row>
    <row r="3616" spans="15:20" x14ac:dyDescent="0.25">
      <c r="O3616">
        <v>1</v>
      </c>
      <c r="S3616" t="e">
        <v>#DIV/0!</v>
      </c>
      <c r="T3616" t="s">
        <v>82</v>
      </c>
    </row>
    <row r="3617" spans="15:20" x14ac:dyDescent="0.25">
      <c r="O3617">
        <v>1</v>
      </c>
      <c r="S3617" t="e">
        <v>#DIV/0!</v>
      </c>
      <c r="T3617" t="s">
        <v>82</v>
      </c>
    </row>
    <row r="3618" spans="15:20" x14ac:dyDescent="0.25">
      <c r="O3618">
        <v>1</v>
      </c>
      <c r="S3618" t="e">
        <v>#DIV/0!</v>
      </c>
      <c r="T3618" t="s">
        <v>82</v>
      </c>
    </row>
    <row r="3619" spans="15:20" x14ac:dyDescent="0.25">
      <c r="O3619">
        <v>1</v>
      </c>
      <c r="S3619" t="e">
        <v>#DIV/0!</v>
      </c>
      <c r="T3619" t="s">
        <v>82</v>
      </c>
    </row>
    <row r="3620" spans="15:20" x14ac:dyDescent="0.25">
      <c r="O3620">
        <v>1</v>
      </c>
      <c r="S3620" t="e">
        <v>#DIV/0!</v>
      </c>
      <c r="T3620" t="s">
        <v>82</v>
      </c>
    </row>
    <row r="3621" spans="15:20" x14ac:dyDescent="0.25">
      <c r="O3621">
        <v>1</v>
      </c>
      <c r="S3621" t="e">
        <v>#DIV/0!</v>
      </c>
      <c r="T3621" t="s">
        <v>82</v>
      </c>
    </row>
    <row r="3622" spans="15:20" x14ac:dyDescent="0.25">
      <c r="O3622">
        <v>1</v>
      </c>
      <c r="S3622" t="e">
        <v>#DIV/0!</v>
      </c>
      <c r="T3622" t="s">
        <v>82</v>
      </c>
    </row>
    <row r="3623" spans="15:20" x14ac:dyDescent="0.25">
      <c r="O3623">
        <v>1</v>
      </c>
      <c r="S3623" t="e">
        <v>#DIV/0!</v>
      </c>
      <c r="T3623" t="s">
        <v>82</v>
      </c>
    </row>
    <row r="3624" spans="15:20" x14ac:dyDescent="0.25">
      <c r="O3624">
        <v>1</v>
      </c>
      <c r="S3624" t="e">
        <v>#DIV/0!</v>
      </c>
      <c r="T3624" t="s">
        <v>82</v>
      </c>
    </row>
    <row r="3625" spans="15:20" x14ac:dyDescent="0.25">
      <c r="O3625">
        <v>1</v>
      </c>
      <c r="S3625" t="e">
        <v>#DIV/0!</v>
      </c>
      <c r="T3625" t="s">
        <v>82</v>
      </c>
    </row>
    <row r="3626" spans="15:20" x14ac:dyDescent="0.25">
      <c r="O3626">
        <v>1</v>
      </c>
      <c r="S3626" t="e">
        <v>#DIV/0!</v>
      </c>
      <c r="T3626" t="s">
        <v>82</v>
      </c>
    </row>
    <row r="3627" spans="15:20" x14ac:dyDescent="0.25">
      <c r="O3627">
        <v>1</v>
      </c>
      <c r="S3627" t="e">
        <v>#DIV/0!</v>
      </c>
      <c r="T3627" t="s">
        <v>82</v>
      </c>
    </row>
    <row r="3628" spans="15:20" x14ac:dyDescent="0.25">
      <c r="O3628">
        <v>1</v>
      </c>
      <c r="S3628" t="e">
        <v>#DIV/0!</v>
      </c>
      <c r="T3628" t="s">
        <v>82</v>
      </c>
    </row>
    <row r="3629" spans="15:20" x14ac:dyDescent="0.25">
      <c r="O3629">
        <v>1</v>
      </c>
      <c r="S3629" t="e">
        <v>#DIV/0!</v>
      </c>
      <c r="T3629" t="s">
        <v>82</v>
      </c>
    </row>
    <row r="3630" spans="15:20" x14ac:dyDescent="0.25">
      <c r="O3630">
        <v>1</v>
      </c>
      <c r="S3630" t="e">
        <v>#DIV/0!</v>
      </c>
      <c r="T3630" t="s">
        <v>82</v>
      </c>
    </row>
    <row r="3631" spans="15:20" x14ac:dyDescent="0.25">
      <c r="O3631">
        <v>1</v>
      </c>
      <c r="S3631" t="e">
        <v>#DIV/0!</v>
      </c>
      <c r="T3631" t="s">
        <v>82</v>
      </c>
    </row>
    <row r="3632" spans="15:20" x14ac:dyDescent="0.25">
      <c r="O3632">
        <v>1</v>
      </c>
      <c r="S3632" t="e">
        <v>#DIV/0!</v>
      </c>
      <c r="T3632" t="s">
        <v>82</v>
      </c>
    </row>
    <row r="3633" spans="15:20" x14ac:dyDescent="0.25">
      <c r="O3633">
        <v>1</v>
      </c>
      <c r="S3633" t="e">
        <v>#DIV/0!</v>
      </c>
      <c r="T3633" t="s">
        <v>82</v>
      </c>
    </row>
    <row r="3634" spans="15:20" x14ac:dyDescent="0.25">
      <c r="O3634">
        <v>1</v>
      </c>
      <c r="S3634" t="e">
        <v>#DIV/0!</v>
      </c>
      <c r="T3634" t="s">
        <v>82</v>
      </c>
    </row>
    <row r="3635" spans="15:20" x14ac:dyDescent="0.25">
      <c r="O3635">
        <v>1</v>
      </c>
      <c r="S3635" t="e">
        <v>#DIV/0!</v>
      </c>
      <c r="T3635" t="s">
        <v>82</v>
      </c>
    </row>
    <row r="3636" spans="15:20" x14ac:dyDescent="0.25">
      <c r="O3636">
        <v>1</v>
      </c>
      <c r="S3636" t="e">
        <v>#DIV/0!</v>
      </c>
      <c r="T3636" t="s">
        <v>82</v>
      </c>
    </row>
    <row r="3637" spans="15:20" x14ac:dyDescent="0.25">
      <c r="O3637">
        <v>1</v>
      </c>
      <c r="S3637" t="e">
        <v>#DIV/0!</v>
      </c>
      <c r="T3637" t="s">
        <v>82</v>
      </c>
    </row>
    <row r="3638" spans="15:20" x14ac:dyDescent="0.25">
      <c r="O3638">
        <v>1</v>
      </c>
      <c r="S3638" t="e">
        <v>#DIV/0!</v>
      </c>
      <c r="T3638" t="s">
        <v>82</v>
      </c>
    </row>
    <row r="3639" spans="15:20" x14ac:dyDescent="0.25">
      <c r="O3639">
        <v>1</v>
      </c>
      <c r="S3639" t="e">
        <v>#DIV/0!</v>
      </c>
      <c r="T3639" t="s">
        <v>82</v>
      </c>
    </row>
    <row r="3640" spans="15:20" x14ac:dyDescent="0.25">
      <c r="O3640">
        <v>1</v>
      </c>
      <c r="S3640" t="e">
        <v>#DIV/0!</v>
      </c>
      <c r="T3640" t="s">
        <v>82</v>
      </c>
    </row>
    <row r="3641" spans="15:20" x14ac:dyDescent="0.25">
      <c r="O3641">
        <v>1</v>
      </c>
      <c r="S3641" t="e">
        <v>#DIV/0!</v>
      </c>
      <c r="T3641" t="s">
        <v>82</v>
      </c>
    </row>
    <row r="3642" spans="15:20" x14ac:dyDescent="0.25">
      <c r="O3642">
        <v>1</v>
      </c>
      <c r="S3642" t="e">
        <v>#DIV/0!</v>
      </c>
      <c r="T3642" t="s">
        <v>82</v>
      </c>
    </row>
    <row r="3643" spans="15:20" x14ac:dyDescent="0.25">
      <c r="O3643">
        <v>1</v>
      </c>
      <c r="S3643" t="e">
        <v>#DIV/0!</v>
      </c>
      <c r="T3643" t="s">
        <v>82</v>
      </c>
    </row>
    <row r="3644" spans="15:20" x14ac:dyDescent="0.25">
      <c r="O3644">
        <v>1</v>
      </c>
      <c r="S3644" t="e">
        <v>#DIV/0!</v>
      </c>
      <c r="T3644" t="s">
        <v>82</v>
      </c>
    </row>
    <row r="3645" spans="15:20" x14ac:dyDescent="0.25">
      <c r="O3645">
        <v>1</v>
      </c>
      <c r="S3645" t="e">
        <v>#DIV/0!</v>
      </c>
      <c r="T3645" t="s">
        <v>82</v>
      </c>
    </row>
    <row r="3646" spans="15:20" x14ac:dyDescent="0.25">
      <c r="O3646">
        <v>1</v>
      </c>
      <c r="S3646" t="e">
        <v>#DIV/0!</v>
      </c>
      <c r="T3646" t="s">
        <v>82</v>
      </c>
    </row>
    <row r="3647" spans="15:20" x14ac:dyDescent="0.25">
      <c r="O3647">
        <v>1</v>
      </c>
      <c r="S3647" t="e">
        <v>#DIV/0!</v>
      </c>
      <c r="T3647" t="s">
        <v>82</v>
      </c>
    </row>
    <row r="3648" spans="15:20" x14ac:dyDescent="0.25">
      <c r="O3648">
        <v>1</v>
      </c>
      <c r="S3648" t="e">
        <v>#DIV/0!</v>
      </c>
      <c r="T3648" t="s">
        <v>82</v>
      </c>
    </row>
    <row r="3649" spans="15:20" x14ac:dyDescent="0.25">
      <c r="O3649">
        <v>1</v>
      </c>
      <c r="S3649" t="e">
        <v>#DIV/0!</v>
      </c>
      <c r="T3649" t="s">
        <v>82</v>
      </c>
    </row>
    <row r="3650" spans="15:20" x14ac:dyDescent="0.25">
      <c r="O3650">
        <v>1</v>
      </c>
      <c r="S3650" t="e">
        <v>#DIV/0!</v>
      </c>
      <c r="T3650" t="s">
        <v>82</v>
      </c>
    </row>
    <row r="3651" spans="15:20" x14ac:dyDescent="0.25">
      <c r="O3651">
        <v>1</v>
      </c>
      <c r="S3651" t="e">
        <v>#DIV/0!</v>
      </c>
      <c r="T3651" t="s">
        <v>82</v>
      </c>
    </row>
    <row r="3652" spans="15:20" x14ac:dyDescent="0.25">
      <c r="O3652">
        <v>1</v>
      </c>
      <c r="S3652" t="e">
        <v>#DIV/0!</v>
      </c>
      <c r="T3652" t="s">
        <v>82</v>
      </c>
    </row>
    <row r="3653" spans="15:20" x14ac:dyDescent="0.25">
      <c r="O3653">
        <v>1</v>
      </c>
      <c r="S3653" t="e">
        <v>#DIV/0!</v>
      </c>
      <c r="T3653" t="s">
        <v>82</v>
      </c>
    </row>
    <row r="3654" spans="15:20" x14ac:dyDescent="0.25">
      <c r="O3654">
        <v>1</v>
      </c>
      <c r="S3654" t="e">
        <v>#DIV/0!</v>
      </c>
      <c r="T3654" t="s">
        <v>82</v>
      </c>
    </row>
    <row r="3655" spans="15:20" x14ac:dyDescent="0.25">
      <c r="O3655">
        <v>1</v>
      </c>
      <c r="S3655" t="e">
        <v>#DIV/0!</v>
      </c>
      <c r="T3655" t="s">
        <v>82</v>
      </c>
    </row>
    <row r="3656" spans="15:20" x14ac:dyDescent="0.25">
      <c r="O3656">
        <v>1</v>
      </c>
      <c r="S3656" t="e">
        <v>#DIV/0!</v>
      </c>
      <c r="T3656" t="s">
        <v>82</v>
      </c>
    </row>
    <row r="3657" spans="15:20" x14ac:dyDescent="0.25">
      <c r="O3657">
        <v>1</v>
      </c>
      <c r="S3657" t="e">
        <v>#DIV/0!</v>
      </c>
      <c r="T3657" t="s">
        <v>82</v>
      </c>
    </row>
    <row r="3658" spans="15:20" x14ac:dyDescent="0.25">
      <c r="O3658">
        <v>1</v>
      </c>
      <c r="S3658" t="e">
        <v>#DIV/0!</v>
      </c>
      <c r="T3658" t="s">
        <v>82</v>
      </c>
    </row>
    <row r="3659" spans="15:20" x14ac:dyDescent="0.25">
      <c r="O3659">
        <v>1</v>
      </c>
      <c r="S3659" t="e">
        <v>#DIV/0!</v>
      </c>
      <c r="T3659" t="s">
        <v>82</v>
      </c>
    </row>
    <row r="3660" spans="15:20" x14ac:dyDescent="0.25">
      <c r="O3660">
        <v>1</v>
      </c>
      <c r="S3660" t="e">
        <v>#DIV/0!</v>
      </c>
      <c r="T3660" t="s">
        <v>82</v>
      </c>
    </row>
    <row r="3661" spans="15:20" x14ac:dyDescent="0.25">
      <c r="O3661">
        <v>1</v>
      </c>
      <c r="S3661" t="e">
        <v>#DIV/0!</v>
      </c>
      <c r="T3661" t="s">
        <v>82</v>
      </c>
    </row>
    <row r="3662" spans="15:20" x14ac:dyDescent="0.25">
      <c r="O3662">
        <v>1</v>
      </c>
      <c r="S3662" t="e">
        <v>#DIV/0!</v>
      </c>
      <c r="T3662" t="s">
        <v>82</v>
      </c>
    </row>
    <row r="3663" spans="15:20" x14ac:dyDescent="0.25">
      <c r="O3663">
        <v>1</v>
      </c>
      <c r="S3663" t="e">
        <v>#DIV/0!</v>
      </c>
      <c r="T3663" t="s">
        <v>82</v>
      </c>
    </row>
    <row r="3664" spans="15:20" x14ac:dyDescent="0.25">
      <c r="O3664">
        <v>1</v>
      </c>
      <c r="S3664" t="e">
        <v>#DIV/0!</v>
      </c>
      <c r="T3664" t="s">
        <v>82</v>
      </c>
    </row>
    <row r="3665" spans="15:20" x14ac:dyDescent="0.25">
      <c r="O3665">
        <v>1</v>
      </c>
      <c r="S3665" t="e">
        <v>#DIV/0!</v>
      </c>
      <c r="T3665" t="s">
        <v>82</v>
      </c>
    </row>
    <row r="3666" spans="15:20" x14ac:dyDescent="0.25">
      <c r="O3666">
        <v>1</v>
      </c>
      <c r="S3666" t="e">
        <v>#DIV/0!</v>
      </c>
      <c r="T3666" t="s">
        <v>82</v>
      </c>
    </row>
    <row r="3667" spans="15:20" x14ac:dyDescent="0.25">
      <c r="O3667">
        <v>1</v>
      </c>
      <c r="S3667" t="e">
        <v>#DIV/0!</v>
      </c>
      <c r="T3667" t="s">
        <v>82</v>
      </c>
    </row>
    <row r="3668" spans="15:20" x14ac:dyDescent="0.25">
      <c r="O3668">
        <v>1</v>
      </c>
      <c r="S3668" t="e">
        <v>#DIV/0!</v>
      </c>
      <c r="T3668" t="s">
        <v>82</v>
      </c>
    </row>
    <row r="3669" spans="15:20" x14ac:dyDescent="0.25">
      <c r="O3669">
        <v>1</v>
      </c>
      <c r="S3669" t="e">
        <v>#DIV/0!</v>
      </c>
      <c r="T3669" t="s">
        <v>82</v>
      </c>
    </row>
    <row r="3670" spans="15:20" x14ac:dyDescent="0.25">
      <c r="O3670">
        <v>1</v>
      </c>
      <c r="S3670" t="e">
        <v>#DIV/0!</v>
      </c>
      <c r="T3670" t="s">
        <v>82</v>
      </c>
    </row>
    <row r="3671" spans="15:20" x14ac:dyDescent="0.25">
      <c r="O3671">
        <v>1</v>
      </c>
      <c r="S3671" t="e">
        <v>#DIV/0!</v>
      </c>
      <c r="T3671" t="s">
        <v>82</v>
      </c>
    </row>
    <row r="3672" spans="15:20" x14ac:dyDescent="0.25">
      <c r="O3672">
        <v>1</v>
      </c>
      <c r="S3672" t="e">
        <v>#DIV/0!</v>
      </c>
      <c r="T3672" t="s">
        <v>82</v>
      </c>
    </row>
    <row r="3673" spans="15:20" x14ac:dyDescent="0.25">
      <c r="O3673">
        <v>1</v>
      </c>
      <c r="S3673" t="e">
        <v>#DIV/0!</v>
      </c>
      <c r="T3673" t="s">
        <v>82</v>
      </c>
    </row>
    <row r="3674" spans="15:20" x14ac:dyDescent="0.25">
      <c r="O3674">
        <v>1</v>
      </c>
      <c r="S3674" t="e">
        <v>#DIV/0!</v>
      </c>
      <c r="T3674" t="s">
        <v>82</v>
      </c>
    </row>
    <row r="3675" spans="15:20" x14ac:dyDescent="0.25">
      <c r="O3675">
        <v>1</v>
      </c>
      <c r="S3675" t="e">
        <v>#DIV/0!</v>
      </c>
      <c r="T3675" t="s">
        <v>82</v>
      </c>
    </row>
    <row r="3676" spans="15:20" x14ac:dyDescent="0.25">
      <c r="O3676">
        <v>1</v>
      </c>
      <c r="S3676" t="e">
        <v>#DIV/0!</v>
      </c>
      <c r="T3676" t="s">
        <v>82</v>
      </c>
    </row>
    <row r="3677" spans="15:20" x14ac:dyDescent="0.25">
      <c r="O3677">
        <v>1</v>
      </c>
      <c r="S3677" t="e">
        <v>#DIV/0!</v>
      </c>
      <c r="T3677" t="s">
        <v>82</v>
      </c>
    </row>
    <row r="3678" spans="15:20" x14ac:dyDescent="0.25">
      <c r="O3678">
        <v>1</v>
      </c>
      <c r="S3678" t="e">
        <v>#DIV/0!</v>
      </c>
      <c r="T3678" t="s">
        <v>82</v>
      </c>
    </row>
    <row r="3679" spans="15:20" x14ac:dyDescent="0.25">
      <c r="O3679">
        <v>1</v>
      </c>
      <c r="S3679" t="e">
        <v>#DIV/0!</v>
      </c>
      <c r="T3679" t="s">
        <v>82</v>
      </c>
    </row>
    <row r="3680" spans="15:20" x14ac:dyDescent="0.25">
      <c r="O3680">
        <v>1</v>
      </c>
      <c r="S3680" t="e">
        <v>#DIV/0!</v>
      </c>
      <c r="T3680" t="s">
        <v>82</v>
      </c>
    </row>
    <row r="3681" spans="15:20" x14ac:dyDescent="0.25">
      <c r="O3681">
        <v>1</v>
      </c>
      <c r="S3681" t="e">
        <v>#DIV/0!</v>
      </c>
      <c r="T3681" t="s">
        <v>82</v>
      </c>
    </row>
    <row r="3682" spans="15:20" x14ac:dyDescent="0.25">
      <c r="O3682">
        <v>1</v>
      </c>
      <c r="S3682" t="e">
        <v>#DIV/0!</v>
      </c>
      <c r="T3682" t="s">
        <v>82</v>
      </c>
    </row>
    <row r="3683" spans="15:20" x14ac:dyDescent="0.25">
      <c r="O3683">
        <v>1</v>
      </c>
      <c r="S3683" t="e">
        <v>#DIV/0!</v>
      </c>
      <c r="T3683" t="s">
        <v>82</v>
      </c>
    </row>
    <row r="3684" spans="15:20" x14ac:dyDescent="0.25">
      <c r="O3684">
        <v>1</v>
      </c>
      <c r="S3684" t="e">
        <v>#DIV/0!</v>
      </c>
      <c r="T3684" t="s">
        <v>82</v>
      </c>
    </row>
    <row r="3685" spans="15:20" x14ac:dyDescent="0.25">
      <c r="O3685">
        <v>1</v>
      </c>
      <c r="S3685" t="e">
        <v>#DIV/0!</v>
      </c>
      <c r="T3685" t="s">
        <v>82</v>
      </c>
    </row>
    <row r="3686" spans="15:20" x14ac:dyDescent="0.25">
      <c r="O3686">
        <v>1</v>
      </c>
      <c r="S3686" t="e">
        <v>#DIV/0!</v>
      </c>
      <c r="T3686" t="s">
        <v>82</v>
      </c>
    </row>
    <row r="3687" spans="15:20" x14ac:dyDescent="0.25">
      <c r="O3687">
        <v>1</v>
      </c>
      <c r="S3687" t="e">
        <v>#DIV/0!</v>
      </c>
      <c r="T3687" t="s">
        <v>82</v>
      </c>
    </row>
    <row r="3688" spans="15:20" x14ac:dyDescent="0.25">
      <c r="O3688">
        <v>1</v>
      </c>
      <c r="S3688" t="e">
        <v>#DIV/0!</v>
      </c>
      <c r="T3688" t="s">
        <v>82</v>
      </c>
    </row>
    <row r="3689" spans="15:20" x14ac:dyDescent="0.25">
      <c r="O3689">
        <v>1</v>
      </c>
      <c r="S3689" t="e">
        <v>#DIV/0!</v>
      </c>
      <c r="T3689" t="s">
        <v>82</v>
      </c>
    </row>
    <row r="3690" spans="15:20" x14ac:dyDescent="0.25">
      <c r="O3690">
        <v>1</v>
      </c>
      <c r="S3690" t="e">
        <v>#DIV/0!</v>
      </c>
      <c r="T3690" t="s">
        <v>82</v>
      </c>
    </row>
    <row r="3691" spans="15:20" x14ac:dyDescent="0.25">
      <c r="O3691">
        <v>1</v>
      </c>
      <c r="S3691" t="e">
        <v>#DIV/0!</v>
      </c>
      <c r="T3691" t="s">
        <v>82</v>
      </c>
    </row>
    <row r="3692" spans="15:20" x14ac:dyDescent="0.25">
      <c r="O3692">
        <v>1</v>
      </c>
      <c r="S3692" t="e">
        <v>#DIV/0!</v>
      </c>
      <c r="T3692" t="s">
        <v>82</v>
      </c>
    </row>
    <row r="3693" spans="15:20" x14ac:dyDescent="0.25">
      <c r="O3693">
        <v>1</v>
      </c>
      <c r="S3693" t="e">
        <v>#DIV/0!</v>
      </c>
      <c r="T3693" t="s">
        <v>82</v>
      </c>
    </row>
    <row r="3694" spans="15:20" x14ac:dyDescent="0.25">
      <c r="O3694">
        <v>1</v>
      </c>
      <c r="S3694" t="e">
        <v>#DIV/0!</v>
      </c>
      <c r="T3694" t="s">
        <v>82</v>
      </c>
    </row>
    <row r="3695" spans="15:20" x14ac:dyDescent="0.25">
      <c r="O3695">
        <v>1</v>
      </c>
      <c r="S3695" t="e">
        <v>#DIV/0!</v>
      </c>
      <c r="T3695" t="s">
        <v>82</v>
      </c>
    </row>
    <row r="3696" spans="15:20" x14ac:dyDescent="0.25">
      <c r="O3696">
        <v>1</v>
      </c>
      <c r="S3696" t="e">
        <v>#DIV/0!</v>
      </c>
      <c r="T3696" t="s">
        <v>82</v>
      </c>
    </row>
    <row r="3697" spans="15:20" x14ac:dyDescent="0.25">
      <c r="O3697">
        <v>1</v>
      </c>
      <c r="S3697" t="e">
        <v>#DIV/0!</v>
      </c>
      <c r="T3697" t="s">
        <v>82</v>
      </c>
    </row>
    <row r="3698" spans="15:20" x14ac:dyDescent="0.25">
      <c r="O3698">
        <v>1</v>
      </c>
      <c r="S3698" t="e">
        <v>#DIV/0!</v>
      </c>
      <c r="T3698" t="s">
        <v>82</v>
      </c>
    </row>
    <row r="3699" spans="15:20" x14ac:dyDescent="0.25">
      <c r="O3699">
        <v>1</v>
      </c>
      <c r="S3699" t="e">
        <v>#DIV/0!</v>
      </c>
      <c r="T3699" t="s">
        <v>82</v>
      </c>
    </row>
    <row r="3700" spans="15:20" x14ac:dyDescent="0.25">
      <c r="O3700">
        <v>1</v>
      </c>
      <c r="S3700" t="e">
        <v>#DIV/0!</v>
      </c>
      <c r="T3700" t="s">
        <v>82</v>
      </c>
    </row>
    <row r="3701" spans="15:20" x14ac:dyDescent="0.25">
      <c r="O3701">
        <v>1</v>
      </c>
      <c r="S3701" t="e">
        <v>#DIV/0!</v>
      </c>
      <c r="T3701" t="s">
        <v>82</v>
      </c>
    </row>
    <row r="3702" spans="15:20" x14ac:dyDescent="0.25">
      <c r="O3702">
        <v>1</v>
      </c>
      <c r="S3702" t="e">
        <v>#DIV/0!</v>
      </c>
      <c r="T3702" t="s">
        <v>82</v>
      </c>
    </row>
    <row r="3703" spans="15:20" x14ac:dyDescent="0.25">
      <c r="O3703">
        <v>1</v>
      </c>
      <c r="S3703" t="e">
        <v>#DIV/0!</v>
      </c>
      <c r="T3703" t="s">
        <v>82</v>
      </c>
    </row>
    <row r="3704" spans="15:20" x14ac:dyDescent="0.25">
      <c r="O3704">
        <v>1</v>
      </c>
      <c r="S3704" t="e">
        <v>#DIV/0!</v>
      </c>
      <c r="T3704" t="s">
        <v>82</v>
      </c>
    </row>
    <row r="3705" spans="15:20" x14ac:dyDescent="0.25">
      <c r="O3705">
        <v>1</v>
      </c>
      <c r="S3705" t="e">
        <v>#DIV/0!</v>
      </c>
      <c r="T3705" t="s">
        <v>82</v>
      </c>
    </row>
    <row r="3706" spans="15:20" x14ac:dyDescent="0.25">
      <c r="O3706">
        <v>1</v>
      </c>
      <c r="S3706" t="e">
        <v>#DIV/0!</v>
      </c>
      <c r="T3706" t="s">
        <v>82</v>
      </c>
    </row>
    <row r="3707" spans="15:20" x14ac:dyDescent="0.25">
      <c r="O3707">
        <v>1</v>
      </c>
      <c r="S3707" t="e">
        <v>#DIV/0!</v>
      </c>
      <c r="T3707" t="s">
        <v>82</v>
      </c>
    </row>
    <row r="3708" spans="15:20" x14ac:dyDescent="0.25">
      <c r="O3708">
        <v>1</v>
      </c>
      <c r="S3708" t="e">
        <v>#DIV/0!</v>
      </c>
      <c r="T3708" t="s">
        <v>82</v>
      </c>
    </row>
    <row r="3709" spans="15:20" x14ac:dyDescent="0.25">
      <c r="O3709">
        <v>1</v>
      </c>
      <c r="S3709" t="e">
        <v>#DIV/0!</v>
      </c>
      <c r="T3709" t="s">
        <v>82</v>
      </c>
    </row>
    <row r="3710" spans="15:20" x14ac:dyDescent="0.25">
      <c r="O3710">
        <v>1</v>
      </c>
      <c r="S3710" t="e">
        <v>#DIV/0!</v>
      </c>
      <c r="T3710" t="s">
        <v>82</v>
      </c>
    </row>
    <row r="3711" spans="15:20" x14ac:dyDescent="0.25">
      <c r="O3711">
        <v>1</v>
      </c>
      <c r="S3711" t="e">
        <v>#DIV/0!</v>
      </c>
      <c r="T3711" t="s">
        <v>82</v>
      </c>
    </row>
    <row r="3712" spans="15:20" x14ac:dyDescent="0.25">
      <c r="O3712">
        <v>1</v>
      </c>
      <c r="S3712" t="e">
        <v>#DIV/0!</v>
      </c>
      <c r="T3712" t="s">
        <v>82</v>
      </c>
    </row>
    <row r="3713" spans="15:20" x14ac:dyDescent="0.25">
      <c r="O3713">
        <v>1</v>
      </c>
      <c r="S3713" t="e">
        <v>#DIV/0!</v>
      </c>
      <c r="T3713" t="s">
        <v>82</v>
      </c>
    </row>
    <row r="3714" spans="15:20" x14ac:dyDescent="0.25">
      <c r="O3714">
        <v>1</v>
      </c>
      <c r="S3714" t="e">
        <v>#DIV/0!</v>
      </c>
      <c r="T3714" t="s">
        <v>82</v>
      </c>
    </row>
    <row r="3715" spans="15:20" x14ac:dyDescent="0.25">
      <c r="O3715">
        <v>1</v>
      </c>
      <c r="S3715" t="e">
        <v>#DIV/0!</v>
      </c>
      <c r="T3715" t="s">
        <v>82</v>
      </c>
    </row>
    <row r="3716" spans="15:20" x14ac:dyDescent="0.25">
      <c r="O3716">
        <v>1</v>
      </c>
      <c r="S3716" t="e">
        <v>#DIV/0!</v>
      </c>
      <c r="T3716" t="s">
        <v>82</v>
      </c>
    </row>
    <row r="3717" spans="15:20" x14ac:dyDescent="0.25">
      <c r="O3717">
        <v>1</v>
      </c>
      <c r="S3717" t="e">
        <v>#DIV/0!</v>
      </c>
      <c r="T3717" t="s">
        <v>82</v>
      </c>
    </row>
    <row r="3718" spans="15:20" x14ac:dyDescent="0.25">
      <c r="O3718">
        <v>1</v>
      </c>
      <c r="S3718" t="e">
        <v>#DIV/0!</v>
      </c>
      <c r="T3718" t="s">
        <v>82</v>
      </c>
    </row>
    <row r="3719" spans="15:20" x14ac:dyDescent="0.25">
      <c r="O3719">
        <v>1</v>
      </c>
      <c r="S3719" t="e">
        <v>#DIV/0!</v>
      </c>
      <c r="T3719" t="s">
        <v>82</v>
      </c>
    </row>
    <row r="3720" spans="15:20" x14ac:dyDescent="0.25">
      <c r="O3720">
        <v>1</v>
      </c>
      <c r="S3720" t="e">
        <v>#DIV/0!</v>
      </c>
      <c r="T3720" t="s">
        <v>82</v>
      </c>
    </row>
    <row r="3721" spans="15:20" x14ac:dyDescent="0.25">
      <c r="O3721">
        <v>1</v>
      </c>
      <c r="S3721" t="e">
        <v>#DIV/0!</v>
      </c>
      <c r="T3721" t="s">
        <v>82</v>
      </c>
    </row>
    <row r="3722" spans="15:20" x14ac:dyDescent="0.25">
      <c r="O3722">
        <v>1</v>
      </c>
      <c r="S3722" t="e">
        <v>#DIV/0!</v>
      </c>
      <c r="T3722" t="s">
        <v>82</v>
      </c>
    </row>
    <row r="3723" spans="15:20" x14ac:dyDescent="0.25">
      <c r="O3723">
        <v>1</v>
      </c>
      <c r="S3723" t="e">
        <v>#DIV/0!</v>
      </c>
      <c r="T3723" t="s">
        <v>82</v>
      </c>
    </row>
    <row r="3724" spans="15:20" x14ac:dyDescent="0.25">
      <c r="O3724">
        <v>1</v>
      </c>
      <c r="S3724" t="e">
        <v>#DIV/0!</v>
      </c>
      <c r="T3724" t="s">
        <v>82</v>
      </c>
    </row>
    <row r="3725" spans="15:20" x14ac:dyDescent="0.25">
      <c r="O3725">
        <v>1</v>
      </c>
      <c r="S3725" t="e">
        <v>#DIV/0!</v>
      </c>
      <c r="T3725" t="s">
        <v>82</v>
      </c>
    </row>
    <row r="3726" spans="15:20" x14ac:dyDescent="0.25">
      <c r="O3726">
        <v>1</v>
      </c>
      <c r="S3726" t="e">
        <v>#DIV/0!</v>
      </c>
      <c r="T3726" t="s">
        <v>82</v>
      </c>
    </row>
    <row r="3727" spans="15:20" x14ac:dyDescent="0.25">
      <c r="O3727">
        <v>1</v>
      </c>
      <c r="S3727" t="e">
        <v>#DIV/0!</v>
      </c>
      <c r="T3727" t="s">
        <v>82</v>
      </c>
    </row>
    <row r="3728" spans="15:20" x14ac:dyDescent="0.25">
      <c r="O3728">
        <v>1</v>
      </c>
      <c r="S3728" t="e">
        <v>#DIV/0!</v>
      </c>
      <c r="T3728" t="s">
        <v>82</v>
      </c>
    </row>
    <row r="3729" spans="15:20" x14ac:dyDescent="0.25">
      <c r="O3729">
        <v>1</v>
      </c>
      <c r="S3729" t="e">
        <v>#DIV/0!</v>
      </c>
      <c r="T3729" t="s">
        <v>82</v>
      </c>
    </row>
    <row r="3730" spans="15:20" x14ac:dyDescent="0.25">
      <c r="O3730">
        <v>1</v>
      </c>
      <c r="S3730" t="e">
        <v>#DIV/0!</v>
      </c>
      <c r="T3730" t="s">
        <v>82</v>
      </c>
    </row>
    <row r="3731" spans="15:20" x14ac:dyDescent="0.25">
      <c r="O3731">
        <v>1</v>
      </c>
      <c r="S3731" t="e">
        <v>#DIV/0!</v>
      </c>
      <c r="T3731" t="s">
        <v>82</v>
      </c>
    </row>
    <row r="3732" spans="15:20" x14ac:dyDescent="0.25">
      <c r="O3732">
        <v>1</v>
      </c>
      <c r="S3732" t="e">
        <v>#DIV/0!</v>
      </c>
      <c r="T3732" t="s">
        <v>82</v>
      </c>
    </row>
    <row r="3733" spans="15:20" x14ac:dyDescent="0.25">
      <c r="O3733">
        <v>1</v>
      </c>
      <c r="S3733" t="e">
        <v>#DIV/0!</v>
      </c>
      <c r="T3733" t="s">
        <v>82</v>
      </c>
    </row>
    <row r="3734" spans="15:20" x14ac:dyDescent="0.25">
      <c r="O3734">
        <v>1</v>
      </c>
      <c r="S3734" t="e">
        <v>#DIV/0!</v>
      </c>
      <c r="T3734" t="s">
        <v>82</v>
      </c>
    </row>
    <row r="3735" spans="15:20" x14ac:dyDescent="0.25">
      <c r="O3735">
        <v>1</v>
      </c>
      <c r="S3735" t="e">
        <v>#DIV/0!</v>
      </c>
      <c r="T3735" t="s">
        <v>82</v>
      </c>
    </row>
    <row r="3736" spans="15:20" x14ac:dyDescent="0.25">
      <c r="O3736">
        <v>1</v>
      </c>
      <c r="S3736" t="e">
        <v>#DIV/0!</v>
      </c>
      <c r="T3736" t="s">
        <v>82</v>
      </c>
    </row>
    <row r="3737" spans="15:20" x14ac:dyDescent="0.25">
      <c r="O3737">
        <v>1</v>
      </c>
      <c r="S3737" t="e">
        <v>#DIV/0!</v>
      </c>
      <c r="T3737" t="s">
        <v>82</v>
      </c>
    </row>
    <row r="3738" spans="15:20" x14ac:dyDescent="0.25">
      <c r="O3738">
        <v>1</v>
      </c>
      <c r="S3738" t="e">
        <v>#DIV/0!</v>
      </c>
      <c r="T3738" t="s">
        <v>82</v>
      </c>
    </row>
    <row r="3739" spans="15:20" x14ac:dyDescent="0.25">
      <c r="O3739">
        <v>1</v>
      </c>
      <c r="S3739" t="e">
        <v>#DIV/0!</v>
      </c>
      <c r="T3739" t="s">
        <v>82</v>
      </c>
    </row>
    <row r="3740" spans="15:20" x14ac:dyDescent="0.25">
      <c r="O3740">
        <v>1</v>
      </c>
      <c r="S3740" t="e">
        <v>#DIV/0!</v>
      </c>
      <c r="T3740" t="s">
        <v>82</v>
      </c>
    </row>
    <row r="3741" spans="15:20" x14ac:dyDescent="0.25">
      <c r="O3741">
        <v>1</v>
      </c>
      <c r="S3741" t="e">
        <v>#DIV/0!</v>
      </c>
      <c r="T3741" t="s">
        <v>82</v>
      </c>
    </row>
    <row r="3742" spans="15:20" x14ac:dyDescent="0.25">
      <c r="O3742">
        <v>1</v>
      </c>
      <c r="S3742" t="e">
        <v>#DIV/0!</v>
      </c>
      <c r="T3742" t="s">
        <v>82</v>
      </c>
    </row>
    <row r="3743" spans="15:20" x14ac:dyDescent="0.25">
      <c r="O3743">
        <v>1</v>
      </c>
      <c r="S3743" t="e">
        <v>#DIV/0!</v>
      </c>
      <c r="T3743" t="s">
        <v>82</v>
      </c>
    </row>
    <row r="3744" spans="15:20" x14ac:dyDescent="0.25">
      <c r="O3744">
        <v>1</v>
      </c>
      <c r="S3744" t="e">
        <v>#DIV/0!</v>
      </c>
      <c r="T3744" t="s">
        <v>82</v>
      </c>
    </row>
    <row r="3745" spans="15:20" x14ac:dyDescent="0.25">
      <c r="O3745">
        <v>1</v>
      </c>
      <c r="S3745" t="e">
        <v>#DIV/0!</v>
      </c>
      <c r="T3745" t="s">
        <v>82</v>
      </c>
    </row>
    <row r="3746" spans="15:20" x14ac:dyDescent="0.25">
      <c r="O3746">
        <v>1</v>
      </c>
      <c r="S3746" t="e">
        <v>#DIV/0!</v>
      </c>
      <c r="T3746" t="s">
        <v>82</v>
      </c>
    </row>
    <row r="3747" spans="15:20" x14ac:dyDescent="0.25">
      <c r="O3747">
        <v>1</v>
      </c>
      <c r="S3747" t="e">
        <v>#DIV/0!</v>
      </c>
      <c r="T3747" t="s">
        <v>82</v>
      </c>
    </row>
    <row r="3748" spans="15:20" x14ac:dyDescent="0.25">
      <c r="O3748">
        <v>1</v>
      </c>
      <c r="S3748" t="e">
        <v>#DIV/0!</v>
      </c>
      <c r="T3748" t="s">
        <v>82</v>
      </c>
    </row>
    <row r="3749" spans="15:20" x14ac:dyDescent="0.25">
      <c r="O3749">
        <v>1</v>
      </c>
      <c r="S3749" t="e">
        <v>#DIV/0!</v>
      </c>
      <c r="T3749" t="s">
        <v>82</v>
      </c>
    </row>
    <row r="3750" spans="15:20" x14ac:dyDescent="0.25">
      <c r="O3750">
        <v>1</v>
      </c>
      <c r="S3750" t="e">
        <v>#DIV/0!</v>
      </c>
      <c r="T3750" t="s">
        <v>82</v>
      </c>
    </row>
    <row r="3751" spans="15:20" x14ac:dyDescent="0.25">
      <c r="O3751">
        <v>1</v>
      </c>
      <c r="S3751" t="e">
        <v>#DIV/0!</v>
      </c>
      <c r="T3751" t="s">
        <v>82</v>
      </c>
    </row>
    <row r="3752" spans="15:20" x14ac:dyDescent="0.25">
      <c r="O3752">
        <v>1</v>
      </c>
      <c r="S3752" t="e">
        <v>#DIV/0!</v>
      </c>
      <c r="T3752" t="s">
        <v>82</v>
      </c>
    </row>
    <row r="3753" spans="15:20" x14ac:dyDescent="0.25">
      <c r="O3753">
        <v>1</v>
      </c>
      <c r="S3753" t="e">
        <v>#DIV/0!</v>
      </c>
      <c r="T3753" t="s">
        <v>82</v>
      </c>
    </row>
    <row r="3754" spans="15:20" x14ac:dyDescent="0.25">
      <c r="O3754">
        <v>1</v>
      </c>
      <c r="S3754" t="e">
        <v>#DIV/0!</v>
      </c>
      <c r="T3754" t="s">
        <v>82</v>
      </c>
    </row>
    <row r="3755" spans="15:20" x14ac:dyDescent="0.25">
      <c r="O3755">
        <v>1</v>
      </c>
      <c r="S3755" t="e">
        <v>#DIV/0!</v>
      </c>
      <c r="T3755" t="s">
        <v>82</v>
      </c>
    </row>
    <row r="3756" spans="15:20" x14ac:dyDescent="0.25">
      <c r="O3756">
        <v>1</v>
      </c>
      <c r="S3756" t="e">
        <v>#DIV/0!</v>
      </c>
      <c r="T3756" t="s">
        <v>82</v>
      </c>
    </row>
    <row r="3757" spans="15:20" x14ac:dyDescent="0.25">
      <c r="O3757">
        <v>1</v>
      </c>
      <c r="S3757" t="e">
        <v>#DIV/0!</v>
      </c>
      <c r="T3757" t="s">
        <v>82</v>
      </c>
    </row>
    <row r="3758" spans="15:20" x14ac:dyDescent="0.25">
      <c r="O3758">
        <v>1</v>
      </c>
      <c r="S3758" t="e">
        <v>#DIV/0!</v>
      </c>
      <c r="T3758" t="s">
        <v>82</v>
      </c>
    </row>
    <row r="3759" spans="15:20" x14ac:dyDescent="0.25">
      <c r="O3759">
        <v>1</v>
      </c>
      <c r="S3759" t="e">
        <v>#DIV/0!</v>
      </c>
      <c r="T3759" t="s">
        <v>82</v>
      </c>
    </row>
    <row r="3760" spans="15:20" x14ac:dyDescent="0.25">
      <c r="O3760">
        <v>1</v>
      </c>
      <c r="S3760" t="e">
        <v>#DIV/0!</v>
      </c>
      <c r="T3760" t="s">
        <v>82</v>
      </c>
    </row>
    <row r="3761" spans="15:20" x14ac:dyDescent="0.25">
      <c r="O3761">
        <v>1</v>
      </c>
      <c r="S3761" t="e">
        <v>#DIV/0!</v>
      </c>
      <c r="T3761" t="s">
        <v>82</v>
      </c>
    </row>
    <row r="3762" spans="15:20" x14ac:dyDescent="0.25">
      <c r="O3762">
        <v>1</v>
      </c>
      <c r="S3762" t="e">
        <v>#DIV/0!</v>
      </c>
      <c r="T3762" t="s">
        <v>82</v>
      </c>
    </row>
    <row r="3763" spans="15:20" x14ac:dyDescent="0.25">
      <c r="O3763">
        <v>1</v>
      </c>
      <c r="S3763" t="e">
        <v>#DIV/0!</v>
      </c>
      <c r="T3763" t="s">
        <v>82</v>
      </c>
    </row>
    <row r="3764" spans="15:20" x14ac:dyDescent="0.25">
      <c r="O3764">
        <v>1</v>
      </c>
      <c r="S3764" t="e">
        <v>#DIV/0!</v>
      </c>
      <c r="T3764" t="s">
        <v>82</v>
      </c>
    </row>
    <row r="3765" spans="15:20" x14ac:dyDescent="0.25">
      <c r="O3765">
        <v>1</v>
      </c>
      <c r="S3765" t="e">
        <v>#DIV/0!</v>
      </c>
      <c r="T3765" t="s">
        <v>82</v>
      </c>
    </row>
    <row r="3766" spans="15:20" x14ac:dyDescent="0.25">
      <c r="O3766">
        <v>1</v>
      </c>
      <c r="S3766" t="e">
        <v>#DIV/0!</v>
      </c>
      <c r="T3766" t="s">
        <v>82</v>
      </c>
    </row>
    <row r="3767" spans="15:20" x14ac:dyDescent="0.25">
      <c r="O3767">
        <v>1</v>
      </c>
      <c r="S3767" t="e">
        <v>#DIV/0!</v>
      </c>
      <c r="T3767" t="s">
        <v>82</v>
      </c>
    </row>
    <row r="3768" spans="15:20" x14ac:dyDescent="0.25">
      <c r="O3768">
        <v>1</v>
      </c>
      <c r="S3768" t="e">
        <v>#DIV/0!</v>
      </c>
      <c r="T3768" t="s">
        <v>82</v>
      </c>
    </row>
    <row r="3769" spans="15:20" x14ac:dyDescent="0.25">
      <c r="O3769">
        <v>1</v>
      </c>
      <c r="S3769" t="e">
        <v>#DIV/0!</v>
      </c>
      <c r="T3769" t="s">
        <v>82</v>
      </c>
    </row>
    <row r="3770" spans="15:20" x14ac:dyDescent="0.25">
      <c r="O3770">
        <v>1</v>
      </c>
      <c r="S3770" t="e">
        <v>#DIV/0!</v>
      </c>
      <c r="T3770" t="s">
        <v>82</v>
      </c>
    </row>
    <row r="3771" spans="15:20" x14ac:dyDescent="0.25">
      <c r="O3771">
        <v>1</v>
      </c>
      <c r="S3771" t="e">
        <v>#DIV/0!</v>
      </c>
      <c r="T3771" t="s">
        <v>82</v>
      </c>
    </row>
    <row r="3772" spans="15:20" x14ac:dyDescent="0.25">
      <c r="O3772">
        <v>1</v>
      </c>
      <c r="S3772" t="e">
        <v>#DIV/0!</v>
      </c>
      <c r="T3772" t="s">
        <v>82</v>
      </c>
    </row>
    <row r="3773" spans="15:20" x14ac:dyDescent="0.25">
      <c r="O3773">
        <v>1</v>
      </c>
      <c r="S3773" t="e">
        <v>#DIV/0!</v>
      </c>
      <c r="T3773" t="s">
        <v>82</v>
      </c>
    </row>
    <row r="3774" spans="15:20" x14ac:dyDescent="0.25">
      <c r="O3774">
        <v>1</v>
      </c>
      <c r="S3774" t="e">
        <v>#DIV/0!</v>
      </c>
      <c r="T3774" t="s">
        <v>82</v>
      </c>
    </row>
    <row r="3775" spans="15:20" x14ac:dyDescent="0.25">
      <c r="O3775">
        <v>1</v>
      </c>
      <c r="S3775" t="e">
        <v>#DIV/0!</v>
      </c>
      <c r="T3775" t="s">
        <v>82</v>
      </c>
    </row>
    <row r="3776" spans="15:20" x14ac:dyDescent="0.25">
      <c r="O3776">
        <v>1</v>
      </c>
      <c r="S3776" t="e">
        <v>#DIV/0!</v>
      </c>
      <c r="T3776" t="s">
        <v>82</v>
      </c>
    </row>
    <row r="3777" spans="15:20" x14ac:dyDescent="0.25">
      <c r="O3777">
        <v>1</v>
      </c>
      <c r="S3777" t="e">
        <v>#DIV/0!</v>
      </c>
      <c r="T3777" t="s">
        <v>82</v>
      </c>
    </row>
    <row r="3778" spans="15:20" x14ac:dyDescent="0.25">
      <c r="O3778">
        <v>1</v>
      </c>
      <c r="S3778" t="e">
        <v>#DIV/0!</v>
      </c>
      <c r="T3778" t="s">
        <v>82</v>
      </c>
    </row>
    <row r="3779" spans="15:20" x14ac:dyDescent="0.25">
      <c r="O3779">
        <v>1</v>
      </c>
      <c r="S3779" t="e">
        <v>#DIV/0!</v>
      </c>
      <c r="T3779" t="s">
        <v>82</v>
      </c>
    </row>
    <row r="3780" spans="15:20" x14ac:dyDescent="0.25">
      <c r="O3780">
        <v>1</v>
      </c>
      <c r="S3780" t="e">
        <v>#DIV/0!</v>
      </c>
      <c r="T3780" t="s">
        <v>82</v>
      </c>
    </row>
    <row r="3781" spans="15:20" x14ac:dyDescent="0.25">
      <c r="O3781">
        <v>1</v>
      </c>
      <c r="S3781" t="e">
        <v>#DIV/0!</v>
      </c>
      <c r="T3781" t="s">
        <v>82</v>
      </c>
    </row>
    <row r="3782" spans="15:20" x14ac:dyDescent="0.25">
      <c r="O3782">
        <v>1</v>
      </c>
      <c r="S3782" t="e">
        <v>#DIV/0!</v>
      </c>
      <c r="T3782" t="s">
        <v>82</v>
      </c>
    </row>
    <row r="3783" spans="15:20" x14ac:dyDescent="0.25">
      <c r="O3783">
        <v>1</v>
      </c>
      <c r="S3783" t="e">
        <v>#DIV/0!</v>
      </c>
      <c r="T3783" t="s">
        <v>82</v>
      </c>
    </row>
    <row r="3784" spans="15:20" x14ac:dyDescent="0.25">
      <c r="O3784">
        <v>1</v>
      </c>
      <c r="S3784" t="e">
        <v>#DIV/0!</v>
      </c>
      <c r="T3784" t="s">
        <v>82</v>
      </c>
    </row>
    <row r="3785" spans="15:20" x14ac:dyDescent="0.25">
      <c r="O3785">
        <v>1</v>
      </c>
      <c r="S3785" t="e">
        <v>#DIV/0!</v>
      </c>
      <c r="T3785" t="s">
        <v>82</v>
      </c>
    </row>
    <row r="3786" spans="15:20" x14ac:dyDescent="0.25">
      <c r="O3786">
        <v>1</v>
      </c>
      <c r="S3786" t="e">
        <v>#DIV/0!</v>
      </c>
      <c r="T3786" t="s">
        <v>82</v>
      </c>
    </row>
    <row r="3787" spans="15:20" x14ac:dyDescent="0.25">
      <c r="O3787">
        <v>1</v>
      </c>
      <c r="S3787" t="e">
        <v>#DIV/0!</v>
      </c>
      <c r="T3787" t="s">
        <v>82</v>
      </c>
    </row>
    <row r="3788" spans="15:20" x14ac:dyDescent="0.25">
      <c r="O3788">
        <v>1</v>
      </c>
      <c r="S3788" t="e">
        <v>#DIV/0!</v>
      </c>
      <c r="T3788" t="s">
        <v>82</v>
      </c>
    </row>
    <row r="3789" spans="15:20" x14ac:dyDescent="0.25">
      <c r="O3789">
        <v>1</v>
      </c>
      <c r="S3789" t="e">
        <v>#DIV/0!</v>
      </c>
      <c r="T3789" t="s">
        <v>82</v>
      </c>
    </row>
    <row r="3790" spans="15:20" x14ac:dyDescent="0.25">
      <c r="O3790">
        <v>1</v>
      </c>
      <c r="S3790" t="e">
        <v>#DIV/0!</v>
      </c>
      <c r="T3790" t="s">
        <v>82</v>
      </c>
    </row>
    <row r="3791" spans="15:20" x14ac:dyDescent="0.25">
      <c r="O3791">
        <v>1</v>
      </c>
      <c r="S3791" t="e">
        <v>#DIV/0!</v>
      </c>
      <c r="T3791" t="s">
        <v>82</v>
      </c>
    </row>
    <row r="3792" spans="15:20" x14ac:dyDescent="0.25">
      <c r="O3792">
        <v>1</v>
      </c>
      <c r="S3792" t="e">
        <v>#DIV/0!</v>
      </c>
      <c r="T3792" t="s">
        <v>82</v>
      </c>
    </row>
    <row r="3793" spans="15:20" x14ac:dyDescent="0.25">
      <c r="O3793">
        <v>1</v>
      </c>
      <c r="S3793" t="e">
        <v>#DIV/0!</v>
      </c>
      <c r="T3793" t="s">
        <v>82</v>
      </c>
    </row>
    <row r="3794" spans="15:20" x14ac:dyDescent="0.25">
      <c r="O3794">
        <v>1</v>
      </c>
      <c r="S3794" t="e">
        <v>#DIV/0!</v>
      </c>
      <c r="T3794" t="s">
        <v>82</v>
      </c>
    </row>
    <row r="3795" spans="15:20" x14ac:dyDescent="0.25">
      <c r="O3795">
        <v>1</v>
      </c>
      <c r="S3795" t="e">
        <v>#DIV/0!</v>
      </c>
      <c r="T3795" t="s">
        <v>82</v>
      </c>
    </row>
    <row r="3796" spans="15:20" x14ac:dyDescent="0.25">
      <c r="O3796">
        <v>1</v>
      </c>
      <c r="S3796" t="e">
        <v>#DIV/0!</v>
      </c>
      <c r="T3796" t="s">
        <v>82</v>
      </c>
    </row>
    <row r="3797" spans="15:20" x14ac:dyDescent="0.25">
      <c r="O3797">
        <v>1</v>
      </c>
      <c r="S3797" t="e">
        <v>#DIV/0!</v>
      </c>
      <c r="T3797" t="s">
        <v>82</v>
      </c>
    </row>
    <row r="3798" spans="15:20" x14ac:dyDescent="0.25">
      <c r="O3798">
        <v>1</v>
      </c>
      <c r="S3798" t="e">
        <v>#DIV/0!</v>
      </c>
      <c r="T3798" t="s">
        <v>82</v>
      </c>
    </row>
    <row r="3799" spans="15:20" x14ac:dyDescent="0.25">
      <c r="O3799">
        <v>1</v>
      </c>
      <c r="S3799" t="e">
        <v>#DIV/0!</v>
      </c>
      <c r="T3799" t="s">
        <v>82</v>
      </c>
    </row>
    <row r="3800" spans="15:20" x14ac:dyDescent="0.25">
      <c r="O3800">
        <v>1</v>
      </c>
      <c r="S3800" t="e">
        <v>#DIV/0!</v>
      </c>
      <c r="T3800" t="s">
        <v>82</v>
      </c>
    </row>
    <row r="3801" spans="15:20" x14ac:dyDescent="0.25">
      <c r="O3801">
        <v>1</v>
      </c>
      <c r="S3801" t="e">
        <v>#DIV/0!</v>
      </c>
      <c r="T3801" t="s">
        <v>82</v>
      </c>
    </row>
    <row r="3802" spans="15:20" x14ac:dyDescent="0.25">
      <c r="O3802">
        <v>1</v>
      </c>
      <c r="S3802" t="e">
        <v>#DIV/0!</v>
      </c>
      <c r="T3802" t="s">
        <v>82</v>
      </c>
    </row>
    <row r="3803" spans="15:20" x14ac:dyDescent="0.25">
      <c r="O3803">
        <v>1</v>
      </c>
      <c r="S3803" t="e">
        <v>#DIV/0!</v>
      </c>
      <c r="T3803" t="s">
        <v>82</v>
      </c>
    </row>
    <row r="3804" spans="15:20" x14ac:dyDescent="0.25">
      <c r="O3804">
        <v>1</v>
      </c>
      <c r="S3804" t="e">
        <v>#DIV/0!</v>
      </c>
      <c r="T3804" t="s">
        <v>82</v>
      </c>
    </row>
    <row r="3805" spans="15:20" x14ac:dyDescent="0.25">
      <c r="O3805">
        <v>1</v>
      </c>
      <c r="S3805" t="e">
        <v>#DIV/0!</v>
      </c>
      <c r="T3805" t="s">
        <v>82</v>
      </c>
    </row>
    <row r="3806" spans="15:20" x14ac:dyDescent="0.25">
      <c r="O3806">
        <v>1</v>
      </c>
      <c r="S3806" t="e">
        <v>#DIV/0!</v>
      </c>
      <c r="T3806" t="s">
        <v>82</v>
      </c>
    </row>
    <row r="3807" spans="15:20" x14ac:dyDescent="0.25">
      <c r="O3807">
        <v>1</v>
      </c>
      <c r="S3807" t="e">
        <v>#DIV/0!</v>
      </c>
      <c r="T3807" t="s">
        <v>82</v>
      </c>
    </row>
    <row r="3808" spans="15:20" x14ac:dyDescent="0.25">
      <c r="O3808">
        <v>1</v>
      </c>
      <c r="S3808" t="e">
        <v>#DIV/0!</v>
      </c>
      <c r="T3808" t="s">
        <v>82</v>
      </c>
    </row>
    <row r="3809" spans="15:20" x14ac:dyDescent="0.25">
      <c r="O3809">
        <v>1</v>
      </c>
      <c r="S3809" t="e">
        <v>#DIV/0!</v>
      </c>
      <c r="T3809" t="s">
        <v>82</v>
      </c>
    </row>
    <row r="3810" spans="15:20" x14ac:dyDescent="0.25">
      <c r="O3810">
        <v>1</v>
      </c>
      <c r="S3810" t="e">
        <v>#DIV/0!</v>
      </c>
      <c r="T3810" t="s">
        <v>82</v>
      </c>
    </row>
    <row r="3811" spans="15:20" x14ac:dyDescent="0.25">
      <c r="O3811">
        <v>1</v>
      </c>
      <c r="S3811" t="e">
        <v>#DIV/0!</v>
      </c>
      <c r="T3811" t="s">
        <v>82</v>
      </c>
    </row>
    <row r="3812" spans="15:20" x14ac:dyDescent="0.25">
      <c r="O3812">
        <v>1</v>
      </c>
      <c r="S3812" t="e">
        <v>#DIV/0!</v>
      </c>
      <c r="T3812" t="s">
        <v>82</v>
      </c>
    </row>
    <row r="3813" spans="15:20" x14ac:dyDescent="0.25">
      <c r="O3813">
        <v>1</v>
      </c>
      <c r="S3813" t="e">
        <v>#DIV/0!</v>
      </c>
      <c r="T3813" t="s">
        <v>82</v>
      </c>
    </row>
    <row r="3814" spans="15:20" x14ac:dyDescent="0.25">
      <c r="O3814">
        <v>1</v>
      </c>
      <c r="S3814" t="e">
        <v>#DIV/0!</v>
      </c>
      <c r="T3814" t="s">
        <v>82</v>
      </c>
    </row>
    <row r="3815" spans="15:20" x14ac:dyDescent="0.25">
      <c r="O3815">
        <v>1</v>
      </c>
      <c r="S3815" t="e">
        <v>#DIV/0!</v>
      </c>
      <c r="T3815" t="s">
        <v>82</v>
      </c>
    </row>
    <row r="3816" spans="15:20" x14ac:dyDescent="0.25">
      <c r="O3816">
        <v>1</v>
      </c>
      <c r="S3816" t="e">
        <v>#DIV/0!</v>
      </c>
      <c r="T3816" t="s">
        <v>82</v>
      </c>
    </row>
    <row r="3817" spans="15:20" x14ac:dyDescent="0.25">
      <c r="O3817">
        <v>1</v>
      </c>
      <c r="S3817" t="e">
        <v>#DIV/0!</v>
      </c>
      <c r="T3817" t="s">
        <v>82</v>
      </c>
    </row>
    <row r="3818" spans="15:20" x14ac:dyDescent="0.25">
      <c r="O3818">
        <v>1</v>
      </c>
      <c r="S3818" t="e">
        <v>#DIV/0!</v>
      </c>
      <c r="T3818" t="s">
        <v>82</v>
      </c>
    </row>
    <row r="3819" spans="15:20" x14ac:dyDescent="0.25">
      <c r="O3819">
        <v>1</v>
      </c>
      <c r="S3819" t="e">
        <v>#DIV/0!</v>
      </c>
      <c r="T3819" t="s">
        <v>82</v>
      </c>
    </row>
    <row r="3820" spans="15:20" x14ac:dyDescent="0.25">
      <c r="O3820">
        <v>1</v>
      </c>
      <c r="S3820" t="e">
        <v>#DIV/0!</v>
      </c>
      <c r="T3820" t="s">
        <v>82</v>
      </c>
    </row>
    <row r="3821" spans="15:20" x14ac:dyDescent="0.25">
      <c r="O3821">
        <v>1</v>
      </c>
      <c r="S3821" t="e">
        <v>#DIV/0!</v>
      </c>
      <c r="T3821" t="s">
        <v>82</v>
      </c>
    </row>
    <row r="3822" spans="15:20" x14ac:dyDescent="0.25">
      <c r="O3822">
        <v>1</v>
      </c>
      <c r="S3822" t="e">
        <v>#DIV/0!</v>
      </c>
      <c r="T3822" t="s">
        <v>82</v>
      </c>
    </row>
    <row r="3823" spans="15:20" x14ac:dyDescent="0.25">
      <c r="O3823">
        <v>1</v>
      </c>
      <c r="S3823" t="e">
        <v>#DIV/0!</v>
      </c>
      <c r="T3823" t="s">
        <v>82</v>
      </c>
    </row>
    <row r="3824" spans="15:20" x14ac:dyDescent="0.25">
      <c r="O3824">
        <v>1</v>
      </c>
      <c r="S3824" t="e">
        <v>#DIV/0!</v>
      </c>
      <c r="T3824" t="s">
        <v>82</v>
      </c>
    </row>
    <row r="3825" spans="15:20" x14ac:dyDescent="0.25">
      <c r="O3825">
        <v>1</v>
      </c>
      <c r="S3825" t="e">
        <v>#DIV/0!</v>
      </c>
      <c r="T3825" t="s">
        <v>82</v>
      </c>
    </row>
    <row r="3826" spans="15:20" x14ac:dyDescent="0.25">
      <c r="O3826">
        <v>1</v>
      </c>
      <c r="S3826" t="e">
        <v>#DIV/0!</v>
      </c>
      <c r="T3826" t="s">
        <v>82</v>
      </c>
    </row>
    <row r="3827" spans="15:20" x14ac:dyDescent="0.25">
      <c r="O3827">
        <v>1</v>
      </c>
      <c r="S3827" t="e">
        <v>#DIV/0!</v>
      </c>
      <c r="T3827" t="s">
        <v>82</v>
      </c>
    </row>
    <row r="3828" spans="15:20" x14ac:dyDescent="0.25">
      <c r="O3828">
        <v>1</v>
      </c>
      <c r="S3828" t="e">
        <v>#DIV/0!</v>
      </c>
      <c r="T3828" t="s">
        <v>82</v>
      </c>
    </row>
    <row r="3829" spans="15:20" x14ac:dyDescent="0.25">
      <c r="O3829">
        <v>1</v>
      </c>
      <c r="S3829" t="e">
        <v>#DIV/0!</v>
      </c>
      <c r="T3829" t="s">
        <v>82</v>
      </c>
    </row>
    <row r="3830" spans="15:20" x14ac:dyDescent="0.25">
      <c r="O3830">
        <v>1</v>
      </c>
      <c r="S3830" t="e">
        <v>#DIV/0!</v>
      </c>
      <c r="T3830" t="s">
        <v>82</v>
      </c>
    </row>
    <row r="3831" spans="15:20" x14ac:dyDescent="0.25">
      <c r="O3831">
        <v>1</v>
      </c>
      <c r="S3831" t="e">
        <v>#DIV/0!</v>
      </c>
      <c r="T3831" t="s">
        <v>82</v>
      </c>
    </row>
    <row r="3832" spans="15:20" x14ac:dyDescent="0.25">
      <c r="O3832">
        <v>1</v>
      </c>
      <c r="S3832" t="e">
        <v>#DIV/0!</v>
      </c>
      <c r="T3832" t="s">
        <v>82</v>
      </c>
    </row>
    <row r="3833" spans="15:20" x14ac:dyDescent="0.25">
      <c r="O3833">
        <v>1</v>
      </c>
      <c r="S3833" t="e">
        <v>#DIV/0!</v>
      </c>
      <c r="T3833" t="s">
        <v>82</v>
      </c>
    </row>
    <row r="3834" spans="15:20" x14ac:dyDescent="0.25">
      <c r="O3834">
        <v>1</v>
      </c>
      <c r="S3834" t="e">
        <v>#DIV/0!</v>
      </c>
      <c r="T3834" t="s">
        <v>82</v>
      </c>
    </row>
    <row r="3835" spans="15:20" x14ac:dyDescent="0.25">
      <c r="O3835">
        <v>1</v>
      </c>
      <c r="S3835" t="e">
        <v>#DIV/0!</v>
      </c>
      <c r="T3835" t="s">
        <v>82</v>
      </c>
    </row>
    <row r="3836" spans="15:20" x14ac:dyDescent="0.25">
      <c r="O3836">
        <v>1</v>
      </c>
      <c r="S3836" t="e">
        <v>#DIV/0!</v>
      </c>
      <c r="T3836" t="s">
        <v>82</v>
      </c>
    </row>
    <row r="3837" spans="15:20" x14ac:dyDescent="0.25">
      <c r="O3837">
        <v>1</v>
      </c>
      <c r="S3837" t="e">
        <v>#DIV/0!</v>
      </c>
      <c r="T3837" t="s">
        <v>82</v>
      </c>
    </row>
    <row r="3838" spans="15:20" x14ac:dyDescent="0.25">
      <c r="O3838">
        <v>1</v>
      </c>
      <c r="S3838" t="e">
        <v>#DIV/0!</v>
      </c>
      <c r="T3838" t="s">
        <v>82</v>
      </c>
    </row>
    <row r="3839" spans="15:20" x14ac:dyDescent="0.25">
      <c r="O3839">
        <v>1</v>
      </c>
      <c r="S3839" t="e">
        <v>#DIV/0!</v>
      </c>
      <c r="T3839" t="s">
        <v>82</v>
      </c>
    </row>
    <row r="3840" spans="15:20" x14ac:dyDescent="0.25">
      <c r="O3840">
        <v>1</v>
      </c>
      <c r="S3840" t="e">
        <v>#DIV/0!</v>
      </c>
      <c r="T3840" t="s">
        <v>82</v>
      </c>
    </row>
    <row r="3841" spans="15:20" x14ac:dyDescent="0.25">
      <c r="O3841">
        <v>1</v>
      </c>
      <c r="S3841" t="e">
        <v>#DIV/0!</v>
      </c>
      <c r="T3841" t="s">
        <v>82</v>
      </c>
    </row>
    <row r="3842" spans="15:20" x14ac:dyDescent="0.25">
      <c r="O3842">
        <v>1</v>
      </c>
      <c r="S3842" t="e">
        <v>#DIV/0!</v>
      </c>
      <c r="T3842" t="s">
        <v>82</v>
      </c>
    </row>
    <row r="3843" spans="15:20" x14ac:dyDescent="0.25">
      <c r="O3843">
        <v>1</v>
      </c>
      <c r="S3843" t="e">
        <v>#DIV/0!</v>
      </c>
      <c r="T3843" t="s">
        <v>82</v>
      </c>
    </row>
    <row r="3844" spans="15:20" x14ac:dyDescent="0.25">
      <c r="O3844">
        <v>1</v>
      </c>
      <c r="S3844" t="e">
        <v>#DIV/0!</v>
      </c>
      <c r="T3844" t="s">
        <v>82</v>
      </c>
    </row>
    <row r="3845" spans="15:20" x14ac:dyDescent="0.25">
      <c r="O3845">
        <v>1</v>
      </c>
      <c r="S3845" t="e">
        <v>#DIV/0!</v>
      </c>
      <c r="T3845" t="s">
        <v>82</v>
      </c>
    </row>
    <row r="3846" spans="15:20" x14ac:dyDescent="0.25">
      <c r="O3846">
        <v>1</v>
      </c>
      <c r="S3846" t="e">
        <v>#DIV/0!</v>
      </c>
      <c r="T3846" t="s">
        <v>82</v>
      </c>
    </row>
    <row r="3847" spans="15:20" x14ac:dyDescent="0.25">
      <c r="O3847">
        <v>1</v>
      </c>
      <c r="S3847" t="e">
        <v>#DIV/0!</v>
      </c>
      <c r="T3847" t="s">
        <v>82</v>
      </c>
    </row>
    <row r="3848" spans="15:20" x14ac:dyDescent="0.25">
      <c r="O3848">
        <v>1</v>
      </c>
      <c r="S3848" t="e">
        <v>#DIV/0!</v>
      </c>
      <c r="T3848" t="s">
        <v>82</v>
      </c>
    </row>
    <row r="3849" spans="15:20" x14ac:dyDescent="0.25">
      <c r="O3849">
        <v>1</v>
      </c>
      <c r="S3849" t="e">
        <v>#DIV/0!</v>
      </c>
      <c r="T3849" t="s">
        <v>82</v>
      </c>
    </row>
    <row r="3850" spans="15:20" x14ac:dyDescent="0.25">
      <c r="O3850">
        <v>1</v>
      </c>
      <c r="S3850" t="e">
        <v>#DIV/0!</v>
      </c>
      <c r="T3850" t="s">
        <v>82</v>
      </c>
    </row>
    <row r="3851" spans="15:20" x14ac:dyDescent="0.25">
      <c r="O3851">
        <v>1</v>
      </c>
      <c r="S3851" t="e">
        <v>#DIV/0!</v>
      </c>
      <c r="T3851" t="s">
        <v>82</v>
      </c>
    </row>
    <row r="3852" spans="15:20" x14ac:dyDescent="0.25">
      <c r="O3852">
        <v>1</v>
      </c>
      <c r="S3852" t="e">
        <v>#DIV/0!</v>
      </c>
      <c r="T3852" t="s">
        <v>82</v>
      </c>
    </row>
    <row r="3853" spans="15:20" x14ac:dyDescent="0.25">
      <c r="O3853">
        <v>1</v>
      </c>
      <c r="S3853" t="e">
        <v>#DIV/0!</v>
      </c>
      <c r="T3853" t="s">
        <v>82</v>
      </c>
    </row>
    <row r="3854" spans="15:20" x14ac:dyDescent="0.25">
      <c r="O3854">
        <v>1</v>
      </c>
      <c r="S3854" t="e">
        <v>#DIV/0!</v>
      </c>
      <c r="T3854" t="s">
        <v>82</v>
      </c>
    </row>
    <row r="3855" spans="15:20" x14ac:dyDescent="0.25">
      <c r="O3855">
        <v>1</v>
      </c>
      <c r="S3855" t="e">
        <v>#DIV/0!</v>
      </c>
      <c r="T3855" t="s">
        <v>82</v>
      </c>
    </row>
    <row r="3856" spans="15:20" x14ac:dyDescent="0.25">
      <c r="O3856">
        <v>1</v>
      </c>
      <c r="S3856" t="e">
        <v>#DIV/0!</v>
      </c>
      <c r="T3856" t="s">
        <v>82</v>
      </c>
    </row>
    <row r="3857" spans="15:20" x14ac:dyDescent="0.25">
      <c r="O3857">
        <v>1</v>
      </c>
      <c r="S3857" t="e">
        <v>#DIV/0!</v>
      </c>
      <c r="T3857" t="s">
        <v>82</v>
      </c>
    </row>
    <row r="3858" spans="15:20" x14ac:dyDescent="0.25">
      <c r="O3858">
        <v>1</v>
      </c>
      <c r="S3858" t="e">
        <v>#DIV/0!</v>
      </c>
      <c r="T3858" t="s">
        <v>82</v>
      </c>
    </row>
    <row r="3859" spans="15:20" x14ac:dyDescent="0.25">
      <c r="O3859">
        <v>1</v>
      </c>
      <c r="S3859" t="e">
        <v>#DIV/0!</v>
      </c>
      <c r="T3859" t="s">
        <v>82</v>
      </c>
    </row>
    <row r="3860" spans="15:20" x14ac:dyDescent="0.25">
      <c r="O3860">
        <v>1</v>
      </c>
      <c r="S3860" t="e">
        <v>#DIV/0!</v>
      </c>
      <c r="T3860" t="s">
        <v>82</v>
      </c>
    </row>
    <row r="3861" spans="15:20" x14ac:dyDescent="0.25">
      <c r="O3861">
        <v>1</v>
      </c>
      <c r="S3861" t="e">
        <v>#DIV/0!</v>
      </c>
      <c r="T3861" t="s">
        <v>82</v>
      </c>
    </row>
    <row r="3862" spans="15:20" x14ac:dyDescent="0.25">
      <c r="O3862">
        <v>1</v>
      </c>
      <c r="S3862" t="e">
        <v>#DIV/0!</v>
      </c>
      <c r="T3862" t="s">
        <v>82</v>
      </c>
    </row>
    <row r="3863" spans="15:20" x14ac:dyDescent="0.25">
      <c r="O3863">
        <v>1</v>
      </c>
      <c r="S3863" t="e">
        <v>#DIV/0!</v>
      </c>
      <c r="T3863" t="s">
        <v>82</v>
      </c>
    </row>
    <row r="3864" spans="15:20" x14ac:dyDescent="0.25">
      <c r="O3864">
        <v>1</v>
      </c>
      <c r="S3864" t="e">
        <v>#DIV/0!</v>
      </c>
      <c r="T3864" t="s">
        <v>82</v>
      </c>
    </row>
    <row r="3865" spans="15:20" x14ac:dyDescent="0.25">
      <c r="O3865">
        <v>1</v>
      </c>
      <c r="S3865" t="e">
        <v>#DIV/0!</v>
      </c>
      <c r="T3865" t="s">
        <v>82</v>
      </c>
    </row>
    <row r="3866" spans="15:20" x14ac:dyDescent="0.25">
      <c r="O3866">
        <v>1</v>
      </c>
      <c r="S3866" t="e">
        <v>#DIV/0!</v>
      </c>
      <c r="T3866" t="s">
        <v>82</v>
      </c>
    </row>
    <row r="3867" spans="15:20" x14ac:dyDescent="0.25">
      <c r="O3867">
        <v>1</v>
      </c>
      <c r="S3867" t="e">
        <v>#DIV/0!</v>
      </c>
      <c r="T3867" t="s">
        <v>82</v>
      </c>
    </row>
    <row r="3868" spans="15:20" x14ac:dyDescent="0.25">
      <c r="O3868">
        <v>1</v>
      </c>
      <c r="S3868" t="e">
        <v>#DIV/0!</v>
      </c>
      <c r="T3868" t="s">
        <v>82</v>
      </c>
    </row>
    <row r="3869" spans="15:20" x14ac:dyDescent="0.25">
      <c r="O3869">
        <v>1</v>
      </c>
      <c r="S3869" t="e">
        <v>#DIV/0!</v>
      </c>
      <c r="T3869" t="s">
        <v>82</v>
      </c>
    </row>
    <row r="3870" spans="15:20" x14ac:dyDescent="0.25">
      <c r="O3870">
        <v>1</v>
      </c>
      <c r="S3870" t="e">
        <v>#DIV/0!</v>
      </c>
      <c r="T3870" t="s">
        <v>82</v>
      </c>
    </row>
    <row r="3871" spans="15:20" x14ac:dyDescent="0.25">
      <c r="O3871">
        <v>1</v>
      </c>
      <c r="S3871" t="e">
        <v>#DIV/0!</v>
      </c>
      <c r="T3871" t="s">
        <v>82</v>
      </c>
    </row>
    <row r="3872" spans="15:20" x14ac:dyDescent="0.25">
      <c r="O3872">
        <v>1</v>
      </c>
      <c r="S3872" t="e">
        <v>#DIV/0!</v>
      </c>
      <c r="T3872" t="s">
        <v>82</v>
      </c>
    </row>
    <row r="3873" spans="15:20" x14ac:dyDescent="0.25">
      <c r="O3873">
        <v>1</v>
      </c>
      <c r="S3873" t="e">
        <v>#DIV/0!</v>
      </c>
      <c r="T3873" t="s">
        <v>82</v>
      </c>
    </row>
    <row r="3874" spans="15:20" x14ac:dyDescent="0.25">
      <c r="O3874">
        <v>1</v>
      </c>
      <c r="S3874" t="e">
        <v>#DIV/0!</v>
      </c>
      <c r="T3874" t="s">
        <v>82</v>
      </c>
    </row>
    <row r="3875" spans="15:20" x14ac:dyDescent="0.25">
      <c r="O3875">
        <v>1</v>
      </c>
      <c r="S3875" t="e">
        <v>#DIV/0!</v>
      </c>
      <c r="T3875" t="s">
        <v>82</v>
      </c>
    </row>
    <row r="3876" spans="15:20" x14ac:dyDescent="0.25">
      <c r="O3876">
        <v>1</v>
      </c>
      <c r="S3876" t="e">
        <v>#DIV/0!</v>
      </c>
      <c r="T3876" t="s">
        <v>82</v>
      </c>
    </row>
    <row r="3877" spans="15:20" x14ac:dyDescent="0.25">
      <c r="O3877">
        <v>1</v>
      </c>
      <c r="S3877" t="e">
        <v>#DIV/0!</v>
      </c>
      <c r="T3877" t="s">
        <v>82</v>
      </c>
    </row>
    <row r="3878" spans="15:20" x14ac:dyDescent="0.25">
      <c r="O3878">
        <v>1</v>
      </c>
      <c r="S3878" t="e">
        <v>#DIV/0!</v>
      </c>
      <c r="T3878" t="s">
        <v>82</v>
      </c>
    </row>
    <row r="3879" spans="15:20" x14ac:dyDescent="0.25">
      <c r="O3879">
        <v>1</v>
      </c>
      <c r="S3879" t="e">
        <v>#DIV/0!</v>
      </c>
      <c r="T3879" t="s">
        <v>82</v>
      </c>
    </row>
    <row r="3880" spans="15:20" x14ac:dyDescent="0.25">
      <c r="O3880">
        <v>1</v>
      </c>
      <c r="S3880" t="e">
        <v>#DIV/0!</v>
      </c>
      <c r="T3880" t="s">
        <v>82</v>
      </c>
    </row>
    <row r="3881" spans="15:20" x14ac:dyDescent="0.25">
      <c r="O3881">
        <v>1</v>
      </c>
      <c r="S3881" t="e">
        <v>#DIV/0!</v>
      </c>
      <c r="T3881" t="s">
        <v>82</v>
      </c>
    </row>
    <row r="3882" spans="15:20" x14ac:dyDescent="0.25">
      <c r="O3882">
        <v>1</v>
      </c>
      <c r="S3882" t="e">
        <v>#DIV/0!</v>
      </c>
      <c r="T3882" t="s">
        <v>82</v>
      </c>
    </row>
    <row r="3883" spans="15:20" x14ac:dyDescent="0.25">
      <c r="O3883">
        <v>1</v>
      </c>
      <c r="S3883" t="e">
        <v>#DIV/0!</v>
      </c>
      <c r="T3883" t="s">
        <v>82</v>
      </c>
    </row>
    <row r="3884" spans="15:20" x14ac:dyDescent="0.25">
      <c r="O3884">
        <v>1</v>
      </c>
      <c r="S3884" t="e">
        <v>#DIV/0!</v>
      </c>
      <c r="T3884" t="s">
        <v>82</v>
      </c>
    </row>
    <row r="3885" spans="15:20" x14ac:dyDescent="0.25">
      <c r="O3885">
        <v>1</v>
      </c>
      <c r="S3885" t="e">
        <v>#DIV/0!</v>
      </c>
      <c r="T3885" t="s">
        <v>82</v>
      </c>
    </row>
    <row r="3886" spans="15:20" x14ac:dyDescent="0.25">
      <c r="O3886">
        <v>1</v>
      </c>
      <c r="S3886" t="e">
        <v>#DIV/0!</v>
      </c>
      <c r="T3886" t="s">
        <v>82</v>
      </c>
    </row>
    <row r="3887" spans="15:20" x14ac:dyDescent="0.25">
      <c r="O3887">
        <v>1</v>
      </c>
      <c r="S3887" t="e">
        <v>#DIV/0!</v>
      </c>
      <c r="T3887" t="s">
        <v>82</v>
      </c>
    </row>
    <row r="3888" spans="15:20" x14ac:dyDescent="0.25">
      <c r="O3888">
        <v>1</v>
      </c>
      <c r="S3888" t="e">
        <v>#DIV/0!</v>
      </c>
      <c r="T3888" t="s">
        <v>82</v>
      </c>
    </row>
    <row r="3889" spans="15:20" x14ac:dyDescent="0.25">
      <c r="O3889">
        <v>1</v>
      </c>
      <c r="S3889" t="e">
        <v>#DIV/0!</v>
      </c>
      <c r="T3889" t="s">
        <v>82</v>
      </c>
    </row>
    <row r="3890" spans="15:20" x14ac:dyDescent="0.25">
      <c r="O3890">
        <v>1</v>
      </c>
      <c r="S3890" t="e">
        <v>#DIV/0!</v>
      </c>
      <c r="T3890" t="s">
        <v>82</v>
      </c>
    </row>
    <row r="3891" spans="15:20" x14ac:dyDescent="0.25">
      <c r="O3891">
        <v>1</v>
      </c>
      <c r="S3891" t="e">
        <v>#DIV/0!</v>
      </c>
      <c r="T3891" t="s">
        <v>82</v>
      </c>
    </row>
    <row r="3892" spans="15:20" x14ac:dyDescent="0.25">
      <c r="O3892">
        <v>1</v>
      </c>
      <c r="S3892" t="e">
        <v>#DIV/0!</v>
      </c>
      <c r="T3892" t="s">
        <v>82</v>
      </c>
    </row>
    <row r="3893" spans="15:20" x14ac:dyDescent="0.25">
      <c r="O3893">
        <v>1</v>
      </c>
      <c r="S3893" t="e">
        <v>#DIV/0!</v>
      </c>
      <c r="T3893" t="s">
        <v>82</v>
      </c>
    </row>
    <row r="3894" spans="15:20" x14ac:dyDescent="0.25">
      <c r="O3894">
        <v>1</v>
      </c>
      <c r="S3894" t="e">
        <v>#DIV/0!</v>
      </c>
      <c r="T3894" t="s">
        <v>82</v>
      </c>
    </row>
    <row r="3895" spans="15:20" x14ac:dyDescent="0.25">
      <c r="O3895">
        <v>1</v>
      </c>
      <c r="S3895" t="e">
        <v>#DIV/0!</v>
      </c>
      <c r="T3895" t="s">
        <v>82</v>
      </c>
    </row>
    <row r="3896" spans="15:20" x14ac:dyDescent="0.25">
      <c r="O3896">
        <v>1</v>
      </c>
      <c r="S3896" t="e">
        <v>#DIV/0!</v>
      </c>
      <c r="T3896" t="s">
        <v>82</v>
      </c>
    </row>
    <row r="3897" spans="15:20" x14ac:dyDescent="0.25">
      <c r="O3897">
        <v>1</v>
      </c>
      <c r="S3897" t="e">
        <v>#DIV/0!</v>
      </c>
      <c r="T3897" t="s">
        <v>82</v>
      </c>
    </row>
    <row r="3898" spans="15:20" x14ac:dyDescent="0.25">
      <c r="O3898">
        <v>1</v>
      </c>
      <c r="S3898" t="e">
        <v>#DIV/0!</v>
      </c>
      <c r="T3898" t="s">
        <v>82</v>
      </c>
    </row>
    <row r="3899" spans="15:20" x14ac:dyDescent="0.25">
      <c r="O3899">
        <v>1</v>
      </c>
      <c r="S3899" t="e">
        <v>#DIV/0!</v>
      </c>
      <c r="T3899" t="s">
        <v>82</v>
      </c>
    </row>
    <row r="3900" spans="15:20" x14ac:dyDescent="0.25">
      <c r="O3900">
        <v>1</v>
      </c>
      <c r="S3900" t="e">
        <v>#DIV/0!</v>
      </c>
      <c r="T3900" t="s">
        <v>82</v>
      </c>
    </row>
    <row r="3901" spans="15:20" x14ac:dyDescent="0.25">
      <c r="O3901">
        <v>1</v>
      </c>
      <c r="S3901" t="e">
        <v>#DIV/0!</v>
      </c>
      <c r="T3901" t="s">
        <v>82</v>
      </c>
    </row>
    <row r="3902" spans="15:20" x14ac:dyDescent="0.25">
      <c r="O3902">
        <v>1</v>
      </c>
      <c r="S3902" t="e">
        <v>#DIV/0!</v>
      </c>
      <c r="T3902" t="s">
        <v>82</v>
      </c>
    </row>
    <row r="3903" spans="15:20" x14ac:dyDescent="0.25">
      <c r="O3903">
        <v>1</v>
      </c>
      <c r="S3903" t="e">
        <v>#DIV/0!</v>
      </c>
      <c r="T3903" t="s">
        <v>82</v>
      </c>
    </row>
    <row r="3904" spans="15:20" x14ac:dyDescent="0.25">
      <c r="O3904">
        <v>1</v>
      </c>
      <c r="S3904" t="e">
        <v>#DIV/0!</v>
      </c>
      <c r="T3904" t="s">
        <v>82</v>
      </c>
    </row>
    <row r="3905" spans="15:20" x14ac:dyDescent="0.25">
      <c r="O3905">
        <v>1</v>
      </c>
      <c r="S3905" t="e">
        <v>#DIV/0!</v>
      </c>
      <c r="T3905" t="s">
        <v>82</v>
      </c>
    </row>
    <row r="3906" spans="15:20" x14ac:dyDescent="0.25">
      <c r="O3906">
        <v>1</v>
      </c>
      <c r="S3906" t="e">
        <v>#DIV/0!</v>
      </c>
      <c r="T3906" t="s">
        <v>82</v>
      </c>
    </row>
    <row r="3907" spans="15:20" x14ac:dyDescent="0.25">
      <c r="O3907">
        <v>1</v>
      </c>
      <c r="S3907" t="e">
        <v>#DIV/0!</v>
      </c>
      <c r="T3907" t="s">
        <v>82</v>
      </c>
    </row>
    <row r="3908" spans="15:20" x14ac:dyDescent="0.25">
      <c r="O3908">
        <v>1</v>
      </c>
      <c r="S3908" t="e">
        <v>#DIV/0!</v>
      </c>
      <c r="T3908" t="s">
        <v>82</v>
      </c>
    </row>
    <row r="3909" spans="15:20" x14ac:dyDescent="0.25">
      <c r="O3909">
        <v>1</v>
      </c>
      <c r="S3909" t="e">
        <v>#DIV/0!</v>
      </c>
      <c r="T3909" t="s">
        <v>82</v>
      </c>
    </row>
    <row r="3910" spans="15:20" x14ac:dyDescent="0.25">
      <c r="O3910">
        <v>1</v>
      </c>
      <c r="S3910" t="e">
        <v>#DIV/0!</v>
      </c>
      <c r="T3910" t="s">
        <v>82</v>
      </c>
    </row>
    <row r="3911" spans="15:20" x14ac:dyDescent="0.25">
      <c r="O3911">
        <v>1</v>
      </c>
      <c r="S3911" t="e">
        <v>#DIV/0!</v>
      </c>
      <c r="T3911" t="s">
        <v>82</v>
      </c>
    </row>
    <row r="3912" spans="15:20" x14ac:dyDescent="0.25">
      <c r="O3912">
        <v>1</v>
      </c>
      <c r="S3912" t="e">
        <v>#DIV/0!</v>
      </c>
      <c r="T3912" t="s">
        <v>82</v>
      </c>
    </row>
    <row r="3913" spans="15:20" x14ac:dyDescent="0.25">
      <c r="O3913">
        <v>1</v>
      </c>
      <c r="S3913" t="e">
        <v>#DIV/0!</v>
      </c>
      <c r="T3913" t="s">
        <v>82</v>
      </c>
    </row>
    <row r="3914" spans="15:20" x14ac:dyDescent="0.25">
      <c r="O3914">
        <v>1</v>
      </c>
      <c r="S3914" t="e">
        <v>#DIV/0!</v>
      </c>
      <c r="T3914" t="s">
        <v>82</v>
      </c>
    </row>
    <row r="3915" spans="15:20" x14ac:dyDescent="0.25">
      <c r="O3915">
        <v>1</v>
      </c>
      <c r="S3915" t="e">
        <v>#DIV/0!</v>
      </c>
      <c r="T3915" t="s">
        <v>82</v>
      </c>
    </row>
    <row r="3916" spans="15:20" x14ac:dyDescent="0.25">
      <c r="O3916">
        <v>1</v>
      </c>
      <c r="S3916" t="e">
        <v>#DIV/0!</v>
      </c>
      <c r="T3916" t="s">
        <v>82</v>
      </c>
    </row>
    <row r="3917" spans="15:20" x14ac:dyDescent="0.25">
      <c r="O3917">
        <v>1</v>
      </c>
      <c r="S3917" t="e">
        <v>#DIV/0!</v>
      </c>
      <c r="T3917" t="s">
        <v>82</v>
      </c>
    </row>
    <row r="3918" spans="15:20" x14ac:dyDescent="0.25">
      <c r="O3918">
        <v>1</v>
      </c>
      <c r="S3918" t="e">
        <v>#DIV/0!</v>
      </c>
      <c r="T3918" t="s">
        <v>82</v>
      </c>
    </row>
    <row r="3919" spans="15:20" x14ac:dyDescent="0.25">
      <c r="O3919">
        <v>1</v>
      </c>
      <c r="S3919" t="e">
        <v>#DIV/0!</v>
      </c>
      <c r="T3919" t="s">
        <v>82</v>
      </c>
    </row>
    <row r="3920" spans="15:20" x14ac:dyDescent="0.25">
      <c r="O3920">
        <v>1</v>
      </c>
      <c r="S3920" t="e">
        <v>#DIV/0!</v>
      </c>
      <c r="T3920" t="s">
        <v>82</v>
      </c>
    </row>
    <row r="3921" spans="15:20" x14ac:dyDescent="0.25">
      <c r="O3921">
        <v>1</v>
      </c>
      <c r="S3921" t="e">
        <v>#DIV/0!</v>
      </c>
      <c r="T3921" t="s">
        <v>82</v>
      </c>
    </row>
    <row r="3922" spans="15:20" x14ac:dyDescent="0.25">
      <c r="O3922">
        <v>1</v>
      </c>
      <c r="S3922" t="e">
        <v>#DIV/0!</v>
      </c>
      <c r="T3922" t="s">
        <v>82</v>
      </c>
    </row>
    <row r="3923" spans="15:20" x14ac:dyDescent="0.25">
      <c r="O3923">
        <v>1</v>
      </c>
      <c r="S3923" t="e">
        <v>#DIV/0!</v>
      </c>
      <c r="T3923" t="s">
        <v>82</v>
      </c>
    </row>
    <row r="3924" spans="15:20" x14ac:dyDescent="0.25">
      <c r="O3924">
        <v>1</v>
      </c>
      <c r="S3924" t="e">
        <v>#DIV/0!</v>
      </c>
      <c r="T3924" t="s">
        <v>82</v>
      </c>
    </row>
    <row r="3925" spans="15:20" x14ac:dyDescent="0.25">
      <c r="O3925">
        <v>1</v>
      </c>
      <c r="S3925" t="e">
        <v>#DIV/0!</v>
      </c>
      <c r="T3925" t="s">
        <v>82</v>
      </c>
    </row>
    <row r="3926" spans="15:20" x14ac:dyDescent="0.25">
      <c r="O3926">
        <v>1</v>
      </c>
      <c r="S3926" t="e">
        <v>#DIV/0!</v>
      </c>
      <c r="T3926" t="s">
        <v>82</v>
      </c>
    </row>
    <row r="3927" spans="15:20" x14ac:dyDescent="0.25">
      <c r="O3927">
        <v>1</v>
      </c>
      <c r="S3927" t="e">
        <v>#DIV/0!</v>
      </c>
      <c r="T3927" t="s">
        <v>82</v>
      </c>
    </row>
    <row r="3928" spans="15:20" x14ac:dyDescent="0.25">
      <c r="O3928">
        <v>1</v>
      </c>
      <c r="S3928" t="e">
        <v>#DIV/0!</v>
      </c>
      <c r="T3928" t="s">
        <v>82</v>
      </c>
    </row>
    <row r="3929" spans="15:20" x14ac:dyDescent="0.25">
      <c r="O3929">
        <v>1</v>
      </c>
      <c r="S3929" t="e">
        <v>#DIV/0!</v>
      </c>
      <c r="T3929" t="s">
        <v>82</v>
      </c>
    </row>
    <row r="3930" spans="15:20" x14ac:dyDescent="0.25">
      <c r="O3930">
        <v>1</v>
      </c>
      <c r="S3930" t="e">
        <v>#DIV/0!</v>
      </c>
      <c r="T3930" t="s">
        <v>82</v>
      </c>
    </row>
    <row r="3931" spans="15:20" x14ac:dyDescent="0.25">
      <c r="O3931">
        <v>1</v>
      </c>
      <c r="S3931" t="e">
        <v>#DIV/0!</v>
      </c>
      <c r="T3931" t="s">
        <v>82</v>
      </c>
    </row>
    <row r="3932" spans="15:20" x14ac:dyDescent="0.25">
      <c r="O3932">
        <v>1</v>
      </c>
      <c r="S3932" t="e">
        <v>#DIV/0!</v>
      </c>
      <c r="T3932" t="s">
        <v>82</v>
      </c>
    </row>
    <row r="3933" spans="15:20" x14ac:dyDescent="0.25">
      <c r="O3933">
        <v>1</v>
      </c>
      <c r="S3933" t="e">
        <v>#DIV/0!</v>
      </c>
      <c r="T3933" t="s">
        <v>82</v>
      </c>
    </row>
    <row r="3934" spans="15:20" x14ac:dyDescent="0.25">
      <c r="O3934">
        <v>1</v>
      </c>
      <c r="S3934" t="e">
        <v>#DIV/0!</v>
      </c>
      <c r="T3934" t="s">
        <v>82</v>
      </c>
    </row>
    <row r="3935" spans="15:20" x14ac:dyDescent="0.25">
      <c r="O3935">
        <v>1</v>
      </c>
      <c r="S3935" t="e">
        <v>#DIV/0!</v>
      </c>
      <c r="T3935" t="s">
        <v>82</v>
      </c>
    </row>
    <row r="3936" spans="15:20" x14ac:dyDescent="0.25">
      <c r="O3936">
        <v>1</v>
      </c>
      <c r="S3936" t="e">
        <v>#DIV/0!</v>
      </c>
      <c r="T3936" t="s">
        <v>82</v>
      </c>
    </row>
    <row r="3937" spans="15:20" x14ac:dyDescent="0.25">
      <c r="O3937">
        <v>1</v>
      </c>
      <c r="S3937" t="e">
        <v>#DIV/0!</v>
      </c>
      <c r="T3937" t="s">
        <v>82</v>
      </c>
    </row>
    <row r="3938" spans="15:20" x14ac:dyDescent="0.25">
      <c r="O3938">
        <v>1</v>
      </c>
      <c r="S3938" t="e">
        <v>#DIV/0!</v>
      </c>
      <c r="T3938" t="s">
        <v>82</v>
      </c>
    </row>
    <row r="3939" spans="15:20" x14ac:dyDescent="0.25">
      <c r="O3939">
        <v>1</v>
      </c>
      <c r="S3939" t="e">
        <v>#DIV/0!</v>
      </c>
      <c r="T3939" t="s">
        <v>82</v>
      </c>
    </row>
    <row r="3940" spans="15:20" x14ac:dyDescent="0.25">
      <c r="O3940">
        <v>1</v>
      </c>
      <c r="S3940" t="e">
        <v>#DIV/0!</v>
      </c>
      <c r="T3940" t="s">
        <v>82</v>
      </c>
    </row>
    <row r="3941" spans="15:20" x14ac:dyDescent="0.25">
      <c r="O3941">
        <v>1</v>
      </c>
      <c r="S3941" t="e">
        <v>#DIV/0!</v>
      </c>
      <c r="T3941" t="s">
        <v>82</v>
      </c>
    </row>
    <row r="3942" spans="15:20" x14ac:dyDescent="0.25">
      <c r="O3942">
        <v>1</v>
      </c>
      <c r="S3942" t="e">
        <v>#DIV/0!</v>
      </c>
      <c r="T3942" t="s">
        <v>82</v>
      </c>
    </row>
    <row r="3943" spans="15:20" x14ac:dyDescent="0.25">
      <c r="O3943">
        <v>1</v>
      </c>
      <c r="S3943" t="e">
        <v>#DIV/0!</v>
      </c>
      <c r="T3943" t="s">
        <v>82</v>
      </c>
    </row>
    <row r="3944" spans="15:20" x14ac:dyDescent="0.25">
      <c r="O3944">
        <v>1</v>
      </c>
      <c r="S3944" t="e">
        <v>#DIV/0!</v>
      </c>
      <c r="T3944" t="s">
        <v>82</v>
      </c>
    </row>
    <row r="3945" spans="15:20" x14ac:dyDescent="0.25">
      <c r="O3945">
        <v>1</v>
      </c>
      <c r="S3945" t="e">
        <v>#DIV/0!</v>
      </c>
      <c r="T3945" t="s">
        <v>82</v>
      </c>
    </row>
    <row r="3946" spans="15:20" x14ac:dyDescent="0.25">
      <c r="O3946">
        <v>1</v>
      </c>
      <c r="S3946" t="e">
        <v>#DIV/0!</v>
      </c>
      <c r="T3946" t="s">
        <v>82</v>
      </c>
    </row>
    <row r="3947" spans="15:20" x14ac:dyDescent="0.25">
      <c r="O3947">
        <v>1</v>
      </c>
      <c r="S3947" t="e">
        <v>#DIV/0!</v>
      </c>
      <c r="T3947" t="s">
        <v>82</v>
      </c>
    </row>
    <row r="3948" spans="15:20" x14ac:dyDescent="0.25">
      <c r="O3948">
        <v>1</v>
      </c>
      <c r="S3948" t="e">
        <v>#DIV/0!</v>
      </c>
      <c r="T3948" t="s">
        <v>82</v>
      </c>
    </row>
    <row r="3949" spans="15:20" x14ac:dyDescent="0.25">
      <c r="O3949">
        <v>1</v>
      </c>
      <c r="S3949" t="e">
        <v>#DIV/0!</v>
      </c>
      <c r="T3949" t="s">
        <v>82</v>
      </c>
    </row>
    <row r="3950" spans="15:20" x14ac:dyDescent="0.25">
      <c r="O3950">
        <v>1</v>
      </c>
      <c r="S3950" t="e">
        <v>#DIV/0!</v>
      </c>
      <c r="T3950" t="s">
        <v>82</v>
      </c>
    </row>
    <row r="3951" spans="15:20" x14ac:dyDescent="0.25">
      <c r="O3951">
        <v>1</v>
      </c>
      <c r="S3951" t="e">
        <v>#DIV/0!</v>
      </c>
      <c r="T3951" t="s">
        <v>82</v>
      </c>
    </row>
    <row r="3952" spans="15:20" x14ac:dyDescent="0.25">
      <c r="O3952">
        <v>1</v>
      </c>
      <c r="S3952" t="e">
        <v>#DIV/0!</v>
      </c>
      <c r="T3952" t="s">
        <v>82</v>
      </c>
    </row>
    <row r="3953" spans="15:20" x14ac:dyDescent="0.25">
      <c r="O3953">
        <v>1</v>
      </c>
      <c r="S3953" t="e">
        <v>#DIV/0!</v>
      </c>
      <c r="T3953" t="s">
        <v>82</v>
      </c>
    </row>
    <row r="3954" spans="15:20" x14ac:dyDescent="0.25">
      <c r="O3954">
        <v>1</v>
      </c>
      <c r="S3954" t="e">
        <v>#DIV/0!</v>
      </c>
      <c r="T3954" t="s">
        <v>82</v>
      </c>
    </row>
    <row r="3955" spans="15:20" x14ac:dyDescent="0.25">
      <c r="O3955">
        <v>1</v>
      </c>
      <c r="S3955" t="e">
        <v>#DIV/0!</v>
      </c>
      <c r="T3955" t="s">
        <v>82</v>
      </c>
    </row>
    <row r="3956" spans="15:20" x14ac:dyDescent="0.25">
      <c r="O3956">
        <v>1</v>
      </c>
      <c r="S3956" t="e">
        <v>#DIV/0!</v>
      </c>
      <c r="T3956" t="s">
        <v>82</v>
      </c>
    </row>
    <row r="3957" spans="15:20" x14ac:dyDescent="0.25">
      <c r="O3957">
        <v>1</v>
      </c>
      <c r="S3957" t="e">
        <v>#DIV/0!</v>
      </c>
      <c r="T3957" t="s">
        <v>82</v>
      </c>
    </row>
    <row r="3958" spans="15:20" x14ac:dyDescent="0.25">
      <c r="O3958">
        <v>1</v>
      </c>
      <c r="S3958" t="e">
        <v>#DIV/0!</v>
      </c>
      <c r="T3958" t="s">
        <v>82</v>
      </c>
    </row>
    <row r="3959" spans="15:20" x14ac:dyDescent="0.25">
      <c r="O3959">
        <v>1</v>
      </c>
      <c r="S3959" t="e">
        <v>#DIV/0!</v>
      </c>
      <c r="T3959" t="s">
        <v>82</v>
      </c>
    </row>
    <row r="3960" spans="15:20" x14ac:dyDescent="0.25">
      <c r="O3960">
        <v>1</v>
      </c>
      <c r="S3960" t="e">
        <v>#DIV/0!</v>
      </c>
      <c r="T3960" t="s">
        <v>82</v>
      </c>
    </row>
    <row r="3961" spans="15:20" x14ac:dyDescent="0.25">
      <c r="O3961">
        <v>1</v>
      </c>
      <c r="S3961" t="e">
        <v>#DIV/0!</v>
      </c>
      <c r="T3961" t="s">
        <v>82</v>
      </c>
    </row>
    <row r="3962" spans="15:20" x14ac:dyDescent="0.25">
      <c r="O3962">
        <v>1</v>
      </c>
      <c r="S3962" t="e">
        <v>#DIV/0!</v>
      </c>
      <c r="T3962" t="s">
        <v>82</v>
      </c>
    </row>
    <row r="3963" spans="15:20" x14ac:dyDescent="0.25">
      <c r="O3963">
        <v>1</v>
      </c>
      <c r="S3963" t="e">
        <v>#DIV/0!</v>
      </c>
      <c r="T3963" t="s">
        <v>82</v>
      </c>
    </row>
    <row r="3964" spans="15:20" x14ac:dyDescent="0.25">
      <c r="O3964">
        <v>1</v>
      </c>
      <c r="S3964" t="e">
        <v>#DIV/0!</v>
      </c>
      <c r="T3964" t="s">
        <v>82</v>
      </c>
    </row>
    <row r="3965" spans="15:20" x14ac:dyDescent="0.25">
      <c r="O3965">
        <v>1</v>
      </c>
      <c r="S3965" t="e">
        <v>#DIV/0!</v>
      </c>
      <c r="T3965" t="s">
        <v>82</v>
      </c>
    </row>
    <row r="3966" spans="15:20" x14ac:dyDescent="0.25">
      <c r="O3966">
        <v>1</v>
      </c>
      <c r="S3966" t="e">
        <v>#DIV/0!</v>
      </c>
      <c r="T3966" t="s">
        <v>82</v>
      </c>
    </row>
    <row r="3967" spans="15:20" x14ac:dyDescent="0.25">
      <c r="O3967">
        <v>1</v>
      </c>
      <c r="S3967" t="e">
        <v>#DIV/0!</v>
      </c>
      <c r="T3967" t="s">
        <v>82</v>
      </c>
    </row>
    <row r="3968" spans="15:20" x14ac:dyDescent="0.25">
      <c r="O3968">
        <v>1</v>
      </c>
      <c r="S3968" t="e">
        <v>#DIV/0!</v>
      </c>
      <c r="T3968" t="s">
        <v>82</v>
      </c>
    </row>
    <row r="3969" spans="15:20" x14ac:dyDescent="0.25">
      <c r="O3969">
        <v>1</v>
      </c>
      <c r="S3969" t="e">
        <v>#DIV/0!</v>
      </c>
      <c r="T3969" t="s">
        <v>82</v>
      </c>
    </row>
    <row r="3970" spans="15:20" x14ac:dyDescent="0.25">
      <c r="O3970">
        <v>1</v>
      </c>
      <c r="S3970" t="e">
        <v>#DIV/0!</v>
      </c>
      <c r="T3970" t="s">
        <v>82</v>
      </c>
    </row>
    <row r="3971" spans="15:20" x14ac:dyDescent="0.25">
      <c r="O3971">
        <v>1</v>
      </c>
      <c r="S3971" t="e">
        <v>#DIV/0!</v>
      </c>
      <c r="T3971" t="s">
        <v>82</v>
      </c>
    </row>
    <row r="3972" spans="15:20" x14ac:dyDescent="0.25">
      <c r="O3972">
        <v>1</v>
      </c>
      <c r="S3972" t="e">
        <v>#DIV/0!</v>
      </c>
      <c r="T3972" t="s">
        <v>82</v>
      </c>
    </row>
    <row r="3973" spans="15:20" x14ac:dyDescent="0.25">
      <c r="O3973">
        <v>1</v>
      </c>
      <c r="S3973" t="e">
        <v>#DIV/0!</v>
      </c>
      <c r="T3973" t="s">
        <v>82</v>
      </c>
    </row>
    <row r="3974" spans="15:20" x14ac:dyDescent="0.25">
      <c r="O3974">
        <v>1</v>
      </c>
      <c r="S3974" t="e">
        <v>#DIV/0!</v>
      </c>
      <c r="T3974" t="s">
        <v>82</v>
      </c>
    </row>
    <row r="3975" spans="15:20" x14ac:dyDescent="0.25">
      <c r="O3975">
        <v>1</v>
      </c>
      <c r="S3975" t="e">
        <v>#DIV/0!</v>
      </c>
      <c r="T3975" t="s">
        <v>82</v>
      </c>
    </row>
    <row r="3976" spans="15:20" x14ac:dyDescent="0.25">
      <c r="O3976">
        <v>1</v>
      </c>
      <c r="S3976" t="e">
        <v>#DIV/0!</v>
      </c>
      <c r="T3976" t="s">
        <v>82</v>
      </c>
    </row>
    <row r="3977" spans="15:20" x14ac:dyDescent="0.25">
      <c r="O3977">
        <v>1</v>
      </c>
      <c r="S3977" t="e">
        <v>#DIV/0!</v>
      </c>
      <c r="T3977" t="s">
        <v>82</v>
      </c>
    </row>
    <row r="3978" spans="15:20" x14ac:dyDescent="0.25">
      <c r="O3978">
        <v>1</v>
      </c>
      <c r="S3978" t="e">
        <v>#DIV/0!</v>
      </c>
      <c r="T3978" t="s">
        <v>82</v>
      </c>
    </row>
    <row r="3979" spans="15:20" x14ac:dyDescent="0.25">
      <c r="O3979">
        <v>1</v>
      </c>
      <c r="S3979" t="e">
        <v>#DIV/0!</v>
      </c>
      <c r="T3979" t="s">
        <v>82</v>
      </c>
    </row>
    <row r="3980" spans="15:20" x14ac:dyDescent="0.25">
      <c r="O3980">
        <v>1</v>
      </c>
      <c r="S3980" t="e">
        <v>#DIV/0!</v>
      </c>
      <c r="T3980" t="s">
        <v>82</v>
      </c>
    </row>
    <row r="3981" spans="15:20" x14ac:dyDescent="0.25">
      <c r="O3981">
        <v>1</v>
      </c>
      <c r="S3981" t="e">
        <v>#DIV/0!</v>
      </c>
      <c r="T3981" t="s">
        <v>82</v>
      </c>
    </row>
    <row r="3982" spans="15:20" x14ac:dyDescent="0.25">
      <c r="O3982">
        <v>1</v>
      </c>
      <c r="S3982" t="e">
        <v>#DIV/0!</v>
      </c>
      <c r="T3982" t="s">
        <v>82</v>
      </c>
    </row>
    <row r="3983" spans="15:20" x14ac:dyDescent="0.25">
      <c r="O3983">
        <v>1</v>
      </c>
      <c r="S3983" t="e">
        <v>#DIV/0!</v>
      </c>
      <c r="T3983" t="s">
        <v>82</v>
      </c>
    </row>
    <row r="3984" spans="15:20" x14ac:dyDescent="0.25">
      <c r="O3984">
        <v>1</v>
      </c>
      <c r="S3984" t="e">
        <v>#DIV/0!</v>
      </c>
      <c r="T3984" t="s">
        <v>82</v>
      </c>
    </row>
    <row r="3985" spans="15:20" x14ac:dyDescent="0.25">
      <c r="O3985">
        <v>1</v>
      </c>
      <c r="S3985" t="e">
        <v>#DIV/0!</v>
      </c>
      <c r="T3985" t="s">
        <v>82</v>
      </c>
    </row>
    <row r="3986" spans="15:20" x14ac:dyDescent="0.25">
      <c r="O3986">
        <v>1</v>
      </c>
      <c r="S3986" t="e">
        <v>#DIV/0!</v>
      </c>
      <c r="T3986" t="s">
        <v>82</v>
      </c>
    </row>
    <row r="3987" spans="15:20" x14ac:dyDescent="0.25">
      <c r="O3987">
        <v>1</v>
      </c>
      <c r="S3987" t="e">
        <v>#DIV/0!</v>
      </c>
      <c r="T3987" t="s">
        <v>82</v>
      </c>
    </row>
    <row r="3988" spans="15:20" x14ac:dyDescent="0.25">
      <c r="O3988">
        <v>1</v>
      </c>
      <c r="S3988" t="e">
        <v>#DIV/0!</v>
      </c>
      <c r="T3988" t="s">
        <v>82</v>
      </c>
    </row>
    <row r="3989" spans="15:20" x14ac:dyDescent="0.25">
      <c r="O3989">
        <v>1</v>
      </c>
      <c r="S3989" t="e">
        <v>#DIV/0!</v>
      </c>
      <c r="T3989" t="s">
        <v>82</v>
      </c>
    </row>
    <row r="3990" spans="15:20" x14ac:dyDescent="0.25">
      <c r="O3990">
        <v>1</v>
      </c>
      <c r="S3990" t="e">
        <v>#DIV/0!</v>
      </c>
      <c r="T3990" t="s">
        <v>82</v>
      </c>
    </row>
    <row r="3991" spans="15:20" x14ac:dyDescent="0.25">
      <c r="O3991">
        <v>1</v>
      </c>
      <c r="S3991" t="e">
        <v>#DIV/0!</v>
      </c>
      <c r="T3991" t="s">
        <v>82</v>
      </c>
    </row>
    <row r="3992" spans="15:20" x14ac:dyDescent="0.25">
      <c r="O3992">
        <v>1</v>
      </c>
      <c r="S3992" t="e">
        <v>#DIV/0!</v>
      </c>
      <c r="T3992" t="s">
        <v>82</v>
      </c>
    </row>
    <row r="3993" spans="15:20" x14ac:dyDescent="0.25">
      <c r="O3993">
        <v>1</v>
      </c>
      <c r="S3993" t="e">
        <v>#DIV/0!</v>
      </c>
      <c r="T3993" t="s">
        <v>82</v>
      </c>
    </row>
    <row r="3994" spans="15:20" x14ac:dyDescent="0.25">
      <c r="O3994">
        <v>1</v>
      </c>
      <c r="S3994" t="e">
        <v>#DIV/0!</v>
      </c>
      <c r="T3994" t="s">
        <v>82</v>
      </c>
    </row>
    <row r="3995" spans="15:20" x14ac:dyDescent="0.25">
      <c r="O3995">
        <v>1</v>
      </c>
      <c r="S3995" t="e">
        <v>#DIV/0!</v>
      </c>
      <c r="T3995" t="s">
        <v>82</v>
      </c>
    </row>
    <row r="3996" spans="15:20" x14ac:dyDescent="0.25">
      <c r="O3996">
        <v>1</v>
      </c>
      <c r="S3996" t="e">
        <v>#DIV/0!</v>
      </c>
      <c r="T3996" t="s">
        <v>82</v>
      </c>
    </row>
    <row r="3997" spans="15:20" x14ac:dyDescent="0.25">
      <c r="O3997">
        <v>1</v>
      </c>
      <c r="S3997" t="e">
        <v>#DIV/0!</v>
      </c>
      <c r="T3997" t="s">
        <v>82</v>
      </c>
    </row>
    <row r="3998" spans="15:20" x14ac:dyDescent="0.25">
      <c r="O3998">
        <v>1</v>
      </c>
      <c r="S3998" t="e">
        <v>#DIV/0!</v>
      </c>
      <c r="T3998" t="s">
        <v>82</v>
      </c>
    </row>
    <row r="3999" spans="15:20" x14ac:dyDescent="0.25">
      <c r="O3999">
        <v>1</v>
      </c>
      <c r="S3999" t="e">
        <v>#DIV/0!</v>
      </c>
      <c r="T3999" t="s">
        <v>82</v>
      </c>
    </row>
    <row r="4000" spans="15:20" x14ac:dyDescent="0.25">
      <c r="O4000">
        <v>1</v>
      </c>
      <c r="S4000" t="e">
        <v>#DIV/0!</v>
      </c>
      <c r="T4000" t="s">
        <v>82</v>
      </c>
    </row>
    <row r="4001" spans="15:20" x14ac:dyDescent="0.25">
      <c r="O4001">
        <v>1</v>
      </c>
      <c r="S4001" t="e">
        <v>#DIV/0!</v>
      </c>
      <c r="T4001" t="s">
        <v>82</v>
      </c>
    </row>
    <row r="4002" spans="15:20" x14ac:dyDescent="0.25">
      <c r="O4002">
        <v>1</v>
      </c>
      <c r="S4002" t="e">
        <v>#DIV/0!</v>
      </c>
      <c r="T4002" t="s">
        <v>82</v>
      </c>
    </row>
    <row r="4003" spans="15:20" x14ac:dyDescent="0.25">
      <c r="O4003">
        <v>1</v>
      </c>
      <c r="S4003" t="e">
        <v>#DIV/0!</v>
      </c>
      <c r="T4003" t="s">
        <v>82</v>
      </c>
    </row>
    <row r="4004" spans="15:20" x14ac:dyDescent="0.25">
      <c r="O4004">
        <v>1</v>
      </c>
      <c r="S4004" t="e">
        <v>#DIV/0!</v>
      </c>
      <c r="T4004" t="s">
        <v>82</v>
      </c>
    </row>
    <row r="4005" spans="15:20" x14ac:dyDescent="0.25">
      <c r="O4005">
        <v>1</v>
      </c>
      <c r="S4005" t="e">
        <v>#DIV/0!</v>
      </c>
      <c r="T4005" t="s">
        <v>82</v>
      </c>
    </row>
    <row r="4006" spans="15:20" x14ac:dyDescent="0.25">
      <c r="O4006">
        <v>1</v>
      </c>
      <c r="S4006" t="e">
        <v>#DIV/0!</v>
      </c>
      <c r="T4006" t="s">
        <v>82</v>
      </c>
    </row>
    <row r="4007" spans="15:20" x14ac:dyDescent="0.25">
      <c r="O4007">
        <v>1</v>
      </c>
      <c r="S4007" t="e">
        <v>#DIV/0!</v>
      </c>
      <c r="T4007" t="s">
        <v>82</v>
      </c>
    </row>
    <row r="4008" spans="15:20" x14ac:dyDescent="0.25">
      <c r="O4008">
        <v>1</v>
      </c>
      <c r="S4008" t="e">
        <v>#DIV/0!</v>
      </c>
      <c r="T4008" t="s">
        <v>82</v>
      </c>
    </row>
    <row r="4009" spans="15:20" x14ac:dyDescent="0.25">
      <c r="O4009">
        <v>1</v>
      </c>
      <c r="S4009" t="e">
        <v>#DIV/0!</v>
      </c>
      <c r="T4009" t="s">
        <v>82</v>
      </c>
    </row>
    <row r="4010" spans="15:20" x14ac:dyDescent="0.25">
      <c r="O4010">
        <v>1</v>
      </c>
      <c r="S4010" t="e">
        <v>#DIV/0!</v>
      </c>
      <c r="T4010" t="s">
        <v>82</v>
      </c>
    </row>
    <row r="4011" spans="15:20" x14ac:dyDescent="0.25">
      <c r="O4011">
        <v>1</v>
      </c>
      <c r="S4011" t="e">
        <v>#DIV/0!</v>
      </c>
      <c r="T4011" t="s">
        <v>82</v>
      </c>
    </row>
    <row r="4012" spans="15:20" x14ac:dyDescent="0.25">
      <c r="O4012">
        <v>1</v>
      </c>
      <c r="S4012" t="e">
        <v>#DIV/0!</v>
      </c>
      <c r="T4012" t="s">
        <v>82</v>
      </c>
    </row>
    <row r="4013" spans="15:20" x14ac:dyDescent="0.25">
      <c r="O4013">
        <v>1</v>
      </c>
      <c r="S4013" t="e">
        <v>#DIV/0!</v>
      </c>
      <c r="T4013" t="s">
        <v>82</v>
      </c>
    </row>
    <row r="4014" spans="15:20" x14ac:dyDescent="0.25">
      <c r="O4014">
        <v>1</v>
      </c>
      <c r="S4014" t="e">
        <v>#DIV/0!</v>
      </c>
      <c r="T4014" t="s">
        <v>82</v>
      </c>
    </row>
    <row r="4015" spans="15:20" x14ac:dyDescent="0.25">
      <c r="O4015">
        <v>1</v>
      </c>
      <c r="S4015" t="e">
        <v>#DIV/0!</v>
      </c>
      <c r="T4015" t="s">
        <v>82</v>
      </c>
    </row>
    <row r="4016" spans="15:20" x14ac:dyDescent="0.25">
      <c r="O4016">
        <v>1</v>
      </c>
      <c r="S4016" t="e">
        <v>#DIV/0!</v>
      </c>
      <c r="T4016" t="s">
        <v>82</v>
      </c>
    </row>
    <row r="4017" spans="15:20" x14ac:dyDescent="0.25">
      <c r="O4017">
        <v>1</v>
      </c>
      <c r="S4017" t="e">
        <v>#DIV/0!</v>
      </c>
      <c r="T4017" t="s">
        <v>82</v>
      </c>
    </row>
    <row r="4018" spans="15:20" x14ac:dyDescent="0.25">
      <c r="O4018">
        <v>1</v>
      </c>
      <c r="S4018" t="e">
        <v>#DIV/0!</v>
      </c>
      <c r="T4018" t="s">
        <v>82</v>
      </c>
    </row>
    <row r="4019" spans="15:20" x14ac:dyDescent="0.25">
      <c r="O4019">
        <v>1</v>
      </c>
      <c r="S4019" t="e">
        <v>#DIV/0!</v>
      </c>
      <c r="T4019" t="s">
        <v>82</v>
      </c>
    </row>
    <row r="4020" spans="15:20" x14ac:dyDescent="0.25">
      <c r="O4020">
        <v>1</v>
      </c>
      <c r="S4020" t="e">
        <v>#DIV/0!</v>
      </c>
      <c r="T4020" t="s">
        <v>82</v>
      </c>
    </row>
    <row r="4021" spans="15:20" x14ac:dyDescent="0.25">
      <c r="O4021">
        <v>1</v>
      </c>
      <c r="S4021" t="e">
        <v>#DIV/0!</v>
      </c>
      <c r="T4021" t="s">
        <v>82</v>
      </c>
    </row>
    <row r="4022" spans="15:20" x14ac:dyDescent="0.25">
      <c r="O4022">
        <v>1</v>
      </c>
      <c r="S4022" t="e">
        <v>#DIV/0!</v>
      </c>
      <c r="T4022" t="s">
        <v>82</v>
      </c>
    </row>
    <row r="4023" spans="15:20" x14ac:dyDescent="0.25">
      <c r="O4023">
        <v>1</v>
      </c>
      <c r="S4023" t="e">
        <v>#DIV/0!</v>
      </c>
      <c r="T4023" t="s">
        <v>82</v>
      </c>
    </row>
    <row r="4024" spans="15:20" x14ac:dyDescent="0.25">
      <c r="O4024">
        <v>1</v>
      </c>
      <c r="S4024" t="e">
        <v>#DIV/0!</v>
      </c>
      <c r="T4024" t="s">
        <v>82</v>
      </c>
    </row>
    <row r="4025" spans="15:20" x14ac:dyDescent="0.25">
      <c r="O4025">
        <v>1</v>
      </c>
      <c r="S4025" t="e">
        <v>#DIV/0!</v>
      </c>
      <c r="T4025" t="s">
        <v>82</v>
      </c>
    </row>
    <row r="4026" spans="15:20" x14ac:dyDescent="0.25">
      <c r="O4026">
        <v>1</v>
      </c>
      <c r="S4026" t="e">
        <v>#DIV/0!</v>
      </c>
      <c r="T4026" t="s">
        <v>82</v>
      </c>
    </row>
    <row r="4027" spans="15:20" x14ac:dyDescent="0.25">
      <c r="O4027">
        <v>1</v>
      </c>
      <c r="S4027" t="e">
        <v>#DIV/0!</v>
      </c>
      <c r="T4027" t="s">
        <v>82</v>
      </c>
    </row>
    <row r="4028" spans="15:20" x14ac:dyDescent="0.25">
      <c r="O4028">
        <v>1</v>
      </c>
      <c r="S4028" t="e">
        <v>#DIV/0!</v>
      </c>
      <c r="T4028" t="s">
        <v>82</v>
      </c>
    </row>
    <row r="4029" spans="15:20" x14ac:dyDescent="0.25">
      <c r="O4029">
        <v>1</v>
      </c>
      <c r="S4029" t="e">
        <v>#DIV/0!</v>
      </c>
      <c r="T4029" t="s">
        <v>82</v>
      </c>
    </row>
    <row r="4030" spans="15:20" x14ac:dyDescent="0.25">
      <c r="O4030">
        <v>1</v>
      </c>
      <c r="S4030" t="e">
        <v>#DIV/0!</v>
      </c>
      <c r="T4030" t="s">
        <v>82</v>
      </c>
    </row>
    <row r="4031" spans="15:20" x14ac:dyDescent="0.25">
      <c r="O4031">
        <v>1</v>
      </c>
      <c r="S4031" t="e">
        <v>#DIV/0!</v>
      </c>
      <c r="T4031" t="s">
        <v>82</v>
      </c>
    </row>
    <row r="4032" spans="15:20" x14ac:dyDescent="0.25">
      <c r="O4032">
        <v>1</v>
      </c>
      <c r="S4032" t="e">
        <v>#DIV/0!</v>
      </c>
      <c r="T4032" t="s">
        <v>82</v>
      </c>
    </row>
    <row r="4033" spans="15:20" x14ac:dyDescent="0.25">
      <c r="O4033">
        <v>1</v>
      </c>
      <c r="S4033" t="e">
        <v>#DIV/0!</v>
      </c>
      <c r="T4033" t="s">
        <v>82</v>
      </c>
    </row>
    <row r="4034" spans="15:20" x14ac:dyDescent="0.25">
      <c r="O4034">
        <v>1</v>
      </c>
      <c r="S4034" t="e">
        <v>#DIV/0!</v>
      </c>
      <c r="T4034" t="s">
        <v>82</v>
      </c>
    </row>
    <row r="4035" spans="15:20" x14ac:dyDescent="0.25">
      <c r="O4035">
        <v>1</v>
      </c>
      <c r="S4035" t="e">
        <v>#DIV/0!</v>
      </c>
      <c r="T4035" t="s">
        <v>82</v>
      </c>
    </row>
    <row r="4036" spans="15:20" x14ac:dyDescent="0.25">
      <c r="O4036">
        <v>1</v>
      </c>
      <c r="S4036" t="e">
        <v>#DIV/0!</v>
      </c>
      <c r="T4036" t="s">
        <v>82</v>
      </c>
    </row>
    <row r="4037" spans="15:20" x14ac:dyDescent="0.25">
      <c r="O4037">
        <v>1</v>
      </c>
      <c r="S4037" t="e">
        <v>#DIV/0!</v>
      </c>
      <c r="T4037" t="s">
        <v>82</v>
      </c>
    </row>
    <row r="4038" spans="15:20" x14ac:dyDescent="0.25">
      <c r="O4038">
        <v>1</v>
      </c>
      <c r="S4038" t="e">
        <v>#DIV/0!</v>
      </c>
      <c r="T4038" t="s">
        <v>82</v>
      </c>
    </row>
    <row r="4039" spans="15:20" x14ac:dyDescent="0.25">
      <c r="O4039">
        <v>1</v>
      </c>
      <c r="S4039" t="e">
        <v>#DIV/0!</v>
      </c>
      <c r="T4039" t="s">
        <v>82</v>
      </c>
    </row>
    <row r="4040" spans="15:20" x14ac:dyDescent="0.25">
      <c r="O4040">
        <v>1</v>
      </c>
      <c r="S4040" t="e">
        <v>#DIV/0!</v>
      </c>
      <c r="T4040" t="s">
        <v>82</v>
      </c>
    </row>
    <row r="4041" spans="15:20" x14ac:dyDescent="0.25">
      <c r="O4041">
        <v>1</v>
      </c>
      <c r="S4041" t="e">
        <v>#DIV/0!</v>
      </c>
      <c r="T4041" t="s">
        <v>82</v>
      </c>
    </row>
    <row r="4042" spans="15:20" x14ac:dyDescent="0.25">
      <c r="O4042">
        <v>1</v>
      </c>
      <c r="S4042" t="e">
        <v>#DIV/0!</v>
      </c>
      <c r="T4042" t="s">
        <v>82</v>
      </c>
    </row>
    <row r="4043" spans="15:20" x14ac:dyDescent="0.25">
      <c r="O4043">
        <v>1</v>
      </c>
      <c r="S4043" t="e">
        <v>#DIV/0!</v>
      </c>
      <c r="T4043" t="s">
        <v>82</v>
      </c>
    </row>
    <row r="4044" spans="15:20" x14ac:dyDescent="0.25">
      <c r="O4044">
        <v>1</v>
      </c>
      <c r="S4044" t="e">
        <v>#DIV/0!</v>
      </c>
      <c r="T4044" t="s">
        <v>82</v>
      </c>
    </row>
    <row r="4045" spans="15:20" x14ac:dyDescent="0.25">
      <c r="O4045">
        <v>1</v>
      </c>
      <c r="S4045" t="e">
        <v>#DIV/0!</v>
      </c>
      <c r="T4045" t="s">
        <v>82</v>
      </c>
    </row>
    <row r="4046" spans="15:20" x14ac:dyDescent="0.25">
      <c r="O4046">
        <v>1</v>
      </c>
      <c r="S4046" t="e">
        <v>#DIV/0!</v>
      </c>
      <c r="T4046" t="s">
        <v>82</v>
      </c>
    </row>
    <row r="4047" spans="15:20" x14ac:dyDescent="0.25">
      <c r="O4047">
        <v>1</v>
      </c>
      <c r="S4047" t="e">
        <v>#DIV/0!</v>
      </c>
      <c r="T4047" t="s">
        <v>82</v>
      </c>
    </row>
    <row r="4048" spans="15:20" x14ac:dyDescent="0.25">
      <c r="O4048">
        <v>1</v>
      </c>
      <c r="S4048" t="e">
        <v>#DIV/0!</v>
      </c>
      <c r="T4048" t="s">
        <v>82</v>
      </c>
    </row>
    <row r="4049" spans="15:20" x14ac:dyDescent="0.25">
      <c r="O4049">
        <v>1</v>
      </c>
      <c r="S4049" t="e">
        <v>#DIV/0!</v>
      </c>
      <c r="T4049" t="s">
        <v>82</v>
      </c>
    </row>
    <row r="4050" spans="15:20" x14ac:dyDescent="0.25">
      <c r="O4050">
        <v>1</v>
      </c>
      <c r="S4050" t="e">
        <v>#DIV/0!</v>
      </c>
      <c r="T4050" t="s">
        <v>82</v>
      </c>
    </row>
    <row r="4051" spans="15:20" x14ac:dyDescent="0.25">
      <c r="O4051">
        <v>1</v>
      </c>
      <c r="S4051" t="e">
        <v>#DIV/0!</v>
      </c>
      <c r="T4051" t="s">
        <v>82</v>
      </c>
    </row>
    <row r="4052" spans="15:20" x14ac:dyDescent="0.25">
      <c r="O4052">
        <v>1</v>
      </c>
      <c r="S4052" t="e">
        <v>#DIV/0!</v>
      </c>
      <c r="T4052" t="s">
        <v>82</v>
      </c>
    </row>
    <row r="4053" spans="15:20" x14ac:dyDescent="0.25">
      <c r="O4053">
        <v>1</v>
      </c>
      <c r="S4053" t="e">
        <v>#DIV/0!</v>
      </c>
      <c r="T4053" t="s">
        <v>82</v>
      </c>
    </row>
    <row r="4054" spans="15:20" x14ac:dyDescent="0.25">
      <c r="O4054">
        <v>1</v>
      </c>
      <c r="S4054" t="e">
        <v>#DIV/0!</v>
      </c>
      <c r="T4054" t="s">
        <v>82</v>
      </c>
    </row>
    <row r="4055" spans="15:20" x14ac:dyDescent="0.25">
      <c r="O4055">
        <v>1</v>
      </c>
      <c r="S4055" t="e">
        <v>#DIV/0!</v>
      </c>
      <c r="T4055" t="s">
        <v>82</v>
      </c>
    </row>
    <row r="4056" spans="15:20" x14ac:dyDescent="0.25">
      <c r="O4056">
        <v>1</v>
      </c>
      <c r="S4056" t="e">
        <v>#DIV/0!</v>
      </c>
      <c r="T4056" t="s">
        <v>82</v>
      </c>
    </row>
    <row r="4057" spans="15:20" x14ac:dyDescent="0.25">
      <c r="O4057">
        <v>1</v>
      </c>
      <c r="S4057" t="e">
        <v>#DIV/0!</v>
      </c>
      <c r="T4057" t="s">
        <v>82</v>
      </c>
    </row>
    <row r="4058" spans="15:20" x14ac:dyDescent="0.25">
      <c r="O4058">
        <v>1</v>
      </c>
      <c r="S4058" t="e">
        <v>#DIV/0!</v>
      </c>
      <c r="T4058" t="s">
        <v>82</v>
      </c>
    </row>
    <row r="4059" spans="15:20" x14ac:dyDescent="0.25">
      <c r="O4059">
        <v>1</v>
      </c>
      <c r="S4059" t="e">
        <v>#DIV/0!</v>
      </c>
      <c r="T4059" t="s">
        <v>82</v>
      </c>
    </row>
    <row r="4060" spans="15:20" x14ac:dyDescent="0.25">
      <c r="O4060">
        <v>1</v>
      </c>
      <c r="S4060" t="e">
        <v>#DIV/0!</v>
      </c>
      <c r="T4060" t="s">
        <v>82</v>
      </c>
    </row>
    <row r="4061" spans="15:20" x14ac:dyDescent="0.25">
      <c r="O4061">
        <v>1</v>
      </c>
      <c r="S4061" t="e">
        <v>#DIV/0!</v>
      </c>
      <c r="T4061" t="s">
        <v>82</v>
      </c>
    </row>
    <row r="4062" spans="15:20" x14ac:dyDescent="0.25">
      <c r="O4062">
        <v>1</v>
      </c>
      <c r="S4062" t="e">
        <v>#DIV/0!</v>
      </c>
      <c r="T4062" t="s">
        <v>82</v>
      </c>
    </row>
    <row r="4063" spans="15:20" x14ac:dyDescent="0.25">
      <c r="O4063">
        <v>1</v>
      </c>
      <c r="S4063" t="e">
        <v>#DIV/0!</v>
      </c>
      <c r="T4063" t="s">
        <v>82</v>
      </c>
    </row>
    <row r="4064" spans="15:20" x14ac:dyDescent="0.25">
      <c r="O4064">
        <v>1</v>
      </c>
      <c r="S4064" t="e">
        <v>#DIV/0!</v>
      </c>
      <c r="T4064" t="s">
        <v>82</v>
      </c>
    </row>
    <row r="4065" spans="15:20" x14ac:dyDescent="0.25">
      <c r="O4065">
        <v>1</v>
      </c>
      <c r="S4065" t="e">
        <v>#DIV/0!</v>
      </c>
      <c r="T4065" t="s">
        <v>82</v>
      </c>
    </row>
    <row r="4066" spans="15:20" x14ac:dyDescent="0.25">
      <c r="O4066">
        <v>1</v>
      </c>
      <c r="S4066" t="e">
        <v>#DIV/0!</v>
      </c>
      <c r="T4066" t="s">
        <v>82</v>
      </c>
    </row>
    <row r="4067" spans="15:20" x14ac:dyDescent="0.25">
      <c r="O4067">
        <v>1</v>
      </c>
      <c r="S4067" t="e">
        <v>#DIV/0!</v>
      </c>
      <c r="T4067" t="s">
        <v>82</v>
      </c>
    </row>
    <row r="4068" spans="15:20" x14ac:dyDescent="0.25">
      <c r="O4068">
        <v>1</v>
      </c>
      <c r="S4068" t="e">
        <v>#DIV/0!</v>
      </c>
      <c r="T4068" t="s">
        <v>82</v>
      </c>
    </row>
    <row r="4069" spans="15:20" x14ac:dyDescent="0.25">
      <c r="O4069">
        <v>1</v>
      </c>
      <c r="S4069" t="e">
        <v>#DIV/0!</v>
      </c>
      <c r="T4069" t="s">
        <v>82</v>
      </c>
    </row>
    <row r="4070" spans="15:20" x14ac:dyDescent="0.25">
      <c r="O4070">
        <v>1</v>
      </c>
      <c r="S4070" t="e">
        <v>#DIV/0!</v>
      </c>
      <c r="T4070" t="s">
        <v>82</v>
      </c>
    </row>
    <row r="4071" spans="15:20" x14ac:dyDescent="0.25">
      <c r="O4071">
        <v>1</v>
      </c>
      <c r="S4071" t="e">
        <v>#DIV/0!</v>
      </c>
      <c r="T4071" t="s">
        <v>82</v>
      </c>
    </row>
    <row r="4072" spans="15:20" x14ac:dyDescent="0.25">
      <c r="O4072">
        <v>1</v>
      </c>
      <c r="S4072" t="e">
        <v>#DIV/0!</v>
      </c>
      <c r="T4072" t="s">
        <v>82</v>
      </c>
    </row>
    <row r="4073" spans="15:20" x14ac:dyDescent="0.25">
      <c r="O4073">
        <v>1</v>
      </c>
      <c r="S4073" t="e">
        <v>#DIV/0!</v>
      </c>
      <c r="T4073" t="s">
        <v>82</v>
      </c>
    </row>
    <row r="4074" spans="15:20" x14ac:dyDescent="0.25">
      <c r="O4074">
        <v>1</v>
      </c>
      <c r="S4074" t="e">
        <v>#DIV/0!</v>
      </c>
      <c r="T4074" t="s">
        <v>82</v>
      </c>
    </row>
    <row r="4075" spans="15:20" x14ac:dyDescent="0.25">
      <c r="O4075">
        <v>1</v>
      </c>
      <c r="S4075" t="e">
        <v>#DIV/0!</v>
      </c>
      <c r="T4075" t="s">
        <v>82</v>
      </c>
    </row>
    <row r="4076" spans="15:20" x14ac:dyDescent="0.25">
      <c r="O4076">
        <v>1</v>
      </c>
      <c r="S4076" t="e">
        <v>#DIV/0!</v>
      </c>
      <c r="T4076" t="s">
        <v>82</v>
      </c>
    </row>
    <row r="4077" spans="15:20" x14ac:dyDescent="0.25">
      <c r="O4077">
        <v>1</v>
      </c>
      <c r="S4077" t="e">
        <v>#DIV/0!</v>
      </c>
      <c r="T4077" t="s">
        <v>82</v>
      </c>
    </row>
    <row r="4078" spans="15:20" x14ac:dyDescent="0.25">
      <c r="O4078">
        <v>1</v>
      </c>
      <c r="S4078" t="e">
        <v>#DIV/0!</v>
      </c>
      <c r="T4078" t="s">
        <v>82</v>
      </c>
    </row>
    <row r="4079" spans="15:20" x14ac:dyDescent="0.25">
      <c r="O4079">
        <v>1</v>
      </c>
      <c r="S4079" t="e">
        <v>#DIV/0!</v>
      </c>
      <c r="T4079" t="s">
        <v>82</v>
      </c>
    </row>
    <row r="4080" spans="15:20" x14ac:dyDescent="0.25">
      <c r="O4080">
        <v>1</v>
      </c>
      <c r="S4080" t="e">
        <v>#DIV/0!</v>
      </c>
      <c r="T4080" t="s">
        <v>82</v>
      </c>
    </row>
    <row r="4081" spans="15:20" x14ac:dyDescent="0.25">
      <c r="O4081">
        <v>1</v>
      </c>
      <c r="S4081" t="e">
        <v>#DIV/0!</v>
      </c>
      <c r="T4081" t="s">
        <v>82</v>
      </c>
    </row>
    <row r="4082" spans="15:20" x14ac:dyDescent="0.25">
      <c r="O4082">
        <v>1</v>
      </c>
      <c r="S4082" t="e">
        <v>#DIV/0!</v>
      </c>
      <c r="T4082" t="s">
        <v>82</v>
      </c>
    </row>
    <row r="4083" spans="15:20" x14ac:dyDescent="0.25">
      <c r="O4083">
        <v>1</v>
      </c>
      <c r="S4083" t="e">
        <v>#DIV/0!</v>
      </c>
      <c r="T4083" t="s">
        <v>82</v>
      </c>
    </row>
    <row r="4084" spans="15:20" x14ac:dyDescent="0.25">
      <c r="O4084">
        <v>1</v>
      </c>
      <c r="S4084" t="e">
        <v>#DIV/0!</v>
      </c>
      <c r="T4084" t="s">
        <v>82</v>
      </c>
    </row>
    <row r="4085" spans="15:20" x14ac:dyDescent="0.25">
      <c r="O4085">
        <v>1</v>
      </c>
      <c r="S4085" t="e">
        <v>#DIV/0!</v>
      </c>
      <c r="T4085" t="s">
        <v>82</v>
      </c>
    </row>
    <row r="4086" spans="15:20" x14ac:dyDescent="0.25">
      <c r="O4086">
        <v>1</v>
      </c>
      <c r="S4086" t="e">
        <v>#DIV/0!</v>
      </c>
      <c r="T4086" t="s">
        <v>82</v>
      </c>
    </row>
    <row r="4087" spans="15:20" x14ac:dyDescent="0.25">
      <c r="O4087">
        <v>1</v>
      </c>
      <c r="S4087" t="e">
        <v>#DIV/0!</v>
      </c>
      <c r="T4087" t="s">
        <v>82</v>
      </c>
    </row>
    <row r="4088" spans="15:20" x14ac:dyDescent="0.25">
      <c r="O4088">
        <v>1</v>
      </c>
      <c r="S4088" t="e">
        <v>#DIV/0!</v>
      </c>
      <c r="T4088" t="s">
        <v>82</v>
      </c>
    </row>
    <row r="4089" spans="15:20" x14ac:dyDescent="0.25">
      <c r="O4089">
        <v>1</v>
      </c>
      <c r="S4089" t="e">
        <v>#DIV/0!</v>
      </c>
      <c r="T4089" t="s">
        <v>82</v>
      </c>
    </row>
    <row r="4090" spans="15:20" x14ac:dyDescent="0.25">
      <c r="O4090">
        <v>1</v>
      </c>
      <c r="S4090" t="e">
        <v>#DIV/0!</v>
      </c>
      <c r="T4090" t="s">
        <v>82</v>
      </c>
    </row>
    <row r="4091" spans="15:20" x14ac:dyDescent="0.25">
      <c r="O4091">
        <v>1</v>
      </c>
      <c r="S4091" t="e">
        <v>#DIV/0!</v>
      </c>
      <c r="T4091" t="s">
        <v>82</v>
      </c>
    </row>
    <row r="4092" spans="15:20" x14ac:dyDescent="0.25">
      <c r="O4092">
        <v>1</v>
      </c>
      <c r="S4092" t="e">
        <v>#DIV/0!</v>
      </c>
      <c r="T4092" t="s">
        <v>82</v>
      </c>
    </row>
    <row r="4093" spans="15:20" x14ac:dyDescent="0.25">
      <c r="O4093">
        <v>1</v>
      </c>
      <c r="S4093" t="e">
        <v>#DIV/0!</v>
      </c>
      <c r="T4093" t="s">
        <v>82</v>
      </c>
    </row>
    <row r="4094" spans="15:20" x14ac:dyDescent="0.25">
      <c r="O4094">
        <v>1</v>
      </c>
      <c r="S4094" t="e">
        <v>#DIV/0!</v>
      </c>
      <c r="T4094" t="s">
        <v>82</v>
      </c>
    </row>
    <row r="4095" spans="15:20" x14ac:dyDescent="0.25">
      <c r="O4095">
        <v>1</v>
      </c>
      <c r="S4095" t="e">
        <v>#DIV/0!</v>
      </c>
      <c r="T4095" t="s">
        <v>82</v>
      </c>
    </row>
    <row r="4096" spans="15:20" x14ac:dyDescent="0.25">
      <c r="O4096">
        <v>1</v>
      </c>
      <c r="S4096" t="e">
        <v>#DIV/0!</v>
      </c>
      <c r="T4096" t="s">
        <v>82</v>
      </c>
    </row>
    <row r="4097" spans="15:20" x14ac:dyDescent="0.25">
      <c r="O4097">
        <v>1</v>
      </c>
      <c r="S4097" t="e">
        <v>#DIV/0!</v>
      </c>
      <c r="T4097" t="s">
        <v>82</v>
      </c>
    </row>
    <row r="4098" spans="15:20" x14ac:dyDescent="0.25">
      <c r="O4098">
        <v>1</v>
      </c>
      <c r="S4098" t="e">
        <v>#DIV/0!</v>
      </c>
      <c r="T4098" t="s">
        <v>82</v>
      </c>
    </row>
    <row r="4099" spans="15:20" x14ac:dyDescent="0.25">
      <c r="O4099">
        <v>1</v>
      </c>
      <c r="S4099" t="e">
        <v>#DIV/0!</v>
      </c>
      <c r="T4099" t="s">
        <v>82</v>
      </c>
    </row>
    <row r="4100" spans="15:20" x14ac:dyDescent="0.25">
      <c r="O4100">
        <v>1</v>
      </c>
      <c r="S4100" t="e">
        <v>#DIV/0!</v>
      </c>
      <c r="T4100" t="s">
        <v>82</v>
      </c>
    </row>
    <row r="4101" spans="15:20" x14ac:dyDescent="0.25">
      <c r="O4101">
        <v>1</v>
      </c>
      <c r="S4101" t="e">
        <v>#DIV/0!</v>
      </c>
      <c r="T4101" t="s">
        <v>82</v>
      </c>
    </row>
    <row r="4102" spans="15:20" x14ac:dyDescent="0.25">
      <c r="O4102">
        <v>1</v>
      </c>
      <c r="S4102" t="e">
        <v>#DIV/0!</v>
      </c>
      <c r="T4102" t="s">
        <v>82</v>
      </c>
    </row>
    <row r="4103" spans="15:20" x14ac:dyDescent="0.25">
      <c r="O4103">
        <v>1</v>
      </c>
      <c r="S4103" t="e">
        <v>#DIV/0!</v>
      </c>
      <c r="T4103" t="s">
        <v>82</v>
      </c>
    </row>
    <row r="4104" spans="15:20" x14ac:dyDescent="0.25">
      <c r="O4104">
        <v>1</v>
      </c>
      <c r="S4104" t="e">
        <v>#DIV/0!</v>
      </c>
      <c r="T4104" t="s">
        <v>82</v>
      </c>
    </row>
    <row r="4105" spans="15:20" x14ac:dyDescent="0.25">
      <c r="O4105">
        <v>1</v>
      </c>
      <c r="S4105" t="e">
        <v>#DIV/0!</v>
      </c>
      <c r="T4105" t="s">
        <v>82</v>
      </c>
    </row>
    <row r="4106" spans="15:20" x14ac:dyDescent="0.25">
      <c r="O4106">
        <v>1</v>
      </c>
      <c r="S4106" t="e">
        <v>#DIV/0!</v>
      </c>
      <c r="T4106" t="s">
        <v>82</v>
      </c>
    </row>
    <row r="4107" spans="15:20" x14ac:dyDescent="0.25">
      <c r="O4107">
        <v>1</v>
      </c>
      <c r="S4107" t="e">
        <v>#DIV/0!</v>
      </c>
      <c r="T4107" t="s">
        <v>82</v>
      </c>
    </row>
    <row r="4108" spans="15:20" x14ac:dyDescent="0.25">
      <c r="O4108">
        <v>1</v>
      </c>
      <c r="S4108" t="e">
        <v>#DIV/0!</v>
      </c>
      <c r="T4108" t="s">
        <v>82</v>
      </c>
    </row>
    <row r="4109" spans="15:20" x14ac:dyDescent="0.25">
      <c r="O4109">
        <v>1</v>
      </c>
      <c r="S4109" t="e">
        <v>#DIV/0!</v>
      </c>
      <c r="T4109" t="s">
        <v>82</v>
      </c>
    </row>
    <row r="4110" spans="15:20" x14ac:dyDescent="0.25">
      <c r="O4110">
        <v>1</v>
      </c>
      <c r="S4110" t="e">
        <v>#DIV/0!</v>
      </c>
      <c r="T4110" t="s">
        <v>82</v>
      </c>
    </row>
    <row r="4111" spans="15:20" x14ac:dyDescent="0.25">
      <c r="O4111">
        <v>1</v>
      </c>
      <c r="S4111" t="e">
        <v>#DIV/0!</v>
      </c>
      <c r="T4111" t="s">
        <v>82</v>
      </c>
    </row>
    <row r="4112" spans="15:20" x14ac:dyDescent="0.25">
      <c r="O4112">
        <v>1</v>
      </c>
      <c r="S4112" t="e">
        <v>#DIV/0!</v>
      </c>
      <c r="T4112" t="s">
        <v>82</v>
      </c>
    </row>
    <row r="4113" spans="15:20" x14ac:dyDescent="0.25">
      <c r="O4113">
        <v>1</v>
      </c>
      <c r="S4113" t="e">
        <v>#DIV/0!</v>
      </c>
      <c r="T4113" t="s">
        <v>82</v>
      </c>
    </row>
    <row r="4114" spans="15:20" x14ac:dyDescent="0.25">
      <c r="O4114">
        <v>1</v>
      </c>
      <c r="S4114" t="e">
        <v>#DIV/0!</v>
      </c>
      <c r="T4114" t="s">
        <v>82</v>
      </c>
    </row>
    <row r="4115" spans="15:20" x14ac:dyDescent="0.25">
      <c r="O4115">
        <v>1</v>
      </c>
      <c r="S4115" t="e">
        <v>#DIV/0!</v>
      </c>
      <c r="T4115" t="s">
        <v>82</v>
      </c>
    </row>
    <row r="4116" spans="15:20" x14ac:dyDescent="0.25">
      <c r="O4116">
        <v>1</v>
      </c>
      <c r="S4116" t="e">
        <v>#DIV/0!</v>
      </c>
      <c r="T4116" t="s">
        <v>82</v>
      </c>
    </row>
    <row r="4117" spans="15:20" x14ac:dyDescent="0.25">
      <c r="O4117">
        <v>1</v>
      </c>
      <c r="S4117" t="e">
        <v>#DIV/0!</v>
      </c>
      <c r="T4117" t="s">
        <v>82</v>
      </c>
    </row>
    <row r="4118" spans="15:20" x14ac:dyDescent="0.25">
      <c r="O4118">
        <v>1</v>
      </c>
      <c r="S4118" t="e">
        <v>#DIV/0!</v>
      </c>
      <c r="T4118" t="s">
        <v>82</v>
      </c>
    </row>
    <row r="4119" spans="15:20" x14ac:dyDescent="0.25">
      <c r="O4119">
        <v>1</v>
      </c>
      <c r="S4119" t="e">
        <v>#DIV/0!</v>
      </c>
      <c r="T4119" t="s">
        <v>82</v>
      </c>
    </row>
    <row r="4120" spans="15:20" x14ac:dyDescent="0.25">
      <c r="O4120">
        <v>1</v>
      </c>
      <c r="S4120" t="e">
        <v>#DIV/0!</v>
      </c>
      <c r="T4120" t="s">
        <v>82</v>
      </c>
    </row>
    <row r="4121" spans="15:20" x14ac:dyDescent="0.25">
      <c r="O4121">
        <v>1</v>
      </c>
      <c r="S4121" t="e">
        <v>#DIV/0!</v>
      </c>
      <c r="T4121" t="s">
        <v>82</v>
      </c>
    </row>
    <row r="4122" spans="15:20" x14ac:dyDescent="0.25">
      <c r="O4122">
        <v>1</v>
      </c>
      <c r="S4122" t="e">
        <v>#DIV/0!</v>
      </c>
      <c r="T4122" t="s">
        <v>82</v>
      </c>
    </row>
    <row r="4123" spans="15:20" x14ac:dyDescent="0.25">
      <c r="O4123">
        <v>1</v>
      </c>
      <c r="S4123" t="e">
        <v>#DIV/0!</v>
      </c>
      <c r="T4123" t="s">
        <v>82</v>
      </c>
    </row>
    <row r="4124" spans="15:20" x14ac:dyDescent="0.25">
      <c r="O4124">
        <v>1</v>
      </c>
      <c r="S4124" t="e">
        <v>#DIV/0!</v>
      </c>
      <c r="T4124" t="s">
        <v>82</v>
      </c>
    </row>
    <row r="4125" spans="15:20" x14ac:dyDescent="0.25">
      <c r="O4125">
        <v>1</v>
      </c>
      <c r="S4125" t="e">
        <v>#DIV/0!</v>
      </c>
      <c r="T4125" t="s">
        <v>82</v>
      </c>
    </row>
    <row r="4126" spans="15:20" x14ac:dyDescent="0.25">
      <c r="O4126">
        <v>1</v>
      </c>
      <c r="S4126" t="e">
        <v>#DIV/0!</v>
      </c>
      <c r="T4126" t="s">
        <v>82</v>
      </c>
    </row>
    <row r="4127" spans="15:20" x14ac:dyDescent="0.25">
      <c r="O4127">
        <v>1</v>
      </c>
      <c r="S4127" t="e">
        <v>#DIV/0!</v>
      </c>
      <c r="T4127" t="s">
        <v>82</v>
      </c>
    </row>
    <row r="4128" spans="15:20" x14ac:dyDescent="0.25">
      <c r="O4128">
        <v>1</v>
      </c>
      <c r="S4128" t="e">
        <v>#DIV/0!</v>
      </c>
      <c r="T4128" t="s">
        <v>82</v>
      </c>
    </row>
    <row r="4129" spans="15:20" x14ac:dyDescent="0.25">
      <c r="O4129">
        <v>1</v>
      </c>
      <c r="S4129" t="e">
        <v>#DIV/0!</v>
      </c>
      <c r="T4129" t="s">
        <v>82</v>
      </c>
    </row>
    <row r="4130" spans="15:20" x14ac:dyDescent="0.25">
      <c r="O4130">
        <v>1</v>
      </c>
      <c r="S4130" t="e">
        <v>#DIV/0!</v>
      </c>
      <c r="T4130" t="s">
        <v>82</v>
      </c>
    </row>
    <row r="4131" spans="15:20" x14ac:dyDescent="0.25">
      <c r="O4131">
        <v>1</v>
      </c>
      <c r="S4131" t="e">
        <v>#DIV/0!</v>
      </c>
      <c r="T4131" t="s">
        <v>82</v>
      </c>
    </row>
    <row r="4132" spans="15:20" x14ac:dyDescent="0.25">
      <c r="O4132">
        <v>1</v>
      </c>
      <c r="S4132" t="e">
        <v>#DIV/0!</v>
      </c>
      <c r="T4132" t="s">
        <v>82</v>
      </c>
    </row>
    <row r="4133" spans="15:20" x14ac:dyDescent="0.25">
      <c r="O4133">
        <v>1</v>
      </c>
      <c r="S4133" t="e">
        <v>#DIV/0!</v>
      </c>
      <c r="T4133" t="s">
        <v>82</v>
      </c>
    </row>
    <row r="4134" spans="15:20" x14ac:dyDescent="0.25">
      <c r="O4134">
        <v>1</v>
      </c>
      <c r="S4134" t="e">
        <v>#DIV/0!</v>
      </c>
      <c r="T4134" t="s">
        <v>82</v>
      </c>
    </row>
    <row r="4135" spans="15:20" x14ac:dyDescent="0.25">
      <c r="O4135">
        <v>1</v>
      </c>
      <c r="S4135" t="e">
        <v>#DIV/0!</v>
      </c>
      <c r="T4135" t="s">
        <v>82</v>
      </c>
    </row>
    <row r="4136" spans="15:20" x14ac:dyDescent="0.25">
      <c r="O4136">
        <v>1</v>
      </c>
      <c r="S4136" t="e">
        <v>#DIV/0!</v>
      </c>
      <c r="T4136" t="s">
        <v>82</v>
      </c>
    </row>
    <row r="4137" spans="15:20" x14ac:dyDescent="0.25">
      <c r="O4137">
        <v>1</v>
      </c>
      <c r="S4137" t="e">
        <v>#DIV/0!</v>
      </c>
      <c r="T4137" t="s">
        <v>82</v>
      </c>
    </row>
    <row r="4138" spans="15:20" x14ac:dyDescent="0.25">
      <c r="O4138">
        <v>1</v>
      </c>
      <c r="S4138" t="e">
        <v>#DIV/0!</v>
      </c>
      <c r="T4138" t="s">
        <v>82</v>
      </c>
    </row>
    <row r="4139" spans="15:20" x14ac:dyDescent="0.25">
      <c r="O4139">
        <v>1</v>
      </c>
      <c r="S4139" t="e">
        <v>#DIV/0!</v>
      </c>
      <c r="T4139" t="s">
        <v>82</v>
      </c>
    </row>
    <row r="4140" spans="15:20" x14ac:dyDescent="0.25">
      <c r="O4140">
        <v>1</v>
      </c>
      <c r="S4140" t="e">
        <v>#DIV/0!</v>
      </c>
      <c r="T4140" t="s">
        <v>82</v>
      </c>
    </row>
    <row r="4141" spans="15:20" x14ac:dyDescent="0.25">
      <c r="O4141">
        <v>1</v>
      </c>
      <c r="S4141" t="e">
        <v>#DIV/0!</v>
      </c>
      <c r="T4141" t="s">
        <v>82</v>
      </c>
    </row>
    <row r="4142" spans="15:20" x14ac:dyDescent="0.25">
      <c r="O4142">
        <v>1</v>
      </c>
      <c r="S4142" t="e">
        <v>#DIV/0!</v>
      </c>
      <c r="T4142" t="s">
        <v>82</v>
      </c>
    </row>
    <row r="4143" spans="15:20" x14ac:dyDescent="0.25">
      <c r="O4143">
        <v>1</v>
      </c>
      <c r="S4143" t="e">
        <v>#DIV/0!</v>
      </c>
      <c r="T4143" t="s">
        <v>82</v>
      </c>
    </row>
    <row r="4144" spans="15:20" x14ac:dyDescent="0.25">
      <c r="O4144">
        <v>1</v>
      </c>
      <c r="S4144" t="e">
        <v>#DIV/0!</v>
      </c>
      <c r="T4144" t="s">
        <v>82</v>
      </c>
    </row>
    <row r="4145" spans="15:20" x14ac:dyDescent="0.25">
      <c r="O4145">
        <v>1</v>
      </c>
      <c r="S4145" t="e">
        <v>#DIV/0!</v>
      </c>
      <c r="T4145" t="s">
        <v>82</v>
      </c>
    </row>
    <row r="4146" spans="15:20" x14ac:dyDescent="0.25">
      <c r="O4146">
        <v>1</v>
      </c>
      <c r="S4146" t="e">
        <v>#DIV/0!</v>
      </c>
      <c r="T4146" t="s">
        <v>82</v>
      </c>
    </row>
    <row r="4147" spans="15:20" x14ac:dyDescent="0.25">
      <c r="O4147">
        <v>1</v>
      </c>
      <c r="S4147" t="e">
        <v>#DIV/0!</v>
      </c>
      <c r="T4147" t="s">
        <v>82</v>
      </c>
    </row>
    <row r="4148" spans="15:20" x14ac:dyDescent="0.25">
      <c r="O4148">
        <v>1</v>
      </c>
      <c r="S4148" t="e">
        <v>#DIV/0!</v>
      </c>
      <c r="T4148" t="s">
        <v>82</v>
      </c>
    </row>
    <row r="4149" spans="15:20" x14ac:dyDescent="0.25">
      <c r="O4149">
        <v>1</v>
      </c>
      <c r="S4149" t="e">
        <v>#DIV/0!</v>
      </c>
      <c r="T4149" t="s">
        <v>82</v>
      </c>
    </row>
    <row r="4150" spans="15:20" x14ac:dyDescent="0.25">
      <c r="O4150">
        <v>1</v>
      </c>
      <c r="S4150" t="e">
        <v>#DIV/0!</v>
      </c>
      <c r="T4150" t="s">
        <v>82</v>
      </c>
    </row>
    <row r="4151" spans="15:20" x14ac:dyDescent="0.25">
      <c r="O4151">
        <v>1</v>
      </c>
      <c r="S4151" t="e">
        <v>#DIV/0!</v>
      </c>
      <c r="T4151" t="s">
        <v>82</v>
      </c>
    </row>
    <row r="4152" spans="15:20" x14ac:dyDescent="0.25">
      <c r="O4152">
        <v>1</v>
      </c>
      <c r="S4152" t="e">
        <v>#DIV/0!</v>
      </c>
      <c r="T4152" t="s">
        <v>82</v>
      </c>
    </row>
    <row r="4153" spans="15:20" x14ac:dyDescent="0.25">
      <c r="O4153">
        <v>1</v>
      </c>
      <c r="S4153" t="e">
        <v>#DIV/0!</v>
      </c>
      <c r="T4153" t="s">
        <v>82</v>
      </c>
    </row>
    <row r="4154" spans="15:20" x14ac:dyDescent="0.25">
      <c r="O4154">
        <v>1</v>
      </c>
      <c r="S4154" t="e">
        <v>#DIV/0!</v>
      </c>
      <c r="T4154" t="s">
        <v>82</v>
      </c>
    </row>
    <row r="4155" spans="15:20" x14ac:dyDescent="0.25">
      <c r="O4155">
        <v>1</v>
      </c>
      <c r="S4155" t="e">
        <v>#DIV/0!</v>
      </c>
      <c r="T4155" t="s">
        <v>82</v>
      </c>
    </row>
    <row r="4156" spans="15:20" x14ac:dyDescent="0.25">
      <c r="O4156">
        <v>1</v>
      </c>
      <c r="S4156" t="e">
        <v>#DIV/0!</v>
      </c>
      <c r="T4156" t="s">
        <v>82</v>
      </c>
    </row>
    <row r="4157" spans="15:20" x14ac:dyDescent="0.25">
      <c r="O4157">
        <v>1</v>
      </c>
      <c r="S4157" t="e">
        <v>#DIV/0!</v>
      </c>
      <c r="T4157" t="s">
        <v>82</v>
      </c>
    </row>
    <row r="4158" spans="15:20" x14ac:dyDescent="0.25">
      <c r="O4158">
        <v>1</v>
      </c>
      <c r="S4158" t="e">
        <v>#DIV/0!</v>
      </c>
      <c r="T4158" t="s">
        <v>82</v>
      </c>
    </row>
    <row r="4159" spans="15:20" x14ac:dyDescent="0.25">
      <c r="O4159">
        <v>1</v>
      </c>
      <c r="S4159" t="e">
        <v>#DIV/0!</v>
      </c>
      <c r="T4159" t="s">
        <v>82</v>
      </c>
    </row>
    <row r="4160" spans="15:20" x14ac:dyDescent="0.25">
      <c r="O4160">
        <v>1</v>
      </c>
      <c r="S4160" t="e">
        <v>#DIV/0!</v>
      </c>
      <c r="T4160" t="s">
        <v>82</v>
      </c>
    </row>
    <row r="4161" spans="15:20" x14ac:dyDescent="0.25">
      <c r="O4161">
        <v>1</v>
      </c>
      <c r="S4161" t="e">
        <v>#DIV/0!</v>
      </c>
      <c r="T4161" t="s">
        <v>82</v>
      </c>
    </row>
    <row r="4162" spans="15:20" x14ac:dyDescent="0.25">
      <c r="O4162">
        <v>1</v>
      </c>
      <c r="S4162" t="e">
        <v>#DIV/0!</v>
      </c>
      <c r="T4162" t="s">
        <v>82</v>
      </c>
    </row>
    <row r="4163" spans="15:20" x14ac:dyDescent="0.25">
      <c r="O4163">
        <v>1</v>
      </c>
      <c r="S4163" t="e">
        <v>#DIV/0!</v>
      </c>
      <c r="T4163" t="s">
        <v>82</v>
      </c>
    </row>
    <row r="4164" spans="15:20" x14ac:dyDescent="0.25">
      <c r="O4164">
        <v>1</v>
      </c>
      <c r="S4164" t="e">
        <v>#DIV/0!</v>
      </c>
      <c r="T4164" t="s">
        <v>82</v>
      </c>
    </row>
    <row r="4165" spans="15:20" x14ac:dyDescent="0.25">
      <c r="O4165">
        <v>1</v>
      </c>
      <c r="S4165" t="e">
        <v>#DIV/0!</v>
      </c>
      <c r="T4165" t="s">
        <v>82</v>
      </c>
    </row>
    <row r="4166" spans="15:20" x14ac:dyDescent="0.25">
      <c r="O4166">
        <v>1</v>
      </c>
      <c r="S4166" t="e">
        <v>#DIV/0!</v>
      </c>
      <c r="T4166" t="s">
        <v>82</v>
      </c>
    </row>
    <row r="4167" spans="15:20" x14ac:dyDescent="0.25">
      <c r="O4167">
        <v>1</v>
      </c>
      <c r="S4167" t="e">
        <v>#DIV/0!</v>
      </c>
      <c r="T4167" t="s">
        <v>82</v>
      </c>
    </row>
    <row r="4168" spans="15:20" x14ac:dyDescent="0.25">
      <c r="O4168">
        <v>1</v>
      </c>
      <c r="S4168" t="e">
        <v>#DIV/0!</v>
      </c>
      <c r="T4168" t="s">
        <v>82</v>
      </c>
    </row>
    <row r="4169" spans="15:20" x14ac:dyDescent="0.25">
      <c r="O4169">
        <v>1</v>
      </c>
      <c r="S4169" t="e">
        <v>#DIV/0!</v>
      </c>
      <c r="T4169" t="s">
        <v>82</v>
      </c>
    </row>
    <row r="4170" spans="15:20" x14ac:dyDescent="0.25">
      <c r="O4170">
        <v>1</v>
      </c>
      <c r="S4170" t="e">
        <v>#DIV/0!</v>
      </c>
      <c r="T4170" t="s">
        <v>82</v>
      </c>
    </row>
    <row r="4171" spans="15:20" x14ac:dyDescent="0.25">
      <c r="O4171">
        <v>1</v>
      </c>
      <c r="S4171" t="e">
        <v>#DIV/0!</v>
      </c>
      <c r="T4171" t="s">
        <v>82</v>
      </c>
    </row>
    <row r="4172" spans="15:20" x14ac:dyDescent="0.25">
      <c r="O4172">
        <v>1</v>
      </c>
      <c r="S4172" t="e">
        <v>#DIV/0!</v>
      </c>
      <c r="T4172" t="s">
        <v>82</v>
      </c>
    </row>
    <row r="4173" spans="15:20" x14ac:dyDescent="0.25">
      <c r="O4173">
        <v>1</v>
      </c>
      <c r="S4173" t="e">
        <v>#DIV/0!</v>
      </c>
      <c r="T4173" t="s">
        <v>82</v>
      </c>
    </row>
    <row r="4174" spans="15:20" x14ac:dyDescent="0.25">
      <c r="O4174">
        <v>1</v>
      </c>
      <c r="S4174" t="e">
        <v>#DIV/0!</v>
      </c>
      <c r="T4174" t="s">
        <v>82</v>
      </c>
    </row>
    <row r="4175" spans="15:20" x14ac:dyDescent="0.25">
      <c r="O4175">
        <v>1</v>
      </c>
      <c r="S4175" t="e">
        <v>#DIV/0!</v>
      </c>
      <c r="T4175" t="s">
        <v>82</v>
      </c>
    </row>
    <row r="4176" spans="15:20" x14ac:dyDescent="0.25">
      <c r="O4176">
        <v>1</v>
      </c>
      <c r="S4176" t="e">
        <v>#DIV/0!</v>
      </c>
      <c r="T4176" t="s">
        <v>82</v>
      </c>
    </row>
    <row r="4177" spans="15:20" x14ac:dyDescent="0.25">
      <c r="O4177">
        <v>1</v>
      </c>
      <c r="S4177" t="e">
        <v>#DIV/0!</v>
      </c>
      <c r="T4177" t="s">
        <v>82</v>
      </c>
    </row>
    <row r="4178" spans="15:20" x14ac:dyDescent="0.25">
      <c r="O4178">
        <v>1</v>
      </c>
      <c r="S4178" t="e">
        <v>#DIV/0!</v>
      </c>
      <c r="T4178" t="s">
        <v>82</v>
      </c>
    </row>
    <row r="4179" spans="15:20" x14ac:dyDescent="0.25">
      <c r="O4179">
        <v>1</v>
      </c>
      <c r="S4179" t="e">
        <v>#DIV/0!</v>
      </c>
      <c r="T4179" t="s">
        <v>82</v>
      </c>
    </row>
    <row r="4180" spans="15:20" x14ac:dyDescent="0.25">
      <c r="O4180">
        <v>1</v>
      </c>
      <c r="S4180" t="e">
        <v>#DIV/0!</v>
      </c>
      <c r="T4180" t="s">
        <v>82</v>
      </c>
    </row>
    <row r="4181" spans="15:20" x14ac:dyDescent="0.25">
      <c r="O4181">
        <v>1</v>
      </c>
      <c r="S4181" t="e">
        <v>#DIV/0!</v>
      </c>
      <c r="T4181" t="s">
        <v>82</v>
      </c>
    </row>
    <row r="4182" spans="15:20" x14ac:dyDescent="0.25">
      <c r="O4182">
        <v>1</v>
      </c>
      <c r="S4182" t="e">
        <v>#DIV/0!</v>
      </c>
      <c r="T4182" t="s">
        <v>82</v>
      </c>
    </row>
    <row r="4183" spans="15:20" x14ac:dyDescent="0.25">
      <c r="O4183">
        <v>1</v>
      </c>
      <c r="S4183" t="e">
        <v>#DIV/0!</v>
      </c>
      <c r="T4183" t="s">
        <v>82</v>
      </c>
    </row>
    <row r="4184" spans="15:20" x14ac:dyDescent="0.25">
      <c r="O4184">
        <v>1</v>
      </c>
      <c r="S4184" t="e">
        <v>#DIV/0!</v>
      </c>
      <c r="T4184" t="s">
        <v>82</v>
      </c>
    </row>
    <row r="4185" spans="15:20" x14ac:dyDescent="0.25">
      <c r="O4185">
        <v>1</v>
      </c>
      <c r="S4185" t="e">
        <v>#DIV/0!</v>
      </c>
      <c r="T4185" t="s">
        <v>82</v>
      </c>
    </row>
    <row r="4186" spans="15:20" x14ac:dyDescent="0.25">
      <c r="O4186">
        <v>1</v>
      </c>
      <c r="S4186" t="e">
        <v>#DIV/0!</v>
      </c>
      <c r="T4186" t="s">
        <v>82</v>
      </c>
    </row>
    <row r="4187" spans="15:20" x14ac:dyDescent="0.25">
      <c r="O4187">
        <v>1</v>
      </c>
      <c r="S4187" t="e">
        <v>#DIV/0!</v>
      </c>
      <c r="T4187" t="s">
        <v>82</v>
      </c>
    </row>
    <row r="4188" spans="15:20" x14ac:dyDescent="0.25">
      <c r="O4188">
        <v>1</v>
      </c>
      <c r="S4188" t="e">
        <v>#DIV/0!</v>
      </c>
      <c r="T4188" t="s">
        <v>82</v>
      </c>
    </row>
    <row r="4189" spans="15:20" x14ac:dyDescent="0.25">
      <c r="O4189">
        <v>1</v>
      </c>
      <c r="S4189" t="e">
        <v>#DIV/0!</v>
      </c>
      <c r="T4189" t="s">
        <v>82</v>
      </c>
    </row>
    <row r="4190" spans="15:20" x14ac:dyDescent="0.25">
      <c r="O4190">
        <v>1</v>
      </c>
      <c r="S4190" t="e">
        <v>#DIV/0!</v>
      </c>
      <c r="T4190" t="s">
        <v>82</v>
      </c>
    </row>
    <row r="4191" spans="15:20" x14ac:dyDescent="0.25">
      <c r="O4191">
        <v>1</v>
      </c>
      <c r="S4191" t="e">
        <v>#DIV/0!</v>
      </c>
      <c r="T4191" t="s">
        <v>82</v>
      </c>
    </row>
    <row r="4192" spans="15:20" x14ac:dyDescent="0.25">
      <c r="O4192">
        <v>1</v>
      </c>
      <c r="S4192" t="e">
        <v>#DIV/0!</v>
      </c>
      <c r="T4192" t="s">
        <v>82</v>
      </c>
    </row>
    <row r="4193" spans="15:20" x14ac:dyDescent="0.25">
      <c r="O4193">
        <v>1</v>
      </c>
      <c r="S4193" t="e">
        <v>#DIV/0!</v>
      </c>
      <c r="T4193" t="s">
        <v>82</v>
      </c>
    </row>
    <row r="4194" spans="15:20" x14ac:dyDescent="0.25">
      <c r="O4194">
        <v>1</v>
      </c>
      <c r="S4194" t="e">
        <v>#DIV/0!</v>
      </c>
      <c r="T4194" t="s">
        <v>82</v>
      </c>
    </row>
    <row r="4195" spans="15:20" x14ac:dyDescent="0.25">
      <c r="O4195">
        <v>1</v>
      </c>
      <c r="S4195" t="e">
        <v>#DIV/0!</v>
      </c>
      <c r="T4195" t="s">
        <v>82</v>
      </c>
    </row>
    <row r="4196" spans="15:20" x14ac:dyDescent="0.25">
      <c r="O4196">
        <v>1</v>
      </c>
      <c r="S4196" t="e">
        <v>#DIV/0!</v>
      </c>
      <c r="T4196" t="s">
        <v>82</v>
      </c>
    </row>
    <row r="4197" spans="15:20" x14ac:dyDescent="0.25">
      <c r="O4197">
        <v>1</v>
      </c>
      <c r="S4197" t="e">
        <v>#DIV/0!</v>
      </c>
      <c r="T4197" t="s">
        <v>82</v>
      </c>
    </row>
    <row r="4198" spans="15:20" x14ac:dyDescent="0.25">
      <c r="O4198">
        <v>1</v>
      </c>
      <c r="S4198" t="e">
        <v>#DIV/0!</v>
      </c>
      <c r="T4198" t="s">
        <v>82</v>
      </c>
    </row>
    <row r="4199" spans="15:20" x14ac:dyDescent="0.25">
      <c r="O4199">
        <v>1</v>
      </c>
      <c r="S4199" t="e">
        <v>#DIV/0!</v>
      </c>
      <c r="T4199" t="s">
        <v>82</v>
      </c>
    </row>
    <row r="4200" spans="15:20" x14ac:dyDescent="0.25">
      <c r="O4200">
        <v>1</v>
      </c>
      <c r="S4200" t="e">
        <v>#DIV/0!</v>
      </c>
      <c r="T4200" t="s">
        <v>82</v>
      </c>
    </row>
    <row r="4201" spans="15:20" x14ac:dyDescent="0.25">
      <c r="O4201">
        <v>1</v>
      </c>
      <c r="S4201" t="e">
        <v>#DIV/0!</v>
      </c>
      <c r="T4201" t="s">
        <v>82</v>
      </c>
    </row>
    <row r="4202" spans="15:20" x14ac:dyDescent="0.25">
      <c r="O4202">
        <v>1</v>
      </c>
      <c r="S4202" t="e">
        <v>#DIV/0!</v>
      </c>
      <c r="T4202" t="s">
        <v>82</v>
      </c>
    </row>
    <row r="4203" spans="15:20" x14ac:dyDescent="0.25">
      <c r="O4203">
        <v>1</v>
      </c>
      <c r="S4203" t="e">
        <v>#DIV/0!</v>
      </c>
      <c r="T4203" t="s">
        <v>82</v>
      </c>
    </row>
    <row r="4204" spans="15:20" x14ac:dyDescent="0.25">
      <c r="O4204">
        <v>1</v>
      </c>
      <c r="S4204" t="e">
        <v>#DIV/0!</v>
      </c>
      <c r="T4204" t="s">
        <v>82</v>
      </c>
    </row>
    <row r="4205" spans="15:20" x14ac:dyDescent="0.25">
      <c r="O4205">
        <v>1</v>
      </c>
      <c r="S4205" t="e">
        <v>#DIV/0!</v>
      </c>
      <c r="T4205" t="s">
        <v>82</v>
      </c>
    </row>
    <row r="4206" spans="15:20" x14ac:dyDescent="0.25">
      <c r="O4206">
        <v>1</v>
      </c>
      <c r="S4206" t="e">
        <v>#DIV/0!</v>
      </c>
      <c r="T4206" t="s">
        <v>82</v>
      </c>
    </row>
    <row r="4207" spans="15:20" x14ac:dyDescent="0.25">
      <c r="O4207">
        <v>1</v>
      </c>
      <c r="S4207" t="e">
        <v>#DIV/0!</v>
      </c>
      <c r="T4207" t="s">
        <v>82</v>
      </c>
    </row>
    <row r="4208" spans="15:20" x14ac:dyDescent="0.25">
      <c r="O4208">
        <v>1</v>
      </c>
      <c r="S4208" t="e">
        <v>#DIV/0!</v>
      </c>
      <c r="T4208" t="s">
        <v>82</v>
      </c>
    </row>
    <row r="4209" spans="15:20" x14ac:dyDescent="0.25">
      <c r="O4209">
        <v>1</v>
      </c>
      <c r="S4209" t="e">
        <v>#DIV/0!</v>
      </c>
      <c r="T4209" t="s">
        <v>82</v>
      </c>
    </row>
    <row r="4210" spans="15:20" x14ac:dyDescent="0.25">
      <c r="O4210">
        <v>1</v>
      </c>
      <c r="S4210" t="e">
        <v>#DIV/0!</v>
      </c>
      <c r="T4210" t="s">
        <v>82</v>
      </c>
    </row>
    <row r="4211" spans="15:20" x14ac:dyDescent="0.25">
      <c r="O4211">
        <v>1</v>
      </c>
      <c r="S4211" t="e">
        <v>#DIV/0!</v>
      </c>
      <c r="T4211" t="s">
        <v>82</v>
      </c>
    </row>
    <row r="4212" spans="15:20" x14ac:dyDescent="0.25">
      <c r="O4212">
        <v>1</v>
      </c>
      <c r="S4212" t="e">
        <v>#DIV/0!</v>
      </c>
      <c r="T4212" t="s">
        <v>82</v>
      </c>
    </row>
    <row r="4213" spans="15:20" x14ac:dyDescent="0.25">
      <c r="O4213">
        <v>1</v>
      </c>
      <c r="S4213" t="e">
        <v>#DIV/0!</v>
      </c>
      <c r="T4213" t="s">
        <v>82</v>
      </c>
    </row>
    <row r="4214" spans="15:20" x14ac:dyDescent="0.25">
      <c r="O4214">
        <v>1</v>
      </c>
      <c r="S4214" t="e">
        <v>#DIV/0!</v>
      </c>
      <c r="T4214" t="s">
        <v>82</v>
      </c>
    </row>
    <row r="4215" spans="15:20" x14ac:dyDescent="0.25">
      <c r="O4215">
        <v>1</v>
      </c>
      <c r="S4215" t="e">
        <v>#DIV/0!</v>
      </c>
      <c r="T4215" t="s">
        <v>82</v>
      </c>
    </row>
    <row r="4216" spans="15:20" x14ac:dyDescent="0.25">
      <c r="O4216">
        <v>1</v>
      </c>
      <c r="S4216" t="e">
        <v>#DIV/0!</v>
      </c>
      <c r="T4216" t="s">
        <v>82</v>
      </c>
    </row>
    <row r="4217" spans="15:20" x14ac:dyDescent="0.25">
      <c r="O4217">
        <v>1</v>
      </c>
      <c r="S4217" t="e">
        <v>#DIV/0!</v>
      </c>
      <c r="T4217" t="s">
        <v>82</v>
      </c>
    </row>
    <row r="4218" spans="15:20" x14ac:dyDescent="0.25">
      <c r="O4218">
        <v>1</v>
      </c>
      <c r="S4218" t="e">
        <v>#DIV/0!</v>
      </c>
      <c r="T4218" t="s">
        <v>82</v>
      </c>
    </row>
    <row r="4219" spans="15:20" x14ac:dyDescent="0.25">
      <c r="O4219">
        <v>1</v>
      </c>
      <c r="S4219" t="e">
        <v>#DIV/0!</v>
      </c>
      <c r="T4219" t="s">
        <v>82</v>
      </c>
    </row>
    <row r="4220" spans="15:20" x14ac:dyDescent="0.25">
      <c r="O4220">
        <v>1</v>
      </c>
      <c r="S4220" t="e">
        <v>#DIV/0!</v>
      </c>
      <c r="T4220" t="s">
        <v>82</v>
      </c>
    </row>
    <row r="4221" spans="15:20" x14ac:dyDescent="0.25">
      <c r="O4221">
        <v>1</v>
      </c>
      <c r="S4221" t="e">
        <v>#DIV/0!</v>
      </c>
      <c r="T4221" t="s">
        <v>82</v>
      </c>
    </row>
    <row r="4222" spans="15:20" x14ac:dyDescent="0.25">
      <c r="O4222">
        <v>1</v>
      </c>
      <c r="S4222" t="e">
        <v>#DIV/0!</v>
      </c>
      <c r="T4222" t="s">
        <v>82</v>
      </c>
    </row>
    <row r="4223" spans="15:20" x14ac:dyDescent="0.25">
      <c r="O4223">
        <v>1</v>
      </c>
      <c r="S4223" t="e">
        <v>#DIV/0!</v>
      </c>
      <c r="T4223" t="s">
        <v>82</v>
      </c>
    </row>
    <row r="4224" spans="15:20" x14ac:dyDescent="0.25">
      <c r="O4224">
        <v>1</v>
      </c>
      <c r="S4224" t="e">
        <v>#DIV/0!</v>
      </c>
      <c r="T4224" t="s">
        <v>82</v>
      </c>
    </row>
    <row r="4225" spans="15:20" x14ac:dyDescent="0.25">
      <c r="O4225">
        <v>1</v>
      </c>
      <c r="S4225" t="e">
        <v>#DIV/0!</v>
      </c>
      <c r="T4225" t="s">
        <v>82</v>
      </c>
    </row>
    <row r="4226" spans="15:20" x14ac:dyDescent="0.25">
      <c r="O4226">
        <v>1</v>
      </c>
      <c r="S4226" t="e">
        <v>#DIV/0!</v>
      </c>
      <c r="T4226" t="s">
        <v>82</v>
      </c>
    </row>
    <row r="4227" spans="15:20" x14ac:dyDescent="0.25">
      <c r="O4227">
        <v>1</v>
      </c>
      <c r="S4227" t="e">
        <v>#DIV/0!</v>
      </c>
      <c r="T4227" t="s">
        <v>82</v>
      </c>
    </row>
    <row r="4228" spans="15:20" x14ac:dyDescent="0.25">
      <c r="O4228">
        <v>1</v>
      </c>
      <c r="S4228" t="e">
        <v>#DIV/0!</v>
      </c>
      <c r="T4228" t="s">
        <v>82</v>
      </c>
    </row>
    <row r="4229" spans="15:20" x14ac:dyDescent="0.25">
      <c r="O4229">
        <v>1</v>
      </c>
      <c r="S4229" t="e">
        <v>#DIV/0!</v>
      </c>
      <c r="T4229" t="s">
        <v>82</v>
      </c>
    </row>
    <row r="4230" spans="15:20" x14ac:dyDescent="0.25">
      <c r="O4230">
        <v>1</v>
      </c>
      <c r="S4230" t="e">
        <v>#DIV/0!</v>
      </c>
      <c r="T4230" t="s">
        <v>82</v>
      </c>
    </row>
    <row r="4231" spans="15:20" x14ac:dyDescent="0.25">
      <c r="O4231">
        <v>1</v>
      </c>
      <c r="S4231" t="e">
        <v>#DIV/0!</v>
      </c>
      <c r="T4231" t="s">
        <v>82</v>
      </c>
    </row>
    <row r="4232" spans="15:20" x14ac:dyDescent="0.25">
      <c r="O4232">
        <v>1</v>
      </c>
      <c r="S4232" t="e">
        <v>#DIV/0!</v>
      </c>
      <c r="T4232" t="s">
        <v>82</v>
      </c>
    </row>
    <row r="4233" spans="15:20" x14ac:dyDescent="0.25">
      <c r="O4233">
        <v>1</v>
      </c>
      <c r="S4233" t="e">
        <v>#DIV/0!</v>
      </c>
      <c r="T4233" t="s">
        <v>82</v>
      </c>
    </row>
    <row r="4234" spans="15:20" x14ac:dyDescent="0.25">
      <c r="O4234">
        <v>1</v>
      </c>
      <c r="S4234" t="e">
        <v>#DIV/0!</v>
      </c>
      <c r="T4234" t="s">
        <v>82</v>
      </c>
    </row>
    <row r="4235" spans="15:20" x14ac:dyDescent="0.25">
      <c r="O4235">
        <v>1</v>
      </c>
      <c r="S4235" t="e">
        <v>#DIV/0!</v>
      </c>
      <c r="T4235" t="s">
        <v>82</v>
      </c>
    </row>
    <row r="4236" spans="15:20" x14ac:dyDescent="0.25">
      <c r="O4236">
        <v>1</v>
      </c>
      <c r="S4236" t="e">
        <v>#DIV/0!</v>
      </c>
      <c r="T4236" t="s">
        <v>82</v>
      </c>
    </row>
    <row r="4237" spans="15:20" x14ac:dyDescent="0.25">
      <c r="O4237">
        <v>1</v>
      </c>
      <c r="S4237" t="e">
        <v>#DIV/0!</v>
      </c>
      <c r="T4237" t="s">
        <v>82</v>
      </c>
    </row>
    <row r="4238" spans="15:20" x14ac:dyDescent="0.25">
      <c r="O4238">
        <v>1</v>
      </c>
      <c r="S4238" t="e">
        <v>#DIV/0!</v>
      </c>
      <c r="T4238" t="s">
        <v>82</v>
      </c>
    </row>
    <row r="4239" spans="15:20" x14ac:dyDescent="0.25">
      <c r="O4239">
        <v>1</v>
      </c>
      <c r="S4239" t="e">
        <v>#DIV/0!</v>
      </c>
      <c r="T4239" t="s">
        <v>82</v>
      </c>
    </row>
    <row r="4240" spans="15:20" x14ac:dyDescent="0.25">
      <c r="O4240">
        <v>1</v>
      </c>
      <c r="S4240" t="e">
        <v>#DIV/0!</v>
      </c>
      <c r="T4240" t="s">
        <v>82</v>
      </c>
    </row>
    <row r="4241" spans="15:20" x14ac:dyDescent="0.25">
      <c r="O4241">
        <v>1</v>
      </c>
      <c r="S4241" t="e">
        <v>#DIV/0!</v>
      </c>
      <c r="T4241" t="s">
        <v>82</v>
      </c>
    </row>
    <row r="4242" spans="15:20" x14ac:dyDescent="0.25">
      <c r="O4242">
        <v>1</v>
      </c>
      <c r="S4242" t="e">
        <v>#DIV/0!</v>
      </c>
      <c r="T4242" t="s">
        <v>82</v>
      </c>
    </row>
    <row r="4243" spans="15:20" x14ac:dyDescent="0.25">
      <c r="O4243">
        <v>1</v>
      </c>
      <c r="S4243" t="e">
        <v>#DIV/0!</v>
      </c>
      <c r="T4243" t="s">
        <v>82</v>
      </c>
    </row>
    <row r="4244" spans="15:20" x14ac:dyDescent="0.25">
      <c r="O4244">
        <v>1</v>
      </c>
      <c r="S4244" t="e">
        <v>#DIV/0!</v>
      </c>
      <c r="T4244" t="s">
        <v>82</v>
      </c>
    </row>
    <row r="4245" spans="15:20" x14ac:dyDescent="0.25">
      <c r="O4245">
        <v>1</v>
      </c>
      <c r="S4245" t="e">
        <v>#DIV/0!</v>
      </c>
      <c r="T4245" t="s">
        <v>82</v>
      </c>
    </row>
    <row r="4246" spans="15:20" x14ac:dyDescent="0.25">
      <c r="O4246">
        <v>1</v>
      </c>
      <c r="S4246" t="e">
        <v>#DIV/0!</v>
      </c>
      <c r="T4246" t="s">
        <v>82</v>
      </c>
    </row>
    <row r="4247" spans="15:20" x14ac:dyDescent="0.25">
      <c r="O4247">
        <v>1</v>
      </c>
      <c r="S4247" t="e">
        <v>#DIV/0!</v>
      </c>
      <c r="T4247" t="s">
        <v>82</v>
      </c>
    </row>
    <row r="4248" spans="15:20" x14ac:dyDescent="0.25">
      <c r="O4248">
        <v>1</v>
      </c>
      <c r="S4248" t="e">
        <v>#DIV/0!</v>
      </c>
      <c r="T4248" t="s">
        <v>82</v>
      </c>
    </row>
    <row r="4249" spans="15:20" x14ac:dyDescent="0.25">
      <c r="O4249">
        <v>1</v>
      </c>
      <c r="S4249" t="e">
        <v>#DIV/0!</v>
      </c>
      <c r="T4249" t="s">
        <v>82</v>
      </c>
    </row>
    <row r="4250" spans="15:20" x14ac:dyDescent="0.25">
      <c r="O4250">
        <v>1</v>
      </c>
      <c r="S4250" t="e">
        <v>#DIV/0!</v>
      </c>
      <c r="T4250" t="s">
        <v>82</v>
      </c>
    </row>
    <row r="4251" spans="15:20" x14ac:dyDescent="0.25">
      <c r="O4251">
        <v>1</v>
      </c>
      <c r="S4251" t="e">
        <v>#DIV/0!</v>
      </c>
      <c r="T4251" t="s">
        <v>82</v>
      </c>
    </row>
    <row r="4252" spans="15:20" x14ac:dyDescent="0.25">
      <c r="O4252">
        <v>1</v>
      </c>
      <c r="S4252" t="e">
        <v>#DIV/0!</v>
      </c>
      <c r="T4252" t="s">
        <v>82</v>
      </c>
    </row>
    <row r="4253" spans="15:20" x14ac:dyDescent="0.25">
      <c r="O4253">
        <v>1</v>
      </c>
      <c r="S4253" t="e">
        <v>#DIV/0!</v>
      </c>
      <c r="T4253" t="s">
        <v>82</v>
      </c>
    </row>
    <row r="4254" spans="15:20" x14ac:dyDescent="0.25">
      <c r="O4254">
        <v>1</v>
      </c>
      <c r="S4254" t="e">
        <v>#DIV/0!</v>
      </c>
      <c r="T4254" t="s">
        <v>82</v>
      </c>
    </row>
    <row r="4255" spans="15:20" x14ac:dyDescent="0.25">
      <c r="O4255">
        <v>1</v>
      </c>
      <c r="S4255" t="e">
        <v>#DIV/0!</v>
      </c>
      <c r="T4255" t="s">
        <v>82</v>
      </c>
    </row>
    <row r="4256" spans="15:20" x14ac:dyDescent="0.25">
      <c r="O4256">
        <v>1</v>
      </c>
      <c r="S4256" t="e">
        <v>#DIV/0!</v>
      </c>
      <c r="T4256" t="s">
        <v>82</v>
      </c>
    </row>
    <row r="4257" spans="15:20" x14ac:dyDescent="0.25">
      <c r="O4257">
        <v>1</v>
      </c>
      <c r="S4257" t="e">
        <v>#DIV/0!</v>
      </c>
      <c r="T4257" t="s">
        <v>82</v>
      </c>
    </row>
    <row r="4258" spans="15:20" x14ac:dyDescent="0.25">
      <c r="O4258">
        <v>1</v>
      </c>
      <c r="S4258" t="e">
        <v>#DIV/0!</v>
      </c>
      <c r="T4258" t="s">
        <v>82</v>
      </c>
    </row>
    <row r="4259" spans="15:20" x14ac:dyDescent="0.25">
      <c r="O4259">
        <v>1</v>
      </c>
      <c r="S4259" t="e">
        <v>#DIV/0!</v>
      </c>
      <c r="T4259" t="s">
        <v>82</v>
      </c>
    </row>
    <row r="4260" spans="15:20" x14ac:dyDescent="0.25">
      <c r="O4260">
        <v>1</v>
      </c>
      <c r="S4260" t="e">
        <v>#DIV/0!</v>
      </c>
      <c r="T4260" t="s">
        <v>82</v>
      </c>
    </row>
    <row r="4261" spans="15:20" x14ac:dyDescent="0.25">
      <c r="O4261">
        <v>1</v>
      </c>
      <c r="S4261" t="e">
        <v>#DIV/0!</v>
      </c>
      <c r="T4261" t="s">
        <v>82</v>
      </c>
    </row>
    <row r="4262" spans="15:20" x14ac:dyDescent="0.25">
      <c r="O4262">
        <v>1</v>
      </c>
      <c r="S4262" t="e">
        <v>#DIV/0!</v>
      </c>
      <c r="T4262" t="s">
        <v>82</v>
      </c>
    </row>
    <row r="4263" spans="15:20" x14ac:dyDescent="0.25">
      <c r="O4263">
        <v>1</v>
      </c>
      <c r="S4263" t="e">
        <v>#DIV/0!</v>
      </c>
      <c r="T4263" t="s">
        <v>82</v>
      </c>
    </row>
    <row r="4264" spans="15:20" x14ac:dyDescent="0.25">
      <c r="O4264">
        <v>1</v>
      </c>
      <c r="S4264" t="e">
        <v>#DIV/0!</v>
      </c>
      <c r="T4264" t="s">
        <v>82</v>
      </c>
    </row>
    <row r="4265" spans="15:20" x14ac:dyDescent="0.25">
      <c r="O4265">
        <v>1</v>
      </c>
      <c r="S4265" t="e">
        <v>#DIV/0!</v>
      </c>
      <c r="T4265" t="s">
        <v>82</v>
      </c>
    </row>
    <row r="4266" spans="15:20" x14ac:dyDescent="0.25">
      <c r="O4266">
        <v>1</v>
      </c>
      <c r="S4266" t="e">
        <v>#DIV/0!</v>
      </c>
      <c r="T4266" t="s">
        <v>82</v>
      </c>
    </row>
    <row r="4267" spans="15:20" x14ac:dyDescent="0.25">
      <c r="O4267">
        <v>1</v>
      </c>
      <c r="S4267" t="e">
        <v>#DIV/0!</v>
      </c>
      <c r="T4267" t="s">
        <v>82</v>
      </c>
    </row>
    <row r="4268" spans="15:20" x14ac:dyDescent="0.25">
      <c r="O4268">
        <v>1</v>
      </c>
      <c r="S4268" t="e">
        <v>#DIV/0!</v>
      </c>
      <c r="T4268" t="s">
        <v>82</v>
      </c>
    </row>
    <row r="4269" spans="15:20" x14ac:dyDescent="0.25">
      <c r="O4269">
        <v>1</v>
      </c>
      <c r="S4269" t="e">
        <v>#DIV/0!</v>
      </c>
      <c r="T4269" t="s">
        <v>82</v>
      </c>
    </row>
    <row r="4270" spans="15:20" x14ac:dyDescent="0.25">
      <c r="O4270">
        <v>1</v>
      </c>
      <c r="S4270" t="e">
        <v>#DIV/0!</v>
      </c>
      <c r="T4270" t="s">
        <v>82</v>
      </c>
    </row>
    <row r="4271" spans="15:20" x14ac:dyDescent="0.25">
      <c r="O4271">
        <v>1</v>
      </c>
      <c r="S4271" t="e">
        <v>#DIV/0!</v>
      </c>
      <c r="T4271" t="s">
        <v>82</v>
      </c>
    </row>
    <row r="4272" spans="15:20" x14ac:dyDescent="0.25">
      <c r="O4272">
        <v>1</v>
      </c>
      <c r="S4272" t="e">
        <v>#DIV/0!</v>
      </c>
      <c r="T4272" t="s">
        <v>82</v>
      </c>
    </row>
    <row r="4273" spans="15:20" x14ac:dyDescent="0.25">
      <c r="O4273">
        <v>1</v>
      </c>
      <c r="S4273" t="e">
        <v>#DIV/0!</v>
      </c>
      <c r="T4273" t="s">
        <v>82</v>
      </c>
    </row>
    <row r="4274" spans="15:20" x14ac:dyDescent="0.25">
      <c r="O4274">
        <v>1</v>
      </c>
      <c r="S4274" t="e">
        <v>#DIV/0!</v>
      </c>
      <c r="T4274" t="s">
        <v>82</v>
      </c>
    </row>
    <row r="4275" spans="15:20" x14ac:dyDescent="0.25">
      <c r="O4275">
        <v>1</v>
      </c>
      <c r="S4275" t="e">
        <v>#DIV/0!</v>
      </c>
      <c r="T4275" t="s">
        <v>82</v>
      </c>
    </row>
    <row r="4276" spans="15:20" x14ac:dyDescent="0.25">
      <c r="O4276">
        <v>1</v>
      </c>
      <c r="S4276" t="e">
        <v>#DIV/0!</v>
      </c>
      <c r="T4276" t="s">
        <v>82</v>
      </c>
    </row>
    <row r="4277" spans="15:20" x14ac:dyDescent="0.25">
      <c r="O4277">
        <v>1</v>
      </c>
      <c r="S4277" t="e">
        <v>#DIV/0!</v>
      </c>
      <c r="T4277" t="s">
        <v>82</v>
      </c>
    </row>
    <row r="4278" spans="15:20" x14ac:dyDescent="0.25">
      <c r="O4278">
        <v>1</v>
      </c>
      <c r="S4278" t="e">
        <v>#DIV/0!</v>
      </c>
      <c r="T4278" t="s">
        <v>82</v>
      </c>
    </row>
    <row r="4279" spans="15:20" x14ac:dyDescent="0.25">
      <c r="O4279">
        <v>1</v>
      </c>
      <c r="S4279" t="e">
        <v>#DIV/0!</v>
      </c>
      <c r="T4279" t="s">
        <v>82</v>
      </c>
    </row>
    <row r="4280" spans="15:20" x14ac:dyDescent="0.25">
      <c r="O4280">
        <v>1</v>
      </c>
      <c r="S4280" t="e">
        <v>#DIV/0!</v>
      </c>
      <c r="T4280" t="s">
        <v>82</v>
      </c>
    </row>
    <row r="4281" spans="15:20" x14ac:dyDescent="0.25">
      <c r="O4281">
        <v>1</v>
      </c>
      <c r="S4281" t="e">
        <v>#DIV/0!</v>
      </c>
      <c r="T4281" t="s">
        <v>82</v>
      </c>
    </row>
    <row r="4282" spans="15:20" x14ac:dyDescent="0.25">
      <c r="O4282">
        <v>1</v>
      </c>
      <c r="S4282" t="e">
        <v>#DIV/0!</v>
      </c>
      <c r="T4282" t="s">
        <v>82</v>
      </c>
    </row>
    <row r="4283" spans="15:20" x14ac:dyDescent="0.25">
      <c r="O4283">
        <v>1</v>
      </c>
      <c r="S4283" t="e">
        <v>#DIV/0!</v>
      </c>
      <c r="T4283" t="s">
        <v>82</v>
      </c>
    </row>
    <row r="4284" spans="15:20" x14ac:dyDescent="0.25">
      <c r="O4284">
        <v>1</v>
      </c>
      <c r="S4284" t="e">
        <v>#DIV/0!</v>
      </c>
      <c r="T4284" t="s">
        <v>82</v>
      </c>
    </row>
    <row r="4285" spans="15:20" x14ac:dyDescent="0.25">
      <c r="O4285">
        <v>1</v>
      </c>
      <c r="S4285" t="e">
        <v>#DIV/0!</v>
      </c>
      <c r="T4285" t="s">
        <v>82</v>
      </c>
    </row>
    <row r="4286" spans="15:20" x14ac:dyDescent="0.25">
      <c r="O4286">
        <v>1</v>
      </c>
      <c r="S4286" t="e">
        <v>#DIV/0!</v>
      </c>
      <c r="T4286" t="s">
        <v>82</v>
      </c>
    </row>
    <row r="4287" spans="15:20" x14ac:dyDescent="0.25">
      <c r="O4287">
        <v>1</v>
      </c>
      <c r="S4287" t="e">
        <v>#DIV/0!</v>
      </c>
      <c r="T4287" t="s">
        <v>82</v>
      </c>
    </row>
    <row r="4288" spans="15:20" x14ac:dyDescent="0.25">
      <c r="O4288">
        <v>1</v>
      </c>
      <c r="S4288" t="e">
        <v>#DIV/0!</v>
      </c>
      <c r="T4288" t="s">
        <v>82</v>
      </c>
    </row>
    <row r="4289" spans="15:20" x14ac:dyDescent="0.25">
      <c r="O4289">
        <v>1</v>
      </c>
      <c r="S4289" t="e">
        <v>#DIV/0!</v>
      </c>
      <c r="T4289" t="s">
        <v>82</v>
      </c>
    </row>
    <row r="4290" spans="15:20" x14ac:dyDescent="0.25">
      <c r="O4290">
        <v>1</v>
      </c>
      <c r="S4290" t="e">
        <v>#DIV/0!</v>
      </c>
      <c r="T4290" t="s">
        <v>82</v>
      </c>
    </row>
    <row r="4291" spans="15:20" x14ac:dyDescent="0.25">
      <c r="O4291">
        <v>1</v>
      </c>
      <c r="S4291" t="e">
        <v>#DIV/0!</v>
      </c>
      <c r="T4291" t="s">
        <v>82</v>
      </c>
    </row>
    <row r="4292" spans="15:20" x14ac:dyDescent="0.25">
      <c r="O4292">
        <v>1</v>
      </c>
      <c r="S4292" t="e">
        <v>#DIV/0!</v>
      </c>
      <c r="T4292" t="s">
        <v>82</v>
      </c>
    </row>
    <row r="4293" spans="15:20" x14ac:dyDescent="0.25">
      <c r="O4293">
        <v>1</v>
      </c>
      <c r="S4293" t="e">
        <v>#DIV/0!</v>
      </c>
      <c r="T4293" t="s">
        <v>82</v>
      </c>
    </row>
    <row r="4294" spans="15:20" x14ac:dyDescent="0.25">
      <c r="O4294">
        <v>1</v>
      </c>
      <c r="S4294" t="e">
        <v>#DIV/0!</v>
      </c>
      <c r="T4294" t="s">
        <v>82</v>
      </c>
    </row>
    <row r="4295" spans="15:20" x14ac:dyDescent="0.25">
      <c r="O4295">
        <v>1</v>
      </c>
      <c r="S4295" t="e">
        <v>#DIV/0!</v>
      </c>
      <c r="T4295" t="s">
        <v>82</v>
      </c>
    </row>
    <row r="4296" spans="15:20" x14ac:dyDescent="0.25">
      <c r="O4296">
        <v>1</v>
      </c>
      <c r="S4296" t="e">
        <v>#DIV/0!</v>
      </c>
      <c r="T4296" t="s">
        <v>82</v>
      </c>
    </row>
    <row r="4297" spans="15:20" x14ac:dyDescent="0.25">
      <c r="O4297">
        <v>1</v>
      </c>
      <c r="S4297" t="e">
        <v>#DIV/0!</v>
      </c>
      <c r="T4297" t="s">
        <v>82</v>
      </c>
    </row>
    <row r="4298" spans="15:20" x14ac:dyDescent="0.25">
      <c r="O4298">
        <v>1</v>
      </c>
      <c r="S4298" t="e">
        <v>#DIV/0!</v>
      </c>
      <c r="T4298" t="s">
        <v>82</v>
      </c>
    </row>
    <row r="4299" spans="15:20" x14ac:dyDescent="0.25">
      <c r="O4299">
        <v>1</v>
      </c>
      <c r="S4299" t="e">
        <v>#DIV/0!</v>
      </c>
      <c r="T4299" t="s">
        <v>82</v>
      </c>
    </row>
    <row r="4300" spans="15:20" x14ac:dyDescent="0.25">
      <c r="O4300">
        <v>1</v>
      </c>
      <c r="S4300" t="e">
        <v>#DIV/0!</v>
      </c>
      <c r="T4300" t="s">
        <v>82</v>
      </c>
    </row>
    <row r="4301" spans="15:20" x14ac:dyDescent="0.25">
      <c r="O4301">
        <v>1</v>
      </c>
      <c r="S4301" t="e">
        <v>#DIV/0!</v>
      </c>
      <c r="T4301" t="s">
        <v>82</v>
      </c>
    </row>
    <row r="4302" spans="15:20" x14ac:dyDescent="0.25">
      <c r="O4302">
        <v>1</v>
      </c>
      <c r="S4302" t="e">
        <v>#DIV/0!</v>
      </c>
      <c r="T4302" t="s">
        <v>82</v>
      </c>
    </row>
    <row r="4303" spans="15:20" x14ac:dyDescent="0.25">
      <c r="O4303">
        <v>1</v>
      </c>
      <c r="S4303" t="e">
        <v>#DIV/0!</v>
      </c>
      <c r="T4303" t="s">
        <v>82</v>
      </c>
    </row>
    <row r="4304" spans="15:20" x14ac:dyDescent="0.25">
      <c r="O4304">
        <v>1</v>
      </c>
      <c r="S4304" t="e">
        <v>#DIV/0!</v>
      </c>
      <c r="T4304" t="s">
        <v>82</v>
      </c>
    </row>
    <row r="4305" spans="15:20" x14ac:dyDescent="0.25">
      <c r="O4305">
        <v>1</v>
      </c>
      <c r="S4305" t="e">
        <v>#DIV/0!</v>
      </c>
      <c r="T4305" t="s">
        <v>82</v>
      </c>
    </row>
    <row r="4306" spans="15:20" x14ac:dyDescent="0.25">
      <c r="O4306">
        <v>1</v>
      </c>
      <c r="S4306" t="e">
        <v>#DIV/0!</v>
      </c>
      <c r="T4306" t="s">
        <v>82</v>
      </c>
    </row>
    <row r="4307" spans="15:20" x14ac:dyDescent="0.25">
      <c r="O4307">
        <v>1</v>
      </c>
      <c r="S4307" t="e">
        <v>#DIV/0!</v>
      </c>
      <c r="T4307" t="s">
        <v>82</v>
      </c>
    </row>
    <row r="4308" spans="15:20" x14ac:dyDescent="0.25">
      <c r="O4308">
        <v>1</v>
      </c>
      <c r="S4308" t="e">
        <v>#DIV/0!</v>
      </c>
      <c r="T4308" t="s">
        <v>82</v>
      </c>
    </row>
    <row r="4309" spans="15:20" x14ac:dyDescent="0.25">
      <c r="O4309">
        <v>1</v>
      </c>
      <c r="S4309" t="e">
        <v>#DIV/0!</v>
      </c>
      <c r="T4309" t="s">
        <v>82</v>
      </c>
    </row>
    <row r="4310" spans="15:20" x14ac:dyDescent="0.25">
      <c r="O4310">
        <v>1</v>
      </c>
      <c r="S4310" t="e">
        <v>#DIV/0!</v>
      </c>
      <c r="T4310" t="s">
        <v>82</v>
      </c>
    </row>
    <row r="4311" spans="15:20" x14ac:dyDescent="0.25">
      <c r="O4311">
        <v>1</v>
      </c>
      <c r="S4311" t="e">
        <v>#DIV/0!</v>
      </c>
      <c r="T4311" t="s">
        <v>82</v>
      </c>
    </row>
    <row r="4312" spans="15:20" x14ac:dyDescent="0.25">
      <c r="O4312">
        <v>1</v>
      </c>
      <c r="S4312" t="e">
        <v>#DIV/0!</v>
      </c>
      <c r="T4312" t="s">
        <v>82</v>
      </c>
    </row>
    <row r="4313" spans="15:20" x14ac:dyDescent="0.25">
      <c r="O4313">
        <v>1</v>
      </c>
      <c r="S4313" t="e">
        <v>#DIV/0!</v>
      </c>
      <c r="T4313" t="s">
        <v>82</v>
      </c>
    </row>
    <row r="4314" spans="15:20" x14ac:dyDescent="0.25">
      <c r="O4314">
        <v>1</v>
      </c>
      <c r="S4314" t="e">
        <v>#DIV/0!</v>
      </c>
      <c r="T4314" t="s">
        <v>82</v>
      </c>
    </row>
    <row r="4315" spans="15:20" x14ac:dyDescent="0.25">
      <c r="O4315">
        <v>1</v>
      </c>
      <c r="S4315" t="e">
        <v>#DIV/0!</v>
      </c>
      <c r="T4315" t="s">
        <v>82</v>
      </c>
    </row>
    <row r="4316" spans="15:20" x14ac:dyDescent="0.25">
      <c r="O4316">
        <v>1</v>
      </c>
      <c r="S4316" t="e">
        <v>#DIV/0!</v>
      </c>
      <c r="T4316" t="s">
        <v>82</v>
      </c>
    </row>
    <row r="4317" spans="15:20" x14ac:dyDescent="0.25">
      <c r="O4317">
        <v>1</v>
      </c>
      <c r="S4317" t="e">
        <v>#DIV/0!</v>
      </c>
      <c r="T4317" t="s">
        <v>82</v>
      </c>
    </row>
    <row r="4318" spans="15:20" x14ac:dyDescent="0.25">
      <c r="O4318">
        <v>1</v>
      </c>
      <c r="S4318" t="e">
        <v>#DIV/0!</v>
      </c>
      <c r="T4318" t="s">
        <v>82</v>
      </c>
    </row>
    <row r="4319" spans="15:20" x14ac:dyDescent="0.25">
      <c r="O4319">
        <v>1</v>
      </c>
      <c r="S4319" t="e">
        <v>#DIV/0!</v>
      </c>
      <c r="T4319" t="s">
        <v>82</v>
      </c>
    </row>
    <row r="4320" spans="15:20" x14ac:dyDescent="0.25">
      <c r="O4320">
        <v>1</v>
      </c>
      <c r="S4320" t="e">
        <v>#DIV/0!</v>
      </c>
      <c r="T4320" t="s">
        <v>82</v>
      </c>
    </row>
    <row r="4321" spans="15:20" x14ac:dyDescent="0.25">
      <c r="O4321">
        <v>1</v>
      </c>
      <c r="S4321" t="e">
        <v>#DIV/0!</v>
      </c>
      <c r="T4321" t="s">
        <v>82</v>
      </c>
    </row>
    <row r="4322" spans="15:20" x14ac:dyDescent="0.25">
      <c r="O4322">
        <v>1</v>
      </c>
      <c r="S4322" t="e">
        <v>#DIV/0!</v>
      </c>
      <c r="T4322" t="s">
        <v>82</v>
      </c>
    </row>
    <row r="4323" spans="15:20" x14ac:dyDescent="0.25">
      <c r="O4323">
        <v>1</v>
      </c>
      <c r="S4323" t="e">
        <v>#DIV/0!</v>
      </c>
      <c r="T4323" t="s">
        <v>82</v>
      </c>
    </row>
    <row r="4324" spans="15:20" x14ac:dyDescent="0.25">
      <c r="O4324">
        <v>1</v>
      </c>
      <c r="S4324" t="e">
        <v>#DIV/0!</v>
      </c>
      <c r="T4324" t="s">
        <v>82</v>
      </c>
    </row>
    <row r="4325" spans="15:20" x14ac:dyDescent="0.25">
      <c r="O4325">
        <v>1</v>
      </c>
      <c r="S4325" t="e">
        <v>#DIV/0!</v>
      </c>
      <c r="T4325" t="s">
        <v>82</v>
      </c>
    </row>
    <row r="4326" spans="15:20" x14ac:dyDescent="0.25">
      <c r="O4326">
        <v>1</v>
      </c>
      <c r="S4326" t="e">
        <v>#DIV/0!</v>
      </c>
      <c r="T4326" t="s">
        <v>82</v>
      </c>
    </row>
    <row r="4327" spans="15:20" x14ac:dyDescent="0.25">
      <c r="O4327">
        <v>1</v>
      </c>
      <c r="S4327" t="e">
        <v>#DIV/0!</v>
      </c>
      <c r="T4327" t="s">
        <v>82</v>
      </c>
    </row>
    <row r="4328" spans="15:20" x14ac:dyDescent="0.25">
      <c r="O4328">
        <v>1</v>
      </c>
      <c r="S4328" t="e">
        <v>#DIV/0!</v>
      </c>
      <c r="T4328" t="s">
        <v>82</v>
      </c>
    </row>
    <row r="4329" spans="15:20" x14ac:dyDescent="0.25">
      <c r="O4329">
        <v>1</v>
      </c>
      <c r="S4329" t="e">
        <v>#DIV/0!</v>
      </c>
      <c r="T4329" t="s">
        <v>82</v>
      </c>
    </row>
    <row r="4330" spans="15:20" x14ac:dyDescent="0.25">
      <c r="O4330">
        <v>1</v>
      </c>
      <c r="S4330" t="e">
        <v>#DIV/0!</v>
      </c>
      <c r="T4330" t="s">
        <v>82</v>
      </c>
    </row>
    <row r="4331" spans="15:20" x14ac:dyDescent="0.25">
      <c r="O4331">
        <v>1</v>
      </c>
      <c r="S4331" t="e">
        <v>#DIV/0!</v>
      </c>
      <c r="T4331" t="s">
        <v>82</v>
      </c>
    </row>
    <row r="4332" spans="15:20" x14ac:dyDescent="0.25">
      <c r="O4332">
        <v>1</v>
      </c>
      <c r="S4332" t="e">
        <v>#DIV/0!</v>
      </c>
      <c r="T4332" t="s">
        <v>82</v>
      </c>
    </row>
    <row r="4333" spans="15:20" x14ac:dyDescent="0.25">
      <c r="O4333">
        <v>1</v>
      </c>
      <c r="S4333" t="e">
        <v>#DIV/0!</v>
      </c>
      <c r="T4333" t="s">
        <v>82</v>
      </c>
    </row>
    <row r="4334" spans="15:20" x14ac:dyDescent="0.25">
      <c r="O4334">
        <v>1</v>
      </c>
      <c r="S4334" t="e">
        <v>#DIV/0!</v>
      </c>
      <c r="T4334" t="s">
        <v>82</v>
      </c>
    </row>
    <row r="4335" spans="15:20" x14ac:dyDescent="0.25">
      <c r="O4335">
        <v>1</v>
      </c>
      <c r="S4335" t="e">
        <v>#DIV/0!</v>
      </c>
      <c r="T4335" t="s">
        <v>82</v>
      </c>
    </row>
    <row r="4336" spans="15:20" x14ac:dyDescent="0.25">
      <c r="O4336">
        <v>1</v>
      </c>
      <c r="S4336" t="e">
        <v>#DIV/0!</v>
      </c>
      <c r="T4336" t="s">
        <v>82</v>
      </c>
    </row>
    <row r="4337" spans="15:20" x14ac:dyDescent="0.25">
      <c r="O4337">
        <v>1</v>
      </c>
      <c r="S4337" t="e">
        <v>#DIV/0!</v>
      </c>
      <c r="T4337" t="s">
        <v>82</v>
      </c>
    </row>
    <row r="4338" spans="15:20" x14ac:dyDescent="0.25">
      <c r="O4338">
        <v>1</v>
      </c>
      <c r="S4338" t="e">
        <v>#DIV/0!</v>
      </c>
      <c r="T4338" t="s">
        <v>82</v>
      </c>
    </row>
    <row r="4339" spans="15:20" x14ac:dyDescent="0.25">
      <c r="O4339">
        <v>1</v>
      </c>
      <c r="S4339" t="e">
        <v>#DIV/0!</v>
      </c>
      <c r="T4339" t="s">
        <v>82</v>
      </c>
    </row>
    <row r="4340" spans="15:20" x14ac:dyDescent="0.25">
      <c r="O4340">
        <v>1</v>
      </c>
      <c r="S4340" t="e">
        <v>#DIV/0!</v>
      </c>
      <c r="T4340" t="s">
        <v>82</v>
      </c>
    </row>
    <row r="4341" spans="15:20" x14ac:dyDescent="0.25">
      <c r="O4341">
        <v>1</v>
      </c>
      <c r="S4341" t="e">
        <v>#DIV/0!</v>
      </c>
      <c r="T4341" t="s">
        <v>82</v>
      </c>
    </row>
    <row r="4342" spans="15:20" x14ac:dyDescent="0.25">
      <c r="O4342">
        <v>1</v>
      </c>
      <c r="S4342" t="e">
        <v>#DIV/0!</v>
      </c>
      <c r="T4342" t="s">
        <v>82</v>
      </c>
    </row>
    <row r="4343" spans="15:20" x14ac:dyDescent="0.25">
      <c r="O4343">
        <v>1</v>
      </c>
      <c r="S4343" t="e">
        <v>#DIV/0!</v>
      </c>
      <c r="T4343" t="s">
        <v>82</v>
      </c>
    </row>
    <row r="4344" spans="15:20" x14ac:dyDescent="0.25">
      <c r="O4344">
        <v>1</v>
      </c>
      <c r="S4344" t="e">
        <v>#DIV/0!</v>
      </c>
      <c r="T4344" t="s">
        <v>82</v>
      </c>
    </row>
    <row r="4345" spans="15:20" x14ac:dyDescent="0.25">
      <c r="O4345">
        <v>1</v>
      </c>
      <c r="S4345" t="e">
        <v>#DIV/0!</v>
      </c>
      <c r="T4345" t="s">
        <v>82</v>
      </c>
    </row>
    <row r="4346" spans="15:20" x14ac:dyDescent="0.25">
      <c r="O4346">
        <v>1</v>
      </c>
      <c r="S4346" t="e">
        <v>#DIV/0!</v>
      </c>
      <c r="T4346" t="s">
        <v>82</v>
      </c>
    </row>
    <row r="4347" spans="15:20" x14ac:dyDescent="0.25">
      <c r="O4347">
        <v>1</v>
      </c>
      <c r="S4347" t="e">
        <v>#DIV/0!</v>
      </c>
      <c r="T4347" t="s">
        <v>82</v>
      </c>
    </row>
    <row r="4348" spans="15:20" x14ac:dyDescent="0.25">
      <c r="O4348">
        <v>1</v>
      </c>
      <c r="S4348" t="e">
        <v>#DIV/0!</v>
      </c>
      <c r="T4348" t="s">
        <v>82</v>
      </c>
    </row>
    <row r="4349" spans="15:20" x14ac:dyDescent="0.25">
      <c r="O4349">
        <v>1</v>
      </c>
      <c r="S4349" t="e">
        <v>#DIV/0!</v>
      </c>
      <c r="T4349" t="s">
        <v>82</v>
      </c>
    </row>
    <row r="4350" spans="15:20" x14ac:dyDescent="0.25">
      <c r="O4350">
        <v>1</v>
      </c>
      <c r="S4350" t="e">
        <v>#DIV/0!</v>
      </c>
      <c r="T4350" t="s">
        <v>82</v>
      </c>
    </row>
    <row r="4351" spans="15:20" x14ac:dyDescent="0.25">
      <c r="O4351">
        <v>1</v>
      </c>
      <c r="S4351" t="e">
        <v>#DIV/0!</v>
      </c>
      <c r="T4351" t="s">
        <v>82</v>
      </c>
    </row>
    <row r="4352" spans="15:20" x14ac:dyDescent="0.25">
      <c r="O4352">
        <v>1</v>
      </c>
      <c r="S4352" t="e">
        <v>#DIV/0!</v>
      </c>
      <c r="T4352" t="s">
        <v>82</v>
      </c>
    </row>
    <row r="4353" spans="15:20" x14ac:dyDescent="0.25">
      <c r="O4353">
        <v>1</v>
      </c>
      <c r="S4353" t="e">
        <v>#DIV/0!</v>
      </c>
      <c r="T4353" t="s">
        <v>82</v>
      </c>
    </row>
    <row r="4354" spans="15:20" x14ac:dyDescent="0.25">
      <c r="O4354">
        <v>1</v>
      </c>
      <c r="S4354" t="e">
        <v>#DIV/0!</v>
      </c>
      <c r="T4354" t="s">
        <v>82</v>
      </c>
    </row>
    <row r="4355" spans="15:20" x14ac:dyDescent="0.25">
      <c r="O4355">
        <v>1</v>
      </c>
      <c r="S4355" t="e">
        <v>#DIV/0!</v>
      </c>
      <c r="T4355" t="s">
        <v>82</v>
      </c>
    </row>
    <row r="4356" spans="15:20" x14ac:dyDescent="0.25">
      <c r="O4356">
        <v>1</v>
      </c>
      <c r="S4356" t="e">
        <v>#DIV/0!</v>
      </c>
      <c r="T4356" t="s">
        <v>82</v>
      </c>
    </row>
    <row r="4357" spans="15:20" x14ac:dyDescent="0.25">
      <c r="O4357">
        <v>1</v>
      </c>
      <c r="S4357" t="e">
        <v>#DIV/0!</v>
      </c>
      <c r="T4357" t="s">
        <v>82</v>
      </c>
    </row>
    <row r="4358" spans="15:20" x14ac:dyDescent="0.25">
      <c r="O4358">
        <v>1</v>
      </c>
      <c r="S4358" t="e">
        <v>#DIV/0!</v>
      </c>
      <c r="T4358" t="s">
        <v>82</v>
      </c>
    </row>
    <row r="4359" spans="15:20" x14ac:dyDescent="0.25">
      <c r="O4359">
        <v>1</v>
      </c>
      <c r="S4359" t="e">
        <v>#DIV/0!</v>
      </c>
      <c r="T4359" t="s">
        <v>82</v>
      </c>
    </row>
    <row r="4360" spans="15:20" x14ac:dyDescent="0.25">
      <c r="O4360">
        <v>1</v>
      </c>
      <c r="S4360" t="e">
        <v>#DIV/0!</v>
      </c>
      <c r="T4360" t="s">
        <v>82</v>
      </c>
    </row>
    <row r="4361" spans="15:20" x14ac:dyDescent="0.25">
      <c r="O4361">
        <v>1</v>
      </c>
      <c r="S4361" t="e">
        <v>#DIV/0!</v>
      </c>
      <c r="T4361" t="s">
        <v>82</v>
      </c>
    </row>
    <row r="4362" spans="15:20" x14ac:dyDescent="0.25">
      <c r="O4362">
        <v>1</v>
      </c>
      <c r="S4362" t="e">
        <v>#DIV/0!</v>
      </c>
      <c r="T4362" t="s">
        <v>82</v>
      </c>
    </row>
    <row r="4363" spans="15:20" x14ac:dyDescent="0.25">
      <c r="O4363">
        <v>1</v>
      </c>
      <c r="S4363" t="e">
        <v>#DIV/0!</v>
      </c>
      <c r="T4363" t="s">
        <v>82</v>
      </c>
    </row>
    <row r="4364" spans="15:20" x14ac:dyDescent="0.25">
      <c r="O4364">
        <v>1</v>
      </c>
      <c r="S4364" t="e">
        <v>#DIV/0!</v>
      </c>
      <c r="T4364" t="s">
        <v>82</v>
      </c>
    </row>
    <row r="4365" spans="15:20" x14ac:dyDescent="0.25">
      <c r="O4365">
        <v>1</v>
      </c>
      <c r="S4365" t="e">
        <v>#DIV/0!</v>
      </c>
      <c r="T4365" t="s">
        <v>82</v>
      </c>
    </row>
    <row r="4366" spans="15:20" x14ac:dyDescent="0.25">
      <c r="O4366">
        <v>1</v>
      </c>
      <c r="S4366" t="e">
        <v>#DIV/0!</v>
      </c>
      <c r="T4366" t="s">
        <v>82</v>
      </c>
    </row>
    <row r="4367" spans="15:20" x14ac:dyDescent="0.25">
      <c r="O4367">
        <v>1</v>
      </c>
      <c r="S4367" t="e">
        <v>#DIV/0!</v>
      </c>
      <c r="T4367" t="s">
        <v>82</v>
      </c>
    </row>
    <row r="4368" spans="15:20" x14ac:dyDescent="0.25">
      <c r="O4368">
        <v>1</v>
      </c>
      <c r="S4368" t="e">
        <v>#DIV/0!</v>
      </c>
      <c r="T4368" t="s">
        <v>82</v>
      </c>
    </row>
    <row r="4369" spans="15:20" x14ac:dyDescent="0.25">
      <c r="O4369">
        <v>1</v>
      </c>
      <c r="S4369" t="e">
        <v>#DIV/0!</v>
      </c>
      <c r="T4369" t="s">
        <v>82</v>
      </c>
    </row>
    <row r="4370" spans="15:20" x14ac:dyDescent="0.25">
      <c r="O4370">
        <v>1</v>
      </c>
      <c r="S4370" t="e">
        <v>#DIV/0!</v>
      </c>
      <c r="T4370" t="s">
        <v>82</v>
      </c>
    </row>
    <row r="4371" spans="15:20" x14ac:dyDescent="0.25">
      <c r="O4371">
        <v>1</v>
      </c>
      <c r="S4371" t="e">
        <v>#DIV/0!</v>
      </c>
      <c r="T4371" t="s">
        <v>82</v>
      </c>
    </row>
    <row r="4372" spans="15:20" x14ac:dyDescent="0.25">
      <c r="O4372">
        <v>1</v>
      </c>
      <c r="S4372" t="e">
        <v>#DIV/0!</v>
      </c>
      <c r="T4372" t="s">
        <v>82</v>
      </c>
    </row>
    <row r="4373" spans="15:20" x14ac:dyDescent="0.25">
      <c r="O4373">
        <v>1</v>
      </c>
      <c r="S4373" t="e">
        <v>#DIV/0!</v>
      </c>
      <c r="T4373" t="s">
        <v>82</v>
      </c>
    </row>
    <row r="4374" spans="15:20" x14ac:dyDescent="0.25">
      <c r="O4374">
        <v>1</v>
      </c>
      <c r="S4374" t="e">
        <v>#DIV/0!</v>
      </c>
      <c r="T4374" t="s">
        <v>82</v>
      </c>
    </row>
    <row r="4375" spans="15:20" x14ac:dyDescent="0.25">
      <c r="O4375">
        <v>1</v>
      </c>
      <c r="S4375" t="e">
        <v>#DIV/0!</v>
      </c>
      <c r="T4375" t="s">
        <v>82</v>
      </c>
    </row>
    <row r="4376" spans="15:20" x14ac:dyDescent="0.25">
      <c r="O4376">
        <v>1</v>
      </c>
      <c r="S4376" t="e">
        <v>#DIV/0!</v>
      </c>
      <c r="T4376" t="s">
        <v>82</v>
      </c>
    </row>
    <row r="4377" spans="15:20" x14ac:dyDescent="0.25">
      <c r="O4377">
        <v>1</v>
      </c>
      <c r="S4377" t="e">
        <v>#DIV/0!</v>
      </c>
      <c r="T4377" t="s">
        <v>82</v>
      </c>
    </row>
    <row r="4378" spans="15:20" x14ac:dyDescent="0.25">
      <c r="O4378">
        <v>1</v>
      </c>
      <c r="S4378" t="e">
        <v>#DIV/0!</v>
      </c>
      <c r="T4378" t="s">
        <v>82</v>
      </c>
    </row>
    <row r="4379" spans="15:20" x14ac:dyDescent="0.25">
      <c r="O4379">
        <v>1</v>
      </c>
      <c r="S4379" t="e">
        <v>#DIV/0!</v>
      </c>
      <c r="T4379" t="s">
        <v>82</v>
      </c>
    </row>
    <row r="4380" spans="15:20" x14ac:dyDescent="0.25">
      <c r="O4380">
        <v>1</v>
      </c>
      <c r="S4380" t="e">
        <v>#DIV/0!</v>
      </c>
      <c r="T4380" t="s">
        <v>82</v>
      </c>
    </row>
    <row r="4381" spans="15:20" x14ac:dyDescent="0.25">
      <c r="O4381">
        <v>1</v>
      </c>
      <c r="S4381" t="e">
        <v>#DIV/0!</v>
      </c>
      <c r="T4381" t="s">
        <v>82</v>
      </c>
    </row>
    <row r="4382" spans="15:20" x14ac:dyDescent="0.25">
      <c r="O4382">
        <v>1</v>
      </c>
      <c r="S4382" t="e">
        <v>#DIV/0!</v>
      </c>
      <c r="T4382" t="s">
        <v>82</v>
      </c>
    </row>
    <row r="4383" spans="15:20" x14ac:dyDescent="0.25">
      <c r="O4383">
        <v>1</v>
      </c>
      <c r="S4383" t="e">
        <v>#DIV/0!</v>
      </c>
      <c r="T4383" t="s">
        <v>82</v>
      </c>
    </row>
    <row r="4384" spans="15:20" x14ac:dyDescent="0.25">
      <c r="O4384">
        <v>1</v>
      </c>
      <c r="S4384" t="e">
        <v>#DIV/0!</v>
      </c>
      <c r="T4384" t="s">
        <v>82</v>
      </c>
    </row>
    <row r="4385" spans="15:20" x14ac:dyDescent="0.25">
      <c r="O4385">
        <v>1</v>
      </c>
      <c r="S4385" t="e">
        <v>#DIV/0!</v>
      </c>
      <c r="T4385" t="s">
        <v>82</v>
      </c>
    </row>
    <row r="4386" spans="15:20" x14ac:dyDescent="0.25">
      <c r="O4386">
        <v>1</v>
      </c>
      <c r="S4386" t="e">
        <v>#DIV/0!</v>
      </c>
      <c r="T4386" t="s">
        <v>82</v>
      </c>
    </row>
    <row r="4387" spans="15:20" x14ac:dyDescent="0.25">
      <c r="O4387">
        <v>1</v>
      </c>
      <c r="S4387" t="e">
        <v>#DIV/0!</v>
      </c>
      <c r="T4387" t="s">
        <v>82</v>
      </c>
    </row>
    <row r="4388" spans="15:20" x14ac:dyDescent="0.25">
      <c r="O4388">
        <v>1</v>
      </c>
      <c r="S4388" t="e">
        <v>#DIV/0!</v>
      </c>
      <c r="T4388" t="s">
        <v>82</v>
      </c>
    </row>
    <row r="4389" spans="15:20" x14ac:dyDescent="0.25">
      <c r="O4389">
        <v>1</v>
      </c>
      <c r="S4389" t="e">
        <v>#DIV/0!</v>
      </c>
      <c r="T4389" t="s">
        <v>82</v>
      </c>
    </row>
    <row r="4390" spans="15:20" x14ac:dyDescent="0.25">
      <c r="O4390">
        <v>1</v>
      </c>
      <c r="S4390" t="e">
        <v>#DIV/0!</v>
      </c>
      <c r="T4390" t="s">
        <v>82</v>
      </c>
    </row>
    <row r="4391" spans="15:20" x14ac:dyDescent="0.25">
      <c r="O4391">
        <v>1</v>
      </c>
      <c r="S4391" t="e">
        <v>#DIV/0!</v>
      </c>
      <c r="T4391" t="s">
        <v>82</v>
      </c>
    </row>
    <row r="4392" spans="15:20" x14ac:dyDescent="0.25">
      <c r="O4392">
        <v>1</v>
      </c>
      <c r="S4392" t="e">
        <v>#DIV/0!</v>
      </c>
      <c r="T4392" t="s">
        <v>82</v>
      </c>
    </row>
    <row r="4393" spans="15:20" x14ac:dyDescent="0.25">
      <c r="O4393">
        <v>1</v>
      </c>
      <c r="S4393" t="e">
        <v>#DIV/0!</v>
      </c>
      <c r="T4393" t="s">
        <v>82</v>
      </c>
    </row>
    <row r="4394" spans="15:20" x14ac:dyDescent="0.25">
      <c r="O4394">
        <v>1</v>
      </c>
      <c r="S4394" t="e">
        <v>#DIV/0!</v>
      </c>
      <c r="T4394" t="s">
        <v>82</v>
      </c>
    </row>
    <row r="4395" spans="15:20" x14ac:dyDescent="0.25">
      <c r="O4395">
        <v>1</v>
      </c>
      <c r="S4395" t="e">
        <v>#DIV/0!</v>
      </c>
      <c r="T4395" t="s">
        <v>82</v>
      </c>
    </row>
    <row r="4396" spans="15:20" x14ac:dyDescent="0.25">
      <c r="O4396">
        <v>1</v>
      </c>
      <c r="S4396" t="e">
        <v>#DIV/0!</v>
      </c>
      <c r="T4396" t="s">
        <v>82</v>
      </c>
    </row>
    <row r="4397" spans="15:20" x14ac:dyDescent="0.25">
      <c r="O4397">
        <v>1</v>
      </c>
      <c r="S4397" t="e">
        <v>#DIV/0!</v>
      </c>
      <c r="T4397" t="s">
        <v>82</v>
      </c>
    </row>
    <row r="4398" spans="15:20" x14ac:dyDescent="0.25">
      <c r="O4398">
        <v>1</v>
      </c>
      <c r="S4398" t="e">
        <v>#DIV/0!</v>
      </c>
      <c r="T4398" t="s">
        <v>82</v>
      </c>
    </row>
    <row r="4399" spans="15:20" x14ac:dyDescent="0.25">
      <c r="O4399">
        <v>1</v>
      </c>
      <c r="S4399" t="e">
        <v>#DIV/0!</v>
      </c>
      <c r="T4399" t="s">
        <v>82</v>
      </c>
    </row>
    <row r="4400" spans="15:20" x14ac:dyDescent="0.25">
      <c r="O4400">
        <v>1</v>
      </c>
      <c r="S4400" t="e">
        <v>#DIV/0!</v>
      </c>
      <c r="T4400" t="s">
        <v>82</v>
      </c>
    </row>
    <row r="4401" spans="15:20" x14ac:dyDescent="0.25">
      <c r="O4401">
        <v>1</v>
      </c>
      <c r="S4401" t="e">
        <v>#DIV/0!</v>
      </c>
      <c r="T4401" t="s">
        <v>82</v>
      </c>
    </row>
    <row r="4402" spans="15:20" x14ac:dyDescent="0.25">
      <c r="O4402">
        <v>1</v>
      </c>
      <c r="S4402" t="e">
        <v>#DIV/0!</v>
      </c>
      <c r="T4402" t="s">
        <v>82</v>
      </c>
    </row>
    <row r="4403" spans="15:20" x14ac:dyDescent="0.25">
      <c r="O4403">
        <v>1</v>
      </c>
      <c r="S4403" t="e">
        <v>#DIV/0!</v>
      </c>
      <c r="T4403" t="s">
        <v>82</v>
      </c>
    </row>
    <row r="4404" spans="15:20" x14ac:dyDescent="0.25">
      <c r="O4404">
        <v>1</v>
      </c>
      <c r="S4404" t="e">
        <v>#DIV/0!</v>
      </c>
      <c r="T4404" t="s">
        <v>82</v>
      </c>
    </row>
    <row r="4405" spans="15:20" x14ac:dyDescent="0.25">
      <c r="O4405">
        <v>1</v>
      </c>
      <c r="S4405" t="e">
        <v>#DIV/0!</v>
      </c>
      <c r="T4405" t="s">
        <v>82</v>
      </c>
    </row>
    <row r="4406" spans="15:20" x14ac:dyDescent="0.25">
      <c r="O4406">
        <v>1</v>
      </c>
      <c r="S4406" t="e">
        <v>#DIV/0!</v>
      </c>
      <c r="T4406" t="s">
        <v>82</v>
      </c>
    </row>
    <row r="4407" spans="15:20" x14ac:dyDescent="0.25">
      <c r="O4407">
        <v>1</v>
      </c>
      <c r="S4407" t="e">
        <v>#DIV/0!</v>
      </c>
      <c r="T4407" t="s">
        <v>82</v>
      </c>
    </row>
    <row r="4408" spans="15:20" x14ac:dyDescent="0.25">
      <c r="O4408">
        <v>1</v>
      </c>
      <c r="S4408" t="e">
        <v>#DIV/0!</v>
      </c>
      <c r="T4408" t="s">
        <v>82</v>
      </c>
    </row>
    <row r="4409" spans="15:20" x14ac:dyDescent="0.25">
      <c r="O4409">
        <v>1</v>
      </c>
      <c r="S4409" t="e">
        <v>#DIV/0!</v>
      </c>
      <c r="T4409" t="s">
        <v>82</v>
      </c>
    </row>
    <row r="4410" spans="15:20" x14ac:dyDescent="0.25">
      <c r="O4410">
        <v>1</v>
      </c>
      <c r="S4410" t="e">
        <v>#DIV/0!</v>
      </c>
      <c r="T4410" t="s">
        <v>82</v>
      </c>
    </row>
    <row r="4411" spans="15:20" x14ac:dyDescent="0.25">
      <c r="O4411">
        <v>1</v>
      </c>
      <c r="S4411" t="e">
        <v>#DIV/0!</v>
      </c>
      <c r="T4411" t="s">
        <v>82</v>
      </c>
    </row>
    <row r="4412" spans="15:20" x14ac:dyDescent="0.25">
      <c r="O4412">
        <v>1</v>
      </c>
      <c r="S4412" t="e">
        <v>#DIV/0!</v>
      </c>
      <c r="T4412" t="s">
        <v>82</v>
      </c>
    </row>
    <row r="4413" spans="15:20" x14ac:dyDescent="0.25">
      <c r="O4413">
        <v>1</v>
      </c>
      <c r="S4413" t="e">
        <v>#DIV/0!</v>
      </c>
      <c r="T4413" t="s">
        <v>82</v>
      </c>
    </row>
    <row r="4414" spans="15:20" x14ac:dyDescent="0.25">
      <c r="O4414">
        <v>1</v>
      </c>
      <c r="S4414" t="e">
        <v>#DIV/0!</v>
      </c>
      <c r="T4414" t="s">
        <v>82</v>
      </c>
    </row>
    <row r="4415" spans="15:20" x14ac:dyDescent="0.25">
      <c r="O4415">
        <v>1</v>
      </c>
      <c r="S4415" t="e">
        <v>#DIV/0!</v>
      </c>
      <c r="T4415" t="s">
        <v>82</v>
      </c>
    </row>
    <row r="4416" spans="15:20" x14ac:dyDescent="0.25">
      <c r="O4416">
        <v>1</v>
      </c>
      <c r="S4416" t="e">
        <v>#DIV/0!</v>
      </c>
      <c r="T4416" t="s">
        <v>82</v>
      </c>
    </row>
    <row r="4417" spans="15:20" x14ac:dyDescent="0.25">
      <c r="O4417">
        <v>1</v>
      </c>
      <c r="S4417" t="e">
        <v>#DIV/0!</v>
      </c>
      <c r="T4417" t="s">
        <v>82</v>
      </c>
    </row>
    <row r="4418" spans="15:20" x14ac:dyDescent="0.25">
      <c r="O4418">
        <v>1</v>
      </c>
      <c r="S4418" t="e">
        <v>#DIV/0!</v>
      </c>
      <c r="T4418" t="s">
        <v>82</v>
      </c>
    </row>
    <row r="4419" spans="15:20" x14ac:dyDescent="0.25">
      <c r="O4419">
        <v>1</v>
      </c>
      <c r="S4419" t="e">
        <v>#DIV/0!</v>
      </c>
      <c r="T4419" t="s">
        <v>82</v>
      </c>
    </row>
    <row r="4420" spans="15:20" x14ac:dyDescent="0.25">
      <c r="O4420">
        <v>1</v>
      </c>
      <c r="S4420" t="e">
        <v>#DIV/0!</v>
      </c>
      <c r="T4420" t="s">
        <v>82</v>
      </c>
    </row>
    <row r="4421" spans="15:20" x14ac:dyDescent="0.25">
      <c r="O4421">
        <v>1</v>
      </c>
      <c r="S4421" t="e">
        <v>#DIV/0!</v>
      </c>
      <c r="T4421" t="s">
        <v>82</v>
      </c>
    </row>
    <row r="4422" spans="15:20" x14ac:dyDescent="0.25">
      <c r="O4422">
        <v>1</v>
      </c>
      <c r="S4422" t="e">
        <v>#DIV/0!</v>
      </c>
      <c r="T4422" t="s">
        <v>82</v>
      </c>
    </row>
    <row r="4423" spans="15:20" x14ac:dyDescent="0.25">
      <c r="O4423">
        <v>1</v>
      </c>
      <c r="S4423" t="e">
        <v>#DIV/0!</v>
      </c>
      <c r="T4423" t="s">
        <v>82</v>
      </c>
    </row>
    <row r="4424" spans="15:20" x14ac:dyDescent="0.25">
      <c r="O4424">
        <v>1</v>
      </c>
      <c r="S4424" t="e">
        <v>#DIV/0!</v>
      </c>
      <c r="T4424" t="s">
        <v>82</v>
      </c>
    </row>
    <row r="4425" spans="15:20" x14ac:dyDescent="0.25">
      <c r="O4425">
        <v>1</v>
      </c>
      <c r="S4425" t="e">
        <v>#DIV/0!</v>
      </c>
      <c r="T4425" t="s">
        <v>82</v>
      </c>
    </row>
    <row r="4426" spans="15:20" x14ac:dyDescent="0.25">
      <c r="O4426">
        <v>1</v>
      </c>
      <c r="S4426" t="e">
        <v>#DIV/0!</v>
      </c>
      <c r="T4426" t="s">
        <v>82</v>
      </c>
    </row>
    <row r="4427" spans="15:20" x14ac:dyDescent="0.25">
      <c r="O4427">
        <v>1</v>
      </c>
      <c r="S4427" t="e">
        <v>#DIV/0!</v>
      </c>
      <c r="T4427" t="s">
        <v>82</v>
      </c>
    </row>
    <row r="4428" spans="15:20" x14ac:dyDescent="0.25">
      <c r="O4428">
        <v>1</v>
      </c>
      <c r="S4428" t="e">
        <v>#DIV/0!</v>
      </c>
      <c r="T4428" t="s">
        <v>82</v>
      </c>
    </row>
    <row r="4429" spans="15:20" x14ac:dyDescent="0.25">
      <c r="O4429">
        <v>1</v>
      </c>
      <c r="S4429" t="e">
        <v>#DIV/0!</v>
      </c>
      <c r="T4429" t="s">
        <v>82</v>
      </c>
    </row>
    <row r="4430" spans="15:20" x14ac:dyDescent="0.25">
      <c r="O4430">
        <v>1</v>
      </c>
      <c r="S4430" t="e">
        <v>#DIV/0!</v>
      </c>
      <c r="T4430" t="s">
        <v>82</v>
      </c>
    </row>
    <row r="4431" spans="15:20" x14ac:dyDescent="0.25">
      <c r="O4431">
        <v>1</v>
      </c>
      <c r="S4431" t="e">
        <v>#DIV/0!</v>
      </c>
      <c r="T4431" t="s">
        <v>82</v>
      </c>
    </row>
    <row r="4432" spans="15:20" x14ac:dyDescent="0.25">
      <c r="O4432">
        <v>1</v>
      </c>
      <c r="S4432" t="e">
        <v>#DIV/0!</v>
      </c>
      <c r="T4432" t="s">
        <v>82</v>
      </c>
    </row>
    <row r="4433" spans="15:20" x14ac:dyDescent="0.25">
      <c r="O4433">
        <v>1</v>
      </c>
      <c r="S4433" t="e">
        <v>#DIV/0!</v>
      </c>
      <c r="T4433" t="s">
        <v>82</v>
      </c>
    </row>
    <row r="4434" spans="15:20" x14ac:dyDescent="0.25">
      <c r="O4434">
        <v>1</v>
      </c>
      <c r="S4434" t="e">
        <v>#DIV/0!</v>
      </c>
      <c r="T4434" t="s">
        <v>82</v>
      </c>
    </row>
    <row r="4435" spans="15:20" x14ac:dyDescent="0.25">
      <c r="O4435">
        <v>1</v>
      </c>
      <c r="S4435" t="e">
        <v>#DIV/0!</v>
      </c>
      <c r="T4435" t="s">
        <v>82</v>
      </c>
    </row>
    <row r="4436" spans="15:20" x14ac:dyDescent="0.25">
      <c r="O4436">
        <v>1</v>
      </c>
      <c r="S4436" t="e">
        <v>#DIV/0!</v>
      </c>
      <c r="T4436" t="s">
        <v>82</v>
      </c>
    </row>
    <row r="4437" spans="15:20" x14ac:dyDescent="0.25">
      <c r="O4437">
        <v>1</v>
      </c>
      <c r="S4437" t="e">
        <v>#DIV/0!</v>
      </c>
      <c r="T4437" t="s">
        <v>82</v>
      </c>
    </row>
    <row r="4438" spans="15:20" x14ac:dyDescent="0.25">
      <c r="O4438">
        <v>1</v>
      </c>
      <c r="S4438" t="e">
        <v>#DIV/0!</v>
      </c>
      <c r="T4438" t="s">
        <v>82</v>
      </c>
    </row>
    <row r="4439" spans="15:20" x14ac:dyDescent="0.25">
      <c r="O4439">
        <v>1</v>
      </c>
      <c r="S4439" t="e">
        <v>#DIV/0!</v>
      </c>
      <c r="T4439" t="s">
        <v>82</v>
      </c>
    </row>
    <row r="4440" spans="15:20" x14ac:dyDescent="0.25">
      <c r="O4440">
        <v>1</v>
      </c>
      <c r="S4440" t="e">
        <v>#DIV/0!</v>
      </c>
      <c r="T4440" t="s">
        <v>82</v>
      </c>
    </row>
    <row r="4441" spans="15:20" x14ac:dyDescent="0.25">
      <c r="O4441">
        <v>1</v>
      </c>
      <c r="S4441" t="e">
        <v>#DIV/0!</v>
      </c>
      <c r="T4441" t="s">
        <v>82</v>
      </c>
    </row>
    <row r="4442" spans="15:20" x14ac:dyDescent="0.25">
      <c r="O4442">
        <v>1</v>
      </c>
      <c r="S4442" t="e">
        <v>#DIV/0!</v>
      </c>
      <c r="T4442" t="s">
        <v>82</v>
      </c>
    </row>
    <row r="4443" spans="15:20" x14ac:dyDescent="0.25">
      <c r="O4443">
        <v>1</v>
      </c>
      <c r="S4443" t="e">
        <v>#DIV/0!</v>
      </c>
      <c r="T4443" t="s">
        <v>82</v>
      </c>
    </row>
    <row r="4444" spans="15:20" x14ac:dyDescent="0.25">
      <c r="O4444">
        <v>1</v>
      </c>
      <c r="S4444" t="e">
        <v>#DIV/0!</v>
      </c>
      <c r="T4444" t="s">
        <v>82</v>
      </c>
    </row>
    <row r="4445" spans="15:20" x14ac:dyDescent="0.25">
      <c r="O4445">
        <v>1</v>
      </c>
      <c r="S4445" t="e">
        <v>#DIV/0!</v>
      </c>
      <c r="T4445" t="s">
        <v>82</v>
      </c>
    </row>
    <row r="4446" spans="15:20" x14ac:dyDescent="0.25">
      <c r="O4446">
        <v>1</v>
      </c>
      <c r="S4446" t="e">
        <v>#DIV/0!</v>
      </c>
      <c r="T4446" t="s">
        <v>82</v>
      </c>
    </row>
    <row r="4447" spans="15:20" x14ac:dyDescent="0.25">
      <c r="O4447">
        <v>1</v>
      </c>
      <c r="S4447" t="e">
        <v>#DIV/0!</v>
      </c>
      <c r="T4447" t="s">
        <v>82</v>
      </c>
    </row>
    <row r="4448" spans="15:20" x14ac:dyDescent="0.25">
      <c r="O4448">
        <v>1</v>
      </c>
      <c r="S4448" t="e">
        <v>#DIV/0!</v>
      </c>
      <c r="T4448" t="s">
        <v>82</v>
      </c>
    </row>
    <row r="4449" spans="15:20" x14ac:dyDescent="0.25">
      <c r="O4449">
        <v>1</v>
      </c>
      <c r="S4449" t="e">
        <v>#DIV/0!</v>
      </c>
      <c r="T4449" t="s">
        <v>82</v>
      </c>
    </row>
    <row r="4450" spans="15:20" x14ac:dyDescent="0.25">
      <c r="O4450">
        <v>1</v>
      </c>
      <c r="S4450" t="e">
        <v>#DIV/0!</v>
      </c>
      <c r="T4450" t="s">
        <v>82</v>
      </c>
    </row>
    <row r="4451" spans="15:20" x14ac:dyDescent="0.25">
      <c r="O4451">
        <v>1</v>
      </c>
      <c r="S4451" t="e">
        <v>#DIV/0!</v>
      </c>
      <c r="T4451" t="s">
        <v>82</v>
      </c>
    </row>
    <row r="4452" spans="15:20" x14ac:dyDescent="0.25">
      <c r="O4452">
        <v>1</v>
      </c>
      <c r="S4452" t="e">
        <v>#DIV/0!</v>
      </c>
      <c r="T4452" t="s">
        <v>82</v>
      </c>
    </row>
    <row r="4453" spans="15:20" x14ac:dyDescent="0.25">
      <c r="O4453">
        <v>1</v>
      </c>
      <c r="S4453" t="e">
        <v>#DIV/0!</v>
      </c>
      <c r="T4453" t="s">
        <v>82</v>
      </c>
    </row>
    <row r="4454" spans="15:20" x14ac:dyDescent="0.25">
      <c r="O4454">
        <v>1</v>
      </c>
      <c r="S4454" t="e">
        <v>#DIV/0!</v>
      </c>
      <c r="T4454" t="s">
        <v>82</v>
      </c>
    </row>
    <row r="4455" spans="15:20" x14ac:dyDescent="0.25">
      <c r="O4455">
        <v>1</v>
      </c>
      <c r="S4455" t="e">
        <v>#DIV/0!</v>
      </c>
      <c r="T4455" t="s">
        <v>82</v>
      </c>
    </row>
    <row r="4456" spans="15:20" x14ac:dyDescent="0.25">
      <c r="O4456">
        <v>1</v>
      </c>
      <c r="S4456" t="e">
        <v>#DIV/0!</v>
      </c>
      <c r="T4456" t="s">
        <v>82</v>
      </c>
    </row>
    <row r="4457" spans="15:20" x14ac:dyDescent="0.25">
      <c r="O4457">
        <v>1</v>
      </c>
      <c r="S4457" t="e">
        <v>#DIV/0!</v>
      </c>
      <c r="T4457" t="s">
        <v>82</v>
      </c>
    </row>
    <row r="4458" spans="15:20" x14ac:dyDescent="0.25">
      <c r="O4458">
        <v>1</v>
      </c>
      <c r="S4458" t="e">
        <v>#DIV/0!</v>
      </c>
      <c r="T4458" t="s">
        <v>82</v>
      </c>
    </row>
    <row r="4459" spans="15:20" x14ac:dyDescent="0.25">
      <c r="O4459">
        <v>1</v>
      </c>
      <c r="S4459" t="e">
        <v>#DIV/0!</v>
      </c>
      <c r="T4459" t="s">
        <v>82</v>
      </c>
    </row>
    <row r="4460" spans="15:20" x14ac:dyDescent="0.25">
      <c r="O4460">
        <v>1</v>
      </c>
      <c r="S4460" t="e">
        <v>#DIV/0!</v>
      </c>
      <c r="T4460" t="s">
        <v>82</v>
      </c>
    </row>
    <row r="4461" spans="15:20" x14ac:dyDescent="0.25">
      <c r="O4461">
        <v>1</v>
      </c>
      <c r="S4461" t="e">
        <v>#DIV/0!</v>
      </c>
      <c r="T4461" t="s">
        <v>82</v>
      </c>
    </row>
    <row r="4462" spans="15:20" x14ac:dyDescent="0.25">
      <c r="O4462">
        <v>1</v>
      </c>
      <c r="S4462" t="e">
        <v>#DIV/0!</v>
      </c>
      <c r="T4462" t="s">
        <v>82</v>
      </c>
    </row>
    <row r="4463" spans="15:20" x14ac:dyDescent="0.25">
      <c r="O4463">
        <v>1</v>
      </c>
      <c r="S4463" t="e">
        <v>#DIV/0!</v>
      </c>
      <c r="T4463" t="s">
        <v>82</v>
      </c>
    </row>
    <row r="4464" spans="15:20" x14ac:dyDescent="0.25">
      <c r="O4464">
        <v>1</v>
      </c>
      <c r="S4464" t="e">
        <v>#DIV/0!</v>
      </c>
      <c r="T4464" t="s">
        <v>82</v>
      </c>
    </row>
    <row r="4465" spans="15:20" x14ac:dyDescent="0.25">
      <c r="O4465">
        <v>1</v>
      </c>
      <c r="S4465" t="e">
        <v>#DIV/0!</v>
      </c>
      <c r="T4465" t="s">
        <v>82</v>
      </c>
    </row>
    <row r="4466" spans="15:20" x14ac:dyDescent="0.25">
      <c r="O4466">
        <v>1</v>
      </c>
      <c r="S4466" t="e">
        <v>#DIV/0!</v>
      </c>
      <c r="T4466" t="s">
        <v>82</v>
      </c>
    </row>
    <row r="4467" spans="15:20" x14ac:dyDescent="0.25">
      <c r="O4467">
        <v>1</v>
      </c>
      <c r="S4467" t="e">
        <v>#DIV/0!</v>
      </c>
      <c r="T4467" t="s">
        <v>82</v>
      </c>
    </row>
    <row r="4468" spans="15:20" x14ac:dyDescent="0.25">
      <c r="O4468">
        <v>1</v>
      </c>
      <c r="S4468" t="e">
        <v>#DIV/0!</v>
      </c>
      <c r="T4468" t="s">
        <v>82</v>
      </c>
    </row>
    <row r="4469" spans="15:20" x14ac:dyDescent="0.25">
      <c r="O4469">
        <v>1</v>
      </c>
      <c r="S4469" t="e">
        <v>#DIV/0!</v>
      </c>
      <c r="T4469" t="s">
        <v>82</v>
      </c>
    </row>
    <row r="4470" spans="15:20" x14ac:dyDescent="0.25">
      <c r="O4470">
        <v>1</v>
      </c>
      <c r="S4470" t="e">
        <v>#DIV/0!</v>
      </c>
      <c r="T4470" t="s">
        <v>82</v>
      </c>
    </row>
    <row r="4471" spans="15:20" x14ac:dyDescent="0.25">
      <c r="O4471">
        <v>1</v>
      </c>
      <c r="S4471" t="e">
        <v>#DIV/0!</v>
      </c>
      <c r="T4471" t="s">
        <v>82</v>
      </c>
    </row>
    <row r="4472" spans="15:20" x14ac:dyDescent="0.25">
      <c r="O4472">
        <v>1</v>
      </c>
      <c r="S4472" t="e">
        <v>#DIV/0!</v>
      </c>
      <c r="T4472" t="s">
        <v>82</v>
      </c>
    </row>
    <row r="4473" spans="15:20" x14ac:dyDescent="0.25">
      <c r="O4473">
        <v>1</v>
      </c>
      <c r="S4473" t="e">
        <v>#DIV/0!</v>
      </c>
      <c r="T4473" t="s">
        <v>82</v>
      </c>
    </row>
    <row r="4474" spans="15:20" x14ac:dyDescent="0.25">
      <c r="O4474">
        <v>1</v>
      </c>
      <c r="S4474" t="e">
        <v>#DIV/0!</v>
      </c>
      <c r="T4474" t="s">
        <v>82</v>
      </c>
    </row>
    <row r="4475" spans="15:20" x14ac:dyDescent="0.25">
      <c r="O4475">
        <v>1</v>
      </c>
      <c r="S4475" t="e">
        <v>#DIV/0!</v>
      </c>
      <c r="T4475" t="s">
        <v>82</v>
      </c>
    </row>
    <row r="4476" spans="15:20" x14ac:dyDescent="0.25">
      <c r="O4476">
        <v>1</v>
      </c>
      <c r="S4476" t="e">
        <v>#DIV/0!</v>
      </c>
      <c r="T4476" t="s">
        <v>82</v>
      </c>
    </row>
    <row r="4477" spans="15:20" x14ac:dyDescent="0.25">
      <c r="O4477">
        <v>1</v>
      </c>
      <c r="S4477" t="e">
        <v>#DIV/0!</v>
      </c>
      <c r="T4477" t="s">
        <v>82</v>
      </c>
    </row>
    <row r="4478" spans="15:20" x14ac:dyDescent="0.25">
      <c r="O4478">
        <v>1</v>
      </c>
      <c r="S4478" t="e">
        <v>#DIV/0!</v>
      </c>
      <c r="T4478" t="s">
        <v>82</v>
      </c>
    </row>
    <row r="4479" spans="15:20" x14ac:dyDescent="0.25">
      <c r="O4479">
        <v>1</v>
      </c>
      <c r="S4479" t="e">
        <v>#DIV/0!</v>
      </c>
      <c r="T4479" t="s">
        <v>82</v>
      </c>
    </row>
    <row r="4480" spans="15:20" x14ac:dyDescent="0.25">
      <c r="O4480">
        <v>1</v>
      </c>
      <c r="S4480" t="e">
        <v>#DIV/0!</v>
      </c>
      <c r="T4480" t="s">
        <v>82</v>
      </c>
    </row>
    <row r="4481" spans="15:20" x14ac:dyDescent="0.25">
      <c r="O4481">
        <v>1</v>
      </c>
      <c r="S4481" t="e">
        <v>#DIV/0!</v>
      </c>
      <c r="T4481" t="s">
        <v>82</v>
      </c>
    </row>
    <row r="4482" spans="15:20" x14ac:dyDescent="0.25">
      <c r="O4482">
        <v>1</v>
      </c>
      <c r="S4482" t="e">
        <v>#DIV/0!</v>
      </c>
      <c r="T4482" t="s">
        <v>82</v>
      </c>
    </row>
    <row r="4483" spans="15:20" x14ac:dyDescent="0.25">
      <c r="O4483">
        <v>1</v>
      </c>
      <c r="S4483" t="e">
        <v>#DIV/0!</v>
      </c>
      <c r="T4483" t="s">
        <v>82</v>
      </c>
    </row>
    <row r="4484" spans="15:20" x14ac:dyDescent="0.25">
      <c r="O4484">
        <v>1</v>
      </c>
      <c r="S4484" t="e">
        <v>#DIV/0!</v>
      </c>
      <c r="T4484" t="s">
        <v>82</v>
      </c>
    </row>
    <row r="4485" spans="15:20" x14ac:dyDescent="0.25">
      <c r="O4485">
        <v>1</v>
      </c>
      <c r="S4485" t="e">
        <v>#DIV/0!</v>
      </c>
      <c r="T4485" t="s">
        <v>82</v>
      </c>
    </row>
    <row r="4486" spans="15:20" x14ac:dyDescent="0.25">
      <c r="O4486">
        <v>1</v>
      </c>
      <c r="S4486" t="e">
        <v>#DIV/0!</v>
      </c>
      <c r="T4486" t="s">
        <v>82</v>
      </c>
    </row>
    <row r="4487" spans="15:20" x14ac:dyDescent="0.25">
      <c r="O4487">
        <v>1</v>
      </c>
      <c r="S4487" t="e">
        <v>#DIV/0!</v>
      </c>
      <c r="T4487" t="s">
        <v>82</v>
      </c>
    </row>
    <row r="4488" spans="15:20" x14ac:dyDescent="0.25">
      <c r="O4488">
        <v>1</v>
      </c>
      <c r="S4488" t="e">
        <v>#DIV/0!</v>
      </c>
      <c r="T4488" t="s">
        <v>82</v>
      </c>
    </row>
    <row r="4489" spans="15:20" x14ac:dyDescent="0.25">
      <c r="O4489">
        <v>1</v>
      </c>
      <c r="S4489" t="e">
        <v>#DIV/0!</v>
      </c>
      <c r="T4489" t="s">
        <v>82</v>
      </c>
    </row>
    <row r="4490" spans="15:20" x14ac:dyDescent="0.25">
      <c r="O4490">
        <v>1</v>
      </c>
      <c r="S4490" t="e">
        <v>#DIV/0!</v>
      </c>
      <c r="T4490" t="s">
        <v>82</v>
      </c>
    </row>
    <row r="4491" spans="15:20" x14ac:dyDescent="0.25">
      <c r="O4491">
        <v>1</v>
      </c>
      <c r="S4491" t="e">
        <v>#DIV/0!</v>
      </c>
      <c r="T4491" t="s">
        <v>82</v>
      </c>
    </row>
    <row r="4492" spans="15:20" x14ac:dyDescent="0.25">
      <c r="O4492">
        <v>1</v>
      </c>
      <c r="S4492" t="e">
        <v>#DIV/0!</v>
      </c>
      <c r="T4492" t="s">
        <v>82</v>
      </c>
    </row>
    <row r="4493" spans="15:20" x14ac:dyDescent="0.25">
      <c r="O4493">
        <v>1</v>
      </c>
      <c r="S4493" t="e">
        <v>#DIV/0!</v>
      </c>
      <c r="T4493" t="s">
        <v>82</v>
      </c>
    </row>
    <row r="4494" spans="15:20" x14ac:dyDescent="0.25">
      <c r="O4494">
        <v>1</v>
      </c>
      <c r="S4494" t="e">
        <v>#DIV/0!</v>
      </c>
      <c r="T4494" t="s">
        <v>82</v>
      </c>
    </row>
    <row r="4495" spans="15:20" x14ac:dyDescent="0.25">
      <c r="O4495">
        <v>1</v>
      </c>
      <c r="S4495" t="e">
        <v>#DIV/0!</v>
      </c>
      <c r="T4495" t="s">
        <v>82</v>
      </c>
    </row>
    <row r="4496" spans="15:20" x14ac:dyDescent="0.25">
      <c r="O4496">
        <v>1</v>
      </c>
      <c r="S4496" t="e">
        <v>#DIV/0!</v>
      </c>
      <c r="T4496" t="s">
        <v>82</v>
      </c>
    </row>
    <row r="4497" spans="15:20" x14ac:dyDescent="0.25">
      <c r="O4497">
        <v>1</v>
      </c>
      <c r="S4497" t="e">
        <v>#DIV/0!</v>
      </c>
      <c r="T4497" t="s">
        <v>82</v>
      </c>
    </row>
    <row r="4498" spans="15:20" x14ac:dyDescent="0.25">
      <c r="O4498">
        <v>1</v>
      </c>
      <c r="S4498" t="e">
        <v>#DIV/0!</v>
      </c>
      <c r="T4498" t="s">
        <v>82</v>
      </c>
    </row>
    <row r="4499" spans="15:20" x14ac:dyDescent="0.25">
      <c r="O4499">
        <v>1</v>
      </c>
      <c r="S4499" t="e">
        <v>#DIV/0!</v>
      </c>
      <c r="T4499" t="s">
        <v>82</v>
      </c>
    </row>
    <row r="4500" spans="15:20" x14ac:dyDescent="0.25">
      <c r="O4500">
        <v>1</v>
      </c>
      <c r="S4500" t="e">
        <v>#DIV/0!</v>
      </c>
      <c r="T4500" t="s">
        <v>82</v>
      </c>
    </row>
    <row r="4501" spans="15:20" x14ac:dyDescent="0.25">
      <c r="O4501">
        <v>1</v>
      </c>
      <c r="S4501" t="e">
        <v>#DIV/0!</v>
      </c>
      <c r="T4501" t="s">
        <v>82</v>
      </c>
    </row>
    <row r="4502" spans="15:20" x14ac:dyDescent="0.25">
      <c r="O4502">
        <v>1</v>
      </c>
      <c r="S4502" t="e">
        <v>#DIV/0!</v>
      </c>
      <c r="T4502" t="s">
        <v>82</v>
      </c>
    </row>
    <row r="4503" spans="15:20" x14ac:dyDescent="0.25">
      <c r="O4503">
        <v>1</v>
      </c>
      <c r="S4503" t="e">
        <v>#DIV/0!</v>
      </c>
      <c r="T4503" t="s">
        <v>82</v>
      </c>
    </row>
    <row r="4504" spans="15:20" x14ac:dyDescent="0.25">
      <c r="O4504">
        <v>1</v>
      </c>
      <c r="S4504" t="e">
        <v>#DIV/0!</v>
      </c>
      <c r="T4504" t="s">
        <v>82</v>
      </c>
    </row>
    <row r="4505" spans="15:20" x14ac:dyDescent="0.25">
      <c r="O4505">
        <v>1</v>
      </c>
      <c r="S4505" t="e">
        <v>#DIV/0!</v>
      </c>
      <c r="T4505" t="s">
        <v>82</v>
      </c>
    </row>
    <row r="4506" spans="15:20" x14ac:dyDescent="0.25">
      <c r="O4506">
        <v>1</v>
      </c>
      <c r="S4506" t="e">
        <v>#DIV/0!</v>
      </c>
      <c r="T4506" t="s">
        <v>82</v>
      </c>
    </row>
    <row r="4507" spans="15:20" x14ac:dyDescent="0.25">
      <c r="O4507">
        <v>1</v>
      </c>
      <c r="S4507" t="e">
        <v>#DIV/0!</v>
      </c>
      <c r="T4507" t="s">
        <v>82</v>
      </c>
    </row>
    <row r="4508" spans="15:20" x14ac:dyDescent="0.25">
      <c r="O4508">
        <v>1</v>
      </c>
      <c r="S4508" t="e">
        <v>#DIV/0!</v>
      </c>
      <c r="T4508" t="s">
        <v>82</v>
      </c>
    </row>
    <row r="4509" spans="15:20" x14ac:dyDescent="0.25">
      <c r="O4509">
        <v>1</v>
      </c>
      <c r="S4509" t="e">
        <v>#DIV/0!</v>
      </c>
      <c r="T4509" t="s">
        <v>82</v>
      </c>
    </row>
    <row r="4510" spans="15:20" x14ac:dyDescent="0.25">
      <c r="O4510">
        <v>1</v>
      </c>
      <c r="S4510" t="e">
        <v>#DIV/0!</v>
      </c>
      <c r="T4510" t="s">
        <v>82</v>
      </c>
    </row>
    <row r="4511" spans="15:20" x14ac:dyDescent="0.25">
      <c r="O4511">
        <v>1</v>
      </c>
      <c r="S4511" t="e">
        <v>#DIV/0!</v>
      </c>
      <c r="T4511" t="s">
        <v>82</v>
      </c>
    </row>
    <row r="4512" spans="15:20" x14ac:dyDescent="0.25">
      <c r="O4512">
        <v>1</v>
      </c>
      <c r="S4512" t="e">
        <v>#DIV/0!</v>
      </c>
      <c r="T4512" t="s">
        <v>82</v>
      </c>
    </row>
    <row r="4513" spans="15:20" x14ac:dyDescent="0.25">
      <c r="O4513">
        <v>1</v>
      </c>
      <c r="S4513" t="e">
        <v>#DIV/0!</v>
      </c>
      <c r="T4513" t="s">
        <v>82</v>
      </c>
    </row>
    <row r="4514" spans="15:20" x14ac:dyDescent="0.25">
      <c r="O4514">
        <v>1</v>
      </c>
      <c r="S4514" t="e">
        <v>#DIV/0!</v>
      </c>
      <c r="T4514" t="s">
        <v>82</v>
      </c>
    </row>
    <row r="4515" spans="15:20" x14ac:dyDescent="0.25">
      <c r="O4515">
        <v>1</v>
      </c>
      <c r="S4515" t="e">
        <v>#DIV/0!</v>
      </c>
      <c r="T4515" t="s">
        <v>82</v>
      </c>
    </row>
    <row r="4516" spans="15:20" x14ac:dyDescent="0.25">
      <c r="O4516">
        <v>1</v>
      </c>
      <c r="S4516" t="e">
        <v>#DIV/0!</v>
      </c>
      <c r="T4516" t="s">
        <v>82</v>
      </c>
    </row>
    <row r="4517" spans="15:20" x14ac:dyDescent="0.25">
      <c r="O4517">
        <v>1</v>
      </c>
      <c r="S4517" t="e">
        <v>#DIV/0!</v>
      </c>
      <c r="T4517" t="s">
        <v>82</v>
      </c>
    </row>
    <row r="4518" spans="15:20" x14ac:dyDescent="0.25">
      <c r="O4518">
        <v>1</v>
      </c>
      <c r="S4518" t="e">
        <v>#DIV/0!</v>
      </c>
      <c r="T4518" t="s">
        <v>82</v>
      </c>
    </row>
    <row r="4519" spans="15:20" x14ac:dyDescent="0.25">
      <c r="O4519">
        <v>1</v>
      </c>
      <c r="S4519" t="e">
        <v>#DIV/0!</v>
      </c>
      <c r="T4519" t="s">
        <v>82</v>
      </c>
    </row>
    <row r="4520" spans="15:20" x14ac:dyDescent="0.25">
      <c r="O4520">
        <v>1</v>
      </c>
      <c r="S4520" t="e">
        <v>#DIV/0!</v>
      </c>
      <c r="T4520" t="s">
        <v>82</v>
      </c>
    </row>
    <row r="4521" spans="15:20" x14ac:dyDescent="0.25">
      <c r="O4521">
        <v>1</v>
      </c>
      <c r="S4521" t="e">
        <v>#DIV/0!</v>
      </c>
      <c r="T4521" t="s">
        <v>82</v>
      </c>
    </row>
    <row r="4522" spans="15:20" x14ac:dyDescent="0.25">
      <c r="O4522">
        <v>1</v>
      </c>
      <c r="S4522" t="e">
        <v>#DIV/0!</v>
      </c>
      <c r="T4522" t="s">
        <v>82</v>
      </c>
    </row>
    <row r="4523" spans="15:20" x14ac:dyDescent="0.25">
      <c r="O4523">
        <v>1</v>
      </c>
      <c r="S4523" t="e">
        <v>#DIV/0!</v>
      </c>
      <c r="T4523" t="s">
        <v>82</v>
      </c>
    </row>
    <row r="4524" spans="15:20" x14ac:dyDescent="0.25">
      <c r="O4524">
        <v>1</v>
      </c>
      <c r="S4524" t="e">
        <v>#DIV/0!</v>
      </c>
      <c r="T4524" t="s">
        <v>82</v>
      </c>
    </row>
    <row r="4525" spans="15:20" x14ac:dyDescent="0.25">
      <c r="O4525">
        <v>1</v>
      </c>
      <c r="S4525" t="e">
        <v>#DIV/0!</v>
      </c>
      <c r="T4525" t="s">
        <v>82</v>
      </c>
    </row>
    <row r="4526" spans="15:20" x14ac:dyDescent="0.25">
      <c r="O4526">
        <v>1</v>
      </c>
      <c r="S4526" t="e">
        <v>#DIV/0!</v>
      </c>
      <c r="T4526" t="s">
        <v>82</v>
      </c>
    </row>
    <row r="4527" spans="15:20" x14ac:dyDescent="0.25">
      <c r="O4527">
        <v>1</v>
      </c>
      <c r="S4527" t="e">
        <v>#DIV/0!</v>
      </c>
      <c r="T4527" t="s">
        <v>82</v>
      </c>
    </row>
    <row r="4528" spans="15:20" x14ac:dyDescent="0.25">
      <c r="O4528">
        <v>1</v>
      </c>
      <c r="S4528" t="e">
        <v>#DIV/0!</v>
      </c>
      <c r="T4528" t="s">
        <v>82</v>
      </c>
    </row>
    <row r="4529" spans="15:20" x14ac:dyDescent="0.25">
      <c r="O4529">
        <v>1</v>
      </c>
      <c r="S4529" t="e">
        <v>#DIV/0!</v>
      </c>
      <c r="T4529" t="s">
        <v>82</v>
      </c>
    </row>
    <row r="4530" spans="15:20" x14ac:dyDescent="0.25">
      <c r="O4530">
        <v>1</v>
      </c>
      <c r="S4530" t="e">
        <v>#DIV/0!</v>
      </c>
      <c r="T4530" t="s">
        <v>82</v>
      </c>
    </row>
    <row r="4531" spans="15:20" x14ac:dyDescent="0.25">
      <c r="O4531">
        <v>1</v>
      </c>
      <c r="S4531" t="e">
        <v>#DIV/0!</v>
      </c>
      <c r="T4531" t="s">
        <v>82</v>
      </c>
    </row>
    <row r="4532" spans="15:20" x14ac:dyDescent="0.25">
      <c r="O4532">
        <v>1</v>
      </c>
      <c r="S4532" t="e">
        <v>#DIV/0!</v>
      </c>
      <c r="T4532" t="s">
        <v>82</v>
      </c>
    </row>
    <row r="4533" spans="15:20" x14ac:dyDescent="0.25">
      <c r="O4533">
        <v>1</v>
      </c>
      <c r="S4533" t="e">
        <v>#DIV/0!</v>
      </c>
      <c r="T4533" t="s">
        <v>82</v>
      </c>
    </row>
    <row r="4534" spans="15:20" x14ac:dyDescent="0.25">
      <c r="O4534">
        <v>1</v>
      </c>
      <c r="S4534" t="e">
        <v>#DIV/0!</v>
      </c>
      <c r="T4534" t="s">
        <v>82</v>
      </c>
    </row>
    <row r="4535" spans="15:20" x14ac:dyDescent="0.25">
      <c r="O4535">
        <v>1</v>
      </c>
      <c r="S4535" t="e">
        <v>#DIV/0!</v>
      </c>
      <c r="T4535" t="s">
        <v>82</v>
      </c>
    </row>
    <row r="4536" spans="15:20" x14ac:dyDescent="0.25">
      <c r="O4536">
        <v>1</v>
      </c>
      <c r="S4536" t="e">
        <v>#DIV/0!</v>
      </c>
      <c r="T4536" t="s">
        <v>82</v>
      </c>
    </row>
    <row r="4537" spans="15:20" x14ac:dyDescent="0.25">
      <c r="O4537">
        <v>1</v>
      </c>
      <c r="S4537" t="e">
        <v>#DIV/0!</v>
      </c>
      <c r="T4537" t="s">
        <v>82</v>
      </c>
    </row>
    <row r="4538" spans="15:20" x14ac:dyDescent="0.25">
      <c r="O4538">
        <v>1</v>
      </c>
      <c r="S4538" t="e">
        <v>#DIV/0!</v>
      </c>
      <c r="T4538" t="s">
        <v>82</v>
      </c>
    </row>
    <row r="4539" spans="15:20" x14ac:dyDescent="0.25">
      <c r="O4539">
        <v>1</v>
      </c>
      <c r="S4539" t="e">
        <v>#DIV/0!</v>
      </c>
      <c r="T4539" t="s">
        <v>82</v>
      </c>
    </row>
    <row r="4540" spans="15:20" x14ac:dyDescent="0.25">
      <c r="O4540">
        <v>1</v>
      </c>
      <c r="S4540" t="e">
        <v>#DIV/0!</v>
      </c>
      <c r="T4540" t="s">
        <v>82</v>
      </c>
    </row>
    <row r="4541" spans="15:20" x14ac:dyDescent="0.25">
      <c r="O4541">
        <v>1</v>
      </c>
      <c r="S4541" t="e">
        <v>#DIV/0!</v>
      </c>
      <c r="T4541" t="s">
        <v>82</v>
      </c>
    </row>
    <row r="4542" spans="15:20" x14ac:dyDescent="0.25">
      <c r="O4542">
        <v>1</v>
      </c>
      <c r="S4542" t="e">
        <v>#DIV/0!</v>
      </c>
      <c r="T4542" t="s">
        <v>82</v>
      </c>
    </row>
    <row r="4543" spans="15:20" x14ac:dyDescent="0.25">
      <c r="O4543">
        <v>1</v>
      </c>
      <c r="S4543" t="e">
        <v>#DIV/0!</v>
      </c>
      <c r="T4543" t="s">
        <v>82</v>
      </c>
    </row>
    <row r="4544" spans="15:20" x14ac:dyDescent="0.25">
      <c r="O4544">
        <v>1</v>
      </c>
      <c r="S4544" t="e">
        <v>#DIV/0!</v>
      </c>
      <c r="T4544" t="s">
        <v>82</v>
      </c>
    </row>
    <row r="4545" spans="15:20" x14ac:dyDescent="0.25">
      <c r="O4545">
        <v>1</v>
      </c>
      <c r="S4545" t="e">
        <v>#DIV/0!</v>
      </c>
      <c r="T4545" t="s">
        <v>82</v>
      </c>
    </row>
    <row r="4546" spans="15:20" x14ac:dyDescent="0.25">
      <c r="O4546">
        <v>1</v>
      </c>
      <c r="S4546" t="e">
        <v>#DIV/0!</v>
      </c>
      <c r="T4546" t="s">
        <v>82</v>
      </c>
    </row>
    <row r="4547" spans="15:20" x14ac:dyDescent="0.25">
      <c r="O4547">
        <v>1</v>
      </c>
      <c r="S4547" t="e">
        <v>#DIV/0!</v>
      </c>
      <c r="T4547" t="s">
        <v>82</v>
      </c>
    </row>
    <row r="4548" spans="15:20" x14ac:dyDescent="0.25">
      <c r="O4548">
        <v>1</v>
      </c>
      <c r="S4548" t="e">
        <v>#DIV/0!</v>
      </c>
      <c r="T4548" t="s">
        <v>82</v>
      </c>
    </row>
    <row r="4549" spans="15:20" x14ac:dyDescent="0.25">
      <c r="O4549">
        <v>1</v>
      </c>
      <c r="S4549" t="e">
        <v>#DIV/0!</v>
      </c>
      <c r="T4549" t="s">
        <v>82</v>
      </c>
    </row>
    <row r="4550" spans="15:20" x14ac:dyDescent="0.25">
      <c r="O4550">
        <v>1</v>
      </c>
      <c r="S4550" t="e">
        <v>#DIV/0!</v>
      </c>
      <c r="T4550" t="s">
        <v>82</v>
      </c>
    </row>
    <row r="4551" spans="15:20" x14ac:dyDescent="0.25">
      <c r="O4551">
        <v>1</v>
      </c>
      <c r="S4551" t="e">
        <v>#DIV/0!</v>
      </c>
      <c r="T4551" t="s">
        <v>82</v>
      </c>
    </row>
    <row r="4552" spans="15:20" x14ac:dyDescent="0.25">
      <c r="O4552">
        <v>1</v>
      </c>
      <c r="S4552" t="e">
        <v>#DIV/0!</v>
      </c>
      <c r="T4552" t="s">
        <v>82</v>
      </c>
    </row>
    <row r="4553" spans="15:20" x14ac:dyDescent="0.25">
      <c r="O4553">
        <v>1</v>
      </c>
      <c r="S4553" t="e">
        <v>#DIV/0!</v>
      </c>
      <c r="T4553" t="s">
        <v>82</v>
      </c>
    </row>
    <row r="4554" spans="15:20" x14ac:dyDescent="0.25">
      <c r="O4554">
        <v>1</v>
      </c>
      <c r="S4554" t="e">
        <v>#DIV/0!</v>
      </c>
      <c r="T4554" t="s">
        <v>82</v>
      </c>
    </row>
    <row r="4555" spans="15:20" x14ac:dyDescent="0.25">
      <c r="O4555">
        <v>1</v>
      </c>
      <c r="S4555" t="e">
        <v>#DIV/0!</v>
      </c>
      <c r="T4555" t="s">
        <v>82</v>
      </c>
    </row>
    <row r="4556" spans="15:20" x14ac:dyDescent="0.25">
      <c r="O4556">
        <v>1</v>
      </c>
      <c r="S4556" t="e">
        <v>#DIV/0!</v>
      </c>
      <c r="T4556" t="s">
        <v>82</v>
      </c>
    </row>
    <row r="4557" spans="15:20" x14ac:dyDescent="0.25">
      <c r="O4557">
        <v>1</v>
      </c>
      <c r="S4557" t="e">
        <v>#DIV/0!</v>
      </c>
      <c r="T4557" t="s">
        <v>82</v>
      </c>
    </row>
    <row r="4558" spans="15:20" x14ac:dyDescent="0.25">
      <c r="O4558">
        <v>1</v>
      </c>
      <c r="S4558" t="e">
        <v>#DIV/0!</v>
      </c>
      <c r="T4558" t="s">
        <v>82</v>
      </c>
    </row>
    <row r="4559" spans="15:20" x14ac:dyDescent="0.25">
      <c r="O4559">
        <v>1</v>
      </c>
      <c r="S4559" t="e">
        <v>#DIV/0!</v>
      </c>
      <c r="T4559" t="s">
        <v>82</v>
      </c>
    </row>
    <row r="4560" spans="15:20" x14ac:dyDescent="0.25">
      <c r="O4560">
        <v>1</v>
      </c>
      <c r="S4560" t="e">
        <v>#DIV/0!</v>
      </c>
      <c r="T4560" t="s">
        <v>82</v>
      </c>
    </row>
    <row r="4561" spans="15:20" x14ac:dyDescent="0.25">
      <c r="O4561">
        <v>1</v>
      </c>
      <c r="S4561" t="e">
        <v>#DIV/0!</v>
      </c>
      <c r="T4561" t="s">
        <v>82</v>
      </c>
    </row>
    <row r="4562" spans="15:20" x14ac:dyDescent="0.25">
      <c r="O4562">
        <v>1</v>
      </c>
      <c r="S4562" t="e">
        <v>#DIV/0!</v>
      </c>
      <c r="T4562" t="s">
        <v>82</v>
      </c>
    </row>
    <row r="4563" spans="15:20" x14ac:dyDescent="0.25">
      <c r="O4563">
        <v>1</v>
      </c>
      <c r="S4563" t="e">
        <v>#DIV/0!</v>
      </c>
      <c r="T4563" t="s">
        <v>82</v>
      </c>
    </row>
    <row r="4564" spans="15:20" x14ac:dyDescent="0.25">
      <c r="O4564">
        <v>1</v>
      </c>
      <c r="S4564" t="e">
        <v>#DIV/0!</v>
      </c>
      <c r="T4564" t="s">
        <v>82</v>
      </c>
    </row>
    <row r="4565" spans="15:20" x14ac:dyDescent="0.25">
      <c r="O4565">
        <v>1</v>
      </c>
      <c r="S4565" t="e">
        <v>#DIV/0!</v>
      </c>
      <c r="T4565" t="s">
        <v>82</v>
      </c>
    </row>
    <row r="4566" spans="15:20" x14ac:dyDescent="0.25">
      <c r="O4566">
        <v>1</v>
      </c>
      <c r="S4566" t="e">
        <v>#DIV/0!</v>
      </c>
      <c r="T4566" t="s">
        <v>82</v>
      </c>
    </row>
    <row r="4567" spans="15:20" x14ac:dyDescent="0.25">
      <c r="O4567">
        <v>1</v>
      </c>
      <c r="S4567" t="e">
        <v>#DIV/0!</v>
      </c>
      <c r="T4567" t="s">
        <v>82</v>
      </c>
    </row>
    <row r="4568" spans="15:20" x14ac:dyDescent="0.25">
      <c r="O4568">
        <v>1</v>
      </c>
      <c r="S4568" t="e">
        <v>#DIV/0!</v>
      </c>
      <c r="T4568" t="s">
        <v>82</v>
      </c>
    </row>
    <row r="4569" spans="15:20" x14ac:dyDescent="0.25">
      <c r="O4569">
        <v>1</v>
      </c>
      <c r="S4569" t="e">
        <v>#DIV/0!</v>
      </c>
      <c r="T4569" t="s">
        <v>82</v>
      </c>
    </row>
    <row r="4570" spans="15:20" x14ac:dyDescent="0.25">
      <c r="O4570">
        <v>1</v>
      </c>
      <c r="S4570" t="e">
        <v>#DIV/0!</v>
      </c>
      <c r="T4570" t="s">
        <v>82</v>
      </c>
    </row>
    <row r="4571" spans="15:20" x14ac:dyDescent="0.25">
      <c r="O4571">
        <v>1</v>
      </c>
      <c r="S4571" t="e">
        <v>#DIV/0!</v>
      </c>
      <c r="T4571" t="s">
        <v>82</v>
      </c>
    </row>
    <row r="4572" spans="15:20" x14ac:dyDescent="0.25">
      <c r="O4572">
        <v>1</v>
      </c>
      <c r="S4572" t="e">
        <v>#DIV/0!</v>
      </c>
      <c r="T4572" t="s">
        <v>82</v>
      </c>
    </row>
    <row r="4573" spans="15:20" x14ac:dyDescent="0.25">
      <c r="O4573">
        <v>1</v>
      </c>
      <c r="S4573" t="e">
        <v>#DIV/0!</v>
      </c>
      <c r="T4573" t="s">
        <v>82</v>
      </c>
    </row>
    <row r="4574" spans="15:20" x14ac:dyDescent="0.25">
      <c r="O4574">
        <v>1</v>
      </c>
      <c r="S4574" t="e">
        <v>#DIV/0!</v>
      </c>
      <c r="T4574" t="s">
        <v>82</v>
      </c>
    </row>
    <row r="4575" spans="15:20" x14ac:dyDescent="0.25">
      <c r="O4575">
        <v>1</v>
      </c>
      <c r="S4575" t="e">
        <v>#DIV/0!</v>
      </c>
      <c r="T4575" t="s">
        <v>82</v>
      </c>
    </row>
    <row r="4576" spans="15:20" x14ac:dyDescent="0.25">
      <c r="O4576">
        <v>1</v>
      </c>
      <c r="S4576" t="e">
        <v>#DIV/0!</v>
      </c>
      <c r="T4576" t="s">
        <v>82</v>
      </c>
    </row>
    <row r="4577" spans="15:20" x14ac:dyDescent="0.25">
      <c r="O4577">
        <v>1</v>
      </c>
      <c r="S4577" t="e">
        <v>#DIV/0!</v>
      </c>
      <c r="T4577" t="s">
        <v>82</v>
      </c>
    </row>
    <row r="4578" spans="15:20" x14ac:dyDescent="0.25">
      <c r="O4578">
        <v>1</v>
      </c>
      <c r="S4578" t="e">
        <v>#DIV/0!</v>
      </c>
      <c r="T4578" t="s">
        <v>82</v>
      </c>
    </row>
    <row r="4579" spans="15:20" x14ac:dyDescent="0.25">
      <c r="O4579">
        <v>1</v>
      </c>
      <c r="S4579" t="e">
        <v>#DIV/0!</v>
      </c>
      <c r="T4579" t="s">
        <v>82</v>
      </c>
    </row>
    <row r="4580" spans="15:20" x14ac:dyDescent="0.25">
      <c r="O4580">
        <v>1</v>
      </c>
      <c r="S4580" t="e">
        <v>#DIV/0!</v>
      </c>
      <c r="T4580" t="s">
        <v>82</v>
      </c>
    </row>
    <row r="4581" spans="15:20" x14ac:dyDescent="0.25">
      <c r="O4581">
        <v>1</v>
      </c>
      <c r="S4581" t="e">
        <v>#DIV/0!</v>
      </c>
      <c r="T4581" t="s">
        <v>82</v>
      </c>
    </row>
    <row r="4582" spans="15:20" x14ac:dyDescent="0.25">
      <c r="O4582">
        <v>1</v>
      </c>
      <c r="S4582" t="e">
        <v>#DIV/0!</v>
      </c>
      <c r="T4582" t="s">
        <v>82</v>
      </c>
    </row>
    <row r="4583" spans="15:20" x14ac:dyDescent="0.25">
      <c r="O4583">
        <v>1</v>
      </c>
      <c r="S4583" t="e">
        <v>#DIV/0!</v>
      </c>
      <c r="T4583" t="s">
        <v>82</v>
      </c>
    </row>
    <row r="4584" spans="15:20" x14ac:dyDescent="0.25">
      <c r="O4584">
        <v>1</v>
      </c>
      <c r="S4584" t="e">
        <v>#DIV/0!</v>
      </c>
      <c r="T4584" t="s">
        <v>82</v>
      </c>
    </row>
    <row r="4585" spans="15:20" x14ac:dyDescent="0.25">
      <c r="O4585">
        <v>1</v>
      </c>
      <c r="S4585" t="e">
        <v>#DIV/0!</v>
      </c>
      <c r="T4585" t="s">
        <v>82</v>
      </c>
    </row>
    <row r="4586" spans="15:20" x14ac:dyDescent="0.25">
      <c r="O4586">
        <v>1</v>
      </c>
      <c r="S4586" t="e">
        <v>#DIV/0!</v>
      </c>
      <c r="T4586" t="s">
        <v>82</v>
      </c>
    </row>
    <row r="4587" spans="15:20" x14ac:dyDescent="0.25">
      <c r="O4587">
        <v>1</v>
      </c>
      <c r="S4587" t="e">
        <v>#DIV/0!</v>
      </c>
      <c r="T4587" t="s">
        <v>82</v>
      </c>
    </row>
    <row r="4588" spans="15:20" x14ac:dyDescent="0.25">
      <c r="O4588">
        <v>1</v>
      </c>
      <c r="S4588" t="e">
        <v>#DIV/0!</v>
      </c>
      <c r="T4588" t="s">
        <v>82</v>
      </c>
    </row>
    <row r="4589" spans="15:20" x14ac:dyDescent="0.25">
      <c r="O4589">
        <v>1</v>
      </c>
      <c r="S4589" t="e">
        <v>#DIV/0!</v>
      </c>
      <c r="T4589" t="s">
        <v>82</v>
      </c>
    </row>
    <row r="4590" spans="15:20" x14ac:dyDescent="0.25">
      <c r="O4590">
        <v>1</v>
      </c>
      <c r="S4590" t="e">
        <v>#DIV/0!</v>
      </c>
      <c r="T4590" t="s">
        <v>82</v>
      </c>
    </row>
    <row r="4591" spans="15:20" x14ac:dyDescent="0.25">
      <c r="O4591">
        <v>1</v>
      </c>
      <c r="S4591" t="e">
        <v>#DIV/0!</v>
      </c>
      <c r="T4591" t="s">
        <v>82</v>
      </c>
    </row>
    <row r="4592" spans="15:20" x14ac:dyDescent="0.25">
      <c r="O4592">
        <v>1</v>
      </c>
      <c r="S4592" t="e">
        <v>#DIV/0!</v>
      </c>
      <c r="T4592" t="s">
        <v>82</v>
      </c>
    </row>
    <row r="4593" spans="15:20" x14ac:dyDescent="0.25">
      <c r="O4593">
        <v>1</v>
      </c>
      <c r="S4593" t="e">
        <v>#DIV/0!</v>
      </c>
      <c r="T4593" t="s">
        <v>82</v>
      </c>
    </row>
    <row r="4594" spans="15:20" x14ac:dyDescent="0.25">
      <c r="O4594">
        <v>1</v>
      </c>
      <c r="S4594" t="e">
        <v>#DIV/0!</v>
      </c>
      <c r="T4594" t="s">
        <v>82</v>
      </c>
    </row>
    <row r="4595" spans="15:20" x14ac:dyDescent="0.25">
      <c r="O4595">
        <v>1</v>
      </c>
      <c r="S4595" t="e">
        <v>#DIV/0!</v>
      </c>
      <c r="T4595" t="s">
        <v>82</v>
      </c>
    </row>
    <row r="4596" spans="15:20" x14ac:dyDescent="0.25">
      <c r="O4596">
        <v>1</v>
      </c>
      <c r="S4596" t="e">
        <v>#DIV/0!</v>
      </c>
      <c r="T4596" t="s">
        <v>82</v>
      </c>
    </row>
    <row r="4597" spans="15:20" x14ac:dyDescent="0.25">
      <c r="O4597">
        <v>1</v>
      </c>
      <c r="S4597" t="e">
        <v>#DIV/0!</v>
      </c>
      <c r="T4597" t="s">
        <v>82</v>
      </c>
    </row>
    <row r="4598" spans="15:20" x14ac:dyDescent="0.25">
      <c r="O4598">
        <v>1</v>
      </c>
      <c r="S4598" t="e">
        <v>#DIV/0!</v>
      </c>
      <c r="T4598" t="s">
        <v>82</v>
      </c>
    </row>
    <row r="4599" spans="15:20" x14ac:dyDescent="0.25">
      <c r="O4599">
        <v>1</v>
      </c>
      <c r="S4599" t="e">
        <v>#DIV/0!</v>
      </c>
      <c r="T4599" t="s">
        <v>82</v>
      </c>
    </row>
    <row r="4600" spans="15:20" x14ac:dyDescent="0.25">
      <c r="O4600">
        <v>1</v>
      </c>
      <c r="S4600" t="e">
        <v>#DIV/0!</v>
      </c>
      <c r="T4600" t="s">
        <v>82</v>
      </c>
    </row>
    <row r="4601" spans="15:20" x14ac:dyDescent="0.25">
      <c r="O4601">
        <v>1</v>
      </c>
      <c r="S4601" t="e">
        <v>#DIV/0!</v>
      </c>
      <c r="T4601" t="s">
        <v>82</v>
      </c>
    </row>
    <row r="4602" spans="15:20" x14ac:dyDescent="0.25">
      <c r="O4602">
        <v>1</v>
      </c>
      <c r="S4602" t="e">
        <v>#DIV/0!</v>
      </c>
      <c r="T4602" t="s">
        <v>82</v>
      </c>
    </row>
    <row r="4603" spans="15:20" x14ac:dyDescent="0.25">
      <c r="O4603">
        <v>1</v>
      </c>
      <c r="S4603" t="e">
        <v>#DIV/0!</v>
      </c>
      <c r="T4603" t="s">
        <v>82</v>
      </c>
    </row>
    <row r="4604" spans="15:20" x14ac:dyDescent="0.25">
      <c r="O4604">
        <v>1</v>
      </c>
      <c r="S4604" t="e">
        <v>#DIV/0!</v>
      </c>
      <c r="T4604" t="s">
        <v>82</v>
      </c>
    </row>
    <row r="4605" spans="15:20" x14ac:dyDescent="0.25">
      <c r="O4605">
        <v>1</v>
      </c>
      <c r="S4605" t="e">
        <v>#DIV/0!</v>
      </c>
      <c r="T4605" t="s">
        <v>82</v>
      </c>
    </row>
    <row r="4606" spans="15:20" x14ac:dyDescent="0.25">
      <c r="O4606">
        <v>1</v>
      </c>
      <c r="S4606" t="e">
        <v>#DIV/0!</v>
      </c>
      <c r="T4606" t="s">
        <v>82</v>
      </c>
    </row>
    <row r="4607" spans="15:20" x14ac:dyDescent="0.25">
      <c r="O4607">
        <v>1</v>
      </c>
      <c r="S4607" t="e">
        <v>#DIV/0!</v>
      </c>
      <c r="T4607" t="s">
        <v>82</v>
      </c>
    </row>
    <row r="4608" spans="15:20" x14ac:dyDescent="0.25">
      <c r="O4608">
        <v>1</v>
      </c>
      <c r="S4608" t="e">
        <v>#DIV/0!</v>
      </c>
      <c r="T4608" t="s">
        <v>82</v>
      </c>
    </row>
    <row r="4609" spans="15:20" x14ac:dyDescent="0.25">
      <c r="O4609">
        <v>1</v>
      </c>
      <c r="S4609" t="e">
        <v>#DIV/0!</v>
      </c>
      <c r="T4609" t="s">
        <v>82</v>
      </c>
    </row>
    <row r="4610" spans="15:20" x14ac:dyDescent="0.25">
      <c r="O4610">
        <v>1</v>
      </c>
      <c r="S4610" t="e">
        <v>#DIV/0!</v>
      </c>
      <c r="T4610" t="s">
        <v>82</v>
      </c>
    </row>
    <row r="4611" spans="15:20" x14ac:dyDescent="0.25">
      <c r="O4611">
        <v>1</v>
      </c>
      <c r="S4611" t="e">
        <v>#DIV/0!</v>
      </c>
      <c r="T4611" t="s">
        <v>82</v>
      </c>
    </row>
    <row r="4612" spans="15:20" x14ac:dyDescent="0.25">
      <c r="O4612">
        <v>1</v>
      </c>
      <c r="S4612" t="e">
        <v>#DIV/0!</v>
      </c>
      <c r="T4612" t="s">
        <v>82</v>
      </c>
    </row>
    <row r="4613" spans="15:20" x14ac:dyDescent="0.25">
      <c r="O4613">
        <v>1</v>
      </c>
      <c r="S4613" t="e">
        <v>#DIV/0!</v>
      </c>
      <c r="T4613" t="s">
        <v>82</v>
      </c>
    </row>
    <row r="4614" spans="15:20" x14ac:dyDescent="0.25">
      <c r="O4614">
        <v>1</v>
      </c>
      <c r="S4614" t="e">
        <v>#DIV/0!</v>
      </c>
      <c r="T4614" t="s">
        <v>82</v>
      </c>
    </row>
    <row r="4615" spans="15:20" x14ac:dyDescent="0.25">
      <c r="O4615">
        <v>1</v>
      </c>
      <c r="S4615" t="e">
        <v>#DIV/0!</v>
      </c>
      <c r="T4615" t="s">
        <v>82</v>
      </c>
    </row>
    <row r="4616" spans="15:20" x14ac:dyDescent="0.25">
      <c r="O4616">
        <v>1</v>
      </c>
      <c r="S4616" t="e">
        <v>#DIV/0!</v>
      </c>
      <c r="T4616" t="s">
        <v>82</v>
      </c>
    </row>
    <row r="4617" spans="15:20" x14ac:dyDescent="0.25">
      <c r="O4617">
        <v>1</v>
      </c>
      <c r="S4617" t="e">
        <v>#DIV/0!</v>
      </c>
      <c r="T4617" t="s">
        <v>82</v>
      </c>
    </row>
    <row r="4618" spans="15:20" x14ac:dyDescent="0.25">
      <c r="O4618">
        <v>1</v>
      </c>
      <c r="S4618" t="e">
        <v>#DIV/0!</v>
      </c>
      <c r="T4618" t="s">
        <v>82</v>
      </c>
    </row>
    <row r="4619" spans="15:20" x14ac:dyDescent="0.25">
      <c r="O4619">
        <v>1</v>
      </c>
      <c r="S4619" t="e">
        <v>#DIV/0!</v>
      </c>
      <c r="T4619" t="s">
        <v>82</v>
      </c>
    </row>
    <row r="4620" spans="15:20" x14ac:dyDescent="0.25">
      <c r="O4620">
        <v>1</v>
      </c>
      <c r="S4620" t="e">
        <v>#DIV/0!</v>
      </c>
      <c r="T4620" t="s">
        <v>82</v>
      </c>
    </row>
    <row r="4621" spans="15:20" x14ac:dyDescent="0.25">
      <c r="O4621">
        <v>1</v>
      </c>
      <c r="S4621" t="e">
        <v>#DIV/0!</v>
      </c>
      <c r="T4621" t="s">
        <v>82</v>
      </c>
    </row>
    <row r="4622" spans="15:20" x14ac:dyDescent="0.25">
      <c r="O4622">
        <v>1</v>
      </c>
      <c r="S4622" t="e">
        <v>#DIV/0!</v>
      </c>
      <c r="T4622" t="s">
        <v>82</v>
      </c>
    </row>
    <row r="4623" spans="15:20" x14ac:dyDescent="0.25">
      <c r="O4623">
        <v>1</v>
      </c>
      <c r="S4623" t="e">
        <v>#DIV/0!</v>
      </c>
      <c r="T4623" t="s">
        <v>82</v>
      </c>
    </row>
    <row r="4624" spans="15:20" x14ac:dyDescent="0.25">
      <c r="O4624">
        <v>1</v>
      </c>
      <c r="S4624" t="e">
        <v>#DIV/0!</v>
      </c>
      <c r="T4624" t="s">
        <v>82</v>
      </c>
    </row>
    <row r="4625" spans="15:20" x14ac:dyDescent="0.25">
      <c r="O4625">
        <v>1</v>
      </c>
      <c r="S4625" t="e">
        <v>#DIV/0!</v>
      </c>
      <c r="T4625" t="s">
        <v>82</v>
      </c>
    </row>
    <row r="4626" spans="15:20" x14ac:dyDescent="0.25">
      <c r="O4626">
        <v>1</v>
      </c>
      <c r="S4626" t="e">
        <v>#DIV/0!</v>
      </c>
      <c r="T4626" t="s">
        <v>82</v>
      </c>
    </row>
    <row r="4627" spans="15:20" x14ac:dyDescent="0.25">
      <c r="O4627">
        <v>1</v>
      </c>
      <c r="S4627" t="e">
        <v>#DIV/0!</v>
      </c>
      <c r="T4627" t="s">
        <v>82</v>
      </c>
    </row>
    <row r="4628" spans="15:20" x14ac:dyDescent="0.25">
      <c r="O4628">
        <v>1</v>
      </c>
      <c r="S4628" t="e">
        <v>#DIV/0!</v>
      </c>
      <c r="T4628" t="s">
        <v>82</v>
      </c>
    </row>
    <row r="4629" spans="15:20" x14ac:dyDescent="0.25">
      <c r="O4629">
        <v>1</v>
      </c>
      <c r="S4629" t="e">
        <v>#DIV/0!</v>
      </c>
      <c r="T4629" t="s">
        <v>82</v>
      </c>
    </row>
    <row r="4630" spans="15:20" x14ac:dyDescent="0.25">
      <c r="O4630">
        <v>1</v>
      </c>
      <c r="S4630" t="e">
        <v>#DIV/0!</v>
      </c>
      <c r="T4630" t="s">
        <v>82</v>
      </c>
    </row>
    <row r="4631" spans="15:20" x14ac:dyDescent="0.25">
      <c r="O4631">
        <v>1</v>
      </c>
      <c r="S4631" t="e">
        <v>#DIV/0!</v>
      </c>
      <c r="T4631" t="s">
        <v>82</v>
      </c>
    </row>
    <row r="4632" spans="15:20" x14ac:dyDescent="0.25">
      <c r="O4632">
        <v>1</v>
      </c>
      <c r="S4632" t="e">
        <v>#DIV/0!</v>
      </c>
      <c r="T4632" t="s">
        <v>82</v>
      </c>
    </row>
    <row r="4633" spans="15:20" x14ac:dyDescent="0.25">
      <c r="O4633">
        <v>1</v>
      </c>
      <c r="S4633" t="e">
        <v>#DIV/0!</v>
      </c>
      <c r="T4633" t="s">
        <v>82</v>
      </c>
    </row>
    <row r="4634" spans="15:20" x14ac:dyDescent="0.25">
      <c r="O4634">
        <v>1</v>
      </c>
      <c r="S4634" t="e">
        <v>#DIV/0!</v>
      </c>
      <c r="T4634" t="s">
        <v>82</v>
      </c>
    </row>
    <row r="4635" spans="15:20" x14ac:dyDescent="0.25">
      <c r="O4635">
        <v>1</v>
      </c>
      <c r="S4635" t="e">
        <v>#DIV/0!</v>
      </c>
      <c r="T4635" t="s">
        <v>82</v>
      </c>
    </row>
    <row r="4636" spans="15:20" x14ac:dyDescent="0.25">
      <c r="O4636">
        <v>1</v>
      </c>
      <c r="S4636" t="e">
        <v>#DIV/0!</v>
      </c>
      <c r="T4636" t="s">
        <v>82</v>
      </c>
    </row>
    <row r="4637" spans="15:20" x14ac:dyDescent="0.25">
      <c r="O4637">
        <v>1</v>
      </c>
      <c r="S4637" t="e">
        <v>#DIV/0!</v>
      </c>
      <c r="T4637" t="s">
        <v>82</v>
      </c>
    </row>
    <row r="4638" spans="15:20" x14ac:dyDescent="0.25">
      <c r="O4638">
        <v>1</v>
      </c>
      <c r="S4638" t="e">
        <v>#DIV/0!</v>
      </c>
      <c r="T4638" t="s">
        <v>82</v>
      </c>
    </row>
    <row r="4639" spans="15:20" x14ac:dyDescent="0.25">
      <c r="O4639">
        <v>1</v>
      </c>
      <c r="S4639" t="e">
        <v>#DIV/0!</v>
      </c>
      <c r="T4639" t="s">
        <v>82</v>
      </c>
    </row>
    <row r="4640" spans="15:20" x14ac:dyDescent="0.25">
      <c r="O4640">
        <v>1</v>
      </c>
      <c r="S4640" t="e">
        <v>#DIV/0!</v>
      </c>
      <c r="T4640" t="s">
        <v>82</v>
      </c>
    </row>
    <row r="4641" spans="15:20" x14ac:dyDescent="0.25">
      <c r="O4641">
        <v>1</v>
      </c>
      <c r="S4641" t="e">
        <v>#DIV/0!</v>
      </c>
      <c r="T4641" t="s">
        <v>82</v>
      </c>
    </row>
    <row r="4642" spans="15:20" x14ac:dyDescent="0.25">
      <c r="O4642">
        <v>1</v>
      </c>
      <c r="S4642" t="e">
        <v>#DIV/0!</v>
      </c>
      <c r="T4642" t="s">
        <v>82</v>
      </c>
    </row>
    <row r="4643" spans="15:20" x14ac:dyDescent="0.25">
      <c r="O4643">
        <v>1</v>
      </c>
      <c r="S4643" t="e">
        <v>#DIV/0!</v>
      </c>
      <c r="T4643" t="s">
        <v>82</v>
      </c>
    </row>
    <row r="4644" spans="15:20" x14ac:dyDescent="0.25">
      <c r="O4644">
        <v>1</v>
      </c>
      <c r="S4644" t="e">
        <v>#DIV/0!</v>
      </c>
      <c r="T4644" t="s">
        <v>82</v>
      </c>
    </row>
    <row r="4645" spans="15:20" x14ac:dyDescent="0.25">
      <c r="O4645">
        <v>1</v>
      </c>
      <c r="S4645" t="e">
        <v>#DIV/0!</v>
      </c>
      <c r="T4645" t="s">
        <v>82</v>
      </c>
    </row>
    <row r="4646" spans="15:20" x14ac:dyDescent="0.25">
      <c r="O4646">
        <v>1</v>
      </c>
      <c r="S4646" t="e">
        <v>#DIV/0!</v>
      </c>
      <c r="T4646" t="s">
        <v>82</v>
      </c>
    </row>
    <row r="4647" spans="15:20" x14ac:dyDescent="0.25">
      <c r="O4647">
        <v>1</v>
      </c>
      <c r="S4647" t="e">
        <v>#DIV/0!</v>
      </c>
      <c r="T4647" t="s">
        <v>82</v>
      </c>
    </row>
    <row r="4648" spans="15:20" x14ac:dyDescent="0.25">
      <c r="O4648">
        <v>1</v>
      </c>
      <c r="S4648" t="e">
        <v>#DIV/0!</v>
      </c>
      <c r="T4648" t="s">
        <v>82</v>
      </c>
    </row>
    <row r="4649" spans="15:20" x14ac:dyDescent="0.25">
      <c r="O4649">
        <v>1</v>
      </c>
      <c r="S4649" t="e">
        <v>#DIV/0!</v>
      </c>
      <c r="T4649" t="s">
        <v>82</v>
      </c>
    </row>
    <row r="4650" spans="15:20" x14ac:dyDescent="0.25">
      <c r="O4650">
        <v>1</v>
      </c>
      <c r="S4650" t="e">
        <v>#DIV/0!</v>
      </c>
      <c r="T4650" t="s">
        <v>82</v>
      </c>
    </row>
    <row r="4651" spans="15:20" x14ac:dyDescent="0.25">
      <c r="O4651">
        <v>1</v>
      </c>
      <c r="S4651" t="e">
        <v>#DIV/0!</v>
      </c>
      <c r="T4651" t="s">
        <v>82</v>
      </c>
    </row>
    <row r="4652" spans="15:20" x14ac:dyDescent="0.25">
      <c r="O4652">
        <v>1</v>
      </c>
      <c r="S4652" t="e">
        <v>#DIV/0!</v>
      </c>
      <c r="T4652" t="s">
        <v>82</v>
      </c>
    </row>
    <row r="4653" spans="15:20" x14ac:dyDescent="0.25">
      <c r="O4653">
        <v>1</v>
      </c>
      <c r="S4653" t="e">
        <v>#DIV/0!</v>
      </c>
      <c r="T4653" t="s">
        <v>82</v>
      </c>
    </row>
    <row r="4654" spans="15:20" x14ac:dyDescent="0.25">
      <c r="O4654">
        <v>1</v>
      </c>
      <c r="S4654" t="e">
        <v>#DIV/0!</v>
      </c>
      <c r="T4654" t="s">
        <v>82</v>
      </c>
    </row>
    <row r="4655" spans="15:20" x14ac:dyDescent="0.25">
      <c r="O4655">
        <v>1</v>
      </c>
      <c r="S4655" t="e">
        <v>#DIV/0!</v>
      </c>
      <c r="T4655" t="s">
        <v>82</v>
      </c>
    </row>
    <row r="4656" spans="15:20" x14ac:dyDescent="0.25">
      <c r="O4656">
        <v>1</v>
      </c>
      <c r="S4656" t="e">
        <v>#DIV/0!</v>
      </c>
      <c r="T4656" t="s">
        <v>82</v>
      </c>
    </row>
    <row r="4657" spans="15:20" x14ac:dyDescent="0.25">
      <c r="O4657">
        <v>1</v>
      </c>
      <c r="S4657" t="e">
        <v>#DIV/0!</v>
      </c>
      <c r="T4657" t="s">
        <v>82</v>
      </c>
    </row>
    <row r="4658" spans="15:20" x14ac:dyDescent="0.25">
      <c r="O4658">
        <v>1</v>
      </c>
      <c r="S4658" t="e">
        <v>#DIV/0!</v>
      </c>
      <c r="T4658" t="s">
        <v>82</v>
      </c>
    </row>
    <row r="4659" spans="15:20" x14ac:dyDescent="0.25">
      <c r="O4659">
        <v>1</v>
      </c>
      <c r="S4659" t="e">
        <v>#DIV/0!</v>
      </c>
      <c r="T4659" t="s">
        <v>82</v>
      </c>
    </row>
    <row r="4660" spans="15:20" x14ac:dyDescent="0.25">
      <c r="O4660">
        <v>1</v>
      </c>
      <c r="S4660" t="e">
        <v>#DIV/0!</v>
      </c>
      <c r="T4660" t="s">
        <v>82</v>
      </c>
    </row>
    <row r="4661" spans="15:20" x14ac:dyDescent="0.25">
      <c r="O4661">
        <v>1</v>
      </c>
      <c r="S4661" t="e">
        <v>#DIV/0!</v>
      </c>
      <c r="T4661" t="s">
        <v>82</v>
      </c>
    </row>
    <row r="4662" spans="15:20" x14ac:dyDescent="0.25">
      <c r="O4662">
        <v>1</v>
      </c>
      <c r="S4662" t="e">
        <v>#DIV/0!</v>
      </c>
      <c r="T4662" t="s">
        <v>82</v>
      </c>
    </row>
    <row r="4663" spans="15:20" x14ac:dyDescent="0.25">
      <c r="O4663">
        <v>1</v>
      </c>
      <c r="S4663" t="e">
        <v>#DIV/0!</v>
      </c>
      <c r="T4663" t="s">
        <v>82</v>
      </c>
    </row>
    <row r="4664" spans="15:20" x14ac:dyDescent="0.25">
      <c r="O4664">
        <v>1</v>
      </c>
      <c r="S4664" t="e">
        <v>#DIV/0!</v>
      </c>
      <c r="T4664" t="s">
        <v>82</v>
      </c>
    </row>
    <row r="4665" spans="15:20" x14ac:dyDescent="0.25">
      <c r="O4665">
        <v>1</v>
      </c>
      <c r="S4665" t="e">
        <v>#DIV/0!</v>
      </c>
      <c r="T4665" t="s">
        <v>82</v>
      </c>
    </row>
    <row r="4666" spans="15:20" x14ac:dyDescent="0.25">
      <c r="O4666">
        <v>1</v>
      </c>
      <c r="S4666" t="e">
        <v>#DIV/0!</v>
      </c>
      <c r="T4666" t="s">
        <v>82</v>
      </c>
    </row>
    <row r="4667" spans="15:20" x14ac:dyDescent="0.25">
      <c r="O4667">
        <v>1</v>
      </c>
      <c r="S4667" t="e">
        <v>#DIV/0!</v>
      </c>
      <c r="T4667" t="s">
        <v>82</v>
      </c>
    </row>
    <row r="4668" spans="15:20" x14ac:dyDescent="0.25">
      <c r="O4668">
        <v>1</v>
      </c>
      <c r="S4668" t="e">
        <v>#DIV/0!</v>
      </c>
      <c r="T4668" t="s">
        <v>82</v>
      </c>
    </row>
    <row r="4669" spans="15:20" x14ac:dyDescent="0.25">
      <c r="O4669">
        <v>1</v>
      </c>
      <c r="S4669" t="e">
        <v>#DIV/0!</v>
      </c>
      <c r="T4669" t="s">
        <v>82</v>
      </c>
    </row>
    <row r="4670" spans="15:20" x14ac:dyDescent="0.25">
      <c r="O4670">
        <v>1</v>
      </c>
      <c r="S4670" t="e">
        <v>#DIV/0!</v>
      </c>
      <c r="T4670" t="s">
        <v>82</v>
      </c>
    </row>
    <row r="4671" spans="15:20" x14ac:dyDescent="0.25">
      <c r="O4671">
        <v>1</v>
      </c>
      <c r="S4671" t="e">
        <v>#DIV/0!</v>
      </c>
      <c r="T4671" t="s">
        <v>82</v>
      </c>
    </row>
    <row r="4672" spans="15:20" x14ac:dyDescent="0.25">
      <c r="O4672">
        <v>1</v>
      </c>
      <c r="S4672" t="e">
        <v>#DIV/0!</v>
      </c>
      <c r="T4672" t="s">
        <v>82</v>
      </c>
    </row>
    <row r="4673" spans="15:20" x14ac:dyDescent="0.25">
      <c r="O4673">
        <v>1</v>
      </c>
      <c r="S4673" t="e">
        <v>#DIV/0!</v>
      </c>
      <c r="T4673" t="s">
        <v>82</v>
      </c>
    </row>
    <row r="4674" spans="15:20" x14ac:dyDescent="0.25">
      <c r="O4674">
        <v>1</v>
      </c>
      <c r="S4674" t="e">
        <v>#DIV/0!</v>
      </c>
      <c r="T4674" t="s">
        <v>82</v>
      </c>
    </row>
    <row r="4675" spans="15:20" x14ac:dyDescent="0.25">
      <c r="O4675">
        <v>1</v>
      </c>
      <c r="S4675" t="e">
        <v>#DIV/0!</v>
      </c>
      <c r="T4675" t="s">
        <v>82</v>
      </c>
    </row>
    <row r="4676" spans="15:20" x14ac:dyDescent="0.25">
      <c r="O4676">
        <v>1</v>
      </c>
      <c r="S4676" t="e">
        <v>#DIV/0!</v>
      </c>
      <c r="T4676" t="s">
        <v>82</v>
      </c>
    </row>
    <row r="4677" spans="15:20" x14ac:dyDescent="0.25">
      <c r="O4677">
        <v>1</v>
      </c>
      <c r="S4677" t="e">
        <v>#DIV/0!</v>
      </c>
      <c r="T4677" t="s">
        <v>82</v>
      </c>
    </row>
    <row r="4678" spans="15:20" x14ac:dyDescent="0.25">
      <c r="O4678">
        <v>1</v>
      </c>
      <c r="S4678" t="e">
        <v>#DIV/0!</v>
      </c>
      <c r="T4678" t="s">
        <v>82</v>
      </c>
    </row>
    <row r="4679" spans="15:20" x14ac:dyDescent="0.25">
      <c r="O4679">
        <v>1</v>
      </c>
      <c r="S4679" t="e">
        <v>#DIV/0!</v>
      </c>
      <c r="T4679" t="s">
        <v>82</v>
      </c>
    </row>
    <row r="4680" spans="15:20" x14ac:dyDescent="0.25">
      <c r="O4680">
        <v>1</v>
      </c>
      <c r="S4680" t="e">
        <v>#DIV/0!</v>
      </c>
      <c r="T4680" t="s">
        <v>82</v>
      </c>
    </row>
    <row r="4681" spans="15:20" x14ac:dyDescent="0.25">
      <c r="O4681">
        <v>1</v>
      </c>
      <c r="S4681" t="e">
        <v>#DIV/0!</v>
      </c>
      <c r="T4681" t="s">
        <v>82</v>
      </c>
    </row>
    <row r="4682" spans="15:20" x14ac:dyDescent="0.25">
      <c r="O4682">
        <v>1</v>
      </c>
      <c r="S4682" t="e">
        <v>#DIV/0!</v>
      </c>
      <c r="T4682" t="s">
        <v>82</v>
      </c>
    </row>
    <row r="4683" spans="15:20" x14ac:dyDescent="0.25">
      <c r="O4683">
        <v>1</v>
      </c>
      <c r="S4683" t="e">
        <v>#DIV/0!</v>
      </c>
      <c r="T4683" t="s">
        <v>82</v>
      </c>
    </row>
    <row r="4684" spans="15:20" x14ac:dyDescent="0.25">
      <c r="O4684">
        <v>1</v>
      </c>
      <c r="S4684" t="e">
        <v>#DIV/0!</v>
      </c>
      <c r="T4684" t="s">
        <v>82</v>
      </c>
    </row>
    <row r="4685" spans="15:20" x14ac:dyDescent="0.25">
      <c r="O4685">
        <v>1</v>
      </c>
      <c r="S4685" t="e">
        <v>#DIV/0!</v>
      </c>
      <c r="T4685" t="s">
        <v>82</v>
      </c>
    </row>
    <row r="4686" spans="15:20" x14ac:dyDescent="0.25">
      <c r="O4686">
        <v>1</v>
      </c>
      <c r="S4686" t="e">
        <v>#DIV/0!</v>
      </c>
      <c r="T4686" t="s">
        <v>82</v>
      </c>
    </row>
    <row r="4687" spans="15:20" x14ac:dyDescent="0.25">
      <c r="O4687">
        <v>1</v>
      </c>
      <c r="S4687" t="e">
        <v>#DIV/0!</v>
      </c>
      <c r="T4687" t="s">
        <v>82</v>
      </c>
    </row>
    <row r="4688" spans="15:20" x14ac:dyDescent="0.25">
      <c r="O4688">
        <v>1</v>
      </c>
      <c r="S4688" t="e">
        <v>#DIV/0!</v>
      </c>
      <c r="T4688" t="s">
        <v>82</v>
      </c>
    </row>
    <row r="4689" spans="15:20" x14ac:dyDescent="0.25">
      <c r="O4689">
        <v>1</v>
      </c>
      <c r="S4689" t="e">
        <v>#DIV/0!</v>
      </c>
      <c r="T4689" t="s">
        <v>82</v>
      </c>
    </row>
    <row r="4690" spans="15:20" x14ac:dyDescent="0.25">
      <c r="O4690">
        <v>1</v>
      </c>
      <c r="S4690" t="e">
        <v>#DIV/0!</v>
      </c>
      <c r="T4690" t="s">
        <v>82</v>
      </c>
    </row>
    <row r="4691" spans="15:20" x14ac:dyDescent="0.25">
      <c r="O4691">
        <v>1</v>
      </c>
      <c r="S4691" t="e">
        <v>#DIV/0!</v>
      </c>
      <c r="T4691" t="s">
        <v>82</v>
      </c>
    </row>
    <row r="4692" spans="15:20" x14ac:dyDescent="0.25">
      <c r="O4692">
        <v>1</v>
      </c>
      <c r="S4692" t="e">
        <v>#DIV/0!</v>
      </c>
      <c r="T4692" t="s">
        <v>82</v>
      </c>
    </row>
    <row r="4693" spans="15:20" x14ac:dyDescent="0.25">
      <c r="O4693">
        <v>1</v>
      </c>
      <c r="S4693" t="e">
        <v>#DIV/0!</v>
      </c>
      <c r="T4693" t="s">
        <v>82</v>
      </c>
    </row>
    <row r="4694" spans="15:20" x14ac:dyDescent="0.25">
      <c r="O4694">
        <v>1</v>
      </c>
      <c r="S4694" t="e">
        <v>#DIV/0!</v>
      </c>
      <c r="T4694" t="s">
        <v>82</v>
      </c>
    </row>
    <row r="4695" spans="15:20" x14ac:dyDescent="0.25">
      <c r="O4695">
        <v>1</v>
      </c>
      <c r="S4695" t="e">
        <v>#DIV/0!</v>
      </c>
      <c r="T4695" t="s">
        <v>82</v>
      </c>
    </row>
    <row r="4696" spans="15:20" x14ac:dyDescent="0.25">
      <c r="O4696">
        <v>1</v>
      </c>
      <c r="S4696" t="e">
        <v>#DIV/0!</v>
      </c>
      <c r="T4696" t="s">
        <v>82</v>
      </c>
    </row>
    <row r="4697" spans="15:20" x14ac:dyDescent="0.25">
      <c r="O4697">
        <v>1</v>
      </c>
      <c r="S4697" t="e">
        <v>#DIV/0!</v>
      </c>
      <c r="T4697" t="s">
        <v>82</v>
      </c>
    </row>
    <row r="4698" spans="15:20" x14ac:dyDescent="0.25">
      <c r="O4698">
        <v>1</v>
      </c>
      <c r="S4698" t="e">
        <v>#DIV/0!</v>
      </c>
      <c r="T4698" t="s">
        <v>82</v>
      </c>
    </row>
    <row r="4699" spans="15:20" x14ac:dyDescent="0.25">
      <c r="O4699">
        <v>1</v>
      </c>
      <c r="S4699" t="e">
        <v>#DIV/0!</v>
      </c>
      <c r="T4699" t="s">
        <v>82</v>
      </c>
    </row>
    <row r="4700" spans="15:20" x14ac:dyDescent="0.25">
      <c r="O4700">
        <v>1</v>
      </c>
      <c r="S4700" t="e">
        <v>#DIV/0!</v>
      </c>
      <c r="T4700" t="s">
        <v>82</v>
      </c>
    </row>
    <row r="4701" spans="15:20" x14ac:dyDescent="0.25">
      <c r="O4701">
        <v>1</v>
      </c>
      <c r="S4701" t="e">
        <v>#DIV/0!</v>
      </c>
      <c r="T4701" t="s">
        <v>82</v>
      </c>
    </row>
    <row r="4702" spans="15:20" x14ac:dyDescent="0.25">
      <c r="O4702">
        <v>1</v>
      </c>
      <c r="S4702" t="e">
        <v>#DIV/0!</v>
      </c>
      <c r="T4702" t="s">
        <v>82</v>
      </c>
    </row>
    <row r="4703" spans="15:20" x14ac:dyDescent="0.25">
      <c r="O4703">
        <v>1</v>
      </c>
      <c r="S4703" t="e">
        <v>#DIV/0!</v>
      </c>
      <c r="T4703" t="s">
        <v>82</v>
      </c>
    </row>
    <row r="4704" spans="15:20" x14ac:dyDescent="0.25">
      <c r="O4704">
        <v>1</v>
      </c>
      <c r="S4704" t="e">
        <v>#DIV/0!</v>
      </c>
      <c r="T4704" t="s">
        <v>82</v>
      </c>
    </row>
    <row r="4705" spans="15:20" x14ac:dyDescent="0.25">
      <c r="O4705">
        <v>1</v>
      </c>
      <c r="S4705" t="e">
        <v>#DIV/0!</v>
      </c>
      <c r="T4705" t="s">
        <v>82</v>
      </c>
    </row>
    <row r="4706" spans="15:20" x14ac:dyDescent="0.25">
      <c r="O4706">
        <v>1</v>
      </c>
      <c r="S4706" t="e">
        <v>#DIV/0!</v>
      </c>
      <c r="T4706" t="s">
        <v>82</v>
      </c>
    </row>
    <row r="4707" spans="15:20" x14ac:dyDescent="0.25">
      <c r="O4707">
        <v>1</v>
      </c>
      <c r="S4707" t="e">
        <v>#DIV/0!</v>
      </c>
      <c r="T4707" t="s">
        <v>82</v>
      </c>
    </row>
    <row r="4708" spans="15:20" x14ac:dyDescent="0.25">
      <c r="O4708">
        <v>1</v>
      </c>
      <c r="S4708" t="e">
        <v>#DIV/0!</v>
      </c>
      <c r="T4708" t="s">
        <v>82</v>
      </c>
    </row>
    <row r="4709" spans="15:20" x14ac:dyDescent="0.25">
      <c r="O4709">
        <v>1</v>
      </c>
      <c r="S4709" t="e">
        <v>#DIV/0!</v>
      </c>
      <c r="T4709" t="s">
        <v>82</v>
      </c>
    </row>
    <row r="4710" spans="15:20" x14ac:dyDescent="0.25">
      <c r="O4710">
        <v>1</v>
      </c>
      <c r="S4710" t="e">
        <v>#DIV/0!</v>
      </c>
      <c r="T4710" t="s">
        <v>82</v>
      </c>
    </row>
    <row r="4711" spans="15:20" x14ac:dyDescent="0.25">
      <c r="O4711">
        <v>1</v>
      </c>
      <c r="S4711" t="e">
        <v>#DIV/0!</v>
      </c>
      <c r="T4711" t="s">
        <v>82</v>
      </c>
    </row>
    <row r="4712" spans="15:20" x14ac:dyDescent="0.25">
      <c r="O4712">
        <v>1</v>
      </c>
      <c r="S4712" t="e">
        <v>#DIV/0!</v>
      </c>
      <c r="T4712" t="s">
        <v>82</v>
      </c>
    </row>
    <row r="4713" spans="15:20" x14ac:dyDescent="0.25">
      <c r="O4713">
        <v>1</v>
      </c>
      <c r="S4713" t="e">
        <v>#DIV/0!</v>
      </c>
      <c r="T4713" t="s">
        <v>82</v>
      </c>
    </row>
    <row r="4714" spans="15:20" x14ac:dyDescent="0.25">
      <c r="O4714">
        <v>1</v>
      </c>
      <c r="S4714" t="e">
        <v>#DIV/0!</v>
      </c>
      <c r="T4714" t="s">
        <v>82</v>
      </c>
    </row>
    <row r="4715" spans="15:20" x14ac:dyDescent="0.25">
      <c r="O4715">
        <v>1</v>
      </c>
      <c r="S4715" t="e">
        <v>#DIV/0!</v>
      </c>
      <c r="T4715" t="s">
        <v>82</v>
      </c>
    </row>
    <row r="4716" spans="15:20" x14ac:dyDescent="0.25">
      <c r="O4716">
        <v>1</v>
      </c>
      <c r="S4716" t="e">
        <v>#DIV/0!</v>
      </c>
      <c r="T4716" t="s">
        <v>82</v>
      </c>
    </row>
    <row r="4717" spans="15:20" x14ac:dyDescent="0.25">
      <c r="O4717">
        <v>1</v>
      </c>
      <c r="S4717" t="e">
        <v>#DIV/0!</v>
      </c>
      <c r="T4717" t="s">
        <v>82</v>
      </c>
    </row>
    <row r="4718" spans="15:20" x14ac:dyDescent="0.25">
      <c r="O4718">
        <v>1</v>
      </c>
      <c r="S4718" t="e">
        <v>#DIV/0!</v>
      </c>
      <c r="T4718" t="s">
        <v>82</v>
      </c>
    </row>
    <row r="4719" spans="15:20" x14ac:dyDescent="0.25">
      <c r="O4719">
        <v>1</v>
      </c>
      <c r="S4719" t="e">
        <v>#DIV/0!</v>
      </c>
      <c r="T4719" t="s">
        <v>82</v>
      </c>
    </row>
    <row r="4720" spans="15:20" x14ac:dyDescent="0.25">
      <c r="O4720">
        <v>1</v>
      </c>
      <c r="S4720" t="e">
        <v>#DIV/0!</v>
      </c>
      <c r="T4720" t="s">
        <v>82</v>
      </c>
    </row>
    <row r="4721" spans="15:20" x14ac:dyDescent="0.25">
      <c r="O4721">
        <v>1</v>
      </c>
      <c r="S4721" t="e">
        <v>#DIV/0!</v>
      </c>
      <c r="T4721" t="s">
        <v>82</v>
      </c>
    </row>
    <row r="4722" spans="15:20" x14ac:dyDescent="0.25">
      <c r="O4722">
        <v>1</v>
      </c>
      <c r="S4722" t="e">
        <v>#DIV/0!</v>
      </c>
      <c r="T4722" t="s">
        <v>82</v>
      </c>
    </row>
    <row r="4723" spans="15:20" x14ac:dyDescent="0.25">
      <c r="O4723">
        <v>1</v>
      </c>
      <c r="S4723" t="e">
        <v>#DIV/0!</v>
      </c>
      <c r="T4723" t="s">
        <v>82</v>
      </c>
    </row>
    <row r="4724" spans="15:20" x14ac:dyDescent="0.25">
      <c r="O4724">
        <v>1</v>
      </c>
      <c r="S4724" t="e">
        <v>#DIV/0!</v>
      </c>
      <c r="T4724" t="s">
        <v>82</v>
      </c>
    </row>
    <row r="4725" spans="15:20" x14ac:dyDescent="0.25">
      <c r="O4725">
        <v>1</v>
      </c>
      <c r="S4725" t="e">
        <v>#DIV/0!</v>
      </c>
      <c r="T4725" t="s">
        <v>82</v>
      </c>
    </row>
    <row r="4726" spans="15:20" x14ac:dyDescent="0.25">
      <c r="O4726">
        <v>1</v>
      </c>
      <c r="S4726" t="e">
        <v>#DIV/0!</v>
      </c>
      <c r="T4726" t="s">
        <v>82</v>
      </c>
    </row>
    <row r="4727" spans="15:20" x14ac:dyDescent="0.25">
      <c r="O4727">
        <v>1</v>
      </c>
      <c r="S4727" t="e">
        <v>#DIV/0!</v>
      </c>
      <c r="T4727" t="s">
        <v>82</v>
      </c>
    </row>
    <row r="4728" spans="15:20" x14ac:dyDescent="0.25">
      <c r="O4728">
        <v>1</v>
      </c>
      <c r="S4728" t="e">
        <v>#DIV/0!</v>
      </c>
      <c r="T4728" t="s">
        <v>82</v>
      </c>
    </row>
    <row r="4729" spans="15:20" x14ac:dyDescent="0.25">
      <c r="O4729">
        <v>1</v>
      </c>
      <c r="S4729" t="e">
        <v>#DIV/0!</v>
      </c>
      <c r="T4729" t="s">
        <v>82</v>
      </c>
    </row>
    <row r="4730" spans="15:20" x14ac:dyDescent="0.25">
      <c r="O4730">
        <v>1</v>
      </c>
      <c r="S4730" t="e">
        <v>#DIV/0!</v>
      </c>
      <c r="T4730" t="s">
        <v>82</v>
      </c>
    </row>
    <row r="4731" spans="15:20" x14ac:dyDescent="0.25">
      <c r="O4731">
        <v>1</v>
      </c>
      <c r="S4731" t="e">
        <v>#DIV/0!</v>
      </c>
      <c r="T4731" t="s">
        <v>82</v>
      </c>
    </row>
    <row r="4732" spans="15:20" x14ac:dyDescent="0.25">
      <c r="O4732">
        <v>1</v>
      </c>
      <c r="S4732" t="e">
        <v>#DIV/0!</v>
      </c>
      <c r="T4732" t="s">
        <v>82</v>
      </c>
    </row>
    <row r="4733" spans="15:20" x14ac:dyDescent="0.25">
      <c r="O4733">
        <v>1</v>
      </c>
      <c r="S4733" t="e">
        <v>#DIV/0!</v>
      </c>
      <c r="T4733" t="s">
        <v>82</v>
      </c>
    </row>
    <row r="4734" spans="15:20" x14ac:dyDescent="0.25">
      <c r="O4734">
        <v>1</v>
      </c>
      <c r="S4734" t="e">
        <v>#DIV/0!</v>
      </c>
      <c r="T4734" t="s">
        <v>82</v>
      </c>
    </row>
    <row r="4735" spans="15:20" x14ac:dyDescent="0.25">
      <c r="O4735">
        <v>1</v>
      </c>
      <c r="S4735" t="e">
        <v>#DIV/0!</v>
      </c>
      <c r="T4735" t="s">
        <v>82</v>
      </c>
    </row>
    <row r="4736" spans="15:20" x14ac:dyDescent="0.25">
      <c r="O4736">
        <v>1</v>
      </c>
      <c r="S4736" t="e">
        <v>#DIV/0!</v>
      </c>
      <c r="T4736" t="s">
        <v>82</v>
      </c>
    </row>
    <row r="4737" spans="15:20" x14ac:dyDescent="0.25">
      <c r="O4737">
        <v>1</v>
      </c>
      <c r="S4737" t="e">
        <v>#DIV/0!</v>
      </c>
      <c r="T4737" t="s">
        <v>82</v>
      </c>
    </row>
    <row r="4738" spans="15:20" x14ac:dyDescent="0.25">
      <c r="O4738">
        <v>1</v>
      </c>
      <c r="S4738" t="e">
        <v>#DIV/0!</v>
      </c>
      <c r="T4738" t="s">
        <v>82</v>
      </c>
    </row>
    <row r="4739" spans="15:20" x14ac:dyDescent="0.25">
      <c r="O4739">
        <v>1</v>
      </c>
      <c r="S4739" t="e">
        <v>#DIV/0!</v>
      </c>
      <c r="T4739" t="s">
        <v>82</v>
      </c>
    </row>
    <row r="4740" spans="15:20" x14ac:dyDescent="0.25">
      <c r="O4740">
        <v>1</v>
      </c>
      <c r="S4740" t="e">
        <v>#DIV/0!</v>
      </c>
      <c r="T4740" t="s">
        <v>82</v>
      </c>
    </row>
    <row r="4741" spans="15:20" x14ac:dyDescent="0.25">
      <c r="O4741">
        <v>1</v>
      </c>
      <c r="S4741" t="e">
        <v>#DIV/0!</v>
      </c>
      <c r="T4741" t="s">
        <v>82</v>
      </c>
    </row>
    <row r="4742" spans="15:20" x14ac:dyDescent="0.25">
      <c r="O4742">
        <v>1</v>
      </c>
      <c r="S4742" t="e">
        <v>#DIV/0!</v>
      </c>
      <c r="T4742" t="s">
        <v>82</v>
      </c>
    </row>
    <row r="4743" spans="15:20" x14ac:dyDescent="0.25">
      <c r="O4743">
        <v>1</v>
      </c>
      <c r="S4743" t="e">
        <v>#DIV/0!</v>
      </c>
      <c r="T4743" t="s">
        <v>82</v>
      </c>
    </row>
    <row r="4744" spans="15:20" x14ac:dyDescent="0.25">
      <c r="O4744">
        <v>1</v>
      </c>
      <c r="S4744" t="e">
        <v>#DIV/0!</v>
      </c>
      <c r="T4744" t="s">
        <v>82</v>
      </c>
    </row>
    <row r="4745" spans="15:20" x14ac:dyDescent="0.25">
      <c r="O4745">
        <v>1</v>
      </c>
      <c r="S4745" t="e">
        <v>#DIV/0!</v>
      </c>
      <c r="T4745" t="s">
        <v>82</v>
      </c>
    </row>
    <row r="4746" spans="15:20" x14ac:dyDescent="0.25">
      <c r="O4746">
        <v>1</v>
      </c>
      <c r="S4746" t="e">
        <v>#DIV/0!</v>
      </c>
      <c r="T4746" t="s">
        <v>82</v>
      </c>
    </row>
    <row r="4747" spans="15:20" x14ac:dyDescent="0.25">
      <c r="O4747">
        <v>1</v>
      </c>
      <c r="S4747" t="e">
        <v>#DIV/0!</v>
      </c>
      <c r="T4747" t="s">
        <v>82</v>
      </c>
    </row>
    <row r="4748" spans="15:20" x14ac:dyDescent="0.25">
      <c r="O4748">
        <v>1</v>
      </c>
      <c r="S4748" t="e">
        <v>#DIV/0!</v>
      </c>
      <c r="T4748" t="s">
        <v>82</v>
      </c>
    </row>
    <row r="4749" spans="15:20" x14ac:dyDescent="0.25">
      <c r="O4749">
        <v>1</v>
      </c>
      <c r="S4749" t="e">
        <v>#DIV/0!</v>
      </c>
      <c r="T4749" t="s">
        <v>82</v>
      </c>
    </row>
    <row r="4750" spans="15:20" x14ac:dyDescent="0.25">
      <c r="O4750">
        <v>1</v>
      </c>
      <c r="S4750" t="e">
        <v>#DIV/0!</v>
      </c>
      <c r="T4750" t="s">
        <v>82</v>
      </c>
    </row>
    <row r="4751" spans="15:20" x14ac:dyDescent="0.25">
      <c r="O4751">
        <v>1</v>
      </c>
      <c r="S4751" t="e">
        <v>#DIV/0!</v>
      </c>
      <c r="T4751" t="s">
        <v>82</v>
      </c>
    </row>
    <row r="4752" spans="15:20" x14ac:dyDescent="0.25">
      <c r="O4752">
        <v>1</v>
      </c>
      <c r="S4752" t="e">
        <v>#DIV/0!</v>
      </c>
      <c r="T4752" t="s">
        <v>82</v>
      </c>
    </row>
    <row r="4753" spans="15:20" x14ac:dyDescent="0.25">
      <c r="O4753">
        <v>1</v>
      </c>
      <c r="S4753" t="e">
        <v>#DIV/0!</v>
      </c>
      <c r="T4753" t="s">
        <v>82</v>
      </c>
    </row>
    <row r="4754" spans="15:20" x14ac:dyDescent="0.25">
      <c r="O4754">
        <v>1</v>
      </c>
      <c r="S4754" t="e">
        <v>#DIV/0!</v>
      </c>
      <c r="T4754" t="s">
        <v>82</v>
      </c>
    </row>
    <row r="4755" spans="15:20" x14ac:dyDescent="0.25">
      <c r="O4755">
        <v>1</v>
      </c>
      <c r="S4755" t="e">
        <v>#DIV/0!</v>
      </c>
      <c r="T4755" t="s">
        <v>82</v>
      </c>
    </row>
    <row r="4756" spans="15:20" x14ac:dyDescent="0.25">
      <c r="O4756">
        <v>1</v>
      </c>
      <c r="S4756" t="e">
        <v>#DIV/0!</v>
      </c>
      <c r="T4756" t="s">
        <v>82</v>
      </c>
    </row>
    <row r="4757" spans="15:20" x14ac:dyDescent="0.25">
      <c r="O4757">
        <v>1</v>
      </c>
      <c r="S4757" t="e">
        <v>#DIV/0!</v>
      </c>
      <c r="T4757" t="s">
        <v>82</v>
      </c>
    </row>
    <row r="4758" spans="15:20" x14ac:dyDescent="0.25">
      <c r="O4758">
        <v>1</v>
      </c>
      <c r="S4758" t="e">
        <v>#DIV/0!</v>
      </c>
      <c r="T4758" t="s">
        <v>82</v>
      </c>
    </row>
    <row r="4759" spans="15:20" x14ac:dyDescent="0.25">
      <c r="O4759">
        <v>1</v>
      </c>
      <c r="S4759" t="e">
        <v>#DIV/0!</v>
      </c>
      <c r="T4759" t="s">
        <v>82</v>
      </c>
    </row>
    <row r="4760" spans="15:20" x14ac:dyDescent="0.25">
      <c r="O4760">
        <v>1</v>
      </c>
      <c r="S4760" t="e">
        <v>#DIV/0!</v>
      </c>
      <c r="T4760" t="s">
        <v>82</v>
      </c>
    </row>
    <row r="4761" spans="15:20" x14ac:dyDescent="0.25">
      <c r="O4761">
        <v>1</v>
      </c>
      <c r="S4761" t="e">
        <v>#DIV/0!</v>
      </c>
      <c r="T4761" t="s">
        <v>82</v>
      </c>
    </row>
    <row r="4762" spans="15:20" x14ac:dyDescent="0.25">
      <c r="O4762">
        <v>1</v>
      </c>
      <c r="S4762" t="e">
        <v>#DIV/0!</v>
      </c>
      <c r="T4762" t="s">
        <v>82</v>
      </c>
    </row>
    <row r="4763" spans="15:20" x14ac:dyDescent="0.25">
      <c r="O4763">
        <v>1</v>
      </c>
      <c r="S4763" t="e">
        <v>#DIV/0!</v>
      </c>
      <c r="T4763" t="s">
        <v>82</v>
      </c>
    </row>
    <row r="4764" spans="15:20" x14ac:dyDescent="0.25">
      <c r="O4764">
        <v>1</v>
      </c>
      <c r="S4764" t="e">
        <v>#DIV/0!</v>
      </c>
      <c r="T4764" t="s">
        <v>82</v>
      </c>
    </row>
    <row r="4765" spans="15:20" x14ac:dyDescent="0.25">
      <c r="O4765">
        <v>1</v>
      </c>
      <c r="S4765" t="e">
        <v>#DIV/0!</v>
      </c>
      <c r="T4765" t="s">
        <v>82</v>
      </c>
    </row>
    <row r="4766" spans="15:20" x14ac:dyDescent="0.25">
      <c r="O4766">
        <v>1</v>
      </c>
      <c r="S4766" t="e">
        <v>#DIV/0!</v>
      </c>
      <c r="T4766" t="s">
        <v>82</v>
      </c>
    </row>
    <row r="4767" spans="15:20" x14ac:dyDescent="0.25">
      <c r="O4767">
        <v>1</v>
      </c>
      <c r="S4767" t="e">
        <v>#DIV/0!</v>
      </c>
      <c r="T4767" t="s">
        <v>82</v>
      </c>
    </row>
    <row r="4768" spans="15:20" x14ac:dyDescent="0.25">
      <c r="O4768">
        <v>1</v>
      </c>
      <c r="S4768" t="e">
        <v>#DIV/0!</v>
      </c>
      <c r="T4768" t="s">
        <v>82</v>
      </c>
    </row>
    <row r="4769" spans="15:20" x14ac:dyDescent="0.25">
      <c r="O4769">
        <v>1</v>
      </c>
      <c r="S4769" t="e">
        <v>#DIV/0!</v>
      </c>
      <c r="T4769" t="s">
        <v>82</v>
      </c>
    </row>
    <row r="4770" spans="15:20" x14ac:dyDescent="0.25">
      <c r="O4770">
        <v>1</v>
      </c>
      <c r="S4770" t="e">
        <v>#DIV/0!</v>
      </c>
      <c r="T4770" t="s">
        <v>82</v>
      </c>
    </row>
    <row r="4771" spans="15:20" x14ac:dyDescent="0.25">
      <c r="O4771">
        <v>1</v>
      </c>
      <c r="S4771" t="e">
        <v>#DIV/0!</v>
      </c>
      <c r="T4771" t="s">
        <v>82</v>
      </c>
    </row>
    <row r="4772" spans="15:20" x14ac:dyDescent="0.25">
      <c r="O4772">
        <v>1</v>
      </c>
      <c r="S4772" t="e">
        <v>#DIV/0!</v>
      </c>
      <c r="T4772" t="s">
        <v>82</v>
      </c>
    </row>
    <row r="4773" spans="15:20" x14ac:dyDescent="0.25">
      <c r="O4773">
        <v>1</v>
      </c>
      <c r="S4773" t="e">
        <v>#DIV/0!</v>
      </c>
      <c r="T4773" t="s">
        <v>82</v>
      </c>
    </row>
    <row r="4774" spans="15:20" x14ac:dyDescent="0.25">
      <c r="O4774">
        <v>1</v>
      </c>
      <c r="S4774" t="e">
        <v>#DIV/0!</v>
      </c>
      <c r="T4774" t="s">
        <v>82</v>
      </c>
    </row>
    <row r="4775" spans="15:20" x14ac:dyDescent="0.25">
      <c r="O4775">
        <v>1</v>
      </c>
      <c r="S4775" t="e">
        <v>#DIV/0!</v>
      </c>
      <c r="T4775" t="s">
        <v>82</v>
      </c>
    </row>
    <row r="4776" spans="15:20" x14ac:dyDescent="0.25">
      <c r="O4776">
        <v>1</v>
      </c>
      <c r="S4776" t="e">
        <v>#DIV/0!</v>
      </c>
      <c r="T4776" t="s">
        <v>82</v>
      </c>
    </row>
    <row r="4777" spans="15:20" x14ac:dyDescent="0.25">
      <c r="O4777">
        <v>1</v>
      </c>
      <c r="S4777" t="e">
        <v>#DIV/0!</v>
      </c>
      <c r="T4777" t="s">
        <v>82</v>
      </c>
    </row>
    <row r="4778" spans="15:20" x14ac:dyDescent="0.25">
      <c r="O4778">
        <v>1</v>
      </c>
      <c r="S4778" t="e">
        <v>#DIV/0!</v>
      </c>
      <c r="T4778" t="s">
        <v>82</v>
      </c>
    </row>
    <row r="4779" spans="15:20" x14ac:dyDescent="0.25">
      <c r="O4779">
        <v>1</v>
      </c>
      <c r="S4779" t="e">
        <v>#DIV/0!</v>
      </c>
      <c r="T4779" t="s">
        <v>82</v>
      </c>
    </row>
    <row r="4780" spans="15:20" x14ac:dyDescent="0.25">
      <c r="O4780">
        <v>1</v>
      </c>
      <c r="S4780" t="e">
        <v>#DIV/0!</v>
      </c>
      <c r="T4780" t="s">
        <v>82</v>
      </c>
    </row>
    <row r="4781" spans="15:20" x14ac:dyDescent="0.25">
      <c r="O4781">
        <v>1</v>
      </c>
      <c r="S4781" t="e">
        <v>#DIV/0!</v>
      </c>
      <c r="T4781" t="s">
        <v>82</v>
      </c>
    </row>
    <row r="4782" spans="15:20" x14ac:dyDescent="0.25">
      <c r="O4782">
        <v>1</v>
      </c>
      <c r="S4782" t="e">
        <v>#DIV/0!</v>
      </c>
      <c r="T4782" t="s">
        <v>82</v>
      </c>
    </row>
    <row r="4783" spans="15:20" x14ac:dyDescent="0.25">
      <c r="O4783">
        <v>1</v>
      </c>
      <c r="S4783" t="e">
        <v>#DIV/0!</v>
      </c>
      <c r="T4783" t="s">
        <v>82</v>
      </c>
    </row>
    <row r="4784" spans="15:20" x14ac:dyDescent="0.25">
      <c r="O4784">
        <v>1</v>
      </c>
      <c r="S4784" t="e">
        <v>#DIV/0!</v>
      </c>
      <c r="T4784" t="s">
        <v>82</v>
      </c>
    </row>
    <row r="4785" spans="15:20" x14ac:dyDescent="0.25">
      <c r="O4785">
        <v>1</v>
      </c>
      <c r="S4785" t="e">
        <v>#DIV/0!</v>
      </c>
      <c r="T4785" t="s">
        <v>82</v>
      </c>
    </row>
    <row r="4786" spans="15:20" x14ac:dyDescent="0.25">
      <c r="O4786">
        <v>1</v>
      </c>
      <c r="S4786" t="e">
        <v>#DIV/0!</v>
      </c>
      <c r="T4786" t="s">
        <v>82</v>
      </c>
    </row>
    <row r="4787" spans="15:20" x14ac:dyDescent="0.25">
      <c r="O4787">
        <v>1</v>
      </c>
      <c r="S4787" t="e">
        <v>#DIV/0!</v>
      </c>
      <c r="T4787" t="s">
        <v>82</v>
      </c>
    </row>
    <row r="4788" spans="15:20" x14ac:dyDescent="0.25">
      <c r="O4788">
        <v>1</v>
      </c>
      <c r="S4788" t="e">
        <v>#DIV/0!</v>
      </c>
      <c r="T4788" t="s">
        <v>82</v>
      </c>
    </row>
    <row r="4789" spans="15:20" x14ac:dyDescent="0.25">
      <c r="O4789">
        <v>1</v>
      </c>
      <c r="S4789" t="e">
        <v>#DIV/0!</v>
      </c>
      <c r="T4789" t="s">
        <v>82</v>
      </c>
    </row>
    <row r="4790" spans="15:20" x14ac:dyDescent="0.25">
      <c r="O4790">
        <v>1</v>
      </c>
      <c r="S4790" t="e">
        <v>#DIV/0!</v>
      </c>
      <c r="T4790" t="s">
        <v>82</v>
      </c>
    </row>
    <row r="4791" spans="15:20" x14ac:dyDescent="0.25">
      <c r="O4791">
        <v>1</v>
      </c>
      <c r="S4791" t="e">
        <v>#DIV/0!</v>
      </c>
      <c r="T4791" t="s">
        <v>82</v>
      </c>
    </row>
    <row r="4792" spans="15:20" x14ac:dyDescent="0.25">
      <c r="O4792">
        <v>1</v>
      </c>
      <c r="S4792" t="e">
        <v>#DIV/0!</v>
      </c>
      <c r="T4792" t="s">
        <v>82</v>
      </c>
    </row>
    <row r="4793" spans="15:20" x14ac:dyDescent="0.25">
      <c r="O4793">
        <v>1</v>
      </c>
      <c r="S4793" t="e">
        <v>#DIV/0!</v>
      </c>
      <c r="T4793" t="s">
        <v>82</v>
      </c>
    </row>
    <row r="4794" spans="15:20" x14ac:dyDescent="0.25">
      <c r="O4794">
        <v>1</v>
      </c>
      <c r="S4794" t="e">
        <v>#DIV/0!</v>
      </c>
      <c r="T4794" t="s">
        <v>82</v>
      </c>
    </row>
    <row r="4795" spans="15:20" x14ac:dyDescent="0.25">
      <c r="O4795">
        <v>1</v>
      </c>
      <c r="S4795" t="e">
        <v>#DIV/0!</v>
      </c>
      <c r="T4795" t="s">
        <v>82</v>
      </c>
    </row>
    <row r="4796" spans="15:20" x14ac:dyDescent="0.25">
      <c r="O4796">
        <v>1</v>
      </c>
      <c r="S4796" t="e">
        <v>#DIV/0!</v>
      </c>
      <c r="T4796" t="s">
        <v>82</v>
      </c>
    </row>
    <row r="4797" spans="15:20" x14ac:dyDescent="0.25">
      <c r="O4797">
        <v>1</v>
      </c>
      <c r="S4797" t="e">
        <v>#DIV/0!</v>
      </c>
      <c r="T4797" t="s">
        <v>82</v>
      </c>
    </row>
    <row r="4798" spans="15:20" x14ac:dyDescent="0.25">
      <c r="O4798">
        <v>1</v>
      </c>
      <c r="S4798" t="e">
        <v>#DIV/0!</v>
      </c>
      <c r="T4798" t="s">
        <v>82</v>
      </c>
    </row>
    <row r="4799" spans="15:20" x14ac:dyDescent="0.25">
      <c r="O4799">
        <v>1</v>
      </c>
      <c r="S4799" t="e">
        <v>#DIV/0!</v>
      </c>
      <c r="T4799" t="s">
        <v>82</v>
      </c>
    </row>
    <row r="4800" spans="15:20" x14ac:dyDescent="0.25">
      <c r="O4800">
        <v>1</v>
      </c>
      <c r="S4800" t="e">
        <v>#DIV/0!</v>
      </c>
      <c r="T4800" t="s">
        <v>82</v>
      </c>
    </row>
    <row r="4801" spans="15:20" x14ac:dyDescent="0.25">
      <c r="O4801">
        <v>1</v>
      </c>
      <c r="S4801" t="e">
        <v>#DIV/0!</v>
      </c>
      <c r="T4801" t="s">
        <v>82</v>
      </c>
    </row>
    <row r="4802" spans="15:20" x14ac:dyDescent="0.25">
      <c r="O4802">
        <v>1</v>
      </c>
      <c r="S4802" t="e">
        <v>#DIV/0!</v>
      </c>
      <c r="T4802" t="s">
        <v>82</v>
      </c>
    </row>
    <row r="4803" spans="15:20" x14ac:dyDescent="0.25">
      <c r="O4803">
        <v>1</v>
      </c>
      <c r="S4803" t="e">
        <v>#DIV/0!</v>
      </c>
      <c r="T4803" t="s">
        <v>82</v>
      </c>
    </row>
    <row r="4804" spans="15:20" x14ac:dyDescent="0.25">
      <c r="O4804">
        <v>1</v>
      </c>
      <c r="S4804" t="e">
        <v>#DIV/0!</v>
      </c>
      <c r="T4804" t="s">
        <v>82</v>
      </c>
    </row>
    <row r="4805" spans="15:20" x14ac:dyDescent="0.25">
      <c r="O4805">
        <v>1</v>
      </c>
      <c r="S4805" t="e">
        <v>#DIV/0!</v>
      </c>
      <c r="T4805" t="s">
        <v>82</v>
      </c>
    </row>
    <row r="4806" spans="15:20" x14ac:dyDescent="0.25">
      <c r="O4806">
        <v>1</v>
      </c>
      <c r="S4806" t="e">
        <v>#DIV/0!</v>
      </c>
      <c r="T4806" t="s">
        <v>82</v>
      </c>
    </row>
    <row r="4807" spans="15:20" x14ac:dyDescent="0.25">
      <c r="O4807">
        <v>1</v>
      </c>
      <c r="S4807" t="e">
        <v>#DIV/0!</v>
      </c>
      <c r="T4807" t="s">
        <v>82</v>
      </c>
    </row>
    <row r="4808" spans="15:20" x14ac:dyDescent="0.25">
      <c r="O4808">
        <v>1</v>
      </c>
      <c r="S4808" t="e">
        <v>#DIV/0!</v>
      </c>
      <c r="T4808" t="s">
        <v>82</v>
      </c>
    </row>
    <row r="4809" spans="15:20" x14ac:dyDescent="0.25">
      <c r="O4809">
        <v>1</v>
      </c>
      <c r="S4809" t="e">
        <v>#DIV/0!</v>
      </c>
      <c r="T4809" t="s">
        <v>82</v>
      </c>
    </row>
    <row r="4810" spans="15:20" x14ac:dyDescent="0.25">
      <c r="O4810">
        <v>1</v>
      </c>
      <c r="S4810" t="e">
        <v>#DIV/0!</v>
      </c>
      <c r="T4810" t="s">
        <v>82</v>
      </c>
    </row>
    <row r="4811" spans="15:20" x14ac:dyDescent="0.25">
      <c r="O4811">
        <v>1</v>
      </c>
      <c r="S4811" t="e">
        <v>#DIV/0!</v>
      </c>
      <c r="T4811" t="s">
        <v>82</v>
      </c>
    </row>
    <row r="4812" spans="15:20" x14ac:dyDescent="0.25">
      <c r="O4812">
        <v>1</v>
      </c>
      <c r="S4812" t="e">
        <v>#DIV/0!</v>
      </c>
      <c r="T4812" t="s">
        <v>82</v>
      </c>
    </row>
    <row r="4813" spans="15:20" x14ac:dyDescent="0.25">
      <c r="O4813">
        <v>1</v>
      </c>
      <c r="S4813" t="e">
        <v>#DIV/0!</v>
      </c>
      <c r="T4813" t="s">
        <v>82</v>
      </c>
    </row>
    <row r="4814" spans="15:20" x14ac:dyDescent="0.25">
      <c r="O4814">
        <v>1</v>
      </c>
      <c r="S4814" t="e">
        <v>#DIV/0!</v>
      </c>
      <c r="T4814" t="s">
        <v>82</v>
      </c>
    </row>
    <row r="4815" spans="15:20" x14ac:dyDescent="0.25">
      <c r="O4815">
        <v>1</v>
      </c>
      <c r="S4815" t="e">
        <v>#DIV/0!</v>
      </c>
      <c r="T4815" t="s">
        <v>82</v>
      </c>
    </row>
    <row r="4816" spans="15:20" x14ac:dyDescent="0.25">
      <c r="O4816">
        <v>1</v>
      </c>
      <c r="S4816" t="e">
        <v>#DIV/0!</v>
      </c>
      <c r="T4816" t="s">
        <v>82</v>
      </c>
    </row>
    <row r="4817" spans="15:20" x14ac:dyDescent="0.25">
      <c r="O4817">
        <v>1</v>
      </c>
      <c r="S4817" t="e">
        <v>#DIV/0!</v>
      </c>
      <c r="T4817" t="s">
        <v>82</v>
      </c>
    </row>
    <row r="4818" spans="15:20" x14ac:dyDescent="0.25">
      <c r="O4818">
        <v>1</v>
      </c>
      <c r="S4818" t="e">
        <v>#DIV/0!</v>
      </c>
      <c r="T4818" t="s">
        <v>82</v>
      </c>
    </row>
    <row r="4819" spans="15:20" x14ac:dyDescent="0.25">
      <c r="O4819">
        <v>1</v>
      </c>
      <c r="S4819" t="e">
        <v>#DIV/0!</v>
      </c>
      <c r="T4819" t="s">
        <v>82</v>
      </c>
    </row>
    <row r="4820" spans="15:20" x14ac:dyDescent="0.25">
      <c r="O4820">
        <v>1</v>
      </c>
      <c r="S4820" t="e">
        <v>#DIV/0!</v>
      </c>
      <c r="T4820" t="s">
        <v>82</v>
      </c>
    </row>
    <row r="4821" spans="15:20" x14ac:dyDescent="0.25">
      <c r="O4821">
        <v>1</v>
      </c>
      <c r="S4821" t="e">
        <v>#DIV/0!</v>
      </c>
      <c r="T4821" t="s">
        <v>82</v>
      </c>
    </row>
    <row r="4822" spans="15:20" x14ac:dyDescent="0.25">
      <c r="O4822">
        <v>1</v>
      </c>
      <c r="S4822" t="e">
        <v>#DIV/0!</v>
      </c>
      <c r="T4822" t="s">
        <v>82</v>
      </c>
    </row>
    <row r="4823" spans="15:20" x14ac:dyDescent="0.25">
      <c r="O4823">
        <v>1</v>
      </c>
      <c r="S4823" t="e">
        <v>#DIV/0!</v>
      </c>
      <c r="T4823" t="s">
        <v>82</v>
      </c>
    </row>
    <row r="4824" spans="15:20" x14ac:dyDescent="0.25">
      <c r="O4824">
        <v>1</v>
      </c>
      <c r="S4824" t="e">
        <v>#DIV/0!</v>
      </c>
      <c r="T4824" t="s">
        <v>82</v>
      </c>
    </row>
    <row r="4825" spans="15:20" x14ac:dyDescent="0.25">
      <c r="O4825">
        <v>1</v>
      </c>
      <c r="S4825" t="e">
        <v>#DIV/0!</v>
      </c>
      <c r="T4825" t="s">
        <v>82</v>
      </c>
    </row>
    <row r="4826" spans="15:20" x14ac:dyDescent="0.25">
      <c r="O4826">
        <v>1</v>
      </c>
      <c r="S4826" t="e">
        <v>#DIV/0!</v>
      </c>
      <c r="T4826" t="s">
        <v>82</v>
      </c>
    </row>
    <row r="4827" spans="15:20" x14ac:dyDescent="0.25">
      <c r="O4827">
        <v>1</v>
      </c>
      <c r="S4827" t="e">
        <v>#DIV/0!</v>
      </c>
      <c r="T4827" t="s">
        <v>82</v>
      </c>
    </row>
    <row r="4828" spans="15:20" x14ac:dyDescent="0.25">
      <c r="O4828">
        <v>1</v>
      </c>
      <c r="S4828" t="e">
        <v>#DIV/0!</v>
      </c>
      <c r="T4828" t="s">
        <v>82</v>
      </c>
    </row>
    <row r="4829" spans="15:20" x14ac:dyDescent="0.25">
      <c r="O4829">
        <v>1</v>
      </c>
      <c r="S4829" t="e">
        <v>#DIV/0!</v>
      </c>
      <c r="T4829" t="s">
        <v>82</v>
      </c>
    </row>
    <row r="4830" spans="15:20" x14ac:dyDescent="0.25">
      <c r="O4830">
        <v>1</v>
      </c>
      <c r="S4830" t="e">
        <v>#DIV/0!</v>
      </c>
      <c r="T4830" t="s">
        <v>82</v>
      </c>
    </row>
    <row r="4831" spans="15:20" x14ac:dyDescent="0.25">
      <c r="O4831">
        <v>1</v>
      </c>
      <c r="S4831" t="e">
        <v>#DIV/0!</v>
      </c>
      <c r="T4831" t="s">
        <v>82</v>
      </c>
    </row>
    <row r="4832" spans="15:20" x14ac:dyDescent="0.25">
      <c r="O4832">
        <v>1</v>
      </c>
      <c r="S4832" t="e">
        <v>#DIV/0!</v>
      </c>
      <c r="T4832" t="s">
        <v>82</v>
      </c>
    </row>
    <row r="4833" spans="15:20" x14ac:dyDescent="0.25">
      <c r="O4833">
        <v>1</v>
      </c>
      <c r="S4833" t="e">
        <v>#DIV/0!</v>
      </c>
      <c r="T4833" t="s">
        <v>82</v>
      </c>
    </row>
    <row r="4834" spans="15:20" x14ac:dyDescent="0.25">
      <c r="O4834">
        <v>1</v>
      </c>
      <c r="S4834" t="e">
        <v>#DIV/0!</v>
      </c>
      <c r="T4834" t="s">
        <v>82</v>
      </c>
    </row>
    <row r="4835" spans="15:20" x14ac:dyDescent="0.25">
      <c r="O4835">
        <v>1</v>
      </c>
      <c r="S4835" t="e">
        <v>#DIV/0!</v>
      </c>
      <c r="T4835" t="s">
        <v>82</v>
      </c>
    </row>
    <row r="4836" spans="15:20" x14ac:dyDescent="0.25">
      <c r="O4836">
        <v>1</v>
      </c>
      <c r="S4836" t="e">
        <v>#DIV/0!</v>
      </c>
      <c r="T4836" t="s">
        <v>82</v>
      </c>
    </row>
    <row r="4837" spans="15:20" x14ac:dyDescent="0.25">
      <c r="O4837">
        <v>1</v>
      </c>
      <c r="S4837" t="e">
        <v>#DIV/0!</v>
      </c>
      <c r="T4837" t="s">
        <v>82</v>
      </c>
    </row>
    <row r="4838" spans="15:20" x14ac:dyDescent="0.25">
      <c r="O4838">
        <v>1</v>
      </c>
      <c r="S4838" t="e">
        <v>#DIV/0!</v>
      </c>
      <c r="T4838" t="s">
        <v>82</v>
      </c>
    </row>
    <row r="4839" spans="15:20" x14ac:dyDescent="0.25">
      <c r="O4839">
        <v>1</v>
      </c>
      <c r="S4839" t="e">
        <v>#DIV/0!</v>
      </c>
      <c r="T4839" t="s">
        <v>82</v>
      </c>
    </row>
    <row r="4840" spans="15:20" x14ac:dyDescent="0.25">
      <c r="O4840">
        <v>1</v>
      </c>
      <c r="S4840" t="e">
        <v>#DIV/0!</v>
      </c>
      <c r="T4840" t="s">
        <v>82</v>
      </c>
    </row>
    <row r="4841" spans="15:20" x14ac:dyDescent="0.25">
      <c r="O4841">
        <v>1</v>
      </c>
      <c r="S4841" t="e">
        <v>#DIV/0!</v>
      </c>
      <c r="T4841" t="s">
        <v>82</v>
      </c>
    </row>
    <row r="4842" spans="15:20" x14ac:dyDescent="0.25">
      <c r="O4842">
        <v>1</v>
      </c>
      <c r="S4842" t="e">
        <v>#DIV/0!</v>
      </c>
      <c r="T4842" t="s">
        <v>82</v>
      </c>
    </row>
    <row r="4843" spans="15:20" x14ac:dyDescent="0.25">
      <c r="O4843">
        <v>1</v>
      </c>
      <c r="S4843" t="e">
        <v>#DIV/0!</v>
      </c>
      <c r="T4843" t="s">
        <v>82</v>
      </c>
    </row>
    <row r="4844" spans="15:20" x14ac:dyDescent="0.25">
      <c r="O4844">
        <v>1</v>
      </c>
      <c r="S4844" t="e">
        <v>#DIV/0!</v>
      </c>
      <c r="T4844" t="s">
        <v>82</v>
      </c>
    </row>
    <row r="4845" spans="15:20" x14ac:dyDescent="0.25">
      <c r="O4845">
        <v>1</v>
      </c>
      <c r="S4845" t="e">
        <v>#DIV/0!</v>
      </c>
      <c r="T4845" t="s">
        <v>82</v>
      </c>
    </row>
    <row r="4846" spans="15:20" x14ac:dyDescent="0.25">
      <c r="O4846">
        <v>1</v>
      </c>
      <c r="S4846" t="e">
        <v>#DIV/0!</v>
      </c>
      <c r="T4846" t="s">
        <v>82</v>
      </c>
    </row>
    <row r="4847" spans="15:20" x14ac:dyDescent="0.25">
      <c r="O4847">
        <v>1</v>
      </c>
      <c r="S4847" t="e">
        <v>#DIV/0!</v>
      </c>
      <c r="T4847" t="s">
        <v>82</v>
      </c>
    </row>
    <row r="4848" spans="15:20" x14ac:dyDescent="0.25">
      <c r="O4848">
        <v>1</v>
      </c>
      <c r="S4848" t="e">
        <v>#DIV/0!</v>
      </c>
      <c r="T4848" t="s">
        <v>82</v>
      </c>
    </row>
    <row r="4849" spans="15:20" x14ac:dyDescent="0.25">
      <c r="O4849">
        <v>1</v>
      </c>
      <c r="S4849" t="e">
        <v>#DIV/0!</v>
      </c>
      <c r="T4849" t="s">
        <v>82</v>
      </c>
    </row>
    <row r="4850" spans="15:20" x14ac:dyDescent="0.25">
      <c r="O4850">
        <v>1</v>
      </c>
      <c r="S4850" t="e">
        <v>#DIV/0!</v>
      </c>
      <c r="T4850" t="s">
        <v>82</v>
      </c>
    </row>
    <row r="4851" spans="15:20" x14ac:dyDescent="0.25">
      <c r="O4851">
        <v>1</v>
      </c>
      <c r="S4851" t="e">
        <v>#DIV/0!</v>
      </c>
      <c r="T4851" t="s">
        <v>82</v>
      </c>
    </row>
    <row r="4852" spans="15:20" x14ac:dyDescent="0.25">
      <c r="O4852">
        <v>1</v>
      </c>
      <c r="S4852" t="e">
        <v>#DIV/0!</v>
      </c>
      <c r="T4852" t="s">
        <v>82</v>
      </c>
    </row>
    <row r="4853" spans="15:20" x14ac:dyDescent="0.25">
      <c r="O4853">
        <v>1</v>
      </c>
      <c r="S4853" t="e">
        <v>#DIV/0!</v>
      </c>
      <c r="T4853" t="s">
        <v>82</v>
      </c>
    </row>
    <row r="4854" spans="15:20" x14ac:dyDescent="0.25">
      <c r="O4854">
        <v>1</v>
      </c>
      <c r="S4854" t="e">
        <v>#DIV/0!</v>
      </c>
      <c r="T4854" t="s">
        <v>82</v>
      </c>
    </row>
    <row r="4855" spans="15:20" x14ac:dyDescent="0.25">
      <c r="O4855">
        <v>1</v>
      </c>
      <c r="S4855" t="e">
        <v>#DIV/0!</v>
      </c>
      <c r="T4855" t="s">
        <v>82</v>
      </c>
    </row>
    <row r="4856" spans="15:20" x14ac:dyDescent="0.25">
      <c r="O4856">
        <v>1</v>
      </c>
      <c r="S4856" t="e">
        <v>#DIV/0!</v>
      </c>
      <c r="T4856" t="s">
        <v>82</v>
      </c>
    </row>
    <row r="4857" spans="15:20" x14ac:dyDescent="0.25">
      <c r="O4857">
        <v>1</v>
      </c>
      <c r="S4857" t="e">
        <v>#DIV/0!</v>
      </c>
      <c r="T4857" t="s">
        <v>82</v>
      </c>
    </row>
    <row r="4858" spans="15:20" x14ac:dyDescent="0.25">
      <c r="O4858">
        <v>1</v>
      </c>
      <c r="S4858" t="e">
        <v>#DIV/0!</v>
      </c>
      <c r="T4858" t="s">
        <v>82</v>
      </c>
    </row>
    <row r="4859" spans="15:20" x14ac:dyDescent="0.25">
      <c r="O4859">
        <v>1</v>
      </c>
      <c r="S4859" t="e">
        <v>#DIV/0!</v>
      </c>
      <c r="T4859" t="s">
        <v>82</v>
      </c>
    </row>
    <row r="4860" spans="15:20" x14ac:dyDescent="0.25">
      <c r="O4860">
        <v>1</v>
      </c>
      <c r="S4860" t="e">
        <v>#DIV/0!</v>
      </c>
      <c r="T4860" t="s">
        <v>82</v>
      </c>
    </row>
    <row r="4861" spans="15:20" x14ac:dyDescent="0.25">
      <c r="O4861">
        <v>1</v>
      </c>
      <c r="S4861" t="e">
        <v>#DIV/0!</v>
      </c>
      <c r="T4861" t="s">
        <v>82</v>
      </c>
    </row>
    <row r="4862" spans="15:20" x14ac:dyDescent="0.25">
      <c r="O4862">
        <v>1</v>
      </c>
      <c r="S4862" t="e">
        <v>#DIV/0!</v>
      </c>
      <c r="T4862" t="s">
        <v>82</v>
      </c>
    </row>
    <row r="4863" spans="15:20" x14ac:dyDescent="0.25">
      <c r="O4863">
        <v>1</v>
      </c>
      <c r="S4863" t="e">
        <v>#DIV/0!</v>
      </c>
      <c r="T4863" t="s">
        <v>82</v>
      </c>
    </row>
    <row r="4864" spans="15:20" x14ac:dyDescent="0.25">
      <c r="O4864">
        <v>1</v>
      </c>
      <c r="S4864" t="e">
        <v>#DIV/0!</v>
      </c>
      <c r="T4864" t="s">
        <v>82</v>
      </c>
    </row>
    <row r="4865" spans="15:20" x14ac:dyDescent="0.25">
      <c r="O4865">
        <v>1</v>
      </c>
      <c r="S4865" t="e">
        <v>#DIV/0!</v>
      </c>
      <c r="T4865" t="s">
        <v>82</v>
      </c>
    </row>
    <row r="4866" spans="15:20" x14ac:dyDescent="0.25">
      <c r="O4866">
        <v>1</v>
      </c>
      <c r="S4866" t="e">
        <v>#DIV/0!</v>
      </c>
      <c r="T4866" t="s">
        <v>82</v>
      </c>
    </row>
    <row r="4867" spans="15:20" x14ac:dyDescent="0.25">
      <c r="O4867">
        <v>1</v>
      </c>
      <c r="S4867" t="e">
        <v>#DIV/0!</v>
      </c>
      <c r="T4867" t="s">
        <v>82</v>
      </c>
    </row>
    <row r="4868" spans="15:20" x14ac:dyDescent="0.25">
      <c r="O4868">
        <v>1</v>
      </c>
      <c r="S4868" t="e">
        <v>#DIV/0!</v>
      </c>
      <c r="T4868" t="s">
        <v>82</v>
      </c>
    </row>
    <row r="4869" spans="15:20" x14ac:dyDescent="0.25">
      <c r="O4869">
        <v>1</v>
      </c>
      <c r="S4869" t="e">
        <v>#DIV/0!</v>
      </c>
      <c r="T4869" t="s">
        <v>82</v>
      </c>
    </row>
    <row r="4870" spans="15:20" x14ac:dyDescent="0.25">
      <c r="O4870">
        <v>1</v>
      </c>
      <c r="S4870" t="e">
        <v>#DIV/0!</v>
      </c>
      <c r="T4870" t="s">
        <v>82</v>
      </c>
    </row>
    <row r="4871" spans="15:20" x14ac:dyDescent="0.25">
      <c r="O4871">
        <v>1</v>
      </c>
      <c r="S4871" t="e">
        <v>#DIV/0!</v>
      </c>
      <c r="T4871" t="s">
        <v>82</v>
      </c>
    </row>
    <row r="4872" spans="15:20" x14ac:dyDescent="0.25">
      <c r="O4872">
        <v>1</v>
      </c>
      <c r="S4872" t="e">
        <v>#DIV/0!</v>
      </c>
      <c r="T4872" t="s">
        <v>82</v>
      </c>
    </row>
    <row r="4873" spans="15:20" x14ac:dyDescent="0.25">
      <c r="O4873">
        <v>1</v>
      </c>
      <c r="S4873" t="e">
        <v>#DIV/0!</v>
      </c>
      <c r="T4873" t="s">
        <v>82</v>
      </c>
    </row>
    <row r="4874" spans="15:20" x14ac:dyDescent="0.25">
      <c r="O4874">
        <v>1</v>
      </c>
      <c r="S4874" t="e">
        <v>#DIV/0!</v>
      </c>
      <c r="T4874" t="s">
        <v>82</v>
      </c>
    </row>
    <row r="4875" spans="15:20" x14ac:dyDescent="0.25">
      <c r="O4875">
        <v>1</v>
      </c>
      <c r="S4875" t="e">
        <v>#DIV/0!</v>
      </c>
      <c r="T4875" t="s">
        <v>82</v>
      </c>
    </row>
    <row r="4876" spans="15:20" x14ac:dyDescent="0.25">
      <c r="O4876">
        <v>1</v>
      </c>
      <c r="S4876" t="e">
        <v>#DIV/0!</v>
      </c>
      <c r="T4876" t="s">
        <v>82</v>
      </c>
    </row>
    <row r="4877" spans="15:20" x14ac:dyDescent="0.25">
      <c r="O4877">
        <v>1</v>
      </c>
      <c r="S4877" t="e">
        <v>#DIV/0!</v>
      </c>
      <c r="T4877" t="s">
        <v>82</v>
      </c>
    </row>
    <row r="4878" spans="15:20" x14ac:dyDescent="0.25">
      <c r="O4878">
        <v>1</v>
      </c>
      <c r="S4878" t="e">
        <v>#DIV/0!</v>
      </c>
      <c r="T4878" t="s">
        <v>82</v>
      </c>
    </row>
    <row r="4879" spans="15:20" x14ac:dyDescent="0.25">
      <c r="O4879">
        <v>1</v>
      </c>
      <c r="S4879" t="e">
        <v>#DIV/0!</v>
      </c>
      <c r="T4879" t="s">
        <v>82</v>
      </c>
    </row>
    <row r="4880" spans="15:20" x14ac:dyDescent="0.25">
      <c r="O4880">
        <v>1</v>
      </c>
      <c r="S4880" t="e">
        <v>#DIV/0!</v>
      </c>
      <c r="T4880" t="s">
        <v>82</v>
      </c>
    </row>
    <row r="4881" spans="15:20" x14ac:dyDescent="0.25">
      <c r="O4881">
        <v>1</v>
      </c>
      <c r="S4881" t="e">
        <v>#DIV/0!</v>
      </c>
      <c r="T4881" t="s">
        <v>82</v>
      </c>
    </row>
    <row r="4882" spans="15:20" x14ac:dyDescent="0.25">
      <c r="O4882">
        <v>1</v>
      </c>
      <c r="S4882" t="e">
        <v>#DIV/0!</v>
      </c>
      <c r="T4882" t="s">
        <v>82</v>
      </c>
    </row>
    <row r="4883" spans="15:20" x14ac:dyDescent="0.25">
      <c r="O4883">
        <v>1</v>
      </c>
      <c r="S4883" t="e">
        <v>#DIV/0!</v>
      </c>
      <c r="T4883" t="s">
        <v>82</v>
      </c>
    </row>
    <row r="4884" spans="15:20" x14ac:dyDescent="0.25">
      <c r="O4884">
        <v>1</v>
      </c>
      <c r="S4884" t="e">
        <v>#DIV/0!</v>
      </c>
      <c r="T4884" t="s">
        <v>82</v>
      </c>
    </row>
    <row r="4885" spans="15:20" x14ac:dyDescent="0.25">
      <c r="O4885">
        <v>1</v>
      </c>
      <c r="S4885" t="e">
        <v>#DIV/0!</v>
      </c>
      <c r="T4885" t="s">
        <v>82</v>
      </c>
    </row>
    <row r="4886" spans="15:20" x14ac:dyDescent="0.25">
      <c r="O4886">
        <v>1</v>
      </c>
      <c r="S4886" t="e">
        <v>#DIV/0!</v>
      </c>
      <c r="T4886" t="s">
        <v>82</v>
      </c>
    </row>
    <row r="4887" spans="15:20" x14ac:dyDescent="0.25">
      <c r="O4887">
        <v>1</v>
      </c>
      <c r="S4887" t="e">
        <v>#DIV/0!</v>
      </c>
      <c r="T4887" t="s">
        <v>82</v>
      </c>
    </row>
    <row r="4888" spans="15:20" x14ac:dyDescent="0.25">
      <c r="O4888">
        <v>1</v>
      </c>
      <c r="S4888" t="e">
        <v>#DIV/0!</v>
      </c>
      <c r="T4888" t="s">
        <v>82</v>
      </c>
    </row>
    <row r="4889" spans="15:20" x14ac:dyDescent="0.25">
      <c r="O4889">
        <v>1</v>
      </c>
      <c r="S4889" t="e">
        <v>#DIV/0!</v>
      </c>
      <c r="T4889" t="s">
        <v>82</v>
      </c>
    </row>
    <row r="4890" spans="15:20" x14ac:dyDescent="0.25">
      <c r="O4890">
        <v>1</v>
      </c>
      <c r="S4890" t="e">
        <v>#DIV/0!</v>
      </c>
      <c r="T4890" t="s">
        <v>82</v>
      </c>
    </row>
    <row r="4891" spans="15:20" x14ac:dyDescent="0.25">
      <c r="O4891">
        <v>1</v>
      </c>
      <c r="S4891" t="e">
        <v>#DIV/0!</v>
      </c>
      <c r="T4891" t="s">
        <v>82</v>
      </c>
    </row>
    <row r="4892" spans="15:20" x14ac:dyDescent="0.25">
      <c r="O4892">
        <v>1</v>
      </c>
      <c r="S4892" t="e">
        <v>#DIV/0!</v>
      </c>
      <c r="T4892" t="s">
        <v>82</v>
      </c>
    </row>
    <row r="4893" spans="15:20" x14ac:dyDescent="0.25">
      <c r="O4893">
        <v>1</v>
      </c>
      <c r="S4893" t="e">
        <v>#DIV/0!</v>
      </c>
      <c r="T4893" t="s">
        <v>82</v>
      </c>
    </row>
    <row r="4894" spans="15:20" x14ac:dyDescent="0.25">
      <c r="O4894">
        <v>1</v>
      </c>
      <c r="S4894" t="e">
        <v>#DIV/0!</v>
      </c>
      <c r="T4894" t="s">
        <v>82</v>
      </c>
    </row>
    <row r="4895" spans="15:20" x14ac:dyDescent="0.25">
      <c r="O4895">
        <v>1</v>
      </c>
      <c r="S4895" t="e">
        <v>#DIV/0!</v>
      </c>
      <c r="T4895" t="s">
        <v>82</v>
      </c>
    </row>
    <row r="4896" spans="15:20" x14ac:dyDescent="0.25">
      <c r="O4896">
        <v>1</v>
      </c>
      <c r="S4896" t="e">
        <v>#DIV/0!</v>
      </c>
      <c r="T4896" t="s">
        <v>82</v>
      </c>
    </row>
    <row r="4897" spans="15:20" x14ac:dyDescent="0.25">
      <c r="O4897">
        <v>1</v>
      </c>
      <c r="S4897" t="e">
        <v>#DIV/0!</v>
      </c>
      <c r="T4897" t="s">
        <v>82</v>
      </c>
    </row>
    <row r="4898" spans="15:20" x14ac:dyDescent="0.25">
      <c r="O4898">
        <v>1</v>
      </c>
      <c r="S4898" t="e">
        <v>#DIV/0!</v>
      </c>
      <c r="T4898" t="s">
        <v>82</v>
      </c>
    </row>
    <row r="4899" spans="15:20" x14ac:dyDescent="0.25">
      <c r="O4899">
        <v>1</v>
      </c>
      <c r="S4899" t="e">
        <v>#DIV/0!</v>
      </c>
      <c r="T4899" t="s">
        <v>82</v>
      </c>
    </row>
    <row r="4900" spans="15:20" x14ac:dyDescent="0.25">
      <c r="O4900">
        <v>1</v>
      </c>
      <c r="S4900" t="e">
        <v>#DIV/0!</v>
      </c>
      <c r="T4900" t="s">
        <v>82</v>
      </c>
    </row>
    <row r="4901" spans="15:20" x14ac:dyDescent="0.25">
      <c r="O4901">
        <v>1</v>
      </c>
      <c r="S4901" t="e">
        <v>#DIV/0!</v>
      </c>
      <c r="T4901" t="s">
        <v>82</v>
      </c>
    </row>
    <row r="4902" spans="15:20" x14ac:dyDescent="0.25">
      <c r="O4902">
        <v>1</v>
      </c>
      <c r="S4902" t="e">
        <v>#DIV/0!</v>
      </c>
      <c r="T4902" t="s">
        <v>82</v>
      </c>
    </row>
    <row r="4903" spans="15:20" x14ac:dyDescent="0.25">
      <c r="O4903">
        <v>1</v>
      </c>
      <c r="S4903" t="e">
        <v>#DIV/0!</v>
      </c>
      <c r="T4903" t="s">
        <v>82</v>
      </c>
    </row>
    <row r="4904" spans="15:20" x14ac:dyDescent="0.25">
      <c r="O4904">
        <v>1</v>
      </c>
      <c r="S4904" t="e">
        <v>#DIV/0!</v>
      </c>
      <c r="T4904" t="s">
        <v>82</v>
      </c>
    </row>
    <row r="4905" spans="15:20" x14ac:dyDescent="0.25">
      <c r="O4905">
        <v>1</v>
      </c>
      <c r="S4905" t="e">
        <v>#DIV/0!</v>
      </c>
      <c r="T4905" t="s">
        <v>82</v>
      </c>
    </row>
    <row r="4906" spans="15:20" x14ac:dyDescent="0.25">
      <c r="O4906">
        <v>1</v>
      </c>
      <c r="S4906" t="e">
        <v>#DIV/0!</v>
      </c>
      <c r="T4906" t="s">
        <v>82</v>
      </c>
    </row>
    <row r="4907" spans="15:20" x14ac:dyDescent="0.25">
      <c r="O4907">
        <v>1</v>
      </c>
      <c r="S4907" t="e">
        <v>#DIV/0!</v>
      </c>
      <c r="T4907" t="s">
        <v>82</v>
      </c>
    </row>
    <row r="4908" spans="15:20" x14ac:dyDescent="0.25">
      <c r="O4908">
        <v>1</v>
      </c>
      <c r="S4908" t="e">
        <v>#DIV/0!</v>
      </c>
      <c r="T4908" t="s">
        <v>82</v>
      </c>
    </row>
    <row r="4909" spans="15:20" x14ac:dyDescent="0.25">
      <c r="O4909">
        <v>1</v>
      </c>
      <c r="S4909" t="e">
        <v>#DIV/0!</v>
      </c>
      <c r="T4909" t="s">
        <v>82</v>
      </c>
    </row>
    <row r="4910" spans="15:20" x14ac:dyDescent="0.25">
      <c r="O4910">
        <v>1</v>
      </c>
      <c r="S4910" t="e">
        <v>#DIV/0!</v>
      </c>
      <c r="T4910" t="s">
        <v>82</v>
      </c>
    </row>
    <row r="4911" spans="15:20" x14ac:dyDescent="0.25">
      <c r="O4911">
        <v>1</v>
      </c>
      <c r="S4911" t="e">
        <v>#DIV/0!</v>
      </c>
      <c r="T4911" t="s">
        <v>82</v>
      </c>
    </row>
    <row r="4912" spans="15:20" x14ac:dyDescent="0.25">
      <c r="O4912">
        <v>1</v>
      </c>
      <c r="S4912" t="e">
        <v>#DIV/0!</v>
      </c>
      <c r="T4912" t="s">
        <v>82</v>
      </c>
    </row>
    <row r="4913" spans="15:20" x14ac:dyDescent="0.25">
      <c r="O4913">
        <v>1</v>
      </c>
      <c r="S4913" t="e">
        <v>#DIV/0!</v>
      </c>
      <c r="T4913" t="s">
        <v>82</v>
      </c>
    </row>
    <row r="4914" spans="15:20" x14ac:dyDescent="0.25">
      <c r="O4914">
        <v>1</v>
      </c>
      <c r="S4914" t="e">
        <v>#DIV/0!</v>
      </c>
      <c r="T4914" t="s">
        <v>82</v>
      </c>
    </row>
    <row r="4915" spans="15:20" x14ac:dyDescent="0.25">
      <c r="O4915">
        <v>1</v>
      </c>
      <c r="S4915" t="e">
        <v>#DIV/0!</v>
      </c>
      <c r="T4915" t="s">
        <v>82</v>
      </c>
    </row>
    <row r="4916" spans="15:20" x14ac:dyDescent="0.25">
      <c r="O4916">
        <v>1</v>
      </c>
      <c r="S4916" t="e">
        <v>#DIV/0!</v>
      </c>
      <c r="T4916" t="s">
        <v>82</v>
      </c>
    </row>
    <row r="4917" spans="15:20" x14ac:dyDescent="0.25">
      <c r="O4917">
        <v>1</v>
      </c>
      <c r="S4917" t="e">
        <v>#DIV/0!</v>
      </c>
      <c r="T4917" t="s">
        <v>82</v>
      </c>
    </row>
    <row r="4918" spans="15:20" x14ac:dyDescent="0.25">
      <c r="O4918">
        <v>1</v>
      </c>
      <c r="S4918" t="e">
        <v>#DIV/0!</v>
      </c>
      <c r="T4918" t="s">
        <v>82</v>
      </c>
    </row>
    <row r="4919" spans="15:20" x14ac:dyDescent="0.25">
      <c r="O4919">
        <v>1</v>
      </c>
      <c r="S4919" t="e">
        <v>#DIV/0!</v>
      </c>
      <c r="T4919" t="s">
        <v>82</v>
      </c>
    </row>
    <row r="4920" spans="15:20" x14ac:dyDescent="0.25">
      <c r="O4920">
        <v>1</v>
      </c>
      <c r="S4920" t="e">
        <v>#DIV/0!</v>
      </c>
      <c r="T4920" t="s">
        <v>82</v>
      </c>
    </row>
    <row r="4921" spans="15:20" x14ac:dyDescent="0.25">
      <c r="O4921">
        <v>1</v>
      </c>
      <c r="S4921" t="e">
        <v>#DIV/0!</v>
      </c>
      <c r="T4921" t="s">
        <v>82</v>
      </c>
    </row>
    <row r="4922" spans="15:20" x14ac:dyDescent="0.25">
      <c r="O4922">
        <v>1</v>
      </c>
      <c r="S4922" t="e">
        <v>#DIV/0!</v>
      </c>
      <c r="T4922" t="s">
        <v>82</v>
      </c>
    </row>
    <row r="4923" spans="15:20" x14ac:dyDescent="0.25">
      <c r="O4923">
        <v>1</v>
      </c>
      <c r="S4923" t="e">
        <v>#DIV/0!</v>
      </c>
      <c r="T4923" t="s">
        <v>82</v>
      </c>
    </row>
    <row r="4924" spans="15:20" x14ac:dyDescent="0.25">
      <c r="O4924">
        <v>1</v>
      </c>
      <c r="S4924" t="e">
        <v>#DIV/0!</v>
      </c>
      <c r="T4924" t="s">
        <v>82</v>
      </c>
    </row>
    <row r="4925" spans="15:20" x14ac:dyDescent="0.25">
      <c r="O4925">
        <v>1</v>
      </c>
      <c r="S4925" t="e">
        <v>#DIV/0!</v>
      </c>
      <c r="T4925" t="s">
        <v>82</v>
      </c>
    </row>
    <row r="4926" spans="15:20" x14ac:dyDescent="0.25">
      <c r="O4926">
        <v>1</v>
      </c>
      <c r="S4926" t="e">
        <v>#DIV/0!</v>
      </c>
      <c r="T4926" t="s">
        <v>82</v>
      </c>
    </row>
    <row r="4927" spans="15:20" x14ac:dyDescent="0.25">
      <c r="O4927">
        <v>1</v>
      </c>
      <c r="S4927" t="e">
        <v>#DIV/0!</v>
      </c>
      <c r="T4927" t="s">
        <v>82</v>
      </c>
    </row>
    <row r="4928" spans="15:20" x14ac:dyDescent="0.25">
      <c r="O4928">
        <v>1</v>
      </c>
      <c r="S4928" t="e">
        <v>#DIV/0!</v>
      </c>
      <c r="T4928" t="s">
        <v>82</v>
      </c>
    </row>
    <row r="4929" spans="15:20" x14ac:dyDescent="0.25">
      <c r="O4929">
        <v>1</v>
      </c>
      <c r="S4929" t="e">
        <v>#DIV/0!</v>
      </c>
      <c r="T4929" t="s">
        <v>82</v>
      </c>
    </row>
    <row r="4930" spans="15:20" x14ac:dyDescent="0.25">
      <c r="O4930">
        <v>1</v>
      </c>
      <c r="S4930" t="e">
        <v>#DIV/0!</v>
      </c>
      <c r="T4930" t="s">
        <v>82</v>
      </c>
    </row>
    <row r="4931" spans="15:20" x14ac:dyDescent="0.25">
      <c r="O4931">
        <v>1</v>
      </c>
      <c r="S4931" t="e">
        <v>#DIV/0!</v>
      </c>
      <c r="T4931" t="s">
        <v>82</v>
      </c>
    </row>
    <row r="4932" spans="15:20" x14ac:dyDescent="0.25">
      <c r="O4932">
        <v>1</v>
      </c>
      <c r="S4932" t="e">
        <v>#DIV/0!</v>
      </c>
      <c r="T4932" t="s">
        <v>82</v>
      </c>
    </row>
    <row r="4933" spans="15:20" x14ac:dyDescent="0.25">
      <c r="O4933">
        <v>1</v>
      </c>
      <c r="S4933" t="e">
        <v>#DIV/0!</v>
      </c>
      <c r="T4933" t="s">
        <v>82</v>
      </c>
    </row>
    <row r="4934" spans="15:20" x14ac:dyDescent="0.25">
      <c r="O4934">
        <v>1</v>
      </c>
      <c r="S4934" t="e">
        <v>#DIV/0!</v>
      </c>
      <c r="T4934" t="s">
        <v>82</v>
      </c>
    </row>
    <row r="4935" spans="15:20" x14ac:dyDescent="0.25">
      <c r="O4935">
        <v>1</v>
      </c>
      <c r="S4935" t="e">
        <v>#DIV/0!</v>
      </c>
      <c r="T4935" t="s">
        <v>82</v>
      </c>
    </row>
    <row r="4936" spans="15:20" x14ac:dyDescent="0.25">
      <c r="O4936">
        <v>1</v>
      </c>
      <c r="S4936" t="e">
        <v>#DIV/0!</v>
      </c>
      <c r="T4936" t="s">
        <v>82</v>
      </c>
    </row>
    <row r="4937" spans="15:20" x14ac:dyDescent="0.25">
      <c r="O4937">
        <v>1</v>
      </c>
      <c r="S4937" t="e">
        <v>#DIV/0!</v>
      </c>
      <c r="T4937" t="s">
        <v>82</v>
      </c>
    </row>
    <row r="4938" spans="15:20" x14ac:dyDescent="0.25">
      <c r="O4938">
        <v>1</v>
      </c>
      <c r="S4938" t="e">
        <v>#DIV/0!</v>
      </c>
      <c r="T4938" t="s">
        <v>82</v>
      </c>
    </row>
    <row r="4939" spans="15:20" x14ac:dyDescent="0.25">
      <c r="O4939">
        <v>1</v>
      </c>
      <c r="S4939" t="e">
        <v>#DIV/0!</v>
      </c>
      <c r="T4939" t="s">
        <v>82</v>
      </c>
    </row>
    <row r="4940" spans="15:20" x14ac:dyDescent="0.25">
      <c r="O4940">
        <v>1</v>
      </c>
      <c r="S4940" t="e">
        <v>#DIV/0!</v>
      </c>
      <c r="T4940" t="s">
        <v>82</v>
      </c>
    </row>
    <row r="4941" spans="15:20" x14ac:dyDescent="0.25">
      <c r="O4941">
        <v>1</v>
      </c>
      <c r="S4941" t="e">
        <v>#DIV/0!</v>
      </c>
      <c r="T4941" t="s">
        <v>82</v>
      </c>
    </row>
    <row r="4942" spans="15:20" x14ac:dyDescent="0.25">
      <c r="O4942">
        <v>1</v>
      </c>
      <c r="S4942" t="e">
        <v>#DIV/0!</v>
      </c>
      <c r="T4942" t="s">
        <v>82</v>
      </c>
    </row>
    <row r="4943" spans="15:20" x14ac:dyDescent="0.25">
      <c r="O4943">
        <v>1</v>
      </c>
      <c r="S4943" t="e">
        <v>#DIV/0!</v>
      </c>
      <c r="T4943" t="s">
        <v>82</v>
      </c>
    </row>
    <row r="4944" spans="15:20" x14ac:dyDescent="0.25">
      <c r="O4944">
        <v>1</v>
      </c>
      <c r="S4944" t="e">
        <v>#DIV/0!</v>
      </c>
      <c r="T4944" t="s">
        <v>82</v>
      </c>
    </row>
    <row r="4945" spans="15:20" x14ac:dyDescent="0.25">
      <c r="O4945">
        <v>1</v>
      </c>
      <c r="S4945" t="e">
        <v>#DIV/0!</v>
      </c>
      <c r="T4945" t="s">
        <v>82</v>
      </c>
    </row>
    <row r="4946" spans="15:20" x14ac:dyDescent="0.25">
      <c r="O4946">
        <v>1</v>
      </c>
      <c r="S4946" t="e">
        <v>#DIV/0!</v>
      </c>
      <c r="T4946" t="s">
        <v>82</v>
      </c>
    </row>
    <row r="4947" spans="15:20" x14ac:dyDescent="0.25">
      <c r="O4947">
        <v>1</v>
      </c>
      <c r="S4947" t="e">
        <v>#DIV/0!</v>
      </c>
      <c r="T4947" t="s">
        <v>82</v>
      </c>
    </row>
    <row r="4948" spans="15:20" x14ac:dyDescent="0.25">
      <c r="O4948">
        <v>1</v>
      </c>
      <c r="S4948" t="e">
        <v>#DIV/0!</v>
      </c>
      <c r="T4948" t="s">
        <v>82</v>
      </c>
    </row>
    <row r="4949" spans="15:20" x14ac:dyDescent="0.25">
      <c r="O4949">
        <v>1</v>
      </c>
      <c r="S4949" t="e">
        <v>#DIV/0!</v>
      </c>
      <c r="T4949" t="s">
        <v>82</v>
      </c>
    </row>
    <row r="4950" spans="15:20" x14ac:dyDescent="0.25">
      <c r="O4950">
        <v>1</v>
      </c>
      <c r="S4950" t="e">
        <v>#DIV/0!</v>
      </c>
      <c r="T4950" t="s">
        <v>82</v>
      </c>
    </row>
    <row r="4951" spans="15:20" x14ac:dyDescent="0.25">
      <c r="O4951">
        <v>1</v>
      </c>
      <c r="S4951" t="e">
        <v>#DIV/0!</v>
      </c>
      <c r="T4951" t="s">
        <v>82</v>
      </c>
    </row>
    <row r="4952" spans="15:20" x14ac:dyDescent="0.25">
      <c r="O4952">
        <v>1</v>
      </c>
      <c r="S4952" t="e">
        <v>#DIV/0!</v>
      </c>
      <c r="T4952" t="s">
        <v>82</v>
      </c>
    </row>
    <row r="4953" spans="15:20" x14ac:dyDescent="0.25">
      <c r="O4953">
        <v>1</v>
      </c>
      <c r="S4953" t="e">
        <v>#DIV/0!</v>
      </c>
      <c r="T4953" t="s">
        <v>82</v>
      </c>
    </row>
    <row r="4954" spans="15:20" x14ac:dyDescent="0.25">
      <c r="O4954">
        <v>1</v>
      </c>
      <c r="S4954" t="e">
        <v>#DIV/0!</v>
      </c>
      <c r="T4954" t="s">
        <v>82</v>
      </c>
    </row>
    <row r="4955" spans="15:20" x14ac:dyDescent="0.25">
      <c r="O4955">
        <v>1</v>
      </c>
      <c r="S4955" t="e">
        <v>#DIV/0!</v>
      </c>
      <c r="T4955" t="s">
        <v>82</v>
      </c>
    </row>
    <row r="4956" spans="15:20" x14ac:dyDescent="0.25">
      <c r="O4956">
        <v>1</v>
      </c>
      <c r="S4956" t="e">
        <v>#DIV/0!</v>
      </c>
      <c r="T4956" t="s">
        <v>82</v>
      </c>
    </row>
    <row r="4957" spans="15:20" x14ac:dyDescent="0.25">
      <c r="O4957">
        <v>1</v>
      </c>
      <c r="S4957" t="e">
        <v>#DIV/0!</v>
      </c>
      <c r="T4957" t="s">
        <v>82</v>
      </c>
    </row>
    <row r="4958" spans="15:20" x14ac:dyDescent="0.25">
      <c r="O4958">
        <v>1</v>
      </c>
      <c r="S4958" t="e">
        <v>#DIV/0!</v>
      </c>
      <c r="T4958" t="s">
        <v>82</v>
      </c>
    </row>
    <row r="4959" spans="15:20" x14ac:dyDescent="0.25">
      <c r="O4959">
        <v>1</v>
      </c>
      <c r="S4959" t="e">
        <v>#DIV/0!</v>
      </c>
      <c r="T4959" t="s">
        <v>82</v>
      </c>
    </row>
    <row r="4960" spans="15:20" x14ac:dyDescent="0.25">
      <c r="O4960">
        <v>1</v>
      </c>
      <c r="S4960" t="e">
        <v>#DIV/0!</v>
      </c>
      <c r="T4960" t="s">
        <v>82</v>
      </c>
    </row>
    <row r="4961" spans="15:20" x14ac:dyDescent="0.25">
      <c r="O4961">
        <v>1</v>
      </c>
      <c r="S4961" t="e">
        <v>#DIV/0!</v>
      </c>
      <c r="T4961" t="s">
        <v>82</v>
      </c>
    </row>
    <row r="4962" spans="15:20" x14ac:dyDescent="0.25">
      <c r="O4962">
        <v>1</v>
      </c>
      <c r="S4962" t="e">
        <v>#DIV/0!</v>
      </c>
      <c r="T4962" t="s">
        <v>82</v>
      </c>
    </row>
    <row r="4963" spans="15:20" x14ac:dyDescent="0.25">
      <c r="O4963">
        <v>1</v>
      </c>
      <c r="S4963" t="e">
        <v>#DIV/0!</v>
      </c>
      <c r="T4963" t="s">
        <v>82</v>
      </c>
    </row>
    <row r="4964" spans="15:20" x14ac:dyDescent="0.25">
      <c r="O4964">
        <v>1</v>
      </c>
      <c r="S4964" t="e">
        <v>#DIV/0!</v>
      </c>
      <c r="T4964" t="s">
        <v>82</v>
      </c>
    </row>
    <row r="4965" spans="15:20" x14ac:dyDescent="0.25">
      <c r="O4965">
        <v>1</v>
      </c>
      <c r="S4965" t="e">
        <v>#DIV/0!</v>
      </c>
      <c r="T4965" t="s">
        <v>82</v>
      </c>
    </row>
    <row r="4966" spans="15:20" x14ac:dyDescent="0.25">
      <c r="O4966">
        <v>1</v>
      </c>
      <c r="S4966" t="e">
        <v>#DIV/0!</v>
      </c>
      <c r="T4966" t="s">
        <v>82</v>
      </c>
    </row>
    <row r="4967" spans="15:20" x14ac:dyDescent="0.25">
      <c r="O4967">
        <v>1</v>
      </c>
      <c r="S4967" t="e">
        <v>#DIV/0!</v>
      </c>
      <c r="T4967" t="s">
        <v>82</v>
      </c>
    </row>
    <row r="4968" spans="15:20" x14ac:dyDescent="0.25">
      <c r="O4968">
        <v>1</v>
      </c>
      <c r="S4968" t="e">
        <v>#DIV/0!</v>
      </c>
      <c r="T4968" t="s">
        <v>82</v>
      </c>
    </row>
    <row r="4969" spans="15:20" x14ac:dyDescent="0.25">
      <c r="O4969">
        <v>1</v>
      </c>
      <c r="S4969" t="e">
        <v>#DIV/0!</v>
      </c>
      <c r="T4969" t="s">
        <v>82</v>
      </c>
    </row>
    <row r="4970" spans="15:20" x14ac:dyDescent="0.25">
      <c r="O4970">
        <v>1</v>
      </c>
      <c r="S4970" t="e">
        <v>#DIV/0!</v>
      </c>
      <c r="T4970" t="s">
        <v>82</v>
      </c>
    </row>
    <row r="4971" spans="15:20" x14ac:dyDescent="0.25">
      <c r="O4971">
        <v>1</v>
      </c>
      <c r="S4971" t="e">
        <v>#DIV/0!</v>
      </c>
      <c r="T4971" t="s">
        <v>82</v>
      </c>
    </row>
    <row r="4972" spans="15:20" x14ac:dyDescent="0.25">
      <c r="O4972">
        <v>1</v>
      </c>
      <c r="S4972" t="e">
        <v>#DIV/0!</v>
      </c>
      <c r="T4972" t="s">
        <v>82</v>
      </c>
    </row>
    <row r="4973" spans="15:20" x14ac:dyDescent="0.25">
      <c r="O4973">
        <v>1</v>
      </c>
      <c r="S4973" t="e">
        <v>#DIV/0!</v>
      </c>
      <c r="T4973" t="s">
        <v>82</v>
      </c>
    </row>
    <row r="4974" spans="15:20" x14ac:dyDescent="0.25">
      <c r="O4974">
        <v>1</v>
      </c>
      <c r="S4974" t="e">
        <v>#DIV/0!</v>
      </c>
      <c r="T4974" t="s">
        <v>82</v>
      </c>
    </row>
    <row r="4975" spans="15:20" x14ac:dyDescent="0.25">
      <c r="O4975">
        <v>1</v>
      </c>
      <c r="S4975" t="e">
        <v>#DIV/0!</v>
      </c>
      <c r="T4975" t="s">
        <v>82</v>
      </c>
    </row>
    <row r="4976" spans="15:20" x14ac:dyDescent="0.25">
      <c r="O4976">
        <v>1</v>
      </c>
      <c r="S4976" t="e">
        <v>#DIV/0!</v>
      </c>
      <c r="T4976" t="s">
        <v>82</v>
      </c>
    </row>
    <row r="4977" spans="15:20" x14ac:dyDescent="0.25">
      <c r="O4977">
        <v>1</v>
      </c>
      <c r="S4977" t="e">
        <v>#DIV/0!</v>
      </c>
      <c r="T4977" t="s">
        <v>82</v>
      </c>
    </row>
    <row r="4978" spans="15:20" x14ac:dyDescent="0.25">
      <c r="O4978">
        <v>1</v>
      </c>
      <c r="S4978" t="e">
        <v>#DIV/0!</v>
      </c>
      <c r="T4978" t="s">
        <v>82</v>
      </c>
    </row>
    <row r="4979" spans="15:20" x14ac:dyDescent="0.25">
      <c r="O4979">
        <v>1</v>
      </c>
      <c r="S4979" t="e">
        <v>#DIV/0!</v>
      </c>
      <c r="T4979" t="s">
        <v>82</v>
      </c>
    </row>
    <row r="4980" spans="15:20" x14ac:dyDescent="0.25">
      <c r="O4980">
        <v>1</v>
      </c>
      <c r="S4980" t="e">
        <v>#DIV/0!</v>
      </c>
      <c r="T4980" t="s">
        <v>82</v>
      </c>
    </row>
    <row r="4981" spans="15:20" x14ac:dyDescent="0.25">
      <c r="O4981">
        <v>1</v>
      </c>
      <c r="S4981" t="e">
        <v>#DIV/0!</v>
      </c>
      <c r="T4981" t="s">
        <v>82</v>
      </c>
    </row>
    <row r="4982" spans="15:20" x14ac:dyDescent="0.25">
      <c r="O4982">
        <v>1</v>
      </c>
      <c r="S4982" t="e">
        <v>#DIV/0!</v>
      </c>
      <c r="T4982" t="s">
        <v>82</v>
      </c>
    </row>
    <row r="4983" spans="15:20" x14ac:dyDescent="0.25">
      <c r="O4983">
        <v>1</v>
      </c>
      <c r="S4983" t="e">
        <v>#DIV/0!</v>
      </c>
      <c r="T4983" t="s">
        <v>82</v>
      </c>
    </row>
    <row r="4984" spans="15:20" x14ac:dyDescent="0.25">
      <c r="O4984">
        <v>1</v>
      </c>
      <c r="S4984" t="e">
        <v>#DIV/0!</v>
      </c>
      <c r="T4984" t="s">
        <v>82</v>
      </c>
    </row>
    <row r="4985" spans="15:20" x14ac:dyDescent="0.25">
      <c r="O4985">
        <v>1</v>
      </c>
      <c r="S4985" t="e">
        <v>#DIV/0!</v>
      </c>
      <c r="T4985" t="s">
        <v>82</v>
      </c>
    </row>
    <row r="4986" spans="15:20" x14ac:dyDescent="0.25">
      <c r="O4986">
        <v>1</v>
      </c>
      <c r="S4986" t="e">
        <v>#DIV/0!</v>
      </c>
      <c r="T4986" t="s">
        <v>82</v>
      </c>
    </row>
    <row r="4987" spans="15:20" x14ac:dyDescent="0.25">
      <c r="O4987">
        <v>1</v>
      </c>
      <c r="S4987" t="e">
        <v>#DIV/0!</v>
      </c>
      <c r="T4987" t="s">
        <v>82</v>
      </c>
    </row>
    <row r="4988" spans="15:20" x14ac:dyDescent="0.25">
      <c r="O4988">
        <v>1</v>
      </c>
      <c r="S4988" t="e">
        <v>#DIV/0!</v>
      </c>
      <c r="T4988" t="s">
        <v>82</v>
      </c>
    </row>
    <row r="4989" spans="15:20" x14ac:dyDescent="0.25">
      <c r="O4989">
        <v>1</v>
      </c>
      <c r="S4989" t="e">
        <v>#DIV/0!</v>
      </c>
      <c r="T4989" t="s">
        <v>82</v>
      </c>
    </row>
    <row r="4990" spans="15:20" x14ac:dyDescent="0.25">
      <c r="O4990">
        <v>1</v>
      </c>
      <c r="S4990" t="e">
        <v>#DIV/0!</v>
      </c>
      <c r="T4990" t="s">
        <v>82</v>
      </c>
    </row>
    <row r="4991" spans="15:20" x14ac:dyDescent="0.25">
      <c r="O4991">
        <v>1</v>
      </c>
      <c r="S4991" t="e">
        <v>#DIV/0!</v>
      </c>
      <c r="T4991" t="s">
        <v>82</v>
      </c>
    </row>
    <row r="4992" spans="15:20" x14ac:dyDescent="0.25">
      <c r="O4992">
        <v>1</v>
      </c>
      <c r="S4992" t="e">
        <v>#DIV/0!</v>
      </c>
      <c r="T4992" t="s">
        <v>82</v>
      </c>
    </row>
    <row r="4993" spans="15:20" x14ac:dyDescent="0.25">
      <c r="O4993">
        <v>1</v>
      </c>
      <c r="S4993" t="e">
        <v>#DIV/0!</v>
      </c>
      <c r="T4993" t="s">
        <v>82</v>
      </c>
    </row>
    <row r="4994" spans="15:20" x14ac:dyDescent="0.25">
      <c r="O4994">
        <v>1</v>
      </c>
      <c r="S4994" t="e">
        <v>#DIV/0!</v>
      </c>
      <c r="T4994" t="s">
        <v>82</v>
      </c>
    </row>
    <row r="4995" spans="15:20" x14ac:dyDescent="0.25">
      <c r="O4995">
        <v>1</v>
      </c>
      <c r="S4995" t="e">
        <v>#DIV/0!</v>
      </c>
      <c r="T4995" t="s">
        <v>82</v>
      </c>
    </row>
    <row r="4996" spans="15:20" x14ac:dyDescent="0.25">
      <c r="O4996">
        <v>1</v>
      </c>
      <c r="S4996" t="e">
        <v>#DIV/0!</v>
      </c>
      <c r="T4996" t="s">
        <v>82</v>
      </c>
    </row>
    <row r="4997" spans="15:20" x14ac:dyDescent="0.25">
      <c r="O4997">
        <v>1</v>
      </c>
      <c r="S4997" t="e">
        <v>#DIV/0!</v>
      </c>
      <c r="T4997" t="s">
        <v>82</v>
      </c>
    </row>
    <row r="4998" spans="15:20" x14ac:dyDescent="0.25">
      <c r="O4998">
        <v>1</v>
      </c>
      <c r="S4998" t="e">
        <v>#DIV/0!</v>
      </c>
      <c r="T4998" t="s">
        <v>82</v>
      </c>
    </row>
    <row r="4999" spans="15:20" x14ac:dyDescent="0.25">
      <c r="O4999">
        <v>1</v>
      </c>
      <c r="S4999" t="e">
        <v>#DIV/0!</v>
      </c>
      <c r="T4999" t="s">
        <v>82</v>
      </c>
    </row>
    <row r="5000" spans="15:20" x14ac:dyDescent="0.25">
      <c r="O5000">
        <v>1</v>
      </c>
      <c r="S5000" t="e">
        <v>#DIV/0!</v>
      </c>
      <c r="T5000" t="s">
        <v>82</v>
      </c>
    </row>
    <row r="5001" spans="15:20" x14ac:dyDescent="0.25">
      <c r="O5001">
        <v>1</v>
      </c>
      <c r="S5001" t="e">
        <v>#DIV/0!</v>
      </c>
      <c r="T5001" t="s">
        <v>82</v>
      </c>
    </row>
    <row r="5002" spans="15:20" x14ac:dyDescent="0.25">
      <c r="O5002">
        <v>1</v>
      </c>
      <c r="S5002" t="e">
        <v>#DIV/0!</v>
      </c>
      <c r="T5002" t="s">
        <v>82</v>
      </c>
    </row>
    <row r="5003" spans="15:20" x14ac:dyDescent="0.25">
      <c r="O5003">
        <v>1</v>
      </c>
      <c r="S5003" t="e">
        <v>#DIV/0!</v>
      </c>
      <c r="T5003" t="s">
        <v>82</v>
      </c>
    </row>
    <row r="5004" spans="15:20" x14ac:dyDescent="0.25">
      <c r="O5004">
        <v>1</v>
      </c>
      <c r="S5004" t="e">
        <v>#DIV/0!</v>
      </c>
      <c r="T5004" t="s">
        <v>82</v>
      </c>
    </row>
    <row r="5005" spans="15:20" x14ac:dyDescent="0.25">
      <c r="O5005">
        <v>1</v>
      </c>
      <c r="S5005" t="e">
        <v>#DIV/0!</v>
      </c>
      <c r="T5005" t="s">
        <v>82</v>
      </c>
    </row>
    <row r="5006" spans="15:20" x14ac:dyDescent="0.25">
      <c r="O5006">
        <v>1</v>
      </c>
      <c r="S5006" t="e">
        <v>#DIV/0!</v>
      </c>
      <c r="T5006" t="s">
        <v>82</v>
      </c>
    </row>
    <row r="5007" spans="15:20" x14ac:dyDescent="0.25">
      <c r="O5007">
        <v>1</v>
      </c>
      <c r="S5007" t="e">
        <v>#DIV/0!</v>
      </c>
      <c r="T5007" t="s">
        <v>82</v>
      </c>
    </row>
    <row r="5008" spans="15:20" x14ac:dyDescent="0.25">
      <c r="O5008">
        <v>1</v>
      </c>
      <c r="S5008" t="e">
        <v>#DIV/0!</v>
      </c>
      <c r="T5008" t="s">
        <v>82</v>
      </c>
    </row>
    <row r="5009" spans="15:20" x14ac:dyDescent="0.25">
      <c r="O5009">
        <v>1</v>
      </c>
      <c r="S5009" t="e">
        <v>#DIV/0!</v>
      </c>
      <c r="T5009" t="s">
        <v>82</v>
      </c>
    </row>
    <row r="5010" spans="15:20" x14ac:dyDescent="0.25">
      <c r="O5010">
        <v>1</v>
      </c>
      <c r="S5010" t="e">
        <v>#DIV/0!</v>
      </c>
      <c r="T5010" t="s">
        <v>82</v>
      </c>
    </row>
    <row r="5011" spans="15:20" x14ac:dyDescent="0.25">
      <c r="O5011">
        <v>1</v>
      </c>
      <c r="S5011" t="e">
        <v>#DIV/0!</v>
      </c>
      <c r="T5011" t="s">
        <v>82</v>
      </c>
    </row>
    <row r="5012" spans="15:20" x14ac:dyDescent="0.25">
      <c r="O5012">
        <v>1</v>
      </c>
      <c r="S5012" t="e">
        <v>#DIV/0!</v>
      </c>
      <c r="T5012" t="s">
        <v>82</v>
      </c>
    </row>
    <row r="5013" spans="15:20" x14ac:dyDescent="0.25">
      <c r="O5013">
        <v>1</v>
      </c>
      <c r="S5013" t="e">
        <v>#DIV/0!</v>
      </c>
      <c r="T5013" t="s">
        <v>82</v>
      </c>
    </row>
    <row r="5014" spans="15:20" x14ac:dyDescent="0.25">
      <c r="O5014">
        <v>1</v>
      </c>
      <c r="S5014" t="e">
        <v>#DIV/0!</v>
      </c>
      <c r="T5014" t="s">
        <v>82</v>
      </c>
    </row>
    <row r="5015" spans="15:20" x14ac:dyDescent="0.25">
      <c r="O5015">
        <v>1</v>
      </c>
      <c r="S5015" t="e">
        <v>#DIV/0!</v>
      </c>
      <c r="T5015" t="s">
        <v>82</v>
      </c>
    </row>
    <row r="5016" spans="15:20" x14ac:dyDescent="0.25">
      <c r="O5016">
        <v>1</v>
      </c>
      <c r="S5016" t="e">
        <v>#DIV/0!</v>
      </c>
      <c r="T5016" t="s">
        <v>82</v>
      </c>
    </row>
    <row r="5017" spans="15:20" x14ac:dyDescent="0.25">
      <c r="O5017">
        <v>1</v>
      </c>
      <c r="S5017" t="e">
        <v>#DIV/0!</v>
      </c>
      <c r="T5017" t="s">
        <v>82</v>
      </c>
    </row>
    <row r="5018" spans="15:20" x14ac:dyDescent="0.25">
      <c r="O5018">
        <v>1</v>
      </c>
      <c r="S5018" t="e">
        <v>#DIV/0!</v>
      </c>
      <c r="T5018" t="s">
        <v>82</v>
      </c>
    </row>
    <row r="5019" spans="15:20" x14ac:dyDescent="0.25">
      <c r="O5019">
        <v>1</v>
      </c>
      <c r="S5019" t="e">
        <v>#DIV/0!</v>
      </c>
      <c r="T5019" t="s">
        <v>82</v>
      </c>
    </row>
    <row r="5020" spans="15:20" x14ac:dyDescent="0.25">
      <c r="O5020">
        <v>1</v>
      </c>
      <c r="S5020" t="e">
        <v>#DIV/0!</v>
      </c>
      <c r="T5020" t="s">
        <v>82</v>
      </c>
    </row>
    <row r="5021" spans="15:20" x14ac:dyDescent="0.25">
      <c r="O5021">
        <v>1</v>
      </c>
      <c r="S5021" t="e">
        <v>#DIV/0!</v>
      </c>
      <c r="T5021" t="s">
        <v>82</v>
      </c>
    </row>
    <row r="5022" spans="15:20" x14ac:dyDescent="0.25">
      <c r="O5022">
        <v>1</v>
      </c>
      <c r="S5022" t="e">
        <v>#DIV/0!</v>
      </c>
      <c r="T5022" t="s">
        <v>82</v>
      </c>
    </row>
    <row r="5023" spans="15:20" x14ac:dyDescent="0.25">
      <c r="O5023">
        <v>1</v>
      </c>
      <c r="S5023" t="e">
        <v>#DIV/0!</v>
      </c>
      <c r="T5023" t="s">
        <v>82</v>
      </c>
    </row>
    <row r="5024" spans="15:20" x14ac:dyDescent="0.25">
      <c r="O5024">
        <v>1</v>
      </c>
      <c r="S5024" t="e">
        <v>#DIV/0!</v>
      </c>
      <c r="T5024" t="s">
        <v>82</v>
      </c>
    </row>
    <row r="5025" spans="15:20" x14ac:dyDescent="0.25">
      <c r="O5025">
        <v>1</v>
      </c>
      <c r="S5025" t="e">
        <v>#DIV/0!</v>
      </c>
      <c r="T5025" t="s">
        <v>82</v>
      </c>
    </row>
    <row r="5026" spans="15:20" x14ac:dyDescent="0.25">
      <c r="O5026">
        <v>1</v>
      </c>
      <c r="S5026" t="e">
        <v>#DIV/0!</v>
      </c>
      <c r="T5026" t="s">
        <v>82</v>
      </c>
    </row>
    <row r="5027" spans="15:20" x14ac:dyDescent="0.25">
      <c r="O5027">
        <v>1</v>
      </c>
      <c r="S5027" t="e">
        <v>#DIV/0!</v>
      </c>
      <c r="T5027" t="s">
        <v>82</v>
      </c>
    </row>
    <row r="5028" spans="15:20" x14ac:dyDescent="0.25">
      <c r="O5028">
        <v>1</v>
      </c>
      <c r="S5028" t="e">
        <v>#DIV/0!</v>
      </c>
      <c r="T5028" t="s">
        <v>82</v>
      </c>
    </row>
    <row r="5029" spans="15:20" x14ac:dyDescent="0.25">
      <c r="O5029">
        <v>1</v>
      </c>
      <c r="S5029" t="e">
        <v>#DIV/0!</v>
      </c>
      <c r="T5029" t="s">
        <v>82</v>
      </c>
    </row>
    <row r="5030" spans="15:20" x14ac:dyDescent="0.25">
      <c r="O5030">
        <v>1</v>
      </c>
      <c r="S5030" t="e">
        <v>#DIV/0!</v>
      </c>
      <c r="T5030" t="s">
        <v>82</v>
      </c>
    </row>
    <row r="5031" spans="15:20" x14ac:dyDescent="0.25">
      <c r="O5031">
        <v>1</v>
      </c>
      <c r="S5031" t="e">
        <v>#DIV/0!</v>
      </c>
      <c r="T5031" t="s">
        <v>82</v>
      </c>
    </row>
    <row r="5032" spans="15:20" x14ac:dyDescent="0.25">
      <c r="O5032">
        <v>1</v>
      </c>
      <c r="S5032" t="e">
        <v>#DIV/0!</v>
      </c>
      <c r="T5032" t="s">
        <v>82</v>
      </c>
    </row>
    <row r="5033" spans="15:20" x14ac:dyDescent="0.25">
      <c r="O5033">
        <v>1</v>
      </c>
      <c r="S5033" t="e">
        <v>#DIV/0!</v>
      </c>
      <c r="T5033" t="s">
        <v>82</v>
      </c>
    </row>
    <row r="5034" spans="15:20" x14ac:dyDescent="0.25">
      <c r="O5034">
        <v>1</v>
      </c>
      <c r="S5034" t="e">
        <v>#DIV/0!</v>
      </c>
      <c r="T5034" t="s">
        <v>82</v>
      </c>
    </row>
    <row r="5035" spans="15:20" x14ac:dyDescent="0.25">
      <c r="O5035">
        <v>1</v>
      </c>
      <c r="S5035" t="e">
        <v>#DIV/0!</v>
      </c>
      <c r="T5035" t="s">
        <v>82</v>
      </c>
    </row>
    <row r="5036" spans="15:20" x14ac:dyDescent="0.25">
      <c r="O5036">
        <v>1</v>
      </c>
      <c r="S5036" t="e">
        <v>#DIV/0!</v>
      </c>
      <c r="T5036" t="s">
        <v>82</v>
      </c>
    </row>
    <row r="5037" spans="15:20" x14ac:dyDescent="0.25">
      <c r="O5037">
        <v>1</v>
      </c>
      <c r="S5037" t="e">
        <v>#DIV/0!</v>
      </c>
      <c r="T5037" t="s">
        <v>82</v>
      </c>
    </row>
    <row r="5038" spans="15:20" x14ac:dyDescent="0.25">
      <c r="O5038">
        <v>1</v>
      </c>
      <c r="S5038" t="e">
        <v>#DIV/0!</v>
      </c>
      <c r="T5038" t="s">
        <v>82</v>
      </c>
    </row>
    <row r="5039" spans="15:20" x14ac:dyDescent="0.25">
      <c r="O5039">
        <v>1</v>
      </c>
      <c r="S5039" t="e">
        <v>#DIV/0!</v>
      </c>
      <c r="T5039" t="s">
        <v>82</v>
      </c>
    </row>
    <row r="5040" spans="15:20" x14ac:dyDescent="0.25">
      <c r="O5040">
        <v>1</v>
      </c>
      <c r="S5040" t="e">
        <v>#DIV/0!</v>
      </c>
      <c r="T5040" t="s">
        <v>82</v>
      </c>
    </row>
    <row r="5041" spans="15:20" x14ac:dyDescent="0.25">
      <c r="O5041">
        <v>1</v>
      </c>
      <c r="S5041" t="e">
        <v>#DIV/0!</v>
      </c>
      <c r="T5041" t="s">
        <v>82</v>
      </c>
    </row>
    <row r="5042" spans="15:20" x14ac:dyDescent="0.25">
      <c r="O5042">
        <v>1</v>
      </c>
      <c r="S5042" t="e">
        <v>#DIV/0!</v>
      </c>
      <c r="T5042" t="s">
        <v>82</v>
      </c>
    </row>
    <row r="5043" spans="15:20" x14ac:dyDescent="0.25">
      <c r="O5043">
        <v>1</v>
      </c>
      <c r="S5043" t="e">
        <v>#DIV/0!</v>
      </c>
      <c r="T5043" t="s">
        <v>82</v>
      </c>
    </row>
    <row r="5044" spans="15:20" x14ac:dyDescent="0.25">
      <c r="O5044">
        <v>1</v>
      </c>
      <c r="S5044" t="e">
        <v>#DIV/0!</v>
      </c>
      <c r="T5044" t="s">
        <v>82</v>
      </c>
    </row>
    <row r="5045" spans="15:20" x14ac:dyDescent="0.25">
      <c r="O5045">
        <v>1</v>
      </c>
      <c r="S5045" t="e">
        <v>#DIV/0!</v>
      </c>
      <c r="T5045" t="s">
        <v>82</v>
      </c>
    </row>
    <row r="5046" spans="15:20" x14ac:dyDescent="0.25">
      <c r="O5046">
        <v>1</v>
      </c>
      <c r="S5046" t="e">
        <v>#DIV/0!</v>
      </c>
      <c r="T5046" t="s">
        <v>82</v>
      </c>
    </row>
    <row r="5047" spans="15:20" x14ac:dyDescent="0.25">
      <c r="O5047">
        <v>1</v>
      </c>
      <c r="S5047" t="e">
        <v>#DIV/0!</v>
      </c>
      <c r="T5047" t="s">
        <v>82</v>
      </c>
    </row>
    <row r="5048" spans="15:20" x14ac:dyDescent="0.25">
      <c r="O5048">
        <v>1</v>
      </c>
      <c r="S5048" t="e">
        <v>#DIV/0!</v>
      </c>
      <c r="T5048" t="s">
        <v>82</v>
      </c>
    </row>
    <row r="5049" spans="15:20" x14ac:dyDescent="0.25">
      <c r="O5049">
        <v>1</v>
      </c>
      <c r="S5049" t="e">
        <v>#DIV/0!</v>
      </c>
      <c r="T5049" t="s">
        <v>82</v>
      </c>
    </row>
    <row r="5050" spans="15:20" x14ac:dyDescent="0.25">
      <c r="O5050">
        <v>1</v>
      </c>
      <c r="S5050" t="e">
        <v>#DIV/0!</v>
      </c>
      <c r="T5050" t="s">
        <v>82</v>
      </c>
    </row>
    <row r="5051" spans="15:20" x14ac:dyDescent="0.25">
      <c r="O5051">
        <v>1</v>
      </c>
      <c r="S5051" t="e">
        <v>#DIV/0!</v>
      </c>
      <c r="T5051" t="s">
        <v>82</v>
      </c>
    </row>
    <row r="5052" spans="15:20" x14ac:dyDescent="0.25">
      <c r="O5052">
        <v>1</v>
      </c>
      <c r="S5052" t="e">
        <v>#DIV/0!</v>
      </c>
      <c r="T5052" t="s">
        <v>82</v>
      </c>
    </row>
    <row r="5053" spans="15:20" x14ac:dyDescent="0.25">
      <c r="O5053">
        <v>1</v>
      </c>
      <c r="S5053" t="e">
        <v>#DIV/0!</v>
      </c>
      <c r="T5053" t="s">
        <v>82</v>
      </c>
    </row>
    <row r="5054" spans="15:20" x14ac:dyDescent="0.25">
      <c r="O5054">
        <v>1</v>
      </c>
      <c r="S5054" t="e">
        <v>#DIV/0!</v>
      </c>
      <c r="T5054" t="s">
        <v>82</v>
      </c>
    </row>
    <row r="5055" spans="15:20" x14ac:dyDescent="0.25">
      <c r="O5055">
        <v>1</v>
      </c>
      <c r="S5055" t="e">
        <v>#DIV/0!</v>
      </c>
      <c r="T5055" t="s">
        <v>82</v>
      </c>
    </row>
    <row r="5056" spans="15:20" x14ac:dyDescent="0.25">
      <c r="O5056">
        <v>1</v>
      </c>
      <c r="S5056" t="e">
        <v>#DIV/0!</v>
      </c>
      <c r="T5056" t="s">
        <v>82</v>
      </c>
    </row>
    <row r="5057" spans="15:20" x14ac:dyDescent="0.25">
      <c r="O5057">
        <v>1</v>
      </c>
      <c r="S5057" t="e">
        <v>#DIV/0!</v>
      </c>
      <c r="T5057" t="s">
        <v>82</v>
      </c>
    </row>
    <row r="5058" spans="15:20" x14ac:dyDescent="0.25">
      <c r="O5058">
        <v>1</v>
      </c>
      <c r="S5058" t="e">
        <v>#DIV/0!</v>
      </c>
      <c r="T5058" t="s">
        <v>82</v>
      </c>
    </row>
    <row r="5059" spans="15:20" x14ac:dyDescent="0.25">
      <c r="O5059">
        <v>1</v>
      </c>
      <c r="S5059" t="e">
        <v>#DIV/0!</v>
      </c>
      <c r="T5059" t="s">
        <v>82</v>
      </c>
    </row>
    <row r="5060" spans="15:20" x14ac:dyDescent="0.25">
      <c r="O5060">
        <v>1</v>
      </c>
      <c r="S5060" t="e">
        <v>#DIV/0!</v>
      </c>
      <c r="T5060" t="s">
        <v>82</v>
      </c>
    </row>
    <row r="5061" spans="15:20" x14ac:dyDescent="0.25">
      <c r="O5061">
        <v>1</v>
      </c>
      <c r="S5061" t="e">
        <v>#DIV/0!</v>
      </c>
      <c r="T5061" t="s">
        <v>82</v>
      </c>
    </row>
    <row r="5062" spans="15:20" x14ac:dyDescent="0.25">
      <c r="O5062">
        <v>1</v>
      </c>
      <c r="S5062" t="e">
        <v>#DIV/0!</v>
      </c>
      <c r="T5062" t="s">
        <v>82</v>
      </c>
    </row>
    <row r="5063" spans="15:20" x14ac:dyDescent="0.25">
      <c r="O5063">
        <v>1</v>
      </c>
      <c r="S5063" t="e">
        <v>#DIV/0!</v>
      </c>
      <c r="T5063" t="s">
        <v>82</v>
      </c>
    </row>
    <row r="5064" spans="15:20" x14ac:dyDescent="0.25">
      <c r="O5064">
        <v>1</v>
      </c>
      <c r="S5064" t="e">
        <v>#DIV/0!</v>
      </c>
      <c r="T5064" t="s">
        <v>82</v>
      </c>
    </row>
    <row r="5065" spans="15:20" x14ac:dyDescent="0.25">
      <c r="O5065">
        <v>1</v>
      </c>
      <c r="S5065" t="e">
        <v>#DIV/0!</v>
      </c>
      <c r="T5065" t="s">
        <v>82</v>
      </c>
    </row>
    <row r="5066" spans="15:20" x14ac:dyDescent="0.25">
      <c r="O5066">
        <v>1</v>
      </c>
      <c r="S5066" t="e">
        <v>#DIV/0!</v>
      </c>
      <c r="T5066" t="s">
        <v>82</v>
      </c>
    </row>
    <row r="5067" spans="15:20" x14ac:dyDescent="0.25">
      <c r="O5067">
        <v>1</v>
      </c>
      <c r="S5067" t="e">
        <v>#DIV/0!</v>
      </c>
      <c r="T5067" t="s">
        <v>82</v>
      </c>
    </row>
    <row r="5068" spans="15:20" x14ac:dyDescent="0.25">
      <c r="O5068">
        <v>1</v>
      </c>
      <c r="S5068" t="e">
        <v>#DIV/0!</v>
      </c>
      <c r="T5068" t="s">
        <v>82</v>
      </c>
    </row>
    <row r="5069" spans="15:20" x14ac:dyDescent="0.25">
      <c r="O5069">
        <v>1</v>
      </c>
      <c r="S5069" t="e">
        <v>#DIV/0!</v>
      </c>
      <c r="T5069" t="s">
        <v>82</v>
      </c>
    </row>
    <row r="5070" spans="15:20" x14ac:dyDescent="0.25">
      <c r="O5070">
        <v>1</v>
      </c>
      <c r="S5070" t="e">
        <v>#DIV/0!</v>
      </c>
      <c r="T5070" t="s">
        <v>82</v>
      </c>
    </row>
    <row r="5071" spans="15:20" x14ac:dyDescent="0.25">
      <c r="O5071">
        <v>1</v>
      </c>
      <c r="S5071" t="e">
        <v>#DIV/0!</v>
      </c>
      <c r="T5071" t="s">
        <v>82</v>
      </c>
    </row>
    <row r="5072" spans="15:20" x14ac:dyDescent="0.25">
      <c r="O5072">
        <v>1</v>
      </c>
      <c r="S5072" t="e">
        <v>#DIV/0!</v>
      </c>
      <c r="T5072" t="s">
        <v>82</v>
      </c>
    </row>
    <row r="5073" spans="15:20" x14ac:dyDescent="0.25">
      <c r="O5073">
        <v>1</v>
      </c>
      <c r="S5073" t="e">
        <v>#DIV/0!</v>
      </c>
      <c r="T5073" t="s">
        <v>82</v>
      </c>
    </row>
    <row r="5074" spans="15:20" x14ac:dyDescent="0.25">
      <c r="O5074">
        <v>1</v>
      </c>
      <c r="S5074" t="e">
        <v>#DIV/0!</v>
      </c>
      <c r="T5074" t="s">
        <v>82</v>
      </c>
    </row>
    <row r="5075" spans="15:20" x14ac:dyDescent="0.25">
      <c r="O5075">
        <v>1</v>
      </c>
      <c r="S5075" t="e">
        <v>#DIV/0!</v>
      </c>
      <c r="T5075" t="s">
        <v>82</v>
      </c>
    </row>
    <row r="5076" spans="15:20" x14ac:dyDescent="0.25">
      <c r="O5076">
        <v>1</v>
      </c>
      <c r="S5076" t="e">
        <v>#DIV/0!</v>
      </c>
      <c r="T5076" t="s">
        <v>82</v>
      </c>
    </row>
    <row r="5077" spans="15:20" x14ac:dyDescent="0.25">
      <c r="O5077">
        <v>1</v>
      </c>
      <c r="S5077" t="e">
        <v>#DIV/0!</v>
      </c>
      <c r="T5077" t="s">
        <v>82</v>
      </c>
    </row>
    <row r="5078" spans="15:20" x14ac:dyDescent="0.25">
      <c r="O5078">
        <v>1</v>
      </c>
      <c r="S5078" t="e">
        <v>#DIV/0!</v>
      </c>
      <c r="T5078" t="s">
        <v>82</v>
      </c>
    </row>
    <row r="5079" spans="15:20" x14ac:dyDescent="0.25">
      <c r="O5079">
        <v>1</v>
      </c>
      <c r="S5079" t="e">
        <v>#DIV/0!</v>
      </c>
      <c r="T5079" t="s">
        <v>82</v>
      </c>
    </row>
    <row r="5080" spans="15:20" x14ac:dyDescent="0.25">
      <c r="O5080">
        <v>1</v>
      </c>
      <c r="S5080" t="e">
        <v>#DIV/0!</v>
      </c>
      <c r="T5080" t="s">
        <v>82</v>
      </c>
    </row>
    <row r="5081" spans="15:20" x14ac:dyDescent="0.25">
      <c r="O5081">
        <v>1</v>
      </c>
      <c r="S5081" t="e">
        <v>#DIV/0!</v>
      </c>
      <c r="T5081" t="s">
        <v>82</v>
      </c>
    </row>
    <row r="5082" spans="15:20" x14ac:dyDescent="0.25">
      <c r="O5082">
        <v>1</v>
      </c>
      <c r="S5082" t="e">
        <v>#DIV/0!</v>
      </c>
      <c r="T5082" t="s">
        <v>82</v>
      </c>
    </row>
    <row r="5083" spans="15:20" x14ac:dyDescent="0.25">
      <c r="O5083">
        <v>1</v>
      </c>
      <c r="S5083" t="e">
        <v>#DIV/0!</v>
      </c>
      <c r="T5083" t="s">
        <v>82</v>
      </c>
    </row>
    <row r="5084" spans="15:20" x14ac:dyDescent="0.25">
      <c r="O5084">
        <v>1</v>
      </c>
      <c r="S5084" t="e">
        <v>#DIV/0!</v>
      </c>
      <c r="T5084" t="s">
        <v>82</v>
      </c>
    </row>
    <row r="5085" spans="15:20" x14ac:dyDescent="0.25">
      <c r="O5085">
        <v>1</v>
      </c>
      <c r="S5085" t="e">
        <v>#DIV/0!</v>
      </c>
      <c r="T5085" t="s">
        <v>82</v>
      </c>
    </row>
    <row r="5086" spans="15:20" x14ac:dyDescent="0.25">
      <c r="O5086">
        <v>1</v>
      </c>
      <c r="S5086" t="e">
        <v>#DIV/0!</v>
      </c>
      <c r="T5086" t="s">
        <v>82</v>
      </c>
    </row>
    <row r="5087" spans="15:20" x14ac:dyDescent="0.25">
      <c r="O5087">
        <v>1</v>
      </c>
      <c r="S5087" t="e">
        <v>#DIV/0!</v>
      </c>
      <c r="T5087" t="s">
        <v>82</v>
      </c>
    </row>
    <row r="5088" spans="15:20" x14ac:dyDescent="0.25">
      <c r="O5088">
        <v>1</v>
      </c>
      <c r="S5088" t="e">
        <v>#DIV/0!</v>
      </c>
      <c r="T5088" t="s">
        <v>82</v>
      </c>
    </row>
    <row r="5089" spans="15:20" x14ac:dyDescent="0.25">
      <c r="O5089">
        <v>1</v>
      </c>
      <c r="S5089" t="e">
        <v>#DIV/0!</v>
      </c>
      <c r="T5089" t="s">
        <v>82</v>
      </c>
    </row>
    <row r="5090" spans="15:20" x14ac:dyDescent="0.25">
      <c r="O5090">
        <v>1</v>
      </c>
      <c r="S5090" t="e">
        <v>#DIV/0!</v>
      </c>
      <c r="T5090" t="s">
        <v>82</v>
      </c>
    </row>
    <row r="5091" spans="15:20" x14ac:dyDescent="0.25">
      <c r="O5091">
        <v>1</v>
      </c>
      <c r="S5091" t="e">
        <v>#DIV/0!</v>
      </c>
      <c r="T5091" t="s">
        <v>82</v>
      </c>
    </row>
    <row r="5092" spans="15:20" x14ac:dyDescent="0.25">
      <c r="O5092">
        <v>1</v>
      </c>
      <c r="S5092" t="e">
        <v>#DIV/0!</v>
      </c>
      <c r="T5092" t="s">
        <v>82</v>
      </c>
    </row>
    <row r="5093" spans="15:20" x14ac:dyDescent="0.25">
      <c r="O5093">
        <v>1</v>
      </c>
      <c r="S5093" t="e">
        <v>#DIV/0!</v>
      </c>
      <c r="T5093" t="s">
        <v>82</v>
      </c>
    </row>
    <row r="5094" spans="15:20" x14ac:dyDescent="0.25">
      <c r="O5094">
        <v>1</v>
      </c>
      <c r="S5094" t="e">
        <v>#DIV/0!</v>
      </c>
      <c r="T5094" t="s">
        <v>82</v>
      </c>
    </row>
    <row r="5095" spans="15:20" x14ac:dyDescent="0.25">
      <c r="O5095">
        <v>1</v>
      </c>
      <c r="S5095" t="e">
        <v>#DIV/0!</v>
      </c>
      <c r="T5095" t="s">
        <v>82</v>
      </c>
    </row>
    <row r="5096" spans="15:20" x14ac:dyDescent="0.25">
      <c r="O5096">
        <v>1</v>
      </c>
      <c r="S5096" t="e">
        <v>#DIV/0!</v>
      </c>
      <c r="T5096" t="s">
        <v>82</v>
      </c>
    </row>
    <row r="5097" spans="15:20" x14ac:dyDescent="0.25">
      <c r="O5097">
        <v>1</v>
      </c>
      <c r="S5097" t="e">
        <v>#DIV/0!</v>
      </c>
      <c r="T5097" t="s">
        <v>82</v>
      </c>
    </row>
    <row r="5098" spans="15:20" x14ac:dyDescent="0.25">
      <c r="O5098">
        <v>1</v>
      </c>
      <c r="S5098" t="e">
        <v>#DIV/0!</v>
      </c>
      <c r="T5098" t="s">
        <v>82</v>
      </c>
    </row>
    <row r="5099" spans="15:20" x14ac:dyDescent="0.25">
      <c r="O5099">
        <v>1</v>
      </c>
      <c r="S5099" t="e">
        <v>#DIV/0!</v>
      </c>
      <c r="T5099" t="s">
        <v>82</v>
      </c>
    </row>
    <row r="5100" spans="15:20" x14ac:dyDescent="0.25">
      <c r="O5100">
        <v>1</v>
      </c>
      <c r="S5100" t="e">
        <v>#DIV/0!</v>
      </c>
      <c r="T5100" t="s">
        <v>82</v>
      </c>
    </row>
    <row r="5101" spans="15:20" x14ac:dyDescent="0.25">
      <c r="O5101">
        <v>1</v>
      </c>
      <c r="S5101" t="e">
        <v>#DIV/0!</v>
      </c>
      <c r="T5101" t="s">
        <v>82</v>
      </c>
    </row>
    <row r="5102" spans="15:20" x14ac:dyDescent="0.25">
      <c r="O5102">
        <v>1</v>
      </c>
      <c r="S5102" t="e">
        <v>#DIV/0!</v>
      </c>
      <c r="T5102" t="s">
        <v>82</v>
      </c>
    </row>
    <row r="5103" spans="15:20" x14ac:dyDescent="0.25">
      <c r="O5103">
        <v>1</v>
      </c>
      <c r="S5103" t="e">
        <v>#DIV/0!</v>
      </c>
      <c r="T5103" t="s">
        <v>82</v>
      </c>
    </row>
    <row r="5104" spans="15:20" x14ac:dyDescent="0.25">
      <c r="O5104">
        <v>1</v>
      </c>
      <c r="S5104" t="e">
        <v>#DIV/0!</v>
      </c>
      <c r="T5104" t="s">
        <v>82</v>
      </c>
    </row>
    <row r="5105" spans="15:20" x14ac:dyDescent="0.25">
      <c r="O5105">
        <v>1</v>
      </c>
      <c r="S5105" t="e">
        <v>#DIV/0!</v>
      </c>
      <c r="T5105" t="s">
        <v>82</v>
      </c>
    </row>
    <row r="5106" spans="15:20" x14ac:dyDescent="0.25">
      <c r="O5106">
        <v>1</v>
      </c>
      <c r="S5106" t="e">
        <v>#DIV/0!</v>
      </c>
      <c r="T5106" t="s">
        <v>82</v>
      </c>
    </row>
    <row r="5107" spans="15:20" x14ac:dyDescent="0.25">
      <c r="O5107">
        <v>1</v>
      </c>
      <c r="S5107" t="e">
        <v>#DIV/0!</v>
      </c>
      <c r="T5107" t="s">
        <v>82</v>
      </c>
    </row>
    <row r="5108" spans="15:20" x14ac:dyDescent="0.25">
      <c r="O5108">
        <v>1</v>
      </c>
      <c r="S5108" t="e">
        <v>#DIV/0!</v>
      </c>
      <c r="T5108" t="s">
        <v>82</v>
      </c>
    </row>
    <row r="5109" spans="15:20" x14ac:dyDescent="0.25">
      <c r="O5109">
        <v>1</v>
      </c>
      <c r="S5109" t="e">
        <v>#DIV/0!</v>
      </c>
      <c r="T5109" t="s">
        <v>82</v>
      </c>
    </row>
    <row r="5110" spans="15:20" x14ac:dyDescent="0.25">
      <c r="O5110">
        <v>1</v>
      </c>
      <c r="S5110" t="e">
        <v>#DIV/0!</v>
      </c>
      <c r="T5110" t="s">
        <v>82</v>
      </c>
    </row>
    <row r="5111" spans="15:20" x14ac:dyDescent="0.25">
      <c r="O5111">
        <v>1</v>
      </c>
      <c r="S5111" t="e">
        <v>#DIV/0!</v>
      </c>
      <c r="T5111" t="s">
        <v>82</v>
      </c>
    </row>
    <row r="5112" spans="15:20" x14ac:dyDescent="0.25">
      <c r="O5112">
        <v>1</v>
      </c>
      <c r="S5112" t="e">
        <v>#DIV/0!</v>
      </c>
      <c r="T5112" t="s">
        <v>82</v>
      </c>
    </row>
    <row r="5113" spans="15:20" x14ac:dyDescent="0.25">
      <c r="O5113">
        <v>1</v>
      </c>
      <c r="S5113" t="e">
        <v>#DIV/0!</v>
      </c>
      <c r="T5113" t="s">
        <v>82</v>
      </c>
    </row>
    <row r="5114" spans="15:20" x14ac:dyDescent="0.25">
      <c r="O5114">
        <v>1</v>
      </c>
      <c r="S5114" t="e">
        <v>#DIV/0!</v>
      </c>
      <c r="T5114" t="s">
        <v>82</v>
      </c>
    </row>
    <row r="5115" spans="15:20" x14ac:dyDescent="0.25">
      <c r="O5115">
        <v>1</v>
      </c>
      <c r="S5115" t="e">
        <v>#DIV/0!</v>
      </c>
      <c r="T5115" t="s">
        <v>82</v>
      </c>
    </row>
    <row r="5116" spans="15:20" x14ac:dyDescent="0.25">
      <c r="O5116">
        <v>1</v>
      </c>
      <c r="S5116" t="e">
        <v>#DIV/0!</v>
      </c>
      <c r="T5116" t="s">
        <v>82</v>
      </c>
    </row>
    <row r="5117" spans="15:20" x14ac:dyDescent="0.25">
      <c r="O5117">
        <v>1</v>
      </c>
      <c r="S5117" t="e">
        <v>#DIV/0!</v>
      </c>
      <c r="T5117" t="s">
        <v>82</v>
      </c>
    </row>
    <row r="5118" spans="15:20" x14ac:dyDescent="0.25">
      <c r="O5118">
        <v>1</v>
      </c>
      <c r="S5118" t="e">
        <v>#DIV/0!</v>
      </c>
      <c r="T5118" t="s">
        <v>82</v>
      </c>
    </row>
    <row r="5119" spans="15:20" x14ac:dyDescent="0.25">
      <c r="O5119">
        <v>1</v>
      </c>
      <c r="S5119" t="e">
        <v>#DIV/0!</v>
      </c>
      <c r="T5119" t="s">
        <v>82</v>
      </c>
    </row>
    <row r="5120" spans="15:20" x14ac:dyDescent="0.25">
      <c r="O5120">
        <v>1</v>
      </c>
      <c r="S5120" t="e">
        <v>#DIV/0!</v>
      </c>
      <c r="T5120" t="s">
        <v>82</v>
      </c>
    </row>
    <row r="5121" spans="15:20" x14ac:dyDescent="0.25">
      <c r="O5121">
        <v>1</v>
      </c>
      <c r="S5121" t="e">
        <v>#DIV/0!</v>
      </c>
      <c r="T5121" t="s">
        <v>82</v>
      </c>
    </row>
    <row r="5122" spans="15:20" x14ac:dyDescent="0.25">
      <c r="O5122">
        <v>1</v>
      </c>
      <c r="S5122" t="e">
        <v>#DIV/0!</v>
      </c>
      <c r="T5122" t="s">
        <v>82</v>
      </c>
    </row>
    <row r="5123" spans="15:20" x14ac:dyDescent="0.25">
      <c r="O5123">
        <v>1</v>
      </c>
      <c r="S5123" t="e">
        <v>#DIV/0!</v>
      </c>
      <c r="T5123" t="s">
        <v>82</v>
      </c>
    </row>
    <row r="5124" spans="15:20" x14ac:dyDescent="0.25">
      <c r="O5124">
        <v>1</v>
      </c>
      <c r="S5124" t="e">
        <v>#DIV/0!</v>
      </c>
      <c r="T5124" t="s">
        <v>82</v>
      </c>
    </row>
    <row r="5125" spans="15:20" x14ac:dyDescent="0.25">
      <c r="O5125">
        <v>1</v>
      </c>
      <c r="S5125" t="e">
        <v>#DIV/0!</v>
      </c>
      <c r="T5125" t="s">
        <v>82</v>
      </c>
    </row>
    <row r="5126" spans="15:20" x14ac:dyDescent="0.25">
      <c r="O5126">
        <v>1</v>
      </c>
      <c r="S5126" t="e">
        <v>#DIV/0!</v>
      </c>
      <c r="T5126" t="s">
        <v>82</v>
      </c>
    </row>
    <row r="5127" spans="15:20" x14ac:dyDescent="0.25">
      <c r="O5127">
        <v>1</v>
      </c>
      <c r="S5127" t="e">
        <v>#DIV/0!</v>
      </c>
      <c r="T5127" t="s">
        <v>82</v>
      </c>
    </row>
    <row r="5128" spans="15:20" x14ac:dyDescent="0.25">
      <c r="O5128">
        <v>1</v>
      </c>
      <c r="S5128" t="e">
        <v>#DIV/0!</v>
      </c>
      <c r="T5128" t="s">
        <v>82</v>
      </c>
    </row>
    <row r="5129" spans="15:20" x14ac:dyDescent="0.25">
      <c r="O5129">
        <v>1</v>
      </c>
      <c r="S5129" t="e">
        <v>#DIV/0!</v>
      </c>
      <c r="T5129" t="s">
        <v>82</v>
      </c>
    </row>
    <row r="5130" spans="15:20" x14ac:dyDescent="0.25">
      <c r="O5130">
        <v>1</v>
      </c>
      <c r="S5130" t="e">
        <v>#DIV/0!</v>
      </c>
      <c r="T5130" t="s">
        <v>82</v>
      </c>
    </row>
    <row r="5131" spans="15:20" x14ac:dyDescent="0.25">
      <c r="O5131">
        <v>1</v>
      </c>
      <c r="S5131" t="e">
        <v>#DIV/0!</v>
      </c>
      <c r="T5131" t="s">
        <v>82</v>
      </c>
    </row>
    <row r="5132" spans="15:20" x14ac:dyDescent="0.25">
      <c r="O5132">
        <v>1</v>
      </c>
      <c r="S5132" t="e">
        <v>#DIV/0!</v>
      </c>
      <c r="T5132" t="s">
        <v>82</v>
      </c>
    </row>
    <row r="5133" spans="15:20" x14ac:dyDescent="0.25">
      <c r="O5133">
        <v>1</v>
      </c>
      <c r="S5133" t="e">
        <v>#DIV/0!</v>
      </c>
      <c r="T5133" t="s">
        <v>82</v>
      </c>
    </row>
    <row r="5134" spans="15:20" x14ac:dyDescent="0.25">
      <c r="O5134">
        <v>1</v>
      </c>
      <c r="S5134" t="e">
        <v>#DIV/0!</v>
      </c>
      <c r="T5134" t="s">
        <v>82</v>
      </c>
    </row>
    <row r="5135" spans="15:20" x14ac:dyDescent="0.25">
      <c r="O5135">
        <v>1</v>
      </c>
      <c r="S5135" t="e">
        <v>#DIV/0!</v>
      </c>
      <c r="T5135" t="s">
        <v>82</v>
      </c>
    </row>
    <row r="5136" spans="15:20" x14ac:dyDescent="0.25">
      <c r="O5136">
        <v>1</v>
      </c>
      <c r="S5136" t="e">
        <v>#DIV/0!</v>
      </c>
      <c r="T5136" t="s">
        <v>82</v>
      </c>
    </row>
    <row r="5137" spans="15:20" x14ac:dyDescent="0.25">
      <c r="O5137">
        <v>1</v>
      </c>
      <c r="S5137" t="e">
        <v>#DIV/0!</v>
      </c>
      <c r="T5137" t="s">
        <v>82</v>
      </c>
    </row>
    <row r="5138" spans="15:20" x14ac:dyDescent="0.25">
      <c r="O5138">
        <v>1</v>
      </c>
      <c r="S5138" t="e">
        <v>#DIV/0!</v>
      </c>
      <c r="T5138" t="s">
        <v>82</v>
      </c>
    </row>
    <row r="5139" spans="15:20" x14ac:dyDescent="0.25">
      <c r="O5139">
        <v>1</v>
      </c>
      <c r="S5139" t="e">
        <v>#DIV/0!</v>
      </c>
      <c r="T5139" t="s">
        <v>82</v>
      </c>
    </row>
    <row r="5140" spans="15:20" x14ac:dyDescent="0.25">
      <c r="O5140">
        <v>1</v>
      </c>
      <c r="S5140" t="e">
        <v>#DIV/0!</v>
      </c>
      <c r="T5140" t="s">
        <v>82</v>
      </c>
    </row>
    <row r="5141" spans="15:20" x14ac:dyDescent="0.25">
      <c r="O5141">
        <v>1</v>
      </c>
      <c r="S5141" t="e">
        <v>#DIV/0!</v>
      </c>
      <c r="T5141" t="s">
        <v>82</v>
      </c>
    </row>
    <row r="5142" spans="15:20" x14ac:dyDescent="0.25">
      <c r="O5142">
        <v>1</v>
      </c>
      <c r="S5142" t="e">
        <v>#DIV/0!</v>
      </c>
      <c r="T5142" t="s">
        <v>82</v>
      </c>
    </row>
    <row r="5143" spans="15:20" x14ac:dyDescent="0.25">
      <c r="O5143">
        <v>1</v>
      </c>
      <c r="S5143" t="e">
        <v>#DIV/0!</v>
      </c>
      <c r="T5143" t="s">
        <v>82</v>
      </c>
    </row>
    <row r="5144" spans="15:20" x14ac:dyDescent="0.25">
      <c r="O5144">
        <v>1</v>
      </c>
      <c r="S5144" t="e">
        <v>#DIV/0!</v>
      </c>
      <c r="T5144" t="s">
        <v>82</v>
      </c>
    </row>
    <row r="5145" spans="15:20" x14ac:dyDescent="0.25">
      <c r="O5145">
        <v>1</v>
      </c>
      <c r="S5145" t="e">
        <v>#DIV/0!</v>
      </c>
      <c r="T5145" t="s">
        <v>82</v>
      </c>
    </row>
    <row r="5146" spans="15:20" x14ac:dyDescent="0.25">
      <c r="O5146">
        <v>1</v>
      </c>
      <c r="S5146" t="e">
        <v>#DIV/0!</v>
      </c>
      <c r="T5146" t="s">
        <v>82</v>
      </c>
    </row>
    <row r="5147" spans="15:20" x14ac:dyDescent="0.25">
      <c r="O5147">
        <v>1</v>
      </c>
      <c r="S5147" t="e">
        <v>#DIV/0!</v>
      </c>
      <c r="T5147" t="s">
        <v>82</v>
      </c>
    </row>
    <row r="5148" spans="15:20" x14ac:dyDescent="0.25">
      <c r="O5148">
        <v>1</v>
      </c>
      <c r="S5148" t="e">
        <v>#DIV/0!</v>
      </c>
      <c r="T5148" t="s">
        <v>82</v>
      </c>
    </row>
    <row r="5149" spans="15:20" x14ac:dyDescent="0.25">
      <c r="O5149">
        <v>1</v>
      </c>
      <c r="S5149" t="e">
        <v>#DIV/0!</v>
      </c>
      <c r="T5149" t="s">
        <v>82</v>
      </c>
    </row>
    <row r="5150" spans="15:20" x14ac:dyDescent="0.25">
      <c r="O5150">
        <v>1</v>
      </c>
      <c r="S5150" t="e">
        <v>#DIV/0!</v>
      </c>
      <c r="T5150" t="s">
        <v>82</v>
      </c>
    </row>
    <row r="5151" spans="15:20" x14ac:dyDescent="0.25">
      <c r="O5151">
        <v>1</v>
      </c>
      <c r="S5151" t="e">
        <v>#DIV/0!</v>
      </c>
      <c r="T5151" t="s">
        <v>82</v>
      </c>
    </row>
    <row r="5152" spans="15:20" x14ac:dyDescent="0.25">
      <c r="O5152">
        <v>1</v>
      </c>
      <c r="S5152" t="e">
        <v>#DIV/0!</v>
      </c>
      <c r="T5152" t="s">
        <v>82</v>
      </c>
    </row>
    <row r="5153" spans="15:20" x14ac:dyDescent="0.25">
      <c r="O5153">
        <v>1</v>
      </c>
      <c r="S5153" t="e">
        <v>#DIV/0!</v>
      </c>
      <c r="T5153" t="s">
        <v>82</v>
      </c>
    </row>
    <row r="5154" spans="15:20" x14ac:dyDescent="0.25">
      <c r="O5154">
        <v>1</v>
      </c>
      <c r="S5154" t="e">
        <v>#DIV/0!</v>
      </c>
      <c r="T5154" t="s">
        <v>82</v>
      </c>
    </row>
    <row r="5155" spans="15:20" x14ac:dyDescent="0.25">
      <c r="O5155">
        <v>1</v>
      </c>
      <c r="S5155" t="e">
        <v>#DIV/0!</v>
      </c>
      <c r="T5155" t="s">
        <v>82</v>
      </c>
    </row>
    <row r="5156" spans="15:20" x14ac:dyDescent="0.25">
      <c r="O5156">
        <v>1</v>
      </c>
      <c r="S5156" t="e">
        <v>#DIV/0!</v>
      </c>
      <c r="T5156" t="s">
        <v>82</v>
      </c>
    </row>
    <row r="5157" spans="15:20" x14ac:dyDescent="0.25">
      <c r="O5157">
        <v>1</v>
      </c>
      <c r="S5157" t="e">
        <v>#DIV/0!</v>
      </c>
      <c r="T5157" t="s">
        <v>82</v>
      </c>
    </row>
    <row r="5158" spans="15:20" x14ac:dyDescent="0.25">
      <c r="O5158">
        <v>1</v>
      </c>
      <c r="S5158" t="e">
        <v>#DIV/0!</v>
      </c>
      <c r="T5158" t="s">
        <v>82</v>
      </c>
    </row>
    <row r="5159" spans="15:20" x14ac:dyDescent="0.25">
      <c r="O5159">
        <v>1</v>
      </c>
      <c r="S5159" t="e">
        <v>#DIV/0!</v>
      </c>
      <c r="T5159" t="s">
        <v>82</v>
      </c>
    </row>
    <row r="5160" spans="15:20" x14ac:dyDescent="0.25">
      <c r="O5160">
        <v>1</v>
      </c>
      <c r="S5160" t="e">
        <v>#DIV/0!</v>
      </c>
      <c r="T5160" t="s">
        <v>82</v>
      </c>
    </row>
    <row r="5161" spans="15:20" x14ac:dyDescent="0.25">
      <c r="O5161">
        <v>1</v>
      </c>
      <c r="S5161" t="e">
        <v>#DIV/0!</v>
      </c>
      <c r="T5161" t="s">
        <v>82</v>
      </c>
    </row>
    <row r="5162" spans="15:20" x14ac:dyDescent="0.25">
      <c r="O5162">
        <v>1</v>
      </c>
      <c r="S5162" t="e">
        <v>#DIV/0!</v>
      </c>
      <c r="T5162" t="s">
        <v>82</v>
      </c>
    </row>
    <row r="5163" spans="15:20" x14ac:dyDescent="0.25">
      <c r="O5163">
        <v>1</v>
      </c>
      <c r="S5163" t="e">
        <v>#DIV/0!</v>
      </c>
      <c r="T5163" t="s">
        <v>82</v>
      </c>
    </row>
    <row r="5164" spans="15:20" x14ac:dyDescent="0.25">
      <c r="O5164">
        <v>1</v>
      </c>
      <c r="S5164" t="e">
        <v>#DIV/0!</v>
      </c>
      <c r="T5164" t="s">
        <v>82</v>
      </c>
    </row>
    <row r="5165" spans="15:20" x14ac:dyDescent="0.25">
      <c r="O5165">
        <v>1</v>
      </c>
      <c r="S5165" t="e">
        <v>#DIV/0!</v>
      </c>
      <c r="T5165" t="s">
        <v>82</v>
      </c>
    </row>
    <row r="5166" spans="15:20" x14ac:dyDescent="0.25">
      <c r="O5166">
        <v>1</v>
      </c>
      <c r="S5166" t="e">
        <v>#DIV/0!</v>
      </c>
      <c r="T5166" t="s">
        <v>82</v>
      </c>
    </row>
    <row r="5167" spans="15:20" x14ac:dyDescent="0.25">
      <c r="O5167">
        <v>1</v>
      </c>
      <c r="S5167" t="e">
        <v>#DIV/0!</v>
      </c>
      <c r="T5167" t="s">
        <v>82</v>
      </c>
    </row>
    <row r="5168" spans="15:20" x14ac:dyDescent="0.25">
      <c r="O5168">
        <v>1</v>
      </c>
      <c r="S5168" t="e">
        <v>#DIV/0!</v>
      </c>
      <c r="T5168" t="s">
        <v>82</v>
      </c>
    </row>
    <row r="5169" spans="15:20" x14ac:dyDescent="0.25">
      <c r="O5169">
        <v>1</v>
      </c>
      <c r="S5169" t="e">
        <v>#DIV/0!</v>
      </c>
      <c r="T5169" t="s">
        <v>82</v>
      </c>
    </row>
    <row r="5170" spans="15:20" x14ac:dyDescent="0.25">
      <c r="O5170">
        <v>1</v>
      </c>
      <c r="S5170" t="e">
        <v>#DIV/0!</v>
      </c>
      <c r="T5170" t="s">
        <v>82</v>
      </c>
    </row>
    <row r="5171" spans="15:20" x14ac:dyDescent="0.25">
      <c r="O5171">
        <v>1</v>
      </c>
      <c r="S5171" t="e">
        <v>#DIV/0!</v>
      </c>
      <c r="T5171" t="s">
        <v>82</v>
      </c>
    </row>
    <row r="5172" spans="15:20" x14ac:dyDescent="0.25">
      <c r="O5172">
        <v>1</v>
      </c>
      <c r="S5172" t="e">
        <v>#DIV/0!</v>
      </c>
      <c r="T5172" t="s">
        <v>82</v>
      </c>
    </row>
    <row r="5173" spans="15:20" x14ac:dyDescent="0.25">
      <c r="O5173">
        <v>1</v>
      </c>
      <c r="S5173" t="e">
        <v>#DIV/0!</v>
      </c>
      <c r="T5173" t="s">
        <v>82</v>
      </c>
    </row>
    <row r="5174" spans="15:20" x14ac:dyDescent="0.25">
      <c r="O5174">
        <v>1</v>
      </c>
      <c r="S5174" t="e">
        <v>#DIV/0!</v>
      </c>
      <c r="T5174" t="s">
        <v>82</v>
      </c>
    </row>
    <row r="5175" spans="15:20" x14ac:dyDescent="0.25">
      <c r="O5175">
        <v>1</v>
      </c>
      <c r="S5175" t="e">
        <v>#DIV/0!</v>
      </c>
      <c r="T5175" t="s">
        <v>82</v>
      </c>
    </row>
    <row r="5176" spans="15:20" x14ac:dyDescent="0.25">
      <c r="O5176">
        <v>1</v>
      </c>
      <c r="S5176" t="e">
        <v>#DIV/0!</v>
      </c>
      <c r="T5176" t="s">
        <v>82</v>
      </c>
    </row>
    <row r="5177" spans="15:20" x14ac:dyDescent="0.25">
      <c r="O5177">
        <v>1</v>
      </c>
      <c r="S5177" t="e">
        <v>#DIV/0!</v>
      </c>
      <c r="T5177" t="s">
        <v>82</v>
      </c>
    </row>
    <row r="5178" spans="15:20" x14ac:dyDescent="0.25">
      <c r="O5178">
        <v>1</v>
      </c>
      <c r="S5178" t="e">
        <v>#DIV/0!</v>
      </c>
      <c r="T5178" t="s">
        <v>82</v>
      </c>
    </row>
    <row r="5179" spans="15:20" x14ac:dyDescent="0.25">
      <c r="O5179">
        <v>1</v>
      </c>
      <c r="S5179" t="e">
        <v>#DIV/0!</v>
      </c>
      <c r="T5179" t="s">
        <v>82</v>
      </c>
    </row>
    <row r="5180" spans="15:20" x14ac:dyDescent="0.25">
      <c r="O5180">
        <v>1</v>
      </c>
      <c r="S5180" t="e">
        <v>#DIV/0!</v>
      </c>
      <c r="T5180" t="s">
        <v>82</v>
      </c>
    </row>
    <row r="5181" spans="15:20" x14ac:dyDescent="0.25">
      <c r="O5181">
        <v>1</v>
      </c>
      <c r="S5181" t="e">
        <v>#DIV/0!</v>
      </c>
      <c r="T5181" t="s">
        <v>82</v>
      </c>
    </row>
    <row r="5182" spans="15:20" x14ac:dyDescent="0.25">
      <c r="O5182">
        <v>1</v>
      </c>
      <c r="S5182" t="e">
        <v>#DIV/0!</v>
      </c>
      <c r="T5182" t="s">
        <v>82</v>
      </c>
    </row>
    <row r="5183" spans="15:20" x14ac:dyDescent="0.25">
      <c r="O5183">
        <v>1</v>
      </c>
      <c r="S5183" t="e">
        <v>#DIV/0!</v>
      </c>
      <c r="T5183" t="s">
        <v>82</v>
      </c>
    </row>
    <row r="5184" spans="15:20" x14ac:dyDescent="0.25">
      <c r="O5184">
        <v>1</v>
      </c>
      <c r="S5184" t="e">
        <v>#DIV/0!</v>
      </c>
      <c r="T5184" t="s">
        <v>82</v>
      </c>
    </row>
    <row r="5185" spans="15:20" x14ac:dyDescent="0.25">
      <c r="O5185">
        <v>1</v>
      </c>
      <c r="S5185" t="e">
        <v>#DIV/0!</v>
      </c>
      <c r="T5185" t="s">
        <v>82</v>
      </c>
    </row>
    <row r="5186" spans="15:20" x14ac:dyDescent="0.25">
      <c r="O5186">
        <v>1</v>
      </c>
      <c r="S5186" t="e">
        <v>#DIV/0!</v>
      </c>
      <c r="T5186" t="s">
        <v>82</v>
      </c>
    </row>
    <row r="5187" spans="15:20" x14ac:dyDescent="0.25">
      <c r="O5187">
        <v>1</v>
      </c>
      <c r="S5187" t="e">
        <v>#DIV/0!</v>
      </c>
      <c r="T5187" t="s">
        <v>82</v>
      </c>
    </row>
    <row r="5188" spans="15:20" x14ac:dyDescent="0.25">
      <c r="O5188">
        <v>1</v>
      </c>
      <c r="S5188" t="e">
        <v>#DIV/0!</v>
      </c>
      <c r="T5188" t="s">
        <v>82</v>
      </c>
    </row>
    <row r="5189" spans="15:20" x14ac:dyDescent="0.25">
      <c r="O5189">
        <v>1</v>
      </c>
      <c r="S5189" t="e">
        <v>#DIV/0!</v>
      </c>
      <c r="T5189" t="s">
        <v>82</v>
      </c>
    </row>
    <row r="5190" spans="15:20" x14ac:dyDescent="0.25">
      <c r="O5190">
        <v>1</v>
      </c>
      <c r="S5190" t="e">
        <v>#DIV/0!</v>
      </c>
      <c r="T5190" t="s">
        <v>82</v>
      </c>
    </row>
    <row r="5191" spans="15:20" x14ac:dyDescent="0.25">
      <c r="O5191">
        <v>1</v>
      </c>
      <c r="S5191" t="e">
        <v>#DIV/0!</v>
      </c>
      <c r="T5191" t="s">
        <v>82</v>
      </c>
    </row>
    <row r="5192" spans="15:20" x14ac:dyDescent="0.25">
      <c r="O5192">
        <v>1</v>
      </c>
      <c r="S5192" t="e">
        <v>#DIV/0!</v>
      </c>
      <c r="T5192" t="s">
        <v>82</v>
      </c>
    </row>
    <row r="5193" spans="15:20" x14ac:dyDescent="0.25">
      <c r="O5193">
        <v>1</v>
      </c>
      <c r="S5193" t="e">
        <v>#DIV/0!</v>
      </c>
      <c r="T5193" t="s">
        <v>82</v>
      </c>
    </row>
    <row r="5194" spans="15:20" x14ac:dyDescent="0.25">
      <c r="O5194">
        <v>1</v>
      </c>
      <c r="S5194" t="e">
        <v>#DIV/0!</v>
      </c>
      <c r="T5194" t="s">
        <v>82</v>
      </c>
    </row>
    <row r="5195" spans="15:20" x14ac:dyDescent="0.25">
      <c r="O5195">
        <v>1</v>
      </c>
      <c r="S5195" t="e">
        <v>#DIV/0!</v>
      </c>
      <c r="T5195" t="s">
        <v>82</v>
      </c>
    </row>
    <row r="5196" spans="15:20" x14ac:dyDescent="0.25">
      <c r="O5196">
        <v>1</v>
      </c>
      <c r="S5196" t="e">
        <v>#DIV/0!</v>
      </c>
      <c r="T5196" t="s">
        <v>82</v>
      </c>
    </row>
    <row r="5197" spans="15:20" x14ac:dyDescent="0.25">
      <c r="O5197">
        <v>1</v>
      </c>
      <c r="S5197" t="e">
        <v>#DIV/0!</v>
      </c>
      <c r="T5197" t="s">
        <v>82</v>
      </c>
    </row>
    <row r="5198" spans="15:20" x14ac:dyDescent="0.25">
      <c r="O5198">
        <v>1</v>
      </c>
      <c r="S5198" t="e">
        <v>#DIV/0!</v>
      </c>
      <c r="T5198" t="s">
        <v>82</v>
      </c>
    </row>
    <row r="5199" spans="15:20" x14ac:dyDescent="0.25">
      <c r="O5199">
        <v>1</v>
      </c>
      <c r="S5199" t="e">
        <v>#DIV/0!</v>
      </c>
      <c r="T5199" t="s">
        <v>82</v>
      </c>
    </row>
    <row r="5200" spans="15:20" x14ac:dyDescent="0.25">
      <c r="O5200">
        <v>1</v>
      </c>
      <c r="S5200" t="e">
        <v>#DIV/0!</v>
      </c>
      <c r="T5200" t="s">
        <v>82</v>
      </c>
    </row>
    <row r="5201" spans="15:20" x14ac:dyDescent="0.25">
      <c r="O5201">
        <v>1</v>
      </c>
      <c r="S5201" t="e">
        <v>#DIV/0!</v>
      </c>
      <c r="T5201" t="s">
        <v>82</v>
      </c>
    </row>
    <row r="5202" spans="15:20" x14ac:dyDescent="0.25">
      <c r="O5202">
        <v>1</v>
      </c>
      <c r="S5202" t="e">
        <v>#DIV/0!</v>
      </c>
      <c r="T5202" t="s">
        <v>82</v>
      </c>
    </row>
    <row r="5203" spans="15:20" x14ac:dyDescent="0.25">
      <c r="O5203">
        <v>1</v>
      </c>
      <c r="S5203" t="e">
        <v>#DIV/0!</v>
      </c>
      <c r="T5203" t="s">
        <v>82</v>
      </c>
    </row>
    <row r="5204" spans="15:20" x14ac:dyDescent="0.25">
      <c r="O5204">
        <v>1</v>
      </c>
      <c r="S5204" t="e">
        <v>#DIV/0!</v>
      </c>
      <c r="T5204" t="s">
        <v>82</v>
      </c>
    </row>
    <row r="5205" spans="15:20" x14ac:dyDescent="0.25">
      <c r="O5205">
        <v>1</v>
      </c>
      <c r="S5205" t="e">
        <v>#DIV/0!</v>
      </c>
      <c r="T5205" t="s">
        <v>82</v>
      </c>
    </row>
    <row r="5206" spans="15:20" x14ac:dyDescent="0.25">
      <c r="O5206">
        <v>1</v>
      </c>
      <c r="S5206" t="e">
        <v>#DIV/0!</v>
      </c>
      <c r="T5206" t="s">
        <v>82</v>
      </c>
    </row>
    <row r="5207" spans="15:20" x14ac:dyDescent="0.25">
      <c r="O5207">
        <v>1</v>
      </c>
      <c r="S5207" t="e">
        <v>#DIV/0!</v>
      </c>
      <c r="T5207" t="s">
        <v>82</v>
      </c>
    </row>
    <row r="5208" spans="15:20" x14ac:dyDescent="0.25">
      <c r="O5208">
        <v>1</v>
      </c>
      <c r="S5208" t="e">
        <v>#DIV/0!</v>
      </c>
      <c r="T5208" t="s">
        <v>82</v>
      </c>
    </row>
    <row r="5209" spans="15:20" x14ac:dyDescent="0.25">
      <c r="O5209">
        <v>1</v>
      </c>
      <c r="S5209" t="e">
        <v>#DIV/0!</v>
      </c>
      <c r="T5209" t="s">
        <v>82</v>
      </c>
    </row>
    <row r="5210" spans="15:20" x14ac:dyDescent="0.25">
      <c r="O5210">
        <v>1</v>
      </c>
      <c r="S5210" t="e">
        <v>#DIV/0!</v>
      </c>
      <c r="T5210" t="s">
        <v>82</v>
      </c>
    </row>
    <row r="5211" spans="15:20" x14ac:dyDescent="0.25">
      <c r="O5211">
        <v>1</v>
      </c>
      <c r="S5211" t="e">
        <v>#DIV/0!</v>
      </c>
      <c r="T5211" t="s">
        <v>82</v>
      </c>
    </row>
    <row r="5212" spans="15:20" x14ac:dyDescent="0.25">
      <c r="O5212">
        <v>1</v>
      </c>
      <c r="S5212" t="e">
        <v>#DIV/0!</v>
      </c>
      <c r="T5212" t="s">
        <v>82</v>
      </c>
    </row>
    <row r="5213" spans="15:20" x14ac:dyDescent="0.25">
      <c r="O5213">
        <v>1</v>
      </c>
      <c r="S5213" t="e">
        <v>#DIV/0!</v>
      </c>
      <c r="T5213" t="s">
        <v>82</v>
      </c>
    </row>
    <row r="5214" spans="15:20" x14ac:dyDescent="0.25">
      <c r="O5214">
        <v>1</v>
      </c>
      <c r="S5214" t="e">
        <v>#DIV/0!</v>
      </c>
      <c r="T5214" t="s">
        <v>82</v>
      </c>
    </row>
    <row r="5215" spans="15:20" x14ac:dyDescent="0.25">
      <c r="O5215">
        <v>1</v>
      </c>
      <c r="S5215" t="e">
        <v>#DIV/0!</v>
      </c>
      <c r="T5215" t="s">
        <v>82</v>
      </c>
    </row>
    <row r="5216" spans="15:20" x14ac:dyDescent="0.25">
      <c r="O5216">
        <v>1</v>
      </c>
      <c r="S5216" t="e">
        <v>#DIV/0!</v>
      </c>
      <c r="T5216" t="s">
        <v>82</v>
      </c>
    </row>
    <row r="5217" spans="15:20" x14ac:dyDescent="0.25">
      <c r="O5217">
        <v>1</v>
      </c>
      <c r="S5217" t="e">
        <v>#DIV/0!</v>
      </c>
      <c r="T5217" t="s">
        <v>82</v>
      </c>
    </row>
    <row r="5218" spans="15:20" x14ac:dyDescent="0.25">
      <c r="O5218">
        <v>1</v>
      </c>
      <c r="S5218" t="e">
        <v>#DIV/0!</v>
      </c>
      <c r="T5218" t="s">
        <v>82</v>
      </c>
    </row>
    <row r="5219" spans="15:20" x14ac:dyDescent="0.25">
      <c r="O5219">
        <v>1</v>
      </c>
      <c r="S5219" t="e">
        <v>#DIV/0!</v>
      </c>
      <c r="T5219" t="s">
        <v>82</v>
      </c>
    </row>
    <row r="5220" spans="15:20" x14ac:dyDescent="0.25">
      <c r="O5220">
        <v>1</v>
      </c>
      <c r="S5220" t="e">
        <v>#DIV/0!</v>
      </c>
      <c r="T5220" t="s">
        <v>82</v>
      </c>
    </row>
    <row r="5221" spans="15:20" x14ac:dyDescent="0.25">
      <c r="O5221">
        <v>1</v>
      </c>
      <c r="S5221" t="e">
        <v>#DIV/0!</v>
      </c>
      <c r="T5221" t="s">
        <v>82</v>
      </c>
    </row>
    <row r="5222" spans="15:20" x14ac:dyDescent="0.25">
      <c r="O5222">
        <v>1</v>
      </c>
      <c r="S5222" t="e">
        <v>#DIV/0!</v>
      </c>
      <c r="T5222" t="s">
        <v>82</v>
      </c>
    </row>
    <row r="5223" spans="15:20" x14ac:dyDescent="0.25">
      <c r="O5223">
        <v>1</v>
      </c>
      <c r="S5223" t="e">
        <v>#DIV/0!</v>
      </c>
      <c r="T5223" t="s">
        <v>82</v>
      </c>
    </row>
    <row r="5224" spans="15:20" x14ac:dyDescent="0.25">
      <c r="O5224">
        <v>1</v>
      </c>
      <c r="S5224" t="e">
        <v>#DIV/0!</v>
      </c>
      <c r="T5224" t="s">
        <v>82</v>
      </c>
    </row>
    <row r="5225" spans="15:20" x14ac:dyDescent="0.25">
      <c r="O5225">
        <v>1</v>
      </c>
      <c r="S5225" t="e">
        <v>#DIV/0!</v>
      </c>
      <c r="T5225" t="s">
        <v>82</v>
      </c>
    </row>
    <row r="5226" spans="15:20" x14ac:dyDescent="0.25">
      <c r="O5226">
        <v>1</v>
      </c>
      <c r="S5226" t="e">
        <v>#DIV/0!</v>
      </c>
      <c r="T5226" t="s">
        <v>82</v>
      </c>
    </row>
    <row r="5227" spans="15:20" x14ac:dyDescent="0.25">
      <c r="O5227">
        <v>1</v>
      </c>
      <c r="S5227" t="e">
        <v>#DIV/0!</v>
      </c>
      <c r="T5227" t="s">
        <v>82</v>
      </c>
    </row>
    <row r="5228" spans="15:20" x14ac:dyDescent="0.25">
      <c r="O5228">
        <v>1</v>
      </c>
      <c r="S5228" t="e">
        <v>#DIV/0!</v>
      </c>
      <c r="T5228" t="s">
        <v>82</v>
      </c>
    </row>
    <row r="5229" spans="15:20" x14ac:dyDescent="0.25">
      <c r="O5229">
        <v>1</v>
      </c>
      <c r="S5229" t="e">
        <v>#DIV/0!</v>
      </c>
      <c r="T5229" t="s">
        <v>82</v>
      </c>
    </row>
    <row r="5230" spans="15:20" x14ac:dyDescent="0.25">
      <c r="O5230">
        <v>1</v>
      </c>
      <c r="S5230" t="e">
        <v>#DIV/0!</v>
      </c>
      <c r="T5230" t="s">
        <v>82</v>
      </c>
    </row>
    <row r="5231" spans="15:20" x14ac:dyDescent="0.25">
      <c r="O5231">
        <v>1</v>
      </c>
      <c r="S5231" t="e">
        <v>#DIV/0!</v>
      </c>
      <c r="T5231" t="s">
        <v>82</v>
      </c>
    </row>
    <row r="5232" spans="15:20" x14ac:dyDescent="0.25">
      <c r="O5232">
        <v>1</v>
      </c>
      <c r="S5232" t="e">
        <v>#DIV/0!</v>
      </c>
      <c r="T5232" t="s">
        <v>82</v>
      </c>
    </row>
    <row r="5233" spans="15:20" x14ac:dyDescent="0.25">
      <c r="O5233">
        <v>1</v>
      </c>
      <c r="S5233" t="e">
        <v>#DIV/0!</v>
      </c>
      <c r="T5233" t="s">
        <v>82</v>
      </c>
    </row>
    <row r="5234" spans="15:20" x14ac:dyDescent="0.25">
      <c r="O5234">
        <v>1</v>
      </c>
      <c r="S5234" t="e">
        <v>#DIV/0!</v>
      </c>
      <c r="T5234" t="s">
        <v>82</v>
      </c>
    </row>
    <row r="5235" spans="15:20" x14ac:dyDescent="0.25">
      <c r="O5235">
        <v>1</v>
      </c>
      <c r="S5235" t="e">
        <v>#DIV/0!</v>
      </c>
      <c r="T5235" t="s">
        <v>82</v>
      </c>
    </row>
    <row r="5236" spans="15:20" x14ac:dyDescent="0.25">
      <c r="O5236">
        <v>1</v>
      </c>
      <c r="S5236" t="e">
        <v>#DIV/0!</v>
      </c>
      <c r="T5236" t="s">
        <v>82</v>
      </c>
    </row>
    <row r="5237" spans="15:20" x14ac:dyDescent="0.25">
      <c r="O5237">
        <v>1</v>
      </c>
      <c r="S5237" t="e">
        <v>#DIV/0!</v>
      </c>
      <c r="T5237" t="s">
        <v>82</v>
      </c>
    </row>
    <row r="5238" spans="15:20" x14ac:dyDescent="0.25">
      <c r="O5238">
        <v>1</v>
      </c>
      <c r="S5238" t="e">
        <v>#DIV/0!</v>
      </c>
      <c r="T5238" t="s">
        <v>82</v>
      </c>
    </row>
    <row r="5239" spans="15:20" x14ac:dyDescent="0.25">
      <c r="O5239">
        <v>1</v>
      </c>
      <c r="S5239" t="e">
        <v>#DIV/0!</v>
      </c>
      <c r="T5239" t="s">
        <v>82</v>
      </c>
    </row>
    <row r="5240" spans="15:20" x14ac:dyDescent="0.25">
      <c r="O5240">
        <v>1</v>
      </c>
      <c r="S5240" t="e">
        <v>#DIV/0!</v>
      </c>
      <c r="T5240" t="s">
        <v>82</v>
      </c>
    </row>
    <row r="5241" spans="15:20" x14ac:dyDescent="0.25">
      <c r="O5241">
        <v>1</v>
      </c>
      <c r="S5241" t="e">
        <v>#DIV/0!</v>
      </c>
      <c r="T5241" t="s">
        <v>82</v>
      </c>
    </row>
    <row r="5242" spans="15:20" x14ac:dyDescent="0.25">
      <c r="O5242">
        <v>1</v>
      </c>
      <c r="S5242" t="e">
        <v>#DIV/0!</v>
      </c>
      <c r="T5242" t="s">
        <v>82</v>
      </c>
    </row>
    <row r="5243" spans="15:20" x14ac:dyDescent="0.25">
      <c r="O5243">
        <v>1</v>
      </c>
      <c r="S5243" t="e">
        <v>#DIV/0!</v>
      </c>
      <c r="T5243" t="s">
        <v>82</v>
      </c>
    </row>
    <row r="5244" spans="15:20" x14ac:dyDescent="0.25">
      <c r="O5244">
        <v>1</v>
      </c>
      <c r="S5244" t="e">
        <v>#DIV/0!</v>
      </c>
      <c r="T5244" t="s">
        <v>82</v>
      </c>
    </row>
    <row r="5245" spans="15:20" x14ac:dyDescent="0.25">
      <c r="O5245">
        <v>1</v>
      </c>
      <c r="S5245" t="e">
        <v>#DIV/0!</v>
      </c>
      <c r="T5245" t="s">
        <v>82</v>
      </c>
    </row>
    <row r="5246" spans="15:20" x14ac:dyDescent="0.25">
      <c r="O5246">
        <v>1</v>
      </c>
      <c r="S5246" t="e">
        <v>#DIV/0!</v>
      </c>
      <c r="T5246" t="s">
        <v>82</v>
      </c>
    </row>
    <row r="5247" spans="15:20" x14ac:dyDescent="0.25">
      <c r="O5247">
        <v>1</v>
      </c>
      <c r="S5247" t="e">
        <v>#DIV/0!</v>
      </c>
      <c r="T5247" t="s">
        <v>82</v>
      </c>
    </row>
    <row r="5248" spans="15:20" x14ac:dyDescent="0.25">
      <c r="O5248">
        <v>1</v>
      </c>
      <c r="S5248" t="e">
        <v>#DIV/0!</v>
      </c>
      <c r="T5248" t="s">
        <v>82</v>
      </c>
    </row>
    <row r="5249" spans="15:20" x14ac:dyDescent="0.25">
      <c r="O5249">
        <v>1</v>
      </c>
      <c r="S5249" t="e">
        <v>#DIV/0!</v>
      </c>
      <c r="T5249" t="s">
        <v>82</v>
      </c>
    </row>
    <row r="5250" spans="15:20" x14ac:dyDescent="0.25">
      <c r="O5250">
        <v>1</v>
      </c>
      <c r="S5250" t="e">
        <v>#DIV/0!</v>
      </c>
      <c r="T5250" t="s">
        <v>82</v>
      </c>
    </row>
    <row r="5251" spans="15:20" x14ac:dyDescent="0.25">
      <c r="O5251">
        <v>1</v>
      </c>
      <c r="S5251" t="e">
        <v>#DIV/0!</v>
      </c>
      <c r="T5251" t="s">
        <v>82</v>
      </c>
    </row>
    <row r="5252" spans="15:20" x14ac:dyDescent="0.25">
      <c r="O5252">
        <v>1</v>
      </c>
      <c r="S5252" t="e">
        <v>#DIV/0!</v>
      </c>
      <c r="T5252" t="s">
        <v>82</v>
      </c>
    </row>
    <row r="5253" spans="15:20" x14ac:dyDescent="0.25">
      <c r="O5253">
        <v>1</v>
      </c>
      <c r="S5253" t="e">
        <v>#DIV/0!</v>
      </c>
      <c r="T5253" t="s">
        <v>82</v>
      </c>
    </row>
    <row r="5254" spans="15:20" x14ac:dyDescent="0.25">
      <c r="O5254">
        <v>1</v>
      </c>
      <c r="S5254" t="e">
        <v>#DIV/0!</v>
      </c>
      <c r="T5254" t="s">
        <v>82</v>
      </c>
    </row>
    <row r="5255" spans="15:20" x14ac:dyDescent="0.25">
      <c r="O5255">
        <v>1</v>
      </c>
      <c r="S5255" t="e">
        <v>#DIV/0!</v>
      </c>
      <c r="T5255" t="s">
        <v>82</v>
      </c>
    </row>
    <row r="5256" spans="15:20" x14ac:dyDescent="0.25">
      <c r="O5256">
        <v>1</v>
      </c>
      <c r="S5256" t="e">
        <v>#DIV/0!</v>
      </c>
      <c r="T5256" t="s">
        <v>82</v>
      </c>
    </row>
    <row r="5257" spans="15:20" x14ac:dyDescent="0.25">
      <c r="O5257">
        <v>1</v>
      </c>
      <c r="S5257" t="e">
        <v>#DIV/0!</v>
      </c>
      <c r="T5257" t="s">
        <v>82</v>
      </c>
    </row>
    <row r="5258" spans="15:20" x14ac:dyDescent="0.25">
      <c r="O5258">
        <v>1</v>
      </c>
      <c r="S5258" t="e">
        <v>#DIV/0!</v>
      </c>
      <c r="T5258" t="s">
        <v>82</v>
      </c>
    </row>
    <row r="5259" spans="15:20" x14ac:dyDescent="0.25">
      <c r="O5259">
        <v>1</v>
      </c>
      <c r="S5259" t="e">
        <v>#DIV/0!</v>
      </c>
      <c r="T5259" t="s">
        <v>82</v>
      </c>
    </row>
    <row r="5260" spans="15:20" x14ac:dyDescent="0.25">
      <c r="O5260">
        <v>1</v>
      </c>
      <c r="S5260" t="e">
        <v>#DIV/0!</v>
      </c>
      <c r="T5260" t="s">
        <v>82</v>
      </c>
    </row>
    <row r="5261" spans="15:20" x14ac:dyDescent="0.25">
      <c r="O5261">
        <v>1</v>
      </c>
      <c r="S5261" t="e">
        <v>#DIV/0!</v>
      </c>
      <c r="T5261" t="s">
        <v>82</v>
      </c>
    </row>
    <row r="5262" spans="15:20" x14ac:dyDescent="0.25">
      <c r="O5262">
        <v>1</v>
      </c>
      <c r="S5262" t="e">
        <v>#DIV/0!</v>
      </c>
      <c r="T5262" t="s">
        <v>82</v>
      </c>
    </row>
    <row r="5263" spans="15:20" x14ac:dyDescent="0.25">
      <c r="O5263">
        <v>1</v>
      </c>
      <c r="S5263" t="e">
        <v>#DIV/0!</v>
      </c>
      <c r="T5263" t="s">
        <v>82</v>
      </c>
    </row>
    <row r="5264" spans="15:20" x14ac:dyDescent="0.25">
      <c r="O5264">
        <v>1</v>
      </c>
      <c r="S5264" t="e">
        <v>#DIV/0!</v>
      </c>
      <c r="T5264" t="s">
        <v>82</v>
      </c>
    </row>
    <row r="5265" spans="15:20" x14ac:dyDescent="0.25">
      <c r="O5265">
        <v>1</v>
      </c>
      <c r="S5265" t="e">
        <v>#DIV/0!</v>
      </c>
      <c r="T5265" t="s">
        <v>82</v>
      </c>
    </row>
    <row r="5266" spans="15:20" x14ac:dyDescent="0.25">
      <c r="O5266">
        <v>1</v>
      </c>
      <c r="S5266" t="e">
        <v>#DIV/0!</v>
      </c>
      <c r="T5266" t="s">
        <v>82</v>
      </c>
    </row>
    <row r="5267" spans="15:20" x14ac:dyDescent="0.25">
      <c r="O5267">
        <v>1</v>
      </c>
      <c r="S5267" t="e">
        <v>#DIV/0!</v>
      </c>
      <c r="T5267" t="s">
        <v>82</v>
      </c>
    </row>
    <row r="5268" spans="15:20" x14ac:dyDescent="0.25">
      <c r="O5268">
        <v>1</v>
      </c>
      <c r="S5268" t="e">
        <v>#DIV/0!</v>
      </c>
      <c r="T5268" t="s">
        <v>82</v>
      </c>
    </row>
    <row r="5269" spans="15:20" x14ac:dyDescent="0.25">
      <c r="O5269">
        <v>1</v>
      </c>
      <c r="S5269" t="e">
        <v>#DIV/0!</v>
      </c>
      <c r="T5269" t="s">
        <v>82</v>
      </c>
    </row>
    <row r="5270" spans="15:20" x14ac:dyDescent="0.25">
      <c r="O5270">
        <v>1</v>
      </c>
      <c r="S5270" t="e">
        <v>#DIV/0!</v>
      </c>
      <c r="T5270" t="s">
        <v>82</v>
      </c>
    </row>
    <row r="5271" spans="15:20" x14ac:dyDescent="0.25">
      <c r="O5271">
        <v>1</v>
      </c>
      <c r="S5271" t="e">
        <v>#DIV/0!</v>
      </c>
      <c r="T5271" t="s">
        <v>82</v>
      </c>
    </row>
    <row r="5272" spans="15:20" x14ac:dyDescent="0.25">
      <c r="O5272">
        <v>1</v>
      </c>
      <c r="S5272" t="e">
        <v>#DIV/0!</v>
      </c>
      <c r="T5272" t="s">
        <v>82</v>
      </c>
    </row>
    <row r="5273" spans="15:20" x14ac:dyDescent="0.25">
      <c r="O5273">
        <v>1</v>
      </c>
      <c r="S5273" t="e">
        <v>#DIV/0!</v>
      </c>
      <c r="T5273" t="s">
        <v>82</v>
      </c>
    </row>
    <row r="5274" spans="15:20" x14ac:dyDescent="0.25">
      <c r="O5274">
        <v>1</v>
      </c>
      <c r="S5274" t="e">
        <v>#DIV/0!</v>
      </c>
      <c r="T5274" t="s">
        <v>82</v>
      </c>
    </row>
    <row r="5275" spans="15:20" x14ac:dyDescent="0.25">
      <c r="O5275">
        <v>1</v>
      </c>
      <c r="S5275" t="e">
        <v>#DIV/0!</v>
      </c>
      <c r="T5275" t="s">
        <v>82</v>
      </c>
    </row>
    <row r="5276" spans="15:20" x14ac:dyDescent="0.25">
      <c r="O5276">
        <v>1</v>
      </c>
      <c r="S5276" t="e">
        <v>#DIV/0!</v>
      </c>
      <c r="T5276" t="s">
        <v>82</v>
      </c>
    </row>
    <row r="5277" spans="15:20" x14ac:dyDescent="0.25">
      <c r="O5277">
        <v>1</v>
      </c>
      <c r="S5277" t="e">
        <v>#DIV/0!</v>
      </c>
      <c r="T5277" t="s">
        <v>82</v>
      </c>
    </row>
    <row r="5278" spans="15:20" x14ac:dyDescent="0.25">
      <c r="O5278">
        <v>1</v>
      </c>
      <c r="S5278" t="e">
        <v>#DIV/0!</v>
      </c>
      <c r="T5278" t="s">
        <v>82</v>
      </c>
    </row>
    <row r="5279" spans="15:20" x14ac:dyDescent="0.25">
      <c r="O5279">
        <v>1</v>
      </c>
      <c r="S5279" t="e">
        <v>#DIV/0!</v>
      </c>
      <c r="T5279" t="s">
        <v>82</v>
      </c>
    </row>
    <row r="5280" spans="15:20" x14ac:dyDescent="0.25">
      <c r="O5280">
        <v>1</v>
      </c>
      <c r="S5280" t="e">
        <v>#DIV/0!</v>
      </c>
      <c r="T5280" t="s">
        <v>82</v>
      </c>
    </row>
    <row r="5281" spans="15:20" x14ac:dyDescent="0.25">
      <c r="O5281">
        <v>1</v>
      </c>
      <c r="S5281" t="e">
        <v>#DIV/0!</v>
      </c>
      <c r="T5281" t="s">
        <v>82</v>
      </c>
    </row>
    <row r="5282" spans="15:20" x14ac:dyDescent="0.25">
      <c r="O5282">
        <v>1</v>
      </c>
      <c r="S5282" t="e">
        <v>#DIV/0!</v>
      </c>
      <c r="T5282" t="s">
        <v>82</v>
      </c>
    </row>
    <row r="5283" spans="15:20" x14ac:dyDescent="0.25">
      <c r="O5283">
        <v>1</v>
      </c>
      <c r="S5283" t="e">
        <v>#DIV/0!</v>
      </c>
      <c r="T5283" t="s">
        <v>82</v>
      </c>
    </row>
    <row r="5284" spans="15:20" x14ac:dyDescent="0.25">
      <c r="O5284">
        <v>1</v>
      </c>
      <c r="S5284" t="e">
        <v>#DIV/0!</v>
      </c>
      <c r="T5284" t="s">
        <v>82</v>
      </c>
    </row>
    <row r="5285" spans="15:20" x14ac:dyDescent="0.25">
      <c r="O5285">
        <v>1</v>
      </c>
      <c r="S5285" t="e">
        <v>#DIV/0!</v>
      </c>
      <c r="T5285" t="s">
        <v>82</v>
      </c>
    </row>
    <row r="5286" spans="15:20" x14ac:dyDescent="0.25">
      <c r="O5286">
        <v>1</v>
      </c>
      <c r="S5286" t="e">
        <v>#DIV/0!</v>
      </c>
      <c r="T5286" t="s">
        <v>82</v>
      </c>
    </row>
    <row r="5287" spans="15:20" x14ac:dyDescent="0.25">
      <c r="O5287">
        <v>1</v>
      </c>
      <c r="S5287" t="e">
        <v>#DIV/0!</v>
      </c>
      <c r="T5287" t="s">
        <v>82</v>
      </c>
    </row>
    <row r="5288" spans="15:20" x14ac:dyDescent="0.25">
      <c r="O5288">
        <v>1</v>
      </c>
      <c r="S5288" t="e">
        <v>#DIV/0!</v>
      </c>
      <c r="T5288" t="s">
        <v>82</v>
      </c>
    </row>
    <row r="5289" spans="15:20" x14ac:dyDescent="0.25">
      <c r="O5289">
        <v>1</v>
      </c>
      <c r="S5289" t="e">
        <v>#DIV/0!</v>
      </c>
      <c r="T5289" t="s">
        <v>82</v>
      </c>
    </row>
    <row r="5290" spans="15:20" x14ac:dyDescent="0.25">
      <c r="O5290">
        <v>1</v>
      </c>
      <c r="S5290" t="e">
        <v>#DIV/0!</v>
      </c>
      <c r="T5290" t="s">
        <v>82</v>
      </c>
    </row>
    <row r="5291" spans="15:20" x14ac:dyDescent="0.25">
      <c r="O5291">
        <v>1</v>
      </c>
      <c r="S5291" t="e">
        <v>#DIV/0!</v>
      </c>
      <c r="T5291" t="s">
        <v>82</v>
      </c>
    </row>
    <row r="5292" spans="15:20" x14ac:dyDescent="0.25">
      <c r="O5292">
        <v>1</v>
      </c>
      <c r="S5292" t="e">
        <v>#DIV/0!</v>
      </c>
      <c r="T5292" t="s">
        <v>82</v>
      </c>
    </row>
    <row r="5293" spans="15:20" x14ac:dyDescent="0.25">
      <c r="O5293">
        <v>1</v>
      </c>
      <c r="S5293" t="e">
        <v>#DIV/0!</v>
      </c>
      <c r="T5293" t="s">
        <v>82</v>
      </c>
    </row>
    <row r="5294" spans="15:20" x14ac:dyDescent="0.25">
      <c r="O5294">
        <v>1</v>
      </c>
      <c r="S5294" t="e">
        <v>#DIV/0!</v>
      </c>
      <c r="T5294" t="s">
        <v>82</v>
      </c>
    </row>
    <row r="5295" spans="15:20" x14ac:dyDescent="0.25">
      <c r="O5295">
        <v>1</v>
      </c>
      <c r="S5295" t="e">
        <v>#DIV/0!</v>
      </c>
      <c r="T5295" t="s">
        <v>82</v>
      </c>
    </row>
    <row r="5296" spans="15:20" x14ac:dyDescent="0.25">
      <c r="O5296">
        <v>1</v>
      </c>
      <c r="S5296" t="e">
        <v>#DIV/0!</v>
      </c>
      <c r="T5296" t="s">
        <v>82</v>
      </c>
    </row>
    <row r="5297" spans="15:20" x14ac:dyDescent="0.25">
      <c r="O5297">
        <v>1</v>
      </c>
      <c r="S5297" t="e">
        <v>#DIV/0!</v>
      </c>
      <c r="T5297" t="s">
        <v>82</v>
      </c>
    </row>
    <row r="5298" spans="15:20" x14ac:dyDescent="0.25">
      <c r="O5298">
        <v>1</v>
      </c>
      <c r="S5298" t="e">
        <v>#DIV/0!</v>
      </c>
      <c r="T5298" t="s">
        <v>82</v>
      </c>
    </row>
    <row r="5299" spans="15:20" x14ac:dyDescent="0.25">
      <c r="O5299">
        <v>1</v>
      </c>
      <c r="S5299" t="e">
        <v>#DIV/0!</v>
      </c>
      <c r="T5299" t="s">
        <v>82</v>
      </c>
    </row>
    <row r="5300" spans="15:20" x14ac:dyDescent="0.25">
      <c r="O5300">
        <v>1</v>
      </c>
      <c r="S5300" t="e">
        <v>#DIV/0!</v>
      </c>
      <c r="T5300" t="s">
        <v>82</v>
      </c>
    </row>
    <row r="5301" spans="15:20" x14ac:dyDescent="0.25">
      <c r="O5301">
        <v>1</v>
      </c>
      <c r="S5301" t="e">
        <v>#DIV/0!</v>
      </c>
      <c r="T5301" t="s">
        <v>82</v>
      </c>
    </row>
    <row r="5302" spans="15:20" x14ac:dyDescent="0.25">
      <c r="O5302">
        <v>1</v>
      </c>
      <c r="S5302" t="e">
        <v>#DIV/0!</v>
      </c>
      <c r="T5302" t="s">
        <v>82</v>
      </c>
    </row>
    <row r="5303" spans="15:20" x14ac:dyDescent="0.25">
      <c r="O5303">
        <v>1</v>
      </c>
      <c r="S5303" t="e">
        <v>#DIV/0!</v>
      </c>
      <c r="T5303" t="s">
        <v>82</v>
      </c>
    </row>
    <row r="5304" spans="15:20" x14ac:dyDescent="0.25">
      <c r="O5304">
        <v>1</v>
      </c>
      <c r="S5304" t="e">
        <v>#DIV/0!</v>
      </c>
      <c r="T5304" t="s">
        <v>82</v>
      </c>
    </row>
    <row r="5305" spans="15:20" x14ac:dyDescent="0.25">
      <c r="O5305">
        <v>1</v>
      </c>
      <c r="S5305" t="e">
        <v>#DIV/0!</v>
      </c>
      <c r="T5305" t="s">
        <v>82</v>
      </c>
    </row>
    <row r="5306" spans="15:20" x14ac:dyDescent="0.25">
      <c r="O5306">
        <v>1</v>
      </c>
      <c r="S5306" t="e">
        <v>#DIV/0!</v>
      </c>
      <c r="T5306" t="s">
        <v>82</v>
      </c>
    </row>
    <row r="5307" spans="15:20" x14ac:dyDescent="0.25">
      <c r="O5307">
        <v>1</v>
      </c>
      <c r="S5307" t="e">
        <v>#DIV/0!</v>
      </c>
      <c r="T5307" t="s">
        <v>82</v>
      </c>
    </row>
    <row r="5308" spans="15:20" x14ac:dyDescent="0.25">
      <c r="O5308">
        <v>1</v>
      </c>
      <c r="S5308" t="e">
        <v>#DIV/0!</v>
      </c>
      <c r="T5308" t="s">
        <v>82</v>
      </c>
    </row>
    <row r="5309" spans="15:20" x14ac:dyDescent="0.25">
      <c r="O5309">
        <v>1</v>
      </c>
      <c r="S5309" t="e">
        <v>#DIV/0!</v>
      </c>
      <c r="T5309" t="s">
        <v>82</v>
      </c>
    </row>
    <row r="5310" spans="15:20" x14ac:dyDescent="0.25">
      <c r="O5310">
        <v>1</v>
      </c>
      <c r="S5310" t="e">
        <v>#DIV/0!</v>
      </c>
      <c r="T5310" t="s">
        <v>82</v>
      </c>
    </row>
    <row r="5311" spans="15:20" x14ac:dyDescent="0.25">
      <c r="O5311">
        <v>1</v>
      </c>
      <c r="S5311" t="e">
        <v>#DIV/0!</v>
      </c>
      <c r="T5311" t="s">
        <v>82</v>
      </c>
    </row>
    <row r="5312" spans="15:20" x14ac:dyDescent="0.25">
      <c r="O5312">
        <v>1</v>
      </c>
      <c r="S5312" t="e">
        <v>#DIV/0!</v>
      </c>
      <c r="T5312" t="s">
        <v>82</v>
      </c>
    </row>
    <row r="5313" spans="15:20" x14ac:dyDescent="0.25">
      <c r="O5313">
        <v>1</v>
      </c>
      <c r="S5313" t="e">
        <v>#DIV/0!</v>
      </c>
      <c r="T5313" t="s">
        <v>82</v>
      </c>
    </row>
    <row r="5314" spans="15:20" x14ac:dyDescent="0.25">
      <c r="O5314">
        <v>1</v>
      </c>
      <c r="S5314" t="e">
        <v>#DIV/0!</v>
      </c>
      <c r="T5314" t="s">
        <v>82</v>
      </c>
    </row>
    <row r="5315" spans="15:20" x14ac:dyDescent="0.25">
      <c r="O5315">
        <v>1</v>
      </c>
      <c r="S5315" t="e">
        <v>#DIV/0!</v>
      </c>
      <c r="T5315" t="s">
        <v>82</v>
      </c>
    </row>
    <row r="5316" spans="15:20" x14ac:dyDescent="0.25">
      <c r="O5316">
        <v>1</v>
      </c>
      <c r="S5316" t="e">
        <v>#DIV/0!</v>
      </c>
      <c r="T5316" t="s">
        <v>82</v>
      </c>
    </row>
    <row r="5317" spans="15:20" x14ac:dyDescent="0.25">
      <c r="O5317">
        <v>1</v>
      </c>
      <c r="S5317" t="e">
        <v>#DIV/0!</v>
      </c>
      <c r="T5317" t="s">
        <v>82</v>
      </c>
    </row>
    <row r="5318" spans="15:20" x14ac:dyDescent="0.25">
      <c r="O5318">
        <v>1</v>
      </c>
      <c r="S5318" t="e">
        <v>#DIV/0!</v>
      </c>
      <c r="T5318" t="s">
        <v>82</v>
      </c>
    </row>
    <row r="5319" spans="15:20" x14ac:dyDescent="0.25">
      <c r="O5319">
        <v>1</v>
      </c>
      <c r="S5319" t="e">
        <v>#DIV/0!</v>
      </c>
      <c r="T5319" t="s">
        <v>82</v>
      </c>
    </row>
    <row r="5320" spans="15:20" x14ac:dyDescent="0.25">
      <c r="O5320">
        <v>1</v>
      </c>
      <c r="S5320" t="e">
        <v>#DIV/0!</v>
      </c>
      <c r="T5320" t="s">
        <v>82</v>
      </c>
    </row>
    <row r="5321" spans="15:20" x14ac:dyDescent="0.25">
      <c r="O5321">
        <v>1</v>
      </c>
      <c r="S5321" t="e">
        <v>#DIV/0!</v>
      </c>
      <c r="T5321" t="s">
        <v>82</v>
      </c>
    </row>
    <row r="5322" spans="15:20" x14ac:dyDescent="0.25">
      <c r="O5322">
        <v>1</v>
      </c>
      <c r="S5322" t="e">
        <v>#DIV/0!</v>
      </c>
      <c r="T5322" t="s">
        <v>82</v>
      </c>
    </row>
    <row r="5323" spans="15:20" x14ac:dyDescent="0.25">
      <c r="O5323">
        <v>1</v>
      </c>
      <c r="S5323" t="e">
        <v>#DIV/0!</v>
      </c>
      <c r="T5323" t="s">
        <v>82</v>
      </c>
    </row>
    <row r="5324" spans="15:20" x14ac:dyDescent="0.25">
      <c r="O5324">
        <v>1</v>
      </c>
      <c r="S5324" t="e">
        <v>#DIV/0!</v>
      </c>
      <c r="T5324" t="s">
        <v>82</v>
      </c>
    </row>
    <row r="5325" spans="15:20" x14ac:dyDescent="0.25">
      <c r="O5325">
        <v>1</v>
      </c>
      <c r="S5325" t="e">
        <v>#DIV/0!</v>
      </c>
      <c r="T5325" t="s">
        <v>82</v>
      </c>
    </row>
    <row r="5326" spans="15:20" x14ac:dyDescent="0.25">
      <c r="O5326">
        <v>1</v>
      </c>
      <c r="S5326" t="e">
        <v>#DIV/0!</v>
      </c>
      <c r="T5326" t="s">
        <v>82</v>
      </c>
    </row>
    <row r="5327" spans="15:20" x14ac:dyDescent="0.25">
      <c r="O5327">
        <v>1</v>
      </c>
      <c r="S5327" t="e">
        <v>#DIV/0!</v>
      </c>
      <c r="T5327" t="s">
        <v>82</v>
      </c>
    </row>
    <row r="5328" spans="15:20" x14ac:dyDescent="0.25">
      <c r="O5328">
        <v>1</v>
      </c>
      <c r="S5328" t="e">
        <v>#DIV/0!</v>
      </c>
      <c r="T5328" t="s">
        <v>82</v>
      </c>
    </row>
    <row r="5329" spans="15:20" x14ac:dyDescent="0.25">
      <c r="O5329">
        <v>1</v>
      </c>
      <c r="S5329" t="e">
        <v>#DIV/0!</v>
      </c>
      <c r="T5329" t="s">
        <v>82</v>
      </c>
    </row>
    <row r="5330" spans="15:20" x14ac:dyDescent="0.25">
      <c r="O5330">
        <v>1</v>
      </c>
      <c r="S5330" t="e">
        <v>#DIV/0!</v>
      </c>
      <c r="T5330" t="s">
        <v>82</v>
      </c>
    </row>
    <row r="5331" spans="15:20" x14ac:dyDescent="0.25">
      <c r="O5331">
        <v>1</v>
      </c>
      <c r="S5331" t="e">
        <v>#DIV/0!</v>
      </c>
      <c r="T5331" t="s">
        <v>82</v>
      </c>
    </row>
    <row r="5332" spans="15:20" x14ac:dyDescent="0.25">
      <c r="O5332">
        <v>1</v>
      </c>
      <c r="S5332" t="e">
        <v>#DIV/0!</v>
      </c>
      <c r="T5332" t="s">
        <v>82</v>
      </c>
    </row>
    <row r="5333" spans="15:20" x14ac:dyDescent="0.25">
      <c r="O5333">
        <v>1</v>
      </c>
      <c r="S5333" t="e">
        <v>#DIV/0!</v>
      </c>
      <c r="T5333" t="s">
        <v>82</v>
      </c>
    </row>
    <row r="5334" spans="15:20" x14ac:dyDescent="0.25">
      <c r="O5334">
        <v>1</v>
      </c>
      <c r="S5334" t="e">
        <v>#DIV/0!</v>
      </c>
      <c r="T5334" t="s">
        <v>82</v>
      </c>
    </row>
    <row r="5335" spans="15:20" x14ac:dyDescent="0.25">
      <c r="O5335">
        <v>1</v>
      </c>
      <c r="S5335" t="e">
        <v>#DIV/0!</v>
      </c>
      <c r="T5335" t="s">
        <v>82</v>
      </c>
    </row>
    <row r="5336" spans="15:20" x14ac:dyDescent="0.25">
      <c r="O5336">
        <v>1</v>
      </c>
      <c r="S5336" t="e">
        <v>#DIV/0!</v>
      </c>
      <c r="T5336" t="s">
        <v>82</v>
      </c>
    </row>
    <row r="5337" spans="15:20" x14ac:dyDescent="0.25">
      <c r="O5337">
        <v>1</v>
      </c>
      <c r="S5337" t="e">
        <v>#DIV/0!</v>
      </c>
      <c r="T5337" t="s">
        <v>82</v>
      </c>
    </row>
    <row r="5338" spans="15:20" x14ac:dyDescent="0.25">
      <c r="O5338">
        <v>1</v>
      </c>
      <c r="S5338" t="e">
        <v>#DIV/0!</v>
      </c>
      <c r="T5338" t="s">
        <v>82</v>
      </c>
    </row>
    <row r="5339" spans="15:20" x14ac:dyDescent="0.25">
      <c r="O5339">
        <v>1</v>
      </c>
      <c r="S5339" t="e">
        <v>#DIV/0!</v>
      </c>
      <c r="T5339" t="s">
        <v>82</v>
      </c>
    </row>
    <row r="5340" spans="15:20" x14ac:dyDescent="0.25">
      <c r="O5340">
        <v>1</v>
      </c>
      <c r="S5340" t="e">
        <v>#DIV/0!</v>
      </c>
      <c r="T5340" t="s">
        <v>82</v>
      </c>
    </row>
    <row r="5341" spans="15:20" x14ac:dyDescent="0.25">
      <c r="O5341">
        <v>1</v>
      </c>
      <c r="S5341" t="e">
        <v>#DIV/0!</v>
      </c>
      <c r="T5341" t="s">
        <v>82</v>
      </c>
    </row>
    <row r="5342" spans="15:20" x14ac:dyDescent="0.25">
      <c r="O5342">
        <v>1</v>
      </c>
      <c r="S5342" t="e">
        <v>#DIV/0!</v>
      </c>
      <c r="T5342" t="s">
        <v>82</v>
      </c>
    </row>
    <row r="5343" spans="15:20" x14ac:dyDescent="0.25">
      <c r="O5343">
        <v>1</v>
      </c>
      <c r="S5343" t="e">
        <v>#DIV/0!</v>
      </c>
      <c r="T5343" t="s">
        <v>82</v>
      </c>
    </row>
    <row r="5344" spans="15:20" x14ac:dyDescent="0.25">
      <c r="O5344">
        <v>1</v>
      </c>
      <c r="S5344" t="e">
        <v>#DIV/0!</v>
      </c>
      <c r="T5344" t="s">
        <v>82</v>
      </c>
    </row>
    <row r="5345" spans="15:20" x14ac:dyDescent="0.25">
      <c r="O5345">
        <v>1</v>
      </c>
      <c r="S5345" t="e">
        <v>#DIV/0!</v>
      </c>
      <c r="T5345" t="s">
        <v>82</v>
      </c>
    </row>
    <row r="5346" spans="15:20" x14ac:dyDescent="0.25">
      <c r="O5346">
        <v>1</v>
      </c>
      <c r="S5346" t="e">
        <v>#DIV/0!</v>
      </c>
      <c r="T5346" t="s">
        <v>82</v>
      </c>
    </row>
    <row r="5347" spans="15:20" x14ac:dyDescent="0.25">
      <c r="O5347">
        <v>1</v>
      </c>
      <c r="S5347" t="e">
        <v>#DIV/0!</v>
      </c>
      <c r="T5347" t="s">
        <v>82</v>
      </c>
    </row>
    <row r="5348" spans="15:20" x14ac:dyDescent="0.25">
      <c r="O5348">
        <v>1</v>
      </c>
      <c r="S5348" t="e">
        <v>#DIV/0!</v>
      </c>
      <c r="T5348" t="s">
        <v>82</v>
      </c>
    </row>
    <row r="5349" spans="15:20" x14ac:dyDescent="0.25">
      <c r="O5349">
        <v>1</v>
      </c>
      <c r="S5349" t="e">
        <v>#DIV/0!</v>
      </c>
      <c r="T5349" t="s">
        <v>82</v>
      </c>
    </row>
    <row r="5350" spans="15:20" x14ac:dyDescent="0.25">
      <c r="O5350">
        <v>1</v>
      </c>
      <c r="S5350" t="e">
        <v>#DIV/0!</v>
      </c>
      <c r="T5350" t="s">
        <v>82</v>
      </c>
    </row>
    <row r="5351" spans="15:20" x14ac:dyDescent="0.25">
      <c r="O5351">
        <v>1</v>
      </c>
      <c r="S5351" t="e">
        <v>#DIV/0!</v>
      </c>
      <c r="T5351" t="s">
        <v>82</v>
      </c>
    </row>
    <row r="5352" spans="15:20" x14ac:dyDescent="0.25">
      <c r="O5352">
        <v>1</v>
      </c>
      <c r="S5352" t="e">
        <v>#DIV/0!</v>
      </c>
      <c r="T5352" t="s">
        <v>82</v>
      </c>
    </row>
    <row r="5353" spans="15:20" x14ac:dyDescent="0.25">
      <c r="O5353">
        <v>1</v>
      </c>
      <c r="S5353" t="e">
        <v>#DIV/0!</v>
      </c>
      <c r="T5353" t="s">
        <v>82</v>
      </c>
    </row>
    <row r="5354" spans="15:20" x14ac:dyDescent="0.25">
      <c r="O5354">
        <v>1</v>
      </c>
      <c r="S5354" t="e">
        <v>#DIV/0!</v>
      </c>
      <c r="T5354" t="s">
        <v>82</v>
      </c>
    </row>
    <row r="5355" spans="15:20" x14ac:dyDescent="0.25">
      <c r="O5355">
        <v>1</v>
      </c>
      <c r="S5355" t="e">
        <v>#DIV/0!</v>
      </c>
      <c r="T5355" t="s">
        <v>82</v>
      </c>
    </row>
    <row r="5356" spans="15:20" x14ac:dyDescent="0.25">
      <c r="O5356">
        <v>1</v>
      </c>
      <c r="S5356" t="e">
        <v>#DIV/0!</v>
      </c>
      <c r="T5356" t="s">
        <v>82</v>
      </c>
    </row>
    <row r="5357" spans="15:20" x14ac:dyDescent="0.25">
      <c r="O5357">
        <v>1</v>
      </c>
      <c r="S5357" t="e">
        <v>#DIV/0!</v>
      </c>
      <c r="T5357" t="s">
        <v>82</v>
      </c>
    </row>
    <row r="5358" spans="15:20" x14ac:dyDescent="0.25">
      <c r="O5358">
        <v>1</v>
      </c>
      <c r="S5358" t="e">
        <v>#DIV/0!</v>
      </c>
      <c r="T5358" t="s">
        <v>82</v>
      </c>
    </row>
    <row r="5359" spans="15:20" x14ac:dyDescent="0.25">
      <c r="O5359">
        <v>1</v>
      </c>
      <c r="S5359" t="e">
        <v>#DIV/0!</v>
      </c>
      <c r="T5359" t="s">
        <v>82</v>
      </c>
    </row>
    <row r="5360" spans="15:20" x14ac:dyDescent="0.25">
      <c r="O5360">
        <v>1</v>
      </c>
      <c r="S5360" t="e">
        <v>#DIV/0!</v>
      </c>
      <c r="T5360" t="s">
        <v>82</v>
      </c>
    </row>
    <row r="5361" spans="15:20" x14ac:dyDescent="0.25">
      <c r="O5361">
        <v>1</v>
      </c>
      <c r="S5361" t="e">
        <v>#DIV/0!</v>
      </c>
      <c r="T5361" t="s">
        <v>82</v>
      </c>
    </row>
    <row r="5362" spans="15:20" x14ac:dyDescent="0.25">
      <c r="O5362">
        <v>1</v>
      </c>
      <c r="S5362" t="e">
        <v>#DIV/0!</v>
      </c>
      <c r="T5362" t="s">
        <v>82</v>
      </c>
    </row>
    <row r="5363" spans="15:20" x14ac:dyDescent="0.25">
      <c r="O5363">
        <v>1</v>
      </c>
      <c r="S5363" t="e">
        <v>#DIV/0!</v>
      </c>
      <c r="T5363" t="s">
        <v>82</v>
      </c>
    </row>
    <row r="5364" spans="15:20" x14ac:dyDescent="0.25">
      <c r="O5364">
        <v>1</v>
      </c>
      <c r="S5364" t="e">
        <v>#DIV/0!</v>
      </c>
      <c r="T5364" t="s">
        <v>82</v>
      </c>
    </row>
    <row r="5365" spans="15:20" x14ac:dyDescent="0.25">
      <c r="O5365">
        <v>1</v>
      </c>
      <c r="S5365" t="e">
        <v>#DIV/0!</v>
      </c>
      <c r="T5365" t="s">
        <v>82</v>
      </c>
    </row>
    <row r="5366" spans="15:20" x14ac:dyDescent="0.25">
      <c r="O5366">
        <v>1</v>
      </c>
      <c r="S5366" t="e">
        <v>#DIV/0!</v>
      </c>
      <c r="T5366" t="s">
        <v>82</v>
      </c>
    </row>
    <row r="5367" spans="15:20" x14ac:dyDescent="0.25">
      <c r="O5367">
        <v>1</v>
      </c>
      <c r="S5367" t="e">
        <v>#DIV/0!</v>
      </c>
      <c r="T5367" t="s">
        <v>82</v>
      </c>
    </row>
    <row r="5368" spans="15:20" x14ac:dyDescent="0.25">
      <c r="O5368">
        <v>1</v>
      </c>
      <c r="S5368" t="e">
        <v>#DIV/0!</v>
      </c>
      <c r="T5368" t="s">
        <v>82</v>
      </c>
    </row>
    <row r="5369" spans="15:20" x14ac:dyDescent="0.25">
      <c r="O5369">
        <v>1</v>
      </c>
      <c r="S5369" t="e">
        <v>#DIV/0!</v>
      </c>
      <c r="T5369" t="s">
        <v>82</v>
      </c>
    </row>
    <row r="5370" spans="15:20" x14ac:dyDescent="0.25">
      <c r="O5370">
        <v>1</v>
      </c>
      <c r="S5370" t="e">
        <v>#DIV/0!</v>
      </c>
      <c r="T5370" t="s">
        <v>82</v>
      </c>
    </row>
    <row r="5371" spans="15:20" x14ac:dyDescent="0.25">
      <c r="O5371">
        <v>1</v>
      </c>
      <c r="S5371" t="e">
        <v>#DIV/0!</v>
      </c>
      <c r="T5371" t="s">
        <v>82</v>
      </c>
    </row>
    <row r="5372" spans="15:20" x14ac:dyDescent="0.25">
      <c r="O5372">
        <v>1</v>
      </c>
      <c r="S5372" t="e">
        <v>#DIV/0!</v>
      </c>
      <c r="T5372" t="s">
        <v>82</v>
      </c>
    </row>
    <row r="5373" spans="15:20" x14ac:dyDescent="0.25">
      <c r="O5373">
        <v>1</v>
      </c>
      <c r="S5373" t="e">
        <v>#DIV/0!</v>
      </c>
      <c r="T5373" t="s">
        <v>82</v>
      </c>
    </row>
    <row r="5374" spans="15:20" x14ac:dyDescent="0.25">
      <c r="O5374">
        <v>1</v>
      </c>
      <c r="S5374" t="e">
        <v>#DIV/0!</v>
      </c>
      <c r="T5374" t="s">
        <v>82</v>
      </c>
    </row>
    <row r="5375" spans="15:20" x14ac:dyDescent="0.25">
      <c r="O5375">
        <v>1</v>
      </c>
      <c r="S5375" t="e">
        <v>#DIV/0!</v>
      </c>
      <c r="T5375" t="s">
        <v>82</v>
      </c>
    </row>
    <row r="5376" spans="15:20" x14ac:dyDescent="0.25">
      <c r="O5376">
        <v>1</v>
      </c>
      <c r="S5376" t="e">
        <v>#DIV/0!</v>
      </c>
      <c r="T5376" t="s">
        <v>82</v>
      </c>
    </row>
    <row r="5377" spans="15:20" x14ac:dyDescent="0.25">
      <c r="O5377">
        <v>1</v>
      </c>
      <c r="S5377" t="e">
        <v>#DIV/0!</v>
      </c>
      <c r="T5377" t="s">
        <v>82</v>
      </c>
    </row>
    <row r="5378" spans="15:20" x14ac:dyDescent="0.25">
      <c r="O5378">
        <v>1</v>
      </c>
      <c r="S5378" t="e">
        <v>#DIV/0!</v>
      </c>
      <c r="T5378" t="s">
        <v>82</v>
      </c>
    </row>
    <row r="5379" spans="15:20" x14ac:dyDescent="0.25">
      <c r="O5379">
        <v>1</v>
      </c>
      <c r="S5379" t="e">
        <v>#DIV/0!</v>
      </c>
      <c r="T5379" t="s">
        <v>82</v>
      </c>
    </row>
    <row r="5380" spans="15:20" x14ac:dyDescent="0.25">
      <c r="O5380">
        <v>1</v>
      </c>
      <c r="S5380" t="e">
        <v>#DIV/0!</v>
      </c>
      <c r="T5380" t="s">
        <v>82</v>
      </c>
    </row>
    <row r="5381" spans="15:20" x14ac:dyDescent="0.25">
      <c r="O5381">
        <v>1</v>
      </c>
      <c r="S5381" t="e">
        <v>#DIV/0!</v>
      </c>
      <c r="T5381" t="s">
        <v>82</v>
      </c>
    </row>
    <row r="5382" spans="15:20" x14ac:dyDescent="0.25">
      <c r="O5382">
        <v>1</v>
      </c>
      <c r="S5382" t="e">
        <v>#DIV/0!</v>
      </c>
      <c r="T5382" t="s">
        <v>82</v>
      </c>
    </row>
    <row r="5383" spans="15:20" x14ac:dyDescent="0.25">
      <c r="O5383">
        <v>1</v>
      </c>
      <c r="S5383" t="e">
        <v>#DIV/0!</v>
      </c>
      <c r="T5383" t="s">
        <v>82</v>
      </c>
    </row>
    <row r="5384" spans="15:20" x14ac:dyDescent="0.25">
      <c r="O5384">
        <v>1</v>
      </c>
      <c r="S5384" t="e">
        <v>#DIV/0!</v>
      </c>
      <c r="T5384" t="s">
        <v>82</v>
      </c>
    </row>
    <row r="5385" spans="15:20" x14ac:dyDescent="0.25">
      <c r="O5385">
        <v>1</v>
      </c>
      <c r="S5385" t="e">
        <v>#DIV/0!</v>
      </c>
      <c r="T5385" t="s">
        <v>82</v>
      </c>
    </row>
    <row r="5386" spans="15:20" x14ac:dyDescent="0.25">
      <c r="O5386">
        <v>1</v>
      </c>
      <c r="S5386" t="e">
        <v>#DIV/0!</v>
      </c>
      <c r="T5386" t="s">
        <v>82</v>
      </c>
    </row>
    <row r="5387" spans="15:20" x14ac:dyDescent="0.25">
      <c r="O5387">
        <v>1</v>
      </c>
      <c r="S5387" t="e">
        <v>#DIV/0!</v>
      </c>
      <c r="T5387" t="s">
        <v>82</v>
      </c>
    </row>
    <row r="5388" spans="15:20" x14ac:dyDescent="0.25">
      <c r="O5388">
        <v>1</v>
      </c>
      <c r="S5388" t="e">
        <v>#DIV/0!</v>
      </c>
      <c r="T5388" t="s">
        <v>82</v>
      </c>
    </row>
    <row r="5389" spans="15:20" x14ac:dyDescent="0.25">
      <c r="O5389">
        <v>1</v>
      </c>
      <c r="S5389" t="e">
        <v>#DIV/0!</v>
      </c>
      <c r="T5389" t="s">
        <v>82</v>
      </c>
    </row>
    <row r="5390" spans="15:20" x14ac:dyDescent="0.25">
      <c r="O5390">
        <v>1</v>
      </c>
      <c r="S5390" t="e">
        <v>#DIV/0!</v>
      </c>
      <c r="T5390" t="s">
        <v>82</v>
      </c>
    </row>
    <row r="5391" spans="15:20" x14ac:dyDescent="0.25">
      <c r="O5391">
        <v>1</v>
      </c>
      <c r="S5391" t="e">
        <v>#DIV/0!</v>
      </c>
      <c r="T5391" t="s">
        <v>82</v>
      </c>
    </row>
    <row r="5392" spans="15:20" x14ac:dyDescent="0.25">
      <c r="O5392">
        <v>1</v>
      </c>
      <c r="S5392" t="e">
        <v>#DIV/0!</v>
      </c>
      <c r="T5392" t="s">
        <v>82</v>
      </c>
    </row>
    <row r="5393" spans="15:20" x14ac:dyDescent="0.25">
      <c r="O5393">
        <v>1</v>
      </c>
      <c r="S5393" t="e">
        <v>#DIV/0!</v>
      </c>
      <c r="T5393" t="s">
        <v>82</v>
      </c>
    </row>
    <row r="5394" spans="15:20" x14ac:dyDescent="0.25">
      <c r="O5394">
        <v>1</v>
      </c>
      <c r="S5394" t="e">
        <v>#DIV/0!</v>
      </c>
      <c r="T5394" t="s">
        <v>82</v>
      </c>
    </row>
    <row r="5395" spans="15:20" x14ac:dyDescent="0.25">
      <c r="O5395">
        <v>1</v>
      </c>
      <c r="S5395" t="e">
        <v>#DIV/0!</v>
      </c>
      <c r="T5395" t="s">
        <v>82</v>
      </c>
    </row>
    <row r="5396" spans="15:20" x14ac:dyDescent="0.25">
      <c r="O5396">
        <v>1</v>
      </c>
      <c r="S5396" t="e">
        <v>#DIV/0!</v>
      </c>
      <c r="T5396" t="s">
        <v>82</v>
      </c>
    </row>
    <row r="5397" spans="15:20" x14ac:dyDescent="0.25">
      <c r="O5397">
        <v>1</v>
      </c>
      <c r="S5397" t="e">
        <v>#DIV/0!</v>
      </c>
      <c r="T5397" t="s">
        <v>82</v>
      </c>
    </row>
    <row r="5398" spans="15:20" x14ac:dyDescent="0.25">
      <c r="O5398">
        <v>1</v>
      </c>
      <c r="S5398" t="e">
        <v>#DIV/0!</v>
      </c>
      <c r="T5398" t="s">
        <v>82</v>
      </c>
    </row>
    <row r="5399" spans="15:20" x14ac:dyDescent="0.25">
      <c r="O5399">
        <v>1</v>
      </c>
      <c r="S5399" t="e">
        <v>#DIV/0!</v>
      </c>
      <c r="T5399" t="s">
        <v>82</v>
      </c>
    </row>
    <row r="5400" spans="15:20" x14ac:dyDescent="0.25">
      <c r="O5400">
        <v>1</v>
      </c>
      <c r="S5400" t="e">
        <v>#DIV/0!</v>
      </c>
      <c r="T5400" t="s">
        <v>82</v>
      </c>
    </row>
    <row r="5401" spans="15:20" x14ac:dyDescent="0.25">
      <c r="O5401">
        <v>1</v>
      </c>
      <c r="S5401" t="e">
        <v>#DIV/0!</v>
      </c>
      <c r="T5401" t="s">
        <v>82</v>
      </c>
    </row>
    <row r="5402" spans="15:20" x14ac:dyDescent="0.25">
      <c r="O5402">
        <v>1</v>
      </c>
      <c r="S5402" t="e">
        <v>#DIV/0!</v>
      </c>
      <c r="T5402" t="s">
        <v>82</v>
      </c>
    </row>
    <row r="5403" spans="15:20" x14ac:dyDescent="0.25">
      <c r="O5403">
        <v>1</v>
      </c>
      <c r="S5403" t="e">
        <v>#DIV/0!</v>
      </c>
      <c r="T5403" t="s">
        <v>82</v>
      </c>
    </row>
    <row r="5404" spans="15:20" x14ac:dyDescent="0.25">
      <c r="O5404">
        <v>1</v>
      </c>
      <c r="S5404" t="e">
        <v>#DIV/0!</v>
      </c>
      <c r="T5404" t="s">
        <v>82</v>
      </c>
    </row>
    <row r="5405" spans="15:20" x14ac:dyDescent="0.25">
      <c r="O5405">
        <v>1</v>
      </c>
      <c r="S5405" t="e">
        <v>#DIV/0!</v>
      </c>
      <c r="T5405" t="s">
        <v>82</v>
      </c>
    </row>
    <row r="5406" spans="15:20" x14ac:dyDescent="0.25">
      <c r="O5406">
        <v>1</v>
      </c>
      <c r="S5406" t="e">
        <v>#DIV/0!</v>
      </c>
      <c r="T5406" t="s">
        <v>82</v>
      </c>
    </row>
    <row r="5407" spans="15:20" x14ac:dyDescent="0.25">
      <c r="O5407">
        <v>1</v>
      </c>
      <c r="S5407" t="e">
        <v>#DIV/0!</v>
      </c>
      <c r="T5407" t="s">
        <v>82</v>
      </c>
    </row>
    <row r="5408" spans="15:20" x14ac:dyDescent="0.25">
      <c r="O5408">
        <v>1</v>
      </c>
      <c r="S5408" t="e">
        <v>#DIV/0!</v>
      </c>
      <c r="T5408" t="s">
        <v>82</v>
      </c>
    </row>
    <row r="5409" spans="15:20" x14ac:dyDescent="0.25">
      <c r="O5409">
        <v>1</v>
      </c>
      <c r="S5409" t="e">
        <v>#DIV/0!</v>
      </c>
      <c r="T5409" t="s">
        <v>82</v>
      </c>
    </row>
    <row r="5410" spans="15:20" x14ac:dyDescent="0.25">
      <c r="O5410">
        <v>1</v>
      </c>
      <c r="S5410" t="e">
        <v>#DIV/0!</v>
      </c>
      <c r="T5410" t="s">
        <v>82</v>
      </c>
    </row>
    <row r="5411" spans="15:20" x14ac:dyDescent="0.25">
      <c r="O5411">
        <v>1</v>
      </c>
      <c r="S5411" t="e">
        <v>#DIV/0!</v>
      </c>
      <c r="T5411" t="s">
        <v>82</v>
      </c>
    </row>
    <row r="5412" spans="15:20" x14ac:dyDescent="0.25">
      <c r="O5412">
        <v>1</v>
      </c>
      <c r="S5412" t="e">
        <v>#DIV/0!</v>
      </c>
      <c r="T5412" t="s">
        <v>82</v>
      </c>
    </row>
    <row r="5413" spans="15:20" x14ac:dyDescent="0.25">
      <c r="O5413">
        <v>1</v>
      </c>
      <c r="S5413" t="e">
        <v>#DIV/0!</v>
      </c>
      <c r="T5413" t="s">
        <v>82</v>
      </c>
    </row>
    <row r="5414" spans="15:20" x14ac:dyDescent="0.25">
      <c r="O5414">
        <v>1</v>
      </c>
      <c r="S5414" t="e">
        <v>#DIV/0!</v>
      </c>
      <c r="T5414" t="s">
        <v>82</v>
      </c>
    </row>
    <row r="5415" spans="15:20" x14ac:dyDescent="0.25">
      <c r="O5415">
        <v>1</v>
      </c>
      <c r="S5415" t="e">
        <v>#DIV/0!</v>
      </c>
      <c r="T5415" t="s">
        <v>82</v>
      </c>
    </row>
    <row r="5416" spans="15:20" x14ac:dyDescent="0.25">
      <c r="O5416">
        <v>1</v>
      </c>
      <c r="S5416" t="e">
        <v>#DIV/0!</v>
      </c>
      <c r="T5416" t="s">
        <v>82</v>
      </c>
    </row>
    <row r="5417" spans="15:20" x14ac:dyDescent="0.25">
      <c r="O5417">
        <v>1</v>
      </c>
      <c r="S5417" t="e">
        <v>#DIV/0!</v>
      </c>
      <c r="T5417" t="s">
        <v>82</v>
      </c>
    </row>
    <row r="5418" spans="15:20" x14ac:dyDescent="0.25">
      <c r="O5418">
        <v>1</v>
      </c>
      <c r="S5418" t="e">
        <v>#DIV/0!</v>
      </c>
      <c r="T5418" t="s">
        <v>82</v>
      </c>
    </row>
    <row r="5419" spans="15:20" x14ac:dyDescent="0.25">
      <c r="O5419">
        <v>1</v>
      </c>
      <c r="S5419" t="e">
        <v>#DIV/0!</v>
      </c>
      <c r="T5419" t="s">
        <v>82</v>
      </c>
    </row>
    <row r="5420" spans="15:20" x14ac:dyDescent="0.25">
      <c r="O5420">
        <v>1</v>
      </c>
      <c r="S5420" t="e">
        <v>#DIV/0!</v>
      </c>
      <c r="T5420" t="s">
        <v>82</v>
      </c>
    </row>
    <row r="5421" spans="15:20" x14ac:dyDescent="0.25">
      <c r="O5421">
        <v>1</v>
      </c>
      <c r="S5421" t="e">
        <v>#DIV/0!</v>
      </c>
      <c r="T5421" t="s">
        <v>82</v>
      </c>
    </row>
    <row r="5422" spans="15:20" x14ac:dyDescent="0.25">
      <c r="O5422">
        <v>1</v>
      </c>
      <c r="S5422" t="e">
        <v>#DIV/0!</v>
      </c>
      <c r="T5422" t="s">
        <v>82</v>
      </c>
    </row>
    <row r="5423" spans="15:20" x14ac:dyDescent="0.25">
      <c r="O5423">
        <v>1</v>
      </c>
      <c r="S5423" t="e">
        <v>#DIV/0!</v>
      </c>
      <c r="T5423" t="s">
        <v>82</v>
      </c>
    </row>
    <row r="5424" spans="15:20" x14ac:dyDescent="0.25">
      <c r="O5424">
        <v>1</v>
      </c>
      <c r="S5424" t="e">
        <v>#DIV/0!</v>
      </c>
      <c r="T5424" t="s">
        <v>82</v>
      </c>
    </row>
    <row r="5425" spans="15:20" x14ac:dyDescent="0.25">
      <c r="O5425">
        <v>1</v>
      </c>
      <c r="S5425" t="e">
        <v>#DIV/0!</v>
      </c>
      <c r="T5425" t="s">
        <v>82</v>
      </c>
    </row>
    <row r="5426" spans="15:20" x14ac:dyDescent="0.25">
      <c r="O5426">
        <v>1</v>
      </c>
      <c r="S5426" t="e">
        <v>#DIV/0!</v>
      </c>
      <c r="T5426" t="s">
        <v>82</v>
      </c>
    </row>
    <row r="5427" spans="15:20" x14ac:dyDescent="0.25">
      <c r="O5427">
        <v>1</v>
      </c>
      <c r="S5427" t="e">
        <v>#DIV/0!</v>
      </c>
      <c r="T5427" t="s">
        <v>82</v>
      </c>
    </row>
    <row r="5428" spans="15:20" x14ac:dyDescent="0.25">
      <c r="O5428">
        <v>1</v>
      </c>
      <c r="S5428" t="e">
        <v>#DIV/0!</v>
      </c>
      <c r="T5428" t="s">
        <v>82</v>
      </c>
    </row>
    <row r="5429" spans="15:20" x14ac:dyDescent="0.25">
      <c r="O5429">
        <v>1</v>
      </c>
      <c r="S5429" t="e">
        <v>#DIV/0!</v>
      </c>
      <c r="T5429" t="s">
        <v>82</v>
      </c>
    </row>
    <row r="5430" spans="15:20" x14ac:dyDescent="0.25">
      <c r="O5430">
        <v>1</v>
      </c>
      <c r="S5430" t="e">
        <v>#DIV/0!</v>
      </c>
      <c r="T5430" t="s">
        <v>82</v>
      </c>
    </row>
    <row r="5431" spans="15:20" x14ac:dyDescent="0.25">
      <c r="O5431">
        <v>1</v>
      </c>
      <c r="S5431" t="e">
        <v>#DIV/0!</v>
      </c>
      <c r="T5431" t="s">
        <v>82</v>
      </c>
    </row>
    <row r="5432" spans="15:20" x14ac:dyDescent="0.25">
      <c r="O5432">
        <v>1</v>
      </c>
      <c r="S5432" t="e">
        <v>#DIV/0!</v>
      </c>
      <c r="T5432" t="s">
        <v>82</v>
      </c>
    </row>
    <row r="5433" spans="15:20" x14ac:dyDescent="0.25">
      <c r="O5433">
        <v>1</v>
      </c>
      <c r="S5433" t="e">
        <v>#DIV/0!</v>
      </c>
      <c r="T5433" t="s">
        <v>82</v>
      </c>
    </row>
    <row r="5434" spans="15:20" x14ac:dyDescent="0.25">
      <c r="O5434">
        <v>1</v>
      </c>
      <c r="S5434" t="e">
        <v>#DIV/0!</v>
      </c>
      <c r="T5434" t="s">
        <v>82</v>
      </c>
    </row>
    <row r="5435" spans="15:20" x14ac:dyDescent="0.25">
      <c r="O5435">
        <v>1</v>
      </c>
      <c r="S5435" t="e">
        <v>#DIV/0!</v>
      </c>
      <c r="T5435" t="s">
        <v>82</v>
      </c>
    </row>
    <row r="5436" spans="15:20" x14ac:dyDescent="0.25">
      <c r="O5436">
        <v>1</v>
      </c>
      <c r="S5436" t="e">
        <v>#DIV/0!</v>
      </c>
      <c r="T5436" t="s">
        <v>82</v>
      </c>
    </row>
    <row r="5437" spans="15:20" x14ac:dyDescent="0.25">
      <c r="O5437">
        <v>1</v>
      </c>
      <c r="S5437" t="e">
        <v>#DIV/0!</v>
      </c>
      <c r="T5437" t="s">
        <v>82</v>
      </c>
    </row>
    <row r="5438" spans="15:20" x14ac:dyDescent="0.25">
      <c r="O5438">
        <v>1</v>
      </c>
      <c r="S5438" t="e">
        <v>#DIV/0!</v>
      </c>
      <c r="T5438" t="s">
        <v>82</v>
      </c>
    </row>
    <row r="5439" spans="15:20" x14ac:dyDescent="0.25">
      <c r="O5439">
        <v>1</v>
      </c>
      <c r="S5439" t="e">
        <v>#DIV/0!</v>
      </c>
      <c r="T5439" t="s">
        <v>82</v>
      </c>
    </row>
    <row r="5440" spans="15:20" x14ac:dyDescent="0.25">
      <c r="O5440">
        <v>1</v>
      </c>
      <c r="S5440" t="e">
        <v>#DIV/0!</v>
      </c>
      <c r="T5440" t="s">
        <v>82</v>
      </c>
    </row>
    <row r="5441" spans="15:20" x14ac:dyDescent="0.25">
      <c r="O5441">
        <v>1</v>
      </c>
      <c r="S5441" t="e">
        <v>#DIV/0!</v>
      </c>
      <c r="T5441" t="s">
        <v>82</v>
      </c>
    </row>
    <row r="5442" spans="15:20" x14ac:dyDescent="0.25">
      <c r="O5442">
        <v>1</v>
      </c>
      <c r="S5442" t="e">
        <v>#DIV/0!</v>
      </c>
      <c r="T5442" t="s">
        <v>82</v>
      </c>
    </row>
    <row r="5443" spans="15:20" x14ac:dyDescent="0.25">
      <c r="O5443">
        <v>1</v>
      </c>
      <c r="S5443" t="e">
        <v>#DIV/0!</v>
      </c>
      <c r="T5443" t="s">
        <v>82</v>
      </c>
    </row>
    <row r="5444" spans="15:20" x14ac:dyDescent="0.25">
      <c r="O5444">
        <v>1</v>
      </c>
      <c r="S5444" t="e">
        <v>#DIV/0!</v>
      </c>
      <c r="T5444" t="s">
        <v>82</v>
      </c>
    </row>
    <row r="5445" spans="15:20" x14ac:dyDescent="0.25">
      <c r="O5445">
        <v>1</v>
      </c>
      <c r="S5445" t="e">
        <v>#DIV/0!</v>
      </c>
      <c r="T5445" t="s">
        <v>82</v>
      </c>
    </row>
    <row r="5446" spans="15:20" x14ac:dyDescent="0.25">
      <c r="O5446">
        <v>1</v>
      </c>
      <c r="S5446" t="e">
        <v>#DIV/0!</v>
      </c>
      <c r="T5446" t="s">
        <v>82</v>
      </c>
    </row>
    <row r="5447" spans="15:20" x14ac:dyDescent="0.25">
      <c r="O5447">
        <v>1</v>
      </c>
      <c r="S5447" t="e">
        <v>#DIV/0!</v>
      </c>
      <c r="T5447" t="s">
        <v>82</v>
      </c>
    </row>
    <row r="5448" spans="15:20" x14ac:dyDescent="0.25">
      <c r="O5448">
        <v>1</v>
      </c>
      <c r="S5448" t="e">
        <v>#DIV/0!</v>
      </c>
      <c r="T5448" t="s">
        <v>82</v>
      </c>
    </row>
    <row r="5449" spans="15:20" x14ac:dyDescent="0.25">
      <c r="O5449">
        <v>1</v>
      </c>
      <c r="S5449" t="e">
        <v>#DIV/0!</v>
      </c>
      <c r="T5449" t="s">
        <v>82</v>
      </c>
    </row>
    <row r="5450" spans="15:20" x14ac:dyDescent="0.25">
      <c r="O5450">
        <v>1</v>
      </c>
      <c r="S5450" t="e">
        <v>#DIV/0!</v>
      </c>
      <c r="T5450" t="s">
        <v>82</v>
      </c>
    </row>
    <row r="5451" spans="15:20" x14ac:dyDescent="0.25">
      <c r="O5451">
        <v>1</v>
      </c>
      <c r="S5451" t="e">
        <v>#DIV/0!</v>
      </c>
      <c r="T5451" t="s">
        <v>82</v>
      </c>
    </row>
    <row r="5452" spans="15:20" x14ac:dyDescent="0.25">
      <c r="O5452">
        <v>1</v>
      </c>
      <c r="S5452" t="e">
        <v>#DIV/0!</v>
      </c>
      <c r="T5452" t="s">
        <v>82</v>
      </c>
    </row>
    <row r="5453" spans="15:20" x14ac:dyDescent="0.25">
      <c r="O5453">
        <v>1</v>
      </c>
      <c r="S5453" t="e">
        <v>#DIV/0!</v>
      </c>
      <c r="T5453" t="s">
        <v>82</v>
      </c>
    </row>
    <row r="5454" spans="15:20" x14ac:dyDescent="0.25">
      <c r="O5454">
        <v>1</v>
      </c>
      <c r="S5454" t="e">
        <v>#DIV/0!</v>
      </c>
      <c r="T5454" t="s">
        <v>82</v>
      </c>
    </row>
    <row r="5455" spans="15:20" x14ac:dyDescent="0.25">
      <c r="O5455">
        <v>1</v>
      </c>
      <c r="S5455" t="e">
        <v>#DIV/0!</v>
      </c>
      <c r="T5455" t="s">
        <v>82</v>
      </c>
    </row>
    <row r="5456" spans="15:20" x14ac:dyDescent="0.25">
      <c r="O5456">
        <v>1</v>
      </c>
      <c r="S5456" t="e">
        <v>#DIV/0!</v>
      </c>
      <c r="T5456" t="s">
        <v>82</v>
      </c>
    </row>
    <row r="5457" spans="15:20" x14ac:dyDescent="0.25">
      <c r="O5457">
        <v>1</v>
      </c>
      <c r="S5457" t="e">
        <v>#DIV/0!</v>
      </c>
      <c r="T5457" t="s">
        <v>82</v>
      </c>
    </row>
    <row r="5458" spans="15:20" x14ac:dyDescent="0.25">
      <c r="O5458">
        <v>1</v>
      </c>
      <c r="S5458" t="e">
        <v>#DIV/0!</v>
      </c>
      <c r="T5458" t="s">
        <v>82</v>
      </c>
    </row>
    <row r="5459" spans="15:20" x14ac:dyDescent="0.25">
      <c r="O5459">
        <v>1</v>
      </c>
      <c r="S5459" t="e">
        <v>#DIV/0!</v>
      </c>
      <c r="T5459" t="s">
        <v>82</v>
      </c>
    </row>
    <row r="5460" spans="15:20" x14ac:dyDescent="0.25">
      <c r="O5460">
        <v>1</v>
      </c>
      <c r="S5460" t="e">
        <v>#DIV/0!</v>
      </c>
      <c r="T5460" t="s">
        <v>82</v>
      </c>
    </row>
    <row r="5461" spans="15:20" x14ac:dyDescent="0.25">
      <c r="O5461">
        <v>1</v>
      </c>
      <c r="S5461" t="e">
        <v>#DIV/0!</v>
      </c>
      <c r="T5461" t="s">
        <v>82</v>
      </c>
    </row>
    <row r="5462" spans="15:20" x14ac:dyDescent="0.25">
      <c r="O5462">
        <v>1</v>
      </c>
      <c r="S5462" t="e">
        <v>#DIV/0!</v>
      </c>
      <c r="T5462" t="s">
        <v>82</v>
      </c>
    </row>
    <row r="5463" spans="15:20" x14ac:dyDescent="0.25">
      <c r="O5463">
        <v>1</v>
      </c>
      <c r="S5463" t="e">
        <v>#DIV/0!</v>
      </c>
      <c r="T5463" t="s">
        <v>82</v>
      </c>
    </row>
    <row r="5464" spans="15:20" x14ac:dyDescent="0.25">
      <c r="O5464">
        <v>1</v>
      </c>
      <c r="S5464" t="e">
        <v>#DIV/0!</v>
      </c>
      <c r="T5464" t="s">
        <v>82</v>
      </c>
    </row>
    <row r="5465" spans="15:20" x14ac:dyDescent="0.25">
      <c r="O5465">
        <v>1</v>
      </c>
      <c r="S5465" t="e">
        <v>#DIV/0!</v>
      </c>
      <c r="T5465" t="s">
        <v>82</v>
      </c>
    </row>
    <row r="5466" spans="15:20" x14ac:dyDescent="0.25">
      <c r="O5466">
        <v>1</v>
      </c>
      <c r="S5466" t="e">
        <v>#DIV/0!</v>
      </c>
      <c r="T5466" t="s">
        <v>82</v>
      </c>
    </row>
    <row r="5467" spans="15:20" x14ac:dyDescent="0.25">
      <c r="O5467">
        <v>1</v>
      </c>
      <c r="S5467" t="e">
        <v>#DIV/0!</v>
      </c>
      <c r="T5467" t="s">
        <v>82</v>
      </c>
    </row>
    <row r="5468" spans="15:20" x14ac:dyDescent="0.25">
      <c r="O5468">
        <v>1</v>
      </c>
      <c r="S5468" t="e">
        <v>#DIV/0!</v>
      </c>
      <c r="T5468" t="s">
        <v>82</v>
      </c>
    </row>
    <row r="5469" spans="15:20" x14ac:dyDescent="0.25">
      <c r="O5469">
        <v>1</v>
      </c>
      <c r="S5469" t="e">
        <v>#DIV/0!</v>
      </c>
      <c r="T5469" t="s">
        <v>82</v>
      </c>
    </row>
    <row r="5470" spans="15:20" x14ac:dyDescent="0.25">
      <c r="O5470">
        <v>1</v>
      </c>
      <c r="S5470" t="e">
        <v>#DIV/0!</v>
      </c>
      <c r="T5470" t="s">
        <v>82</v>
      </c>
    </row>
    <row r="5471" spans="15:20" x14ac:dyDescent="0.25">
      <c r="O5471">
        <v>1</v>
      </c>
      <c r="S5471" t="e">
        <v>#DIV/0!</v>
      </c>
      <c r="T5471" t="s">
        <v>82</v>
      </c>
    </row>
    <row r="5472" spans="15:20" x14ac:dyDescent="0.25">
      <c r="O5472">
        <v>1</v>
      </c>
      <c r="S5472" t="e">
        <v>#DIV/0!</v>
      </c>
      <c r="T5472" t="s">
        <v>82</v>
      </c>
    </row>
    <row r="5473" spans="15:20" x14ac:dyDescent="0.25">
      <c r="O5473">
        <v>1</v>
      </c>
      <c r="S5473" t="e">
        <v>#DIV/0!</v>
      </c>
      <c r="T5473" t="s">
        <v>82</v>
      </c>
    </row>
    <row r="5474" spans="15:20" x14ac:dyDescent="0.25">
      <c r="O5474">
        <v>1</v>
      </c>
      <c r="S5474" t="e">
        <v>#DIV/0!</v>
      </c>
      <c r="T5474" t="s">
        <v>82</v>
      </c>
    </row>
    <row r="5475" spans="15:20" x14ac:dyDescent="0.25">
      <c r="O5475">
        <v>1</v>
      </c>
      <c r="S5475" t="e">
        <v>#DIV/0!</v>
      </c>
      <c r="T5475" t="s">
        <v>82</v>
      </c>
    </row>
    <row r="5476" spans="15:20" x14ac:dyDescent="0.25">
      <c r="O5476">
        <v>1</v>
      </c>
      <c r="S5476" t="e">
        <v>#DIV/0!</v>
      </c>
      <c r="T5476" t="s">
        <v>82</v>
      </c>
    </row>
    <row r="5477" spans="15:20" x14ac:dyDescent="0.25">
      <c r="O5477">
        <v>1</v>
      </c>
      <c r="S5477" t="e">
        <v>#DIV/0!</v>
      </c>
      <c r="T5477" t="s">
        <v>82</v>
      </c>
    </row>
    <row r="5478" spans="15:20" x14ac:dyDescent="0.25">
      <c r="O5478">
        <v>1</v>
      </c>
      <c r="S5478" t="e">
        <v>#DIV/0!</v>
      </c>
      <c r="T5478" t="s">
        <v>82</v>
      </c>
    </row>
    <row r="5479" spans="15:20" x14ac:dyDescent="0.25">
      <c r="O5479">
        <v>1</v>
      </c>
      <c r="S5479" t="e">
        <v>#DIV/0!</v>
      </c>
      <c r="T5479" t="s">
        <v>82</v>
      </c>
    </row>
    <row r="5480" spans="15:20" x14ac:dyDescent="0.25">
      <c r="O5480">
        <v>1</v>
      </c>
      <c r="S5480" t="e">
        <v>#DIV/0!</v>
      </c>
      <c r="T5480" t="s">
        <v>82</v>
      </c>
    </row>
    <row r="5481" spans="15:20" x14ac:dyDescent="0.25">
      <c r="O5481">
        <v>1</v>
      </c>
      <c r="S5481" t="e">
        <v>#DIV/0!</v>
      </c>
      <c r="T5481" t="s">
        <v>82</v>
      </c>
    </row>
    <row r="5482" spans="15:20" x14ac:dyDescent="0.25">
      <c r="O5482">
        <v>1</v>
      </c>
      <c r="S5482" t="e">
        <v>#DIV/0!</v>
      </c>
      <c r="T5482" t="s">
        <v>82</v>
      </c>
    </row>
    <row r="5483" spans="15:20" x14ac:dyDescent="0.25">
      <c r="O5483">
        <v>1</v>
      </c>
      <c r="S5483" t="e">
        <v>#DIV/0!</v>
      </c>
      <c r="T5483" t="s">
        <v>82</v>
      </c>
    </row>
    <row r="5484" spans="15:20" x14ac:dyDescent="0.25">
      <c r="O5484">
        <v>1</v>
      </c>
      <c r="S5484" t="e">
        <v>#DIV/0!</v>
      </c>
      <c r="T5484" t="s">
        <v>82</v>
      </c>
    </row>
    <row r="5485" spans="15:20" x14ac:dyDescent="0.25">
      <c r="O5485">
        <v>1</v>
      </c>
      <c r="S5485" t="e">
        <v>#DIV/0!</v>
      </c>
      <c r="T5485" t="s">
        <v>82</v>
      </c>
    </row>
    <row r="5486" spans="15:20" x14ac:dyDescent="0.25">
      <c r="O5486">
        <v>1</v>
      </c>
      <c r="S5486" t="e">
        <v>#DIV/0!</v>
      </c>
      <c r="T5486" t="s">
        <v>82</v>
      </c>
    </row>
    <row r="5487" spans="15:20" x14ac:dyDescent="0.25">
      <c r="O5487">
        <v>1</v>
      </c>
      <c r="S5487" t="e">
        <v>#DIV/0!</v>
      </c>
      <c r="T5487" t="s">
        <v>82</v>
      </c>
    </row>
    <row r="5488" spans="15:20" x14ac:dyDescent="0.25">
      <c r="O5488">
        <v>1</v>
      </c>
      <c r="S5488" t="e">
        <v>#DIV/0!</v>
      </c>
      <c r="T5488" t="s">
        <v>82</v>
      </c>
    </row>
    <row r="5489" spans="15:20" x14ac:dyDescent="0.25">
      <c r="O5489">
        <v>1</v>
      </c>
      <c r="S5489" t="e">
        <v>#DIV/0!</v>
      </c>
      <c r="T5489" t="s">
        <v>82</v>
      </c>
    </row>
    <row r="5490" spans="15:20" x14ac:dyDescent="0.25">
      <c r="O5490">
        <v>1</v>
      </c>
      <c r="S5490" t="e">
        <v>#DIV/0!</v>
      </c>
      <c r="T5490" t="s">
        <v>82</v>
      </c>
    </row>
    <row r="5491" spans="15:20" x14ac:dyDescent="0.25">
      <c r="O5491">
        <v>1</v>
      </c>
      <c r="S5491" t="e">
        <v>#DIV/0!</v>
      </c>
      <c r="T5491" t="s">
        <v>82</v>
      </c>
    </row>
    <row r="5492" spans="15:20" x14ac:dyDescent="0.25">
      <c r="O5492">
        <v>1</v>
      </c>
      <c r="S5492" t="e">
        <v>#DIV/0!</v>
      </c>
      <c r="T5492" t="s">
        <v>82</v>
      </c>
    </row>
    <row r="5493" spans="15:20" x14ac:dyDescent="0.25">
      <c r="O5493">
        <v>1</v>
      </c>
      <c r="S5493" t="e">
        <v>#DIV/0!</v>
      </c>
      <c r="T5493" t="s">
        <v>82</v>
      </c>
    </row>
    <row r="5494" spans="15:20" x14ac:dyDescent="0.25">
      <c r="O5494">
        <v>1</v>
      </c>
      <c r="S5494" t="e">
        <v>#DIV/0!</v>
      </c>
      <c r="T5494" t="s">
        <v>82</v>
      </c>
    </row>
    <row r="5495" spans="15:20" x14ac:dyDescent="0.25">
      <c r="O5495">
        <v>1</v>
      </c>
      <c r="S5495" t="e">
        <v>#DIV/0!</v>
      </c>
      <c r="T5495" t="s">
        <v>82</v>
      </c>
    </row>
    <row r="5496" spans="15:20" x14ac:dyDescent="0.25">
      <c r="O5496">
        <v>1</v>
      </c>
      <c r="S5496" t="e">
        <v>#DIV/0!</v>
      </c>
      <c r="T5496" t="s">
        <v>82</v>
      </c>
    </row>
    <row r="5497" spans="15:20" x14ac:dyDescent="0.25">
      <c r="O5497">
        <v>1</v>
      </c>
      <c r="S5497" t="e">
        <v>#DIV/0!</v>
      </c>
      <c r="T5497" t="s">
        <v>82</v>
      </c>
    </row>
    <row r="5498" spans="15:20" x14ac:dyDescent="0.25">
      <c r="O5498">
        <v>1</v>
      </c>
      <c r="S5498" t="e">
        <v>#DIV/0!</v>
      </c>
      <c r="T5498" t="s">
        <v>82</v>
      </c>
    </row>
    <row r="5499" spans="15:20" x14ac:dyDescent="0.25">
      <c r="O5499">
        <v>1</v>
      </c>
      <c r="S5499" t="e">
        <v>#DIV/0!</v>
      </c>
      <c r="T5499" t="s">
        <v>82</v>
      </c>
    </row>
    <row r="5500" spans="15:20" x14ac:dyDescent="0.25">
      <c r="O5500">
        <v>1</v>
      </c>
      <c r="S5500" t="e">
        <v>#DIV/0!</v>
      </c>
      <c r="T5500" t="s">
        <v>82</v>
      </c>
    </row>
    <row r="5501" spans="15:20" x14ac:dyDescent="0.25">
      <c r="O5501">
        <v>1</v>
      </c>
      <c r="S5501" t="e">
        <v>#DIV/0!</v>
      </c>
      <c r="T5501" t="s">
        <v>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15F4-BBAD-4511-8803-F306EE6591C2}">
  <dimension ref="A1:T5501"/>
  <sheetViews>
    <sheetView workbookViewId="0">
      <selection sqref="A1:T5501"/>
    </sheetView>
  </sheetViews>
  <sheetFormatPr baseColWidth="10" defaultRowHeight="15" x14ac:dyDescent="0.25"/>
  <cols>
    <col min="3" max="3" width="12.7109375" customWidth="1"/>
    <col min="6" max="6" width="18.28515625" customWidth="1"/>
    <col min="7" max="7" width="19.28515625" customWidth="1"/>
    <col min="8" max="8" width="13.140625" customWidth="1"/>
    <col min="10" max="10" width="11.85546875" customWidth="1"/>
    <col min="12" max="12" width="19.140625" customWidth="1"/>
    <col min="13" max="13" width="13.140625" customWidth="1"/>
    <col min="15" max="15" width="11.85546875" customWidth="1"/>
    <col min="17" max="18" width="14.5703125" customWidth="1"/>
    <col min="19" max="19" width="28" customWidth="1"/>
    <col min="20" max="20" width="24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80</v>
      </c>
      <c r="P1" t="s">
        <v>14</v>
      </c>
      <c r="Q1" t="s">
        <v>15</v>
      </c>
      <c r="R1" t="s">
        <v>16</v>
      </c>
      <c r="S1" t="s">
        <v>71</v>
      </c>
      <c r="T1" t="s">
        <v>72</v>
      </c>
    </row>
    <row r="2" spans="1:20" x14ac:dyDescent="0.25">
      <c r="A2" s="11">
        <v>45109</v>
      </c>
      <c r="B2" t="s">
        <v>17</v>
      </c>
      <c r="C2" t="s">
        <v>18</v>
      </c>
      <c r="D2" t="s">
        <v>53</v>
      </c>
      <c r="E2" t="s">
        <v>50</v>
      </c>
      <c r="F2">
        <v>973</v>
      </c>
      <c r="G2">
        <v>11.3</v>
      </c>
      <c r="H2">
        <v>10994.9</v>
      </c>
      <c r="I2" t="s">
        <v>26</v>
      </c>
      <c r="J2" t="s">
        <v>47</v>
      </c>
      <c r="K2" t="s">
        <v>28</v>
      </c>
      <c r="L2">
        <v>6812.56</v>
      </c>
      <c r="M2">
        <v>38</v>
      </c>
      <c r="N2">
        <v>2024</v>
      </c>
      <c r="O2">
        <v>3</v>
      </c>
      <c r="P2" t="s">
        <v>61</v>
      </c>
      <c r="Q2">
        <v>4182.34</v>
      </c>
      <c r="R2" t="s">
        <v>25</v>
      </c>
      <c r="S2">
        <v>1.6288871779912681</v>
      </c>
      <c r="T2" t="s">
        <v>78</v>
      </c>
    </row>
    <row r="3" spans="1:20" x14ac:dyDescent="0.25">
      <c r="A3" s="11">
        <v>44974</v>
      </c>
      <c r="B3" t="s">
        <v>51</v>
      </c>
      <c r="C3" t="s">
        <v>52</v>
      </c>
      <c r="D3" t="s">
        <v>49</v>
      </c>
      <c r="E3" t="s">
        <v>50</v>
      </c>
      <c r="F3">
        <v>985</v>
      </c>
      <c r="G3">
        <v>10.94</v>
      </c>
      <c r="H3">
        <v>10775.9</v>
      </c>
      <c r="I3" t="s">
        <v>54</v>
      </c>
      <c r="J3" t="s">
        <v>34</v>
      </c>
      <c r="K3" t="s">
        <v>28</v>
      </c>
      <c r="L3">
        <v>6892.01</v>
      </c>
      <c r="M3">
        <v>36</v>
      </c>
      <c r="N3">
        <v>2023</v>
      </c>
      <c r="O3">
        <v>1</v>
      </c>
      <c r="P3" t="s">
        <v>60</v>
      </c>
      <c r="Q3">
        <v>3883.89</v>
      </c>
      <c r="R3" t="s">
        <v>25</v>
      </c>
      <c r="S3">
        <v>1.7745121514769986</v>
      </c>
      <c r="T3" t="s">
        <v>78</v>
      </c>
    </row>
    <row r="4" spans="1:20" x14ac:dyDescent="0.25">
      <c r="A4" s="11">
        <v>45119</v>
      </c>
      <c r="B4" t="s">
        <v>58</v>
      </c>
      <c r="C4" t="s">
        <v>59</v>
      </c>
      <c r="D4" t="s">
        <v>53</v>
      </c>
      <c r="E4" t="s">
        <v>50</v>
      </c>
      <c r="F4">
        <v>888</v>
      </c>
      <c r="G4">
        <v>11.35</v>
      </c>
      <c r="H4">
        <v>10078.799999999999</v>
      </c>
      <c r="I4" t="s">
        <v>57</v>
      </c>
      <c r="J4" t="s">
        <v>27</v>
      </c>
      <c r="K4" t="s">
        <v>23</v>
      </c>
      <c r="L4">
        <v>6275.67</v>
      </c>
      <c r="M4">
        <v>37.700000000000003</v>
      </c>
      <c r="N4">
        <v>2024</v>
      </c>
      <c r="O4">
        <v>3</v>
      </c>
      <c r="P4" t="s">
        <v>64</v>
      </c>
      <c r="Q4">
        <v>3803.13</v>
      </c>
      <c r="R4" t="s">
        <v>25</v>
      </c>
      <c r="S4">
        <v>1.6501329168342918</v>
      </c>
      <c r="T4" t="s">
        <v>78</v>
      </c>
    </row>
    <row r="5" spans="1:20" x14ac:dyDescent="0.25">
      <c r="A5" s="11">
        <v>45022</v>
      </c>
      <c r="B5" t="s">
        <v>51</v>
      </c>
      <c r="C5" t="s">
        <v>52</v>
      </c>
      <c r="D5" t="s">
        <v>19</v>
      </c>
      <c r="E5" t="s">
        <v>20</v>
      </c>
      <c r="F5">
        <v>994</v>
      </c>
      <c r="G5">
        <v>11.81</v>
      </c>
      <c r="H5">
        <v>11739.14</v>
      </c>
      <c r="I5" t="s">
        <v>46</v>
      </c>
      <c r="J5" t="s">
        <v>47</v>
      </c>
      <c r="K5" t="s">
        <v>23</v>
      </c>
      <c r="L5">
        <v>8186.17</v>
      </c>
      <c r="M5">
        <v>30.3</v>
      </c>
      <c r="N5">
        <v>2023</v>
      </c>
      <c r="O5">
        <v>2</v>
      </c>
      <c r="P5" t="s">
        <v>63</v>
      </c>
      <c r="Q5">
        <v>3552.97</v>
      </c>
      <c r="R5" t="s">
        <v>25</v>
      </c>
      <c r="S5">
        <v>2.304035778517691</v>
      </c>
      <c r="T5" t="s">
        <v>78</v>
      </c>
    </row>
    <row r="6" spans="1:20" x14ac:dyDescent="0.25">
      <c r="A6" s="11">
        <v>45086</v>
      </c>
      <c r="B6" t="s">
        <v>30</v>
      </c>
      <c r="C6" t="s">
        <v>31</v>
      </c>
      <c r="D6" t="s">
        <v>53</v>
      </c>
      <c r="E6" t="s">
        <v>50</v>
      </c>
      <c r="F6">
        <v>861</v>
      </c>
      <c r="G6">
        <v>11.09</v>
      </c>
      <c r="H6">
        <v>9548.49</v>
      </c>
      <c r="I6" t="s">
        <v>33</v>
      </c>
      <c r="J6" t="s">
        <v>40</v>
      </c>
      <c r="K6" t="s">
        <v>23</v>
      </c>
      <c r="L6">
        <v>6043.37</v>
      </c>
      <c r="M6">
        <v>36.700000000000003</v>
      </c>
      <c r="N6">
        <v>2023</v>
      </c>
      <c r="O6">
        <v>2</v>
      </c>
      <c r="P6" t="s">
        <v>69</v>
      </c>
      <c r="Q6">
        <v>3505.12</v>
      </c>
      <c r="R6" t="s">
        <v>25</v>
      </c>
      <c r="S6">
        <v>1.7241549504724518</v>
      </c>
      <c r="T6" t="s">
        <v>78</v>
      </c>
    </row>
    <row r="7" spans="1:20" x14ac:dyDescent="0.25">
      <c r="A7" s="11">
        <v>45109</v>
      </c>
      <c r="B7" t="s">
        <v>58</v>
      </c>
      <c r="C7" t="s">
        <v>59</v>
      </c>
      <c r="D7" t="s">
        <v>53</v>
      </c>
      <c r="E7" t="s">
        <v>50</v>
      </c>
      <c r="F7">
        <v>988</v>
      </c>
      <c r="G7">
        <v>11.95</v>
      </c>
      <c r="H7">
        <v>11806.6</v>
      </c>
      <c r="I7" t="s">
        <v>26</v>
      </c>
      <c r="J7" t="s">
        <v>47</v>
      </c>
      <c r="K7" t="s">
        <v>23</v>
      </c>
      <c r="L7">
        <v>8378.17</v>
      </c>
      <c r="M7">
        <v>29</v>
      </c>
      <c r="N7">
        <v>2024</v>
      </c>
      <c r="O7">
        <v>3</v>
      </c>
      <c r="P7" t="s">
        <v>61</v>
      </c>
      <c r="Q7">
        <v>3428.43</v>
      </c>
      <c r="R7" t="s">
        <v>25</v>
      </c>
      <c r="S7">
        <v>2.443733720682645</v>
      </c>
      <c r="T7" t="s">
        <v>78</v>
      </c>
    </row>
    <row r="8" spans="1:20" x14ac:dyDescent="0.25">
      <c r="A8" s="11">
        <v>44978</v>
      </c>
      <c r="B8" t="s">
        <v>58</v>
      </c>
      <c r="C8" t="s">
        <v>59</v>
      </c>
      <c r="D8" t="s">
        <v>32</v>
      </c>
      <c r="E8" t="s">
        <v>20</v>
      </c>
      <c r="F8">
        <v>949</v>
      </c>
      <c r="G8">
        <v>9.84</v>
      </c>
      <c r="H8">
        <v>9338.16</v>
      </c>
      <c r="I8" t="s">
        <v>21</v>
      </c>
      <c r="J8" t="s">
        <v>47</v>
      </c>
      <c r="K8" t="s">
        <v>28</v>
      </c>
      <c r="L8">
        <v>5930.01</v>
      </c>
      <c r="M8">
        <v>36.5</v>
      </c>
      <c r="N8">
        <v>2023</v>
      </c>
      <c r="O8">
        <v>1</v>
      </c>
      <c r="P8" t="s">
        <v>61</v>
      </c>
      <c r="Q8">
        <v>3408.15</v>
      </c>
      <c r="R8" t="s">
        <v>25</v>
      </c>
      <c r="S8">
        <v>1.7399498261520179</v>
      </c>
      <c r="T8" t="s">
        <v>78</v>
      </c>
    </row>
    <row r="9" spans="1:20" x14ac:dyDescent="0.25">
      <c r="A9" s="11">
        <v>45060</v>
      </c>
      <c r="B9" t="s">
        <v>35</v>
      </c>
      <c r="C9" t="s">
        <v>36</v>
      </c>
      <c r="D9" t="s">
        <v>49</v>
      </c>
      <c r="E9" t="s">
        <v>50</v>
      </c>
      <c r="F9">
        <v>839</v>
      </c>
      <c r="G9">
        <v>10.8</v>
      </c>
      <c r="H9">
        <v>9061.2000000000007</v>
      </c>
      <c r="I9" t="s">
        <v>46</v>
      </c>
      <c r="J9" t="s">
        <v>34</v>
      </c>
      <c r="K9" t="s">
        <v>28</v>
      </c>
      <c r="L9">
        <v>5719.77</v>
      </c>
      <c r="M9">
        <v>36.9</v>
      </c>
      <c r="N9">
        <v>2023</v>
      </c>
      <c r="O9">
        <v>2</v>
      </c>
      <c r="P9" t="s">
        <v>65</v>
      </c>
      <c r="Q9">
        <v>3341.43</v>
      </c>
      <c r="R9" t="s">
        <v>25</v>
      </c>
      <c r="S9">
        <v>1.7117731031324914</v>
      </c>
      <c r="T9" t="s">
        <v>78</v>
      </c>
    </row>
    <row r="10" spans="1:20" x14ac:dyDescent="0.25">
      <c r="A10" s="11">
        <v>44947</v>
      </c>
      <c r="B10" t="s">
        <v>51</v>
      </c>
      <c r="C10" t="s">
        <v>52</v>
      </c>
      <c r="D10" t="s">
        <v>44</v>
      </c>
      <c r="E10" t="s">
        <v>38</v>
      </c>
      <c r="F10">
        <v>891</v>
      </c>
      <c r="G10">
        <v>11.41</v>
      </c>
      <c r="H10">
        <v>10166.31</v>
      </c>
      <c r="I10" t="s">
        <v>33</v>
      </c>
      <c r="J10" t="s">
        <v>22</v>
      </c>
      <c r="K10" t="s">
        <v>23</v>
      </c>
      <c r="L10">
        <v>6836.52</v>
      </c>
      <c r="M10">
        <v>32.799999999999997</v>
      </c>
      <c r="N10">
        <v>2023</v>
      </c>
      <c r="O10">
        <v>1</v>
      </c>
      <c r="P10" t="s">
        <v>24</v>
      </c>
      <c r="Q10">
        <v>3329.79</v>
      </c>
      <c r="R10" t="s">
        <v>25</v>
      </c>
      <c r="S10">
        <v>2.0531384862108424</v>
      </c>
      <c r="T10" t="s">
        <v>78</v>
      </c>
    </row>
    <row r="11" spans="1:20" x14ac:dyDescent="0.25">
      <c r="A11" s="11">
        <v>44945</v>
      </c>
      <c r="B11" t="s">
        <v>35</v>
      </c>
      <c r="C11" t="s">
        <v>36</v>
      </c>
      <c r="D11" t="s">
        <v>37</v>
      </c>
      <c r="E11" t="s">
        <v>38</v>
      </c>
      <c r="F11">
        <v>803</v>
      </c>
      <c r="G11">
        <v>11.37</v>
      </c>
      <c r="H11">
        <v>9130.11</v>
      </c>
      <c r="I11" t="s">
        <v>54</v>
      </c>
      <c r="J11" t="s">
        <v>47</v>
      </c>
      <c r="K11" t="s">
        <v>23</v>
      </c>
      <c r="L11">
        <v>5825.84</v>
      </c>
      <c r="M11">
        <v>36.200000000000003</v>
      </c>
      <c r="N11">
        <v>2023</v>
      </c>
      <c r="O11">
        <v>1</v>
      </c>
      <c r="P11" t="s">
        <v>24</v>
      </c>
      <c r="Q11">
        <v>3304.27</v>
      </c>
      <c r="R11" t="s">
        <v>25</v>
      </c>
      <c r="S11">
        <v>1.7631246841208497</v>
      </c>
      <c r="T11" t="s">
        <v>78</v>
      </c>
    </row>
    <row r="12" spans="1:20" x14ac:dyDescent="0.25">
      <c r="A12" s="11">
        <v>44946</v>
      </c>
      <c r="B12" t="s">
        <v>30</v>
      </c>
      <c r="C12" t="s">
        <v>31</v>
      </c>
      <c r="D12" t="s">
        <v>45</v>
      </c>
      <c r="E12" t="s">
        <v>20</v>
      </c>
      <c r="F12">
        <v>954</v>
      </c>
      <c r="G12">
        <v>10.55</v>
      </c>
      <c r="H12">
        <v>10064.700000000001</v>
      </c>
      <c r="I12" t="s">
        <v>57</v>
      </c>
      <c r="J12" t="s">
        <v>34</v>
      </c>
      <c r="K12" t="s">
        <v>23</v>
      </c>
      <c r="L12">
        <v>6815.41</v>
      </c>
      <c r="M12">
        <v>32.299999999999997</v>
      </c>
      <c r="N12">
        <v>2023</v>
      </c>
      <c r="O12">
        <v>1</v>
      </c>
      <c r="P12" t="s">
        <v>24</v>
      </c>
      <c r="Q12">
        <v>3249.29</v>
      </c>
      <c r="R12" t="s">
        <v>25</v>
      </c>
      <c r="S12">
        <v>2.0975074554748883</v>
      </c>
      <c r="T12" t="s">
        <v>78</v>
      </c>
    </row>
    <row r="13" spans="1:20" x14ac:dyDescent="0.25">
      <c r="A13" s="11">
        <v>45026</v>
      </c>
      <c r="B13" t="s">
        <v>35</v>
      </c>
      <c r="C13" t="s">
        <v>36</v>
      </c>
      <c r="D13" t="s">
        <v>45</v>
      </c>
      <c r="E13" t="s">
        <v>20</v>
      </c>
      <c r="F13">
        <v>838</v>
      </c>
      <c r="G13">
        <v>10.74</v>
      </c>
      <c r="H13">
        <v>9000.1200000000008</v>
      </c>
      <c r="I13" t="s">
        <v>46</v>
      </c>
      <c r="J13" t="s">
        <v>22</v>
      </c>
      <c r="K13" t="s">
        <v>23</v>
      </c>
      <c r="L13">
        <v>5768.15</v>
      </c>
      <c r="M13">
        <v>35.9</v>
      </c>
      <c r="N13">
        <v>2023</v>
      </c>
      <c r="O13">
        <v>2</v>
      </c>
      <c r="P13" t="s">
        <v>63</v>
      </c>
      <c r="Q13">
        <v>3231.97</v>
      </c>
      <c r="R13" t="s">
        <v>25</v>
      </c>
      <c r="S13">
        <v>1.7847164422937094</v>
      </c>
      <c r="T13" t="s">
        <v>78</v>
      </c>
    </row>
    <row r="14" spans="1:20" x14ac:dyDescent="0.25">
      <c r="A14" s="11">
        <v>44976</v>
      </c>
      <c r="B14" t="s">
        <v>42</v>
      </c>
      <c r="C14" t="s">
        <v>43</v>
      </c>
      <c r="D14" t="s">
        <v>19</v>
      </c>
      <c r="E14" t="s">
        <v>20</v>
      </c>
      <c r="F14">
        <v>704</v>
      </c>
      <c r="G14">
        <v>11.83</v>
      </c>
      <c r="H14">
        <v>8328.32</v>
      </c>
      <c r="I14" t="s">
        <v>54</v>
      </c>
      <c r="J14" t="s">
        <v>34</v>
      </c>
      <c r="K14" t="s">
        <v>23</v>
      </c>
      <c r="L14">
        <v>5192.47</v>
      </c>
      <c r="M14">
        <v>37.700000000000003</v>
      </c>
      <c r="N14">
        <v>2023</v>
      </c>
      <c r="O14">
        <v>1</v>
      </c>
      <c r="P14" t="s">
        <v>60</v>
      </c>
      <c r="Q14">
        <v>3135.85</v>
      </c>
      <c r="R14" t="s">
        <v>25</v>
      </c>
      <c r="S14">
        <v>1.6558413189406382</v>
      </c>
      <c r="T14" t="s">
        <v>78</v>
      </c>
    </row>
    <row r="15" spans="1:20" x14ac:dyDescent="0.25">
      <c r="A15" s="11">
        <v>45069</v>
      </c>
      <c r="B15" t="s">
        <v>17</v>
      </c>
      <c r="C15" t="s">
        <v>18</v>
      </c>
      <c r="D15" t="s">
        <v>19</v>
      </c>
      <c r="E15" t="s">
        <v>20</v>
      </c>
      <c r="F15">
        <v>887</v>
      </c>
      <c r="G15">
        <v>10.96</v>
      </c>
      <c r="H15">
        <v>9721.52</v>
      </c>
      <c r="I15" t="s">
        <v>55</v>
      </c>
      <c r="J15" t="s">
        <v>34</v>
      </c>
      <c r="K15" t="s">
        <v>23</v>
      </c>
      <c r="L15">
        <v>6588.28</v>
      </c>
      <c r="M15">
        <v>32.200000000000003</v>
      </c>
      <c r="N15">
        <v>2023</v>
      </c>
      <c r="O15">
        <v>2</v>
      </c>
      <c r="P15" t="s">
        <v>66</v>
      </c>
      <c r="Q15">
        <v>3133.24</v>
      </c>
      <c r="R15" t="s">
        <v>25</v>
      </c>
      <c r="S15">
        <v>2.102705186963016</v>
      </c>
      <c r="T15" t="s">
        <v>78</v>
      </c>
    </row>
    <row r="16" spans="1:20" x14ac:dyDescent="0.25">
      <c r="A16" s="11">
        <v>45118</v>
      </c>
      <c r="B16" t="s">
        <v>58</v>
      </c>
      <c r="C16" t="s">
        <v>59</v>
      </c>
      <c r="D16" t="s">
        <v>44</v>
      </c>
      <c r="E16" t="s">
        <v>38</v>
      </c>
      <c r="F16">
        <v>717</v>
      </c>
      <c r="G16">
        <v>11.84</v>
      </c>
      <c r="H16">
        <v>8489.2800000000007</v>
      </c>
      <c r="I16" t="s">
        <v>21</v>
      </c>
      <c r="J16" t="s">
        <v>27</v>
      </c>
      <c r="K16" t="s">
        <v>23</v>
      </c>
      <c r="L16">
        <v>5430.55</v>
      </c>
      <c r="M16">
        <v>36</v>
      </c>
      <c r="N16">
        <v>2024</v>
      </c>
      <c r="O16">
        <v>3</v>
      </c>
      <c r="P16" t="s">
        <v>64</v>
      </c>
      <c r="Q16">
        <v>3058.73</v>
      </c>
      <c r="R16" t="s">
        <v>25</v>
      </c>
      <c r="S16">
        <v>1.7754264024611521</v>
      </c>
      <c r="T16" t="s">
        <v>78</v>
      </c>
    </row>
    <row r="17" spans="1:20" x14ac:dyDescent="0.25">
      <c r="A17" s="11">
        <v>45105</v>
      </c>
      <c r="B17" t="s">
        <v>58</v>
      </c>
      <c r="C17" t="s">
        <v>59</v>
      </c>
      <c r="D17" t="s">
        <v>32</v>
      </c>
      <c r="E17" t="s">
        <v>20</v>
      </c>
      <c r="F17">
        <v>995</v>
      </c>
      <c r="G17">
        <v>9.18</v>
      </c>
      <c r="H17">
        <v>9134.1</v>
      </c>
      <c r="I17" t="s">
        <v>57</v>
      </c>
      <c r="J17" t="s">
        <v>22</v>
      </c>
      <c r="K17" t="s">
        <v>28</v>
      </c>
      <c r="L17">
        <v>6080.67</v>
      </c>
      <c r="M17">
        <v>33.4</v>
      </c>
      <c r="N17">
        <v>2024</v>
      </c>
      <c r="O17">
        <v>2</v>
      </c>
      <c r="P17" t="s">
        <v>60</v>
      </c>
      <c r="Q17">
        <v>3053.43</v>
      </c>
      <c r="R17" t="s">
        <v>25</v>
      </c>
      <c r="S17">
        <v>1.9914227606331243</v>
      </c>
      <c r="T17" t="s">
        <v>78</v>
      </c>
    </row>
    <row r="18" spans="1:20" x14ac:dyDescent="0.25">
      <c r="A18" s="11">
        <v>44999</v>
      </c>
      <c r="B18" t="s">
        <v>42</v>
      </c>
      <c r="C18" t="s">
        <v>43</v>
      </c>
      <c r="D18" t="s">
        <v>48</v>
      </c>
      <c r="E18" t="s">
        <v>38</v>
      </c>
      <c r="F18">
        <v>915</v>
      </c>
      <c r="G18">
        <v>10.16</v>
      </c>
      <c r="H18">
        <v>9296.4</v>
      </c>
      <c r="I18" t="s">
        <v>55</v>
      </c>
      <c r="J18" t="s">
        <v>22</v>
      </c>
      <c r="K18" t="s">
        <v>28</v>
      </c>
      <c r="L18">
        <v>6283.31</v>
      </c>
      <c r="M18">
        <v>32.4</v>
      </c>
      <c r="N18">
        <v>2023</v>
      </c>
      <c r="O18">
        <v>1</v>
      </c>
      <c r="P18" t="s">
        <v>61</v>
      </c>
      <c r="Q18">
        <v>3013.09</v>
      </c>
      <c r="R18" t="s">
        <v>25</v>
      </c>
      <c r="S18">
        <v>2.0853376434158952</v>
      </c>
      <c r="T18" t="s">
        <v>78</v>
      </c>
    </row>
    <row r="19" spans="1:20" x14ac:dyDescent="0.25">
      <c r="A19" s="11">
        <v>44941</v>
      </c>
      <c r="B19" t="s">
        <v>35</v>
      </c>
      <c r="C19" t="s">
        <v>36</v>
      </c>
      <c r="D19" t="s">
        <v>32</v>
      </c>
      <c r="E19" t="s">
        <v>20</v>
      </c>
      <c r="F19">
        <v>789</v>
      </c>
      <c r="G19">
        <v>10.79</v>
      </c>
      <c r="H19">
        <v>8513.31</v>
      </c>
      <c r="I19" t="s">
        <v>46</v>
      </c>
      <c r="J19" t="s">
        <v>34</v>
      </c>
      <c r="K19" t="s">
        <v>23</v>
      </c>
      <c r="L19">
        <v>5522.1</v>
      </c>
      <c r="M19">
        <v>35.1</v>
      </c>
      <c r="N19">
        <v>2023</v>
      </c>
      <c r="O19">
        <v>1</v>
      </c>
      <c r="P19" t="s">
        <v>24</v>
      </c>
      <c r="Q19">
        <v>2991.21</v>
      </c>
      <c r="R19" t="s">
        <v>25</v>
      </c>
      <c r="S19">
        <v>1.8461090996620098</v>
      </c>
      <c r="T19" t="s">
        <v>78</v>
      </c>
    </row>
    <row r="20" spans="1:20" x14ac:dyDescent="0.25">
      <c r="A20" s="11">
        <v>45081</v>
      </c>
      <c r="B20" t="s">
        <v>35</v>
      </c>
      <c r="C20" t="s">
        <v>36</v>
      </c>
      <c r="D20" t="s">
        <v>44</v>
      </c>
      <c r="E20" t="s">
        <v>38</v>
      </c>
      <c r="F20">
        <v>805</v>
      </c>
      <c r="G20">
        <v>10.87</v>
      </c>
      <c r="H20">
        <v>8750.35</v>
      </c>
      <c r="I20" t="s">
        <v>57</v>
      </c>
      <c r="J20" t="s">
        <v>34</v>
      </c>
      <c r="K20" t="s">
        <v>23</v>
      </c>
      <c r="L20">
        <v>5766.22</v>
      </c>
      <c r="M20">
        <v>34.1</v>
      </c>
      <c r="N20">
        <v>2023</v>
      </c>
      <c r="O20">
        <v>2</v>
      </c>
      <c r="P20" t="s">
        <v>68</v>
      </c>
      <c r="Q20">
        <v>2984.13</v>
      </c>
      <c r="R20" t="s">
        <v>25</v>
      </c>
      <c r="S20">
        <v>1.9322951748080681</v>
      </c>
      <c r="T20" t="s">
        <v>78</v>
      </c>
    </row>
    <row r="21" spans="1:20" x14ac:dyDescent="0.25">
      <c r="A21" s="11">
        <v>44982</v>
      </c>
      <c r="B21" t="s">
        <v>42</v>
      </c>
      <c r="C21" t="s">
        <v>43</v>
      </c>
      <c r="D21" t="s">
        <v>45</v>
      </c>
      <c r="E21" t="s">
        <v>20</v>
      </c>
      <c r="F21">
        <v>957</v>
      </c>
      <c r="G21">
        <v>8.77</v>
      </c>
      <c r="H21">
        <v>8392.89</v>
      </c>
      <c r="I21" t="s">
        <v>46</v>
      </c>
      <c r="J21" t="s">
        <v>34</v>
      </c>
      <c r="K21" t="s">
        <v>28</v>
      </c>
      <c r="L21">
        <v>5483.64</v>
      </c>
      <c r="M21">
        <v>34.700000000000003</v>
      </c>
      <c r="N21">
        <v>2023</v>
      </c>
      <c r="O21">
        <v>1</v>
      </c>
      <c r="P21" t="s">
        <v>61</v>
      </c>
      <c r="Q21">
        <v>2909.25</v>
      </c>
      <c r="R21" t="s">
        <v>25</v>
      </c>
      <c r="S21">
        <v>1.8848981696313485</v>
      </c>
      <c r="T21" t="s">
        <v>78</v>
      </c>
    </row>
    <row r="22" spans="1:20" x14ac:dyDescent="0.25">
      <c r="A22" s="11">
        <v>45081</v>
      </c>
      <c r="B22" t="s">
        <v>30</v>
      </c>
      <c r="C22" t="s">
        <v>31</v>
      </c>
      <c r="D22" t="s">
        <v>45</v>
      </c>
      <c r="E22" t="s">
        <v>20</v>
      </c>
      <c r="F22">
        <v>914</v>
      </c>
      <c r="G22">
        <v>9.41</v>
      </c>
      <c r="H22">
        <v>8600.74</v>
      </c>
      <c r="I22" t="s">
        <v>21</v>
      </c>
      <c r="J22" t="s">
        <v>22</v>
      </c>
      <c r="K22" t="s">
        <v>23</v>
      </c>
      <c r="L22">
        <v>5705.69</v>
      </c>
      <c r="M22">
        <v>33.700000000000003</v>
      </c>
      <c r="N22">
        <v>2023</v>
      </c>
      <c r="O22">
        <v>2</v>
      </c>
      <c r="P22" t="s">
        <v>68</v>
      </c>
      <c r="Q22">
        <v>2895.05</v>
      </c>
      <c r="R22" t="s">
        <v>25</v>
      </c>
      <c r="S22">
        <v>1.9708433360391009</v>
      </c>
      <c r="T22" t="s">
        <v>78</v>
      </c>
    </row>
    <row r="23" spans="1:20" x14ac:dyDescent="0.25">
      <c r="A23" s="11">
        <v>45102</v>
      </c>
      <c r="B23" t="s">
        <v>42</v>
      </c>
      <c r="C23" t="s">
        <v>43</v>
      </c>
      <c r="D23" t="s">
        <v>19</v>
      </c>
      <c r="E23" t="s">
        <v>20</v>
      </c>
      <c r="F23">
        <v>741</v>
      </c>
      <c r="G23">
        <v>10.91</v>
      </c>
      <c r="H23">
        <v>8084.31</v>
      </c>
      <c r="I23" t="s">
        <v>54</v>
      </c>
      <c r="J23" t="s">
        <v>34</v>
      </c>
      <c r="K23" t="s">
        <v>23</v>
      </c>
      <c r="L23">
        <v>5197.7</v>
      </c>
      <c r="M23">
        <v>35.700000000000003</v>
      </c>
      <c r="N23">
        <v>2024</v>
      </c>
      <c r="O23">
        <v>2</v>
      </c>
      <c r="P23" t="s">
        <v>24</v>
      </c>
      <c r="Q23">
        <v>2886.61</v>
      </c>
      <c r="R23" t="s">
        <v>25</v>
      </c>
      <c r="S23">
        <v>1.8006242616771921</v>
      </c>
      <c r="T23" t="s">
        <v>78</v>
      </c>
    </row>
    <row r="24" spans="1:20" x14ac:dyDescent="0.25">
      <c r="A24" s="11">
        <v>45032</v>
      </c>
      <c r="B24" t="s">
        <v>30</v>
      </c>
      <c r="C24" t="s">
        <v>31</v>
      </c>
      <c r="D24" t="s">
        <v>19</v>
      </c>
      <c r="E24" t="s">
        <v>20</v>
      </c>
      <c r="F24">
        <v>837</v>
      </c>
      <c r="G24">
        <v>10.64</v>
      </c>
      <c r="H24">
        <v>8905.68</v>
      </c>
      <c r="I24" t="s">
        <v>39</v>
      </c>
      <c r="J24" t="s">
        <v>47</v>
      </c>
      <c r="K24" t="s">
        <v>23</v>
      </c>
      <c r="L24">
        <v>6022.51</v>
      </c>
      <c r="M24">
        <v>32.4</v>
      </c>
      <c r="N24">
        <v>2023</v>
      </c>
      <c r="O24">
        <v>2</v>
      </c>
      <c r="P24" t="s">
        <v>63</v>
      </c>
      <c r="Q24">
        <v>2883.17</v>
      </c>
      <c r="R24" t="s">
        <v>25</v>
      </c>
      <c r="S24">
        <v>2.0888501198333778</v>
      </c>
      <c r="T24" t="s">
        <v>78</v>
      </c>
    </row>
    <row r="25" spans="1:20" x14ac:dyDescent="0.25">
      <c r="A25" s="11">
        <v>44965</v>
      </c>
      <c r="B25" t="s">
        <v>17</v>
      </c>
      <c r="C25" t="s">
        <v>18</v>
      </c>
      <c r="D25" t="s">
        <v>45</v>
      </c>
      <c r="E25" t="s">
        <v>20</v>
      </c>
      <c r="F25">
        <v>885</v>
      </c>
      <c r="G25">
        <v>11.92</v>
      </c>
      <c r="H25">
        <v>10549.2</v>
      </c>
      <c r="I25" t="s">
        <v>57</v>
      </c>
      <c r="J25" t="s">
        <v>47</v>
      </c>
      <c r="K25" t="s">
        <v>41</v>
      </c>
      <c r="L25">
        <v>7668.49</v>
      </c>
      <c r="M25">
        <v>27.3</v>
      </c>
      <c r="N25">
        <v>2023</v>
      </c>
      <c r="O25">
        <v>1</v>
      </c>
      <c r="P25" t="s">
        <v>60</v>
      </c>
      <c r="Q25">
        <v>2880.71</v>
      </c>
      <c r="R25" t="s">
        <v>25</v>
      </c>
      <c r="S25">
        <v>2.6620138785230028</v>
      </c>
      <c r="T25" t="s">
        <v>78</v>
      </c>
    </row>
    <row r="26" spans="1:20" x14ac:dyDescent="0.25">
      <c r="A26" s="11">
        <v>45120</v>
      </c>
      <c r="B26" t="s">
        <v>17</v>
      </c>
      <c r="C26" t="s">
        <v>18</v>
      </c>
      <c r="D26" t="s">
        <v>49</v>
      </c>
      <c r="E26" t="s">
        <v>50</v>
      </c>
      <c r="F26">
        <v>921</v>
      </c>
      <c r="G26">
        <v>10.4</v>
      </c>
      <c r="H26">
        <v>9578.4</v>
      </c>
      <c r="I26" t="s">
        <v>54</v>
      </c>
      <c r="J26" t="s">
        <v>56</v>
      </c>
      <c r="K26" t="s">
        <v>28</v>
      </c>
      <c r="L26">
        <v>6698.58</v>
      </c>
      <c r="M26">
        <v>30.1</v>
      </c>
      <c r="N26">
        <v>2024</v>
      </c>
      <c r="O26">
        <v>3</v>
      </c>
      <c r="P26" t="s">
        <v>65</v>
      </c>
      <c r="Q26">
        <v>2879.82</v>
      </c>
      <c r="R26" t="s">
        <v>25</v>
      </c>
      <c r="S26">
        <v>2.3260412109090152</v>
      </c>
      <c r="T26" t="s">
        <v>78</v>
      </c>
    </row>
    <row r="27" spans="1:20" x14ac:dyDescent="0.25">
      <c r="A27" s="11">
        <v>45121</v>
      </c>
      <c r="B27" t="s">
        <v>30</v>
      </c>
      <c r="C27" t="s">
        <v>31</v>
      </c>
      <c r="D27" t="s">
        <v>53</v>
      </c>
      <c r="E27" t="s">
        <v>50</v>
      </c>
      <c r="F27">
        <v>984</v>
      </c>
      <c r="G27">
        <v>8.2799999999999994</v>
      </c>
      <c r="H27">
        <v>8147.52</v>
      </c>
      <c r="I27" t="s">
        <v>46</v>
      </c>
      <c r="J27" t="s">
        <v>27</v>
      </c>
      <c r="K27" t="s">
        <v>28</v>
      </c>
      <c r="L27">
        <v>5276.92</v>
      </c>
      <c r="M27">
        <v>35.200000000000003</v>
      </c>
      <c r="N27">
        <v>2024</v>
      </c>
      <c r="O27">
        <v>3</v>
      </c>
      <c r="P27" t="s">
        <v>66</v>
      </c>
      <c r="Q27">
        <v>2870.6</v>
      </c>
      <c r="R27" t="s">
        <v>25</v>
      </c>
      <c r="S27">
        <v>1.8382637776074688</v>
      </c>
      <c r="T27" t="s">
        <v>78</v>
      </c>
    </row>
    <row r="28" spans="1:20" x14ac:dyDescent="0.25">
      <c r="A28" s="11">
        <v>44966</v>
      </c>
      <c r="B28" t="s">
        <v>17</v>
      </c>
      <c r="C28" t="s">
        <v>18</v>
      </c>
      <c r="D28" t="s">
        <v>45</v>
      </c>
      <c r="E28" t="s">
        <v>20</v>
      </c>
      <c r="F28">
        <v>964</v>
      </c>
      <c r="G28">
        <v>9.9600000000000009</v>
      </c>
      <c r="H28">
        <v>9601.44</v>
      </c>
      <c r="I28" t="s">
        <v>33</v>
      </c>
      <c r="J28" t="s">
        <v>56</v>
      </c>
      <c r="K28" t="s">
        <v>23</v>
      </c>
      <c r="L28">
        <v>6770.42</v>
      </c>
      <c r="M28">
        <v>29.5</v>
      </c>
      <c r="N28">
        <v>2023</v>
      </c>
      <c r="O28">
        <v>1</v>
      </c>
      <c r="P28" t="s">
        <v>60</v>
      </c>
      <c r="Q28">
        <v>2831.02</v>
      </c>
      <c r="R28" t="s">
        <v>25</v>
      </c>
      <c r="S28">
        <v>2.3915125996990483</v>
      </c>
      <c r="T28" t="s">
        <v>78</v>
      </c>
    </row>
    <row r="29" spans="1:20" x14ac:dyDescent="0.25">
      <c r="A29" s="11">
        <v>45009</v>
      </c>
      <c r="B29" t="s">
        <v>42</v>
      </c>
      <c r="C29" t="s">
        <v>43</v>
      </c>
      <c r="D29" t="s">
        <v>53</v>
      </c>
      <c r="E29" t="s">
        <v>50</v>
      </c>
      <c r="F29">
        <v>903</v>
      </c>
      <c r="G29">
        <v>11.63</v>
      </c>
      <c r="H29">
        <v>10501.89</v>
      </c>
      <c r="I29" t="s">
        <v>46</v>
      </c>
      <c r="J29" t="s">
        <v>56</v>
      </c>
      <c r="K29" t="s">
        <v>28</v>
      </c>
      <c r="L29">
        <v>7676.15</v>
      </c>
      <c r="M29">
        <v>26.9</v>
      </c>
      <c r="N29">
        <v>2023</v>
      </c>
      <c r="O29">
        <v>1</v>
      </c>
      <c r="P29" t="s">
        <v>62</v>
      </c>
      <c r="Q29">
        <v>2825.74</v>
      </c>
      <c r="R29" t="s">
        <v>25</v>
      </c>
      <c r="S29">
        <v>2.7165096576472005</v>
      </c>
      <c r="T29" t="s">
        <v>78</v>
      </c>
    </row>
    <row r="30" spans="1:20" x14ac:dyDescent="0.25">
      <c r="A30" s="11">
        <v>45048</v>
      </c>
      <c r="B30" t="s">
        <v>51</v>
      </c>
      <c r="C30" t="s">
        <v>52</v>
      </c>
      <c r="D30" t="s">
        <v>49</v>
      </c>
      <c r="E30" t="s">
        <v>50</v>
      </c>
      <c r="F30">
        <v>943</v>
      </c>
      <c r="G30">
        <v>11.94</v>
      </c>
      <c r="H30">
        <v>11259.42</v>
      </c>
      <c r="I30" t="s">
        <v>57</v>
      </c>
      <c r="J30" t="s">
        <v>56</v>
      </c>
      <c r="K30" t="s">
        <v>41</v>
      </c>
      <c r="L30">
        <v>8433.81</v>
      </c>
      <c r="M30">
        <v>25.1</v>
      </c>
      <c r="N30">
        <v>2023</v>
      </c>
      <c r="O30">
        <v>2</v>
      </c>
      <c r="P30" t="s">
        <v>64</v>
      </c>
      <c r="Q30">
        <v>2825.61</v>
      </c>
      <c r="R30" t="s">
        <v>25</v>
      </c>
      <c r="S30">
        <v>2.9847749689447585</v>
      </c>
      <c r="T30" t="s">
        <v>78</v>
      </c>
    </row>
    <row r="31" spans="1:20" x14ac:dyDescent="0.25">
      <c r="A31" s="11">
        <v>44941</v>
      </c>
      <c r="B31" t="s">
        <v>17</v>
      </c>
      <c r="C31" t="s">
        <v>18</v>
      </c>
      <c r="D31" t="s">
        <v>19</v>
      </c>
      <c r="E31" t="s">
        <v>20</v>
      </c>
      <c r="F31">
        <v>811</v>
      </c>
      <c r="G31">
        <v>10.97</v>
      </c>
      <c r="H31">
        <v>8896.67</v>
      </c>
      <c r="I31" t="s">
        <v>21</v>
      </c>
      <c r="J31" t="s">
        <v>56</v>
      </c>
      <c r="K31" t="s">
        <v>41</v>
      </c>
      <c r="L31">
        <v>6082.13</v>
      </c>
      <c r="M31">
        <v>31.6</v>
      </c>
      <c r="N31">
        <v>2023</v>
      </c>
      <c r="O31">
        <v>1</v>
      </c>
      <c r="P31" t="s">
        <v>24</v>
      </c>
      <c r="Q31">
        <v>2814.54</v>
      </c>
      <c r="R31" t="s">
        <v>25</v>
      </c>
      <c r="S31">
        <v>2.1609676892138681</v>
      </c>
      <c r="T31" t="s">
        <v>78</v>
      </c>
    </row>
    <row r="32" spans="1:20" x14ac:dyDescent="0.25">
      <c r="A32" s="11">
        <v>45027</v>
      </c>
      <c r="B32" t="s">
        <v>17</v>
      </c>
      <c r="C32" t="s">
        <v>18</v>
      </c>
      <c r="D32" t="s">
        <v>45</v>
      </c>
      <c r="E32" t="s">
        <v>20</v>
      </c>
      <c r="F32">
        <v>992</v>
      </c>
      <c r="G32">
        <v>7.88</v>
      </c>
      <c r="H32">
        <v>7816.96</v>
      </c>
      <c r="I32" t="s">
        <v>46</v>
      </c>
      <c r="J32" t="s">
        <v>27</v>
      </c>
      <c r="K32" t="s">
        <v>23</v>
      </c>
      <c r="L32">
        <v>5039.6000000000004</v>
      </c>
      <c r="M32">
        <v>35.5</v>
      </c>
      <c r="N32">
        <v>2023</v>
      </c>
      <c r="O32">
        <v>2</v>
      </c>
      <c r="P32" t="s">
        <v>63</v>
      </c>
      <c r="Q32">
        <v>2777.36</v>
      </c>
      <c r="R32" t="s">
        <v>25</v>
      </c>
      <c r="S32">
        <v>1.8145289051473341</v>
      </c>
      <c r="T32" t="s">
        <v>78</v>
      </c>
    </row>
    <row r="33" spans="1:20" x14ac:dyDescent="0.25">
      <c r="A33" s="11">
        <v>45098</v>
      </c>
      <c r="B33" t="s">
        <v>30</v>
      </c>
      <c r="C33" t="s">
        <v>31</v>
      </c>
      <c r="D33" t="s">
        <v>44</v>
      </c>
      <c r="E33" t="s">
        <v>38</v>
      </c>
      <c r="F33">
        <v>994</v>
      </c>
      <c r="G33">
        <v>9.15</v>
      </c>
      <c r="H33">
        <v>9095.1</v>
      </c>
      <c r="I33" t="s">
        <v>26</v>
      </c>
      <c r="J33" t="s">
        <v>34</v>
      </c>
      <c r="K33" t="s">
        <v>41</v>
      </c>
      <c r="L33">
        <v>6345.64</v>
      </c>
      <c r="M33">
        <v>30.2</v>
      </c>
      <c r="N33">
        <v>2024</v>
      </c>
      <c r="O33">
        <v>2</v>
      </c>
      <c r="P33" t="s">
        <v>24</v>
      </c>
      <c r="Q33">
        <v>2749.46</v>
      </c>
      <c r="R33" t="s">
        <v>25</v>
      </c>
      <c r="S33">
        <v>2.3079586536992718</v>
      </c>
      <c r="T33" t="s">
        <v>78</v>
      </c>
    </row>
    <row r="34" spans="1:20" x14ac:dyDescent="0.25">
      <c r="A34" s="11">
        <v>45114</v>
      </c>
      <c r="B34" t="s">
        <v>42</v>
      </c>
      <c r="C34" t="s">
        <v>43</v>
      </c>
      <c r="D34" t="s">
        <v>37</v>
      </c>
      <c r="E34" t="s">
        <v>38</v>
      </c>
      <c r="F34">
        <v>925</v>
      </c>
      <c r="G34">
        <v>9.5</v>
      </c>
      <c r="H34">
        <v>8787.5</v>
      </c>
      <c r="I34" t="s">
        <v>39</v>
      </c>
      <c r="J34" t="s">
        <v>22</v>
      </c>
      <c r="K34" t="s">
        <v>41</v>
      </c>
      <c r="L34">
        <v>6058.65</v>
      </c>
      <c r="M34">
        <v>31.1</v>
      </c>
      <c r="N34">
        <v>2024</v>
      </c>
      <c r="O34">
        <v>3</v>
      </c>
      <c r="P34" t="s">
        <v>62</v>
      </c>
      <c r="Q34">
        <v>2728.85</v>
      </c>
      <c r="R34" t="s">
        <v>25</v>
      </c>
      <c r="S34">
        <v>2.2202209722044084</v>
      </c>
      <c r="T34" t="s">
        <v>78</v>
      </c>
    </row>
    <row r="35" spans="1:20" x14ac:dyDescent="0.25">
      <c r="A35" s="11">
        <v>45034</v>
      </c>
      <c r="B35" t="s">
        <v>51</v>
      </c>
      <c r="C35" t="s">
        <v>52</v>
      </c>
      <c r="D35" t="s">
        <v>49</v>
      </c>
      <c r="E35" t="s">
        <v>50</v>
      </c>
      <c r="F35">
        <v>886</v>
      </c>
      <c r="G35">
        <v>9.85</v>
      </c>
      <c r="H35">
        <v>8727.1</v>
      </c>
      <c r="I35" t="s">
        <v>46</v>
      </c>
      <c r="J35" t="s">
        <v>40</v>
      </c>
      <c r="K35" t="s">
        <v>23</v>
      </c>
      <c r="L35">
        <v>6008.63</v>
      </c>
      <c r="M35">
        <v>31.1</v>
      </c>
      <c r="N35">
        <v>2023</v>
      </c>
      <c r="O35">
        <v>2</v>
      </c>
      <c r="P35" t="s">
        <v>63</v>
      </c>
      <c r="Q35">
        <v>2718.47</v>
      </c>
      <c r="R35" t="s">
        <v>25</v>
      </c>
      <c r="S35">
        <v>2.2102984399312851</v>
      </c>
      <c r="T35" t="s">
        <v>78</v>
      </c>
    </row>
    <row r="36" spans="1:20" x14ac:dyDescent="0.25">
      <c r="A36" s="11">
        <v>45060</v>
      </c>
      <c r="B36" t="s">
        <v>51</v>
      </c>
      <c r="C36" t="s">
        <v>52</v>
      </c>
      <c r="D36" t="s">
        <v>44</v>
      </c>
      <c r="E36" t="s">
        <v>38</v>
      </c>
      <c r="F36">
        <v>910</v>
      </c>
      <c r="G36">
        <v>7.84</v>
      </c>
      <c r="H36">
        <v>7134.4</v>
      </c>
      <c r="I36" t="s">
        <v>21</v>
      </c>
      <c r="J36" t="s">
        <v>40</v>
      </c>
      <c r="K36" t="s">
        <v>23</v>
      </c>
      <c r="L36">
        <v>4428.13</v>
      </c>
      <c r="M36">
        <v>37.9</v>
      </c>
      <c r="N36">
        <v>2023</v>
      </c>
      <c r="O36">
        <v>2</v>
      </c>
      <c r="P36" t="s">
        <v>65</v>
      </c>
      <c r="Q36">
        <v>2706.27</v>
      </c>
      <c r="R36" t="s">
        <v>25</v>
      </c>
      <c r="S36">
        <v>1.6362484157160964</v>
      </c>
      <c r="T36" t="s">
        <v>78</v>
      </c>
    </row>
    <row r="37" spans="1:20" x14ac:dyDescent="0.25">
      <c r="A37" s="11">
        <v>45089</v>
      </c>
      <c r="B37" t="s">
        <v>51</v>
      </c>
      <c r="C37" t="s">
        <v>52</v>
      </c>
      <c r="D37" t="s">
        <v>37</v>
      </c>
      <c r="E37" t="s">
        <v>38</v>
      </c>
      <c r="F37">
        <v>935</v>
      </c>
      <c r="G37">
        <v>11.27</v>
      </c>
      <c r="H37">
        <v>10537.45</v>
      </c>
      <c r="I37" t="s">
        <v>46</v>
      </c>
      <c r="J37" t="s">
        <v>47</v>
      </c>
      <c r="K37" t="s">
        <v>41</v>
      </c>
      <c r="L37">
        <v>7865.26</v>
      </c>
      <c r="M37">
        <v>25.4</v>
      </c>
      <c r="N37">
        <v>2023</v>
      </c>
      <c r="O37">
        <v>2</v>
      </c>
      <c r="P37" t="s">
        <v>69</v>
      </c>
      <c r="Q37">
        <v>2672.19</v>
      </c>
      <c r="R37" t="s">
        <v>25</v>
      </c>
      <c r="S37">
        <v>2.9433760323929063</v>
      </c>
      <c r="T37" t="s">
        <v>78</v>
      </c>
    </row>
    <row r="38" spans="1:20" x14ac:dyDescent="0.25">
      <c r="A38" s="11">
        <v>45131</v>
      </c>
      <c r="B38" t="s">
        <v>30</v>
      </c>
      <c r="C38" t="s">
        <v>31</v>
      </c>
      <c r="D38" t="s">
        <v>45</v>
      </c>
      <c r="E38" t="s">
        <v>20</v>
      </c>
      <c r="F38">
        <v>736</v>
      </c>
      <c r="G38">
        <v>11.75</v>
      </c>
      <c r="H38">
        <v>8648</v>
      </c>
      <c r="I38" t="s">
        <v>46</v>
      </c>
      <c r="J38" t="s">
        <v>34</v>
      </c>
      <c r="K38" t="s">
        <v>28</v>
      </c>
      <c r="L38">
        <v>5986.28</v>
      </c>
      <c r="M38">
        <v>30.8</v>
      </c>
      <c r="N38">
        <v>2025</v>
      </c>
      <c r="O38">
        <v>3</v>
      </c>
      <c r="P38" t="s">
        <v>63</v>
      </c>
      <c r="Q38">
        <v>2661.72</v>
      </c>
      <c r="R38" t="s">
        <v>25</v>
      </c>
      <c r="S38">
        <v>2.2490269449829436</v>
      </c>
      <c r="T38" t="s">
        <v>78</v>
      </c>
    </row>
    <row r="39" spans="1:20" x14ac:dyDescent="0.25">
      <c r="A39" s="11">
        <v>45103</v>
      </c>
      <c r="B39" t="s">
        <v>51</v>
      </c>
      <c r="C39" t="s">
        <v>52</v>
      </c>
      <c r="D39" t="s">
        <v>32</v>
      </c>
      <c r="E39" t="s">
        <v>20</v>
      </c>
      <c r="F39">
        <v>920</v>
      </c>
      <c r="G39">
        <v>7.87</v>
      </c>
      <c r="H39">
        <v>7240.4</v>
      </c>
      <c r="I39" t="s">
        <v>46</v>
      </c>
      <c r="J39" t="s">
        <v>40</v>
      </c>
      <c r="K39" t="s">
        <v>23</v>
      </c>
      <c r="L39">
        <v>4621.43</v>
      </c>
      <c r="M39">
        <v>36.200000000000003</v>
      </c>
      <c r="N39">
        <v>2024</v>
      </c>
      <c r="O39">
        <v>2</v>
      </c>
      <c r="P39" t="s">
        <v>24</v>
      </c>
      <c r="Q39">
        <v>2618.9699999999998</v>
      </c>
      <c r="R39" t="s">
        <v>25</v>
      </c>
      <c r="S39">
        <v>1.7645982962767808</v>
      </c>
      <c r="T39" t="s">
        <v>78</v>
      </c>
    </row>
    <row r="40" spans="1:20" x14ac:dyDescent="0.25">
      <c r="A40" s="11">
        <v>45045</v>
      </c>
      <c r="B40" t="s">
        <v>35</v>
      </c>
      <c r="C40" t="s">
        <v>36</v>
      </c>
      <c r="D40" t="s">
        <v>48</v>
      </c>
      <c r="E40" t="s">
        <v>38</v>
      </c>
      <c r="F40">
        <v>858</v>
      </c>
      <c r="G40">
        <v>9.2100000000000009</v>
      </c>
      <c r="H40">
        <v>7902.18</v>
      </c>
      <c r="I40" t="s">
        <v>21</v>
      </c>
      <c r="J40" t="s">
        <v>47</v>
      </c>
      <c r="K40" t="s">
        <v>28</v>
      </c>
      <c r="L40">
        <v>5327.07</v>
      </c>
      <c r="M40">
        <v>32.6</v>
      </c>
      <c r="N40">
        <v>2023</v>
      </c>
      <c r="O40">
        <v>2</v>
      </c>
      <c r="P40" t="s">
        <v>64</v>
      </c>
      <c r="Q40">
        <v>2575.11</v>
      </c>
      <c r="R40" t="s">
        <v>25</v>
      </c>
      <c r="S40">
        <v>2.0686766778894881</v>
      </c>
      <c r="T40" t="s">
        <v>78</v>
      </c>
    </row>
    <row r="41" spans="1:20" x14ac:dyDescent="0.25">
      <c r="A41" s="11">
        <v>44954</v>
      </c>
      <c r="B41" t="s">
        <v>58</v>
      </c>
      <c r="C41" t="s">
        <v>59</v>
      </c>
      <c r="D41" t="s">
        <v>32</v>
      </c>
      <c r="E41" t="s">
        <v>20</v>
      </c>
      <c r="F41">
        <v>987</v>
      </c>
      <c r="G41">
        <v>8.98</v>
      </c>
      <c r="H41">
        <v>8863.26</v>
      </c>
      <c r="I41" t="s">
        <v>46</v>
      </c>
      <c r="J41" t="s">
        <v>40</v>
      </c>
      <c r="K41" t="s">
        <v>41</v>
      </c>
      <c r="L41">
        <v>6314.92</v>
      </c>
      <c r="M41">
        <v>28.8</v>
      </c>
      <c r="N41">
        <v>2023</v>
      </c>
      <c r="O41">
        <v>1</v>
      </c>
      <c r="P41" t="s">
        <v>24</v>
      </c>
      <c r="Q41">
        <v>2548.34</v>
      </c>
      <c r="R41" t="s">
        <v>25</v>
      </c>
      <c r="S41">
        <v>2.4780523791958684</v>
      </c>
      <c r="T41" t="s">
        <v>78</v>
      </c>
    </row>
    <row r="42" spans="1:20" x14ac:dyDescent="0.25">
      <c r="A42" s="11">
        <v>44938</v>
      </c>
      <c r="B42" t="s">
        <v>30</v>
      </c>
      <c r="C42" t="s">
        <v>31</v>
      </c>
      <c r="D42" t="s">
        <v>19</v>
      </c>
      <c r="E42" t="s">
        <v>20</v>
      </c>
      <c r="F42">
        <v>915</v>
      </c>
      <c r="G42">
        <v>8.25</v>
      </c>
      <c r="H42">
        <v>7548.75</v>
      </c>
      <c r="I42" t="s">
        <v>26</v>
      </c>
      <c r="J42" t="s">
        <v>22</v>
      </c>
      <c r="K42" t="s">
        <v>23</v>
      </c>
      <c r="L42">
        <v>5023.07</v>
      </c>
      <c r="M42">
        <v>33.5</v>
      </c>
      <c r="N42">
        <v>2023</v>
      </c>
      <c r="O42">
        <v>1</v>
      </c>
      <c r="P42" t="s">
        <v>24</v>
      </c>
      <c r="Q42">
        <v>2525.6799999999998</v>
      </c>
      <c r="R42" t="s">
        <v>25</v>
      </c>
      <c r="S42">
        <v>1.9887990560957842</v>
      </c>
      <c r="T42" t="s">
        <v>78</v>
      </c>
    </row>
    <row r="43" spans="1:20" x14ac:dyDescent="0.25">
      <c r="A43" s="11">
        <v>45097</v>
      </c>
      <c r="B43" t="s">
        <v>17</v>
      </c>
      <c r="C43" t="s">
        <v>18</v>
      </c>
      <c r="D43" t="s">
        <v>37</v>
      </c>
      <c r="E43" t="s">
        <v>38</v>
      </c>
      <c r="F43">
        <v>884</v>
      </c>
      <c r="G43">
        <v>7.6</v>
      </c>
      <c r="H43">
        <v>6718.4</v>
      </c>
      <c r="I43" t="s">
        <v>54</v>
      </c>
      <c r="J43" t="s">
        <v>22</v>
      </c>
      <c r="K43" t="s">
        <v>28</v>
      </c>
      <c r="L43">
        <v>4192.8</v>
      </c>
      <c r="M43">
        <v>37.6</v>
      </c>
      <c r="N43">
        <v>2023</v>
      </c>
      <c r="O43">
        <v>2</v>
      </c>
      <c r="P43" t="s">
        <v>70</v>
      </c>
      <c r="Q43">
        <v>2525.6</v>
      </c>
      <c r="R43" t="s">
        <v>25</v>
      </c>
      <c r="S43">
        <v>1.6601203674374407</v>
      </c>
      <c r="T43" t="s">
        <v>78</v>
      </c>
    </row>
    <row r="44" spans="1:20" x14ac:dyDescent="0.25">
      <c r="A44" s="11">
        <v>45027</v>
      </c>
      <c r="B44" t="s">
        <v>51</v>
      </c>
      <c r="C44" t="s">
        <v>52</v>
      </c>
      <c r="D44" t="s">
        <v>49</v>
      </c>
      <c r="E44" t="s">
        <v>50</v>
      </c>
      <c r="F44">
        <v>759</v>
      </c>
      <c r="G44">
        <v>10.47</v>
      </c>
      <c r="H44">
        <v>7946.73</v>
      </c>
      <c r="I44" t="s">
        <v>21</v>
      </c>
      <c r="J44" t="s">
        <v>34</v>
      </c>
      <c r="K44" t="s">
        <v>23</v>
      </c>
      <c r="L44">
        <v>5429.88</v>
      </c>
      <c r="M44">
        <v>31.7</v>
      </c>
      <c r="N44">
        <v>2023</v>
      </c>
      <c r="O44">
        <v>2</v>
      </c>
      <c r="P44" t="s">
        <v>63</v>
      </c>
      <c r="Q44">
        <v>2516.85</v>
      </c>
      <c r="R44" t="s">
        <v>25</v>
      </c>
      <c r="S44">
        <v>2.1574110495261936</v>
      </c>
      <c r="T44" t="s">
        <v>78</v>
      </c>
    </row>
    <row r="45" spans="1:20" x14ac:dyDescent="0.25">
      <c r="A45" s="11">
        <v>44972</v>
      </c>
      <c r="B45" t="s">
        <v>42</v>
      </c>
      <c r="C45" t="s">
        <v>43</v>
      </c>
      <c r="D45" t="s">
        <v>32</v>
      </c>
      <c r="E45" t="s">
        <v>20</v>
      </c>
      <c r="F45">
        <v>688</v>
      </c>
      <c r="G45">
        <v>9.2899999999999991</v>
      </c>
      <c r="H45">
        <v>6391.52</v>
      </c>
      <c r="I45" t="s">
        <v>39</v>
      </c>
      <c r="J45" t="s">
        <v>34</v>
      </c>
      <c r="K45" t="s">
        <v>28</v>
      </c>
      <c r="L45">
        <v>3880.91</v>
      </c>
      <c r="M45">
        <v>39.299999999999997</v>
      </c>
      <c r="N45">
        <v>2023</v>
      </c>
      <c r="O45">
        <v>1</v>
      </c>
      <c r="P45" t="s">
        <v>60</v>
      </c>
      <c r="Q45">
        <v>2510.61</v>
      </c>
      <c r="R45" t="s">
        <v>25</v>
      </c>
      <c r="S45">
        <v>1.545803609481361</v>
      </c>
      <c r="T45" t="s">
        <v>78</v>
      </c>
    </row>
    <row r="46" spans="1:20" x14ac:dyDescent="0.25">
      <c r="A46" s="11">
        <v>44973</v>
      </c>
      <c r="B46" t="s">
        <v>42</v>
      </c>
      <c r="C46" t="s">
        <v>43</v>
      </c>
      <c r="D46" t="s">
        <v>32</v>
      </c>
      <c r="E46" t="s">
        <v>20</v>
      </c>
      <c r="F46">
        <v>952</v>
      </c>
      <c r="G46">
        <v>11.32</v>
      </c>
      <c r="H46">
        <v>10776.64</v>
      </c>
      <c r="I46" t="s">
        <v>55</v>
      </c>
      <c r="J46" t="s">
        <v>56</v>
      </c>
      <c r="K46" t="s">
        <v>23</v>
      </c>
      <c r="L46">
        <v>8273.67</v>
      </c>
      <c r="M46">
        <v>23.2</v>
      </c>
      <c r="N46">
        <v>2023</v>
      </c>
      <c r="O46">
        <v>1</v>
      </c>
      <c r="P46" t="s">
        <v>60</v>
      </c>
      <c r="Q46">
        <v>2502.9699999999998</v>
      </c>
      <c r="R46" t="s">
        <v>29</v>
      </c>
      <c r="S46">
        <v>3.3055410172714819</v>
      </c>
      <c r="T46" t="s">
        <v>78</v>
      </c>
    </row>
    <row r="47" spans="1:20" x14ac:dyDescent="0.25">
      <c r="A47" s="11">
        <v>45098</v>
      </c>
      <c r="B47" t="s">
        <v>58</v>
      </c>
      <c r="C47" t="s">
        <v>59</v>
      </c>
      <c r="D47" t="s">
        <v>49</v>
      </c>
      <c r="E47" t="s">
        <v>50</v>
      </c>
      <c r="F47">
        <v>704</v>
      </c>
      <c r="G47">
        <v>9.01</v>
      </c>
      <c r="H47">
        <v>6343.04</v>
      </c>
      <c r="I47" t="s">
        <v>55</v>
      </c>
      <c r="J47" t="s">
        <v>40</v>
      </c>
      <c r="K47" t="s">
        <v>28</v>
      </c>
      <c r="L47">
        <v>3844.99</v>
      </c>
      <c r="M47">
        <v>39.4</v>
      </c>
      <c r="N47">
        <v>2024</v>
      </c>
      <c r="O47">
        <v>2</v>
      </c>
      <c r="P47" t="s">
        <v>24</v>
      </c>
      <c r="Q47">
        <v>2498.0500000000002</v>
      </c>
      <c r="R47" t="s">
        <v>25</v>
      </c>
      <c r="S47">
        <v>1.5391965733271951</v>
      </c>
      <c r="T47" t="s">
        <v>78</v>
      </c>
    </row>
    <row r="48" spans="1:20" x14ac:dyDescent="0.25">
      <c r="A48" s="11">
        <v>45121</v>
      </c>
      <c r="B48" t="s">
        <v>58</v>
      </c>
      <c r="C48" t="s">
        <v>59</v>
      </c>
      <c r="D48" t="s">
        <v>45</v>
      </c>
      <c r="E48" t="s">
        <v>20</v>
      </c>
      <c r="F48">
        <v>674</v>
      </c>
      <c r="G48">
        <v>9.3800000000000008</v>
      </c>
      <c r="H48">
        <v>6322.12</v>
      </c>
      <c r="I48" t="s">
        <v>21</v>
      </c>
      <c r="J48" t="s">
        <v>56</v>
      </c>
      <c r="K48" t="s">
        <v>41</v>
      </c>
      <c r="L48">
        <v>3841.13</v>
      </c>
      <c r="M48">
        <v>39.200000000000003</v>
      </c>
      <c r="N48">
        <v>2024</v>
      </c>
      <c r="O48">
        <v>3</v>
      </c>
      <c r="P48" t="s">
        <v>66</v>
      </c>
      <c r="Q48">
        <v>2480.9899999999998</v>
      </c>
      <c r="R48" t="s">
        <v>25</v>
      </c>
      <c r="S48">
        <v>1.5482247006235417</v>
      </c>
      <c r="T48" t="s">
        <v>78</v>
      </c>
    </row>
    <row r="49" spans="1:20" x14ac:dyDescent="0.25">
      <c r="A49" s="11">
        <v>45120</v>
      </c>
      <c r="B49" t="s">
        <v>17</v>
      </c>
      <c r="C49" t="s">
        <v>18</v>
      </c>
      <c r="D49" t="s">
        <v>48</v>
      </c>
      <c r="E49" t="s">
        <v>38</v>
      </c>
      <c r="F49">
        <v>601</v>
      </c>
      <c r="G49">
        <v>10.38</v>
      </c>
      <c r="H49">
        <v>6238.38</v>
      </c>
      <c r="I49" t="s">
        <v>21</v>
      </c>
      <c r="J49" t="s">
        <v>22</v>
      </c>
      <c r="K49" t="s">
        <v>23</v>
      </c>
      <c r="L49">
        <v>3806.26</v>
      </c>
      <c r="M49">
        <v>39</v>
      </c>
      <c r="N49">
        <v>2024</v>
      </c>
      <c r="O49">
        <v>3</v>
      </c>
      <c r="P49" t="s">
        <v>65</v>
      </c>
      <c r="Q49">
        <v>2432.12</v>
      </c>
      <c r="R49" t="s">
        <v>25</v>
      </c>
      <c r="S49">
        <v>1.5649967929214021</v>
      </c>
      <c r="T49" t="s">
        <v>78</v>
      </c>
    </row>
    <row r="50" spans="1:20" x14ac:dyDescent="0.25">
      <c r="A50" s="11">
        <v>44982</v>
      </c>
      <c r="B50" t="s">
        <v>51</v>
      </c>
      <c r="C50" t="s">
        <v>52</v>
      </c>
      <c r="D50" t="s">
        <v>32</v>
      </c>
      <c r="E50" t="s">
        <v>20</v>
      </c>
      <c r="F50">
        <v>651</v>
      </c>
      <c r="G50">
        <v>9.7200000000000006</v>
      </c>
      <c r="H50">
        <v>6327.72</v>
      </c>
      <c r="I50" t="s">
        <v>21</v>
      </c>
      <c r="J50" t="s">
        <v>56</v>
      </c>
      <c r="K50" t="s">
        <v>28</v>
      </c>
      <c r="L50">
        <v>3947.36</v>
      </c>
      <c r="M50">
        <v>37.6</v>
      </c>
      <c r="N50">
        <v>2023</v>
      </c>
      <c r="O50">
        <v>1</v>
      </c>
      <c r="P50" t="s">
        <v>61</v>
      </c>
      <c r="Q50">
        <v>2380.36</v>
      </c>
      <c r="R50" t="s">
        <v>25</v>
      </c>
      <c r="S50">
        <v>1.6583037859819523</v>
      </c>
      <c r="T50" t="s">
        <v>78</v>
      </c>
    </row>
    <row r="51" spans="1:20" x14ac:dyDescent="0.25">
      <c r="A51" s="11">
        <v>44983</v>
      </c>
      <c r="B51" t="s">
        <v>58</v>
      </c>
      <c r="C51" t="s">
        <v>59</v>
      </c>
      <c r="D51" t="s">
        <v>32</v>
      </c>
      <c r="E51" t="s">
        <v>20</v>
      </c>
      <c r="F51">
        <v>886</v>
      </c>
      <c r="G51">
        <v>10.01</v>
      </c>
      <c r="H51">
        <v>8868.86</v>
      </c>
      <c r="I51" t="s">
        <v>57</v>
      </c>
      <c r="J51" t="s">
        <v>34</v>
      </c>
      <c r="K51" t="s">
        <v>41</v>
      </c>
      <c r="L51">
        <v>6498.3</v>
      </c>
      <c r="M51">
        <v>26.7</v>
      </c>
      <c r="N51">
        <v>2023</v>
      </c>
      <c r="O51">
        <v>1</v>
      </c>
      <c r="P51" t="s">
        <v>61</v>
      </c>
      <c r="Q51">
        <v>2370.56</v>
      </c>
      <c r="R51" t="s">
        <v>25</v>
      </c>
      <c r="S51">
        <v>2.7412510124190068</v>
      </c>
      <c r="T51" t="s">
        <v>78</v>
      </c>
    </row>
    <row r="52" spans="1:20" x14ac:dyDescent="0.25">
      <c r="A52" s="11">
        <v>44928</v>
      </c>
      <c r="B52" t="s">
        <v>30</v>
      </c>
      <c r="C52" t="s">
        <v>31</v>
      </c>
      <c r="D52" t="s">
        <v>44</v>
      </c>
      <c r="E52" t="s">
        <v>38</v>
      </c>
      <c r="F52">
        <v>742</v>
      </c>
      <c r="G52">
        <v>10.41</v>
      </c>
      <c r="H52">
        <v>7724.22</v>
      </c>
      <c r="I52" t="s">
        <v>46</v>
      </c>
      <c r="J52" t="s">
        <v>47</v>
      </c>
      <c r="K52" t="s">
        <v>41</v>
      </c>
      <c r="L52">
        <v>5357.82</v>
      </c>
      <c r="M52">
        <v>30.6</v>
      </c>
      <c r="N52">
        <v>2023</v>
      </c>
      <c r="O52">
        <v>1</v>
      </c>
      <c r="P52" t="s">
        <v>24</v>
      </c>
      <c r="Q52">
        <v>2366.4</v>
      </c>
      <c r="R52" t="s">
        <v>25</v>
      </c>
      <c r="S52">
        <v>2.2641227180527381</v>
      </c>
      <c r="T52" t="s">
        <v>78</v>
      </c>
    </row>
    <row r="53" spans="1:20" x14ac:dyDescent="0.25">
      <c r="A53" s="11">
        <v>45109</v>
      </c>
      <c r="B53" t="s">
        <v>17</v>
      </c>
      <c r="C53" t="s">
        <v>18</v>
      </c>
      <c r="D53" t="s">
        <v>53</v>
      </c>
      <c r="E53" t="s">
        <v>50</v>
      </c>
      <c r="F53">
        <v>925</v>
      </c>
      <c r="G53">
        <v>6.6</v>
      </c>
      <c r="H53">
        <v>6105</v>
      </c>
      <c r="I53" t="s">
        <v>55</v>
      </c>
      <c r="J53" t="s">
        <v>27</v>
      </c>
      <c r="K53" t="s">
        <v>28</v>
      </c>
      <c r="L53">
        <v>3772.38</v>
      </c>
      <c r="M53">
        <v>38.200000000000003</v>
      </c>
      <c r="N53">
        <v>2024</v>
      </c>
      <c r="O53">
        <v>3</v>
      </c>
      <c r="P53" t="s">
        <v>61</v>
      </c>
      <c r="Q53">
        <v>2332.62</v>
      </c>
      <c r="R53" t="s">
        <v>25</v>
      </c>
      <c r="S53">
        <v>1.617228695629807</v>
      </c>
      <c r="T53" t="s">
        <v>78</v>
      </c>
    </row>
    <row r="54" spans="1:20" x14ac:dyDescent="0.25">
      <c r="A54" s="11">
        <v>45008</v>
      </c>
      <c r="B54" t="s">
        <v>30</v>
      </c>
      <c r="C54" t="s">
        <v>31</v>
      </c>
      <c r="D54" t="s">
        <v>49</v>
      </c>
      <c r="E54" t="s">
        <v>50</v>
      </c>
      <c r="F54">
        <v>513</v>
      </c>
      <c r="G54">
        <v>11.43</v>
      </c>
      <c r="H54">
        <v>5863.59</v>
      </c>
      <c r="I54" t="s">
        <v>54</v>
      </c>
      <c r="J54" t="s">
        <v>40</v>
      </c>
      <c r="K54" t="s">
        <v>23</v>
      </c>
      <c r="L54">
        <v>3543.88</v>
      </c>
      <c r="M54">
        <v>39.6</v>
      </c>
      <c r="N54">
        <v>2023</v>
      </c>
      <c r="O54">
        <v>1</v>
      </c>
      <c r="P54" t="s">
        <v>62</v>
      </c>
      <c r="Q54">
        <v>2319.71</v>
      </c>
      <c r="R54" t="s">
        <v>25</v>
      </c>
      <c r="S54">
        <v>1.5277254484396756</v>
      </c>
      <c r="T54" t="s">
        <v>78</v>
      </c>
    </row>
    <row r="55" spans="1:20" x14ac:dyDescent="0.25">
      <c r="A55" s="11">
        <v>44999</v>
      </c>
      <c r="B55" t="s">
        <v>51</v>
      </c>
      <c r="C55" t="s">
        <v>52</v>
      </c>
      <c r="D55" t="s">
        <v>32</v>
      </c>
      <c r="E55" t="s">
        <v>20</v>
      </c>
      <c r="F55">
        <v>795</v>
      </c>
      <c r="G55">
        <v>11.88</v>
      </c>
      <c r="H55">
        <v>9444.6</v>
      </c>
      <c r="I55" t="s">
        <v>55</v>
      </c>
      <c r="J55" t="s">
        <v>40</v>
      </c>
      <c r="K55" t="s">
        <v>28</v>
      </c>
      <c r="L55">
        <v>7125.99</v>
      </c>
      <c r="M55">
        <v>24.5</v>
      </c>
      <c r="N55">
        <v>2023</v>
      </c>
      <c r="O55">
        <v>1</v>
      </c>
      <c r="P55" t="s">
        <v>61</v>
      </c>
      <c r="Q55">
        <v>2318.61</v>
      </c>
      <c r="R55" t="s">
        <v>29</v>
      </c>
      <c r="S55">
        <v>3.073388797598561</v>
      </c>
      <c r="T55" t="s">
        <v>78</v>
      </c>
    </row>
    <row r="56" spans="1:20" x14ac:dyDescent="0.25">
      <c r="A56" s="11">
        <v>45093</v>
      </c>
      <c r="B56" t="s">
        <v>30</v>
      </c>
      <c r="C56" t="s">
        <v>31</v>
      </c>
      <c r="D56" t="s">
        <v>45</v>
      </c>
      <c r="E56" t="s">
        <v>20</v>
      </c>
      <c r="F56">
        <v>834</v>
      </c>
      <c r="G56">
        <v>11.98</v>
      </c>
      <c r="H56">
        <v>9991.32</v>
      </c>
      <c r="I56" t="s">
        <v>26</v>
      </c>
      <c r="J56" t="s">
        <v>22</v>
      </c>
      <c r="K56" t="s">
        <v>23</v>
      </c>
      <c r="L56">
        <v>7707.88</v>
      </c>
      <c r="M56">
        <v>22.9</v>
      </c>
      <c r="N56">
        <v>2023</v>
      </c>
      <c r="O56">
        <v>2</v>
      </c>
      <c r="P56" t="s">
        <v>70</v>
      </c>
      <c r="Q56">
        <v>2283.44</v>
      </c>
      <c r="R56" t="s">
        <v>29</v>
      </c>
      <c r="S56">
        <v>3.3755561783975057</v>
      </c>
      <c r="T56" t="s">
        <v>78</v>
      </c>
    </row>
    <row r="57" spans="1:20" x14ac:dyDescent="0.25">
      <c r="A57" s="11">
        <v>44981</v>
      </c>
      <c r="B57" t="s">
        <v>42</v>
      </c>
      <c r="C57" t="s">
        <v>43</v>
      </c>
      <c r="D57" t="s">
        <v>19</v>
      </c>
      <c r="E57" t="s">
        <v>20</v>
      </c>
      <c r="F57">
        <v>923</v>
      </c>
      <c r="G57">
        <v>6.48</v>
      </c>
      <c r="H57">
        <v>5981.04</v>
      </c>
      <c r="I57" t="s">
        <v>55</v>
      </c>
      <c r="J57" t="s">
        <v>27</v>
      </c>
      <c r="K57" t="s">
        <v>41</v>
      </c>
      <c r="L57">
        <v>3705.8</v>
      </c>
      <c r="M57">
        <v>38</v>
      </c>
      <c r="N57">
        <v>2023</v>
      </c>
      <c r="O57">
        <v>1</v>
      </c>
      <c r="P57" t="s">
        <v>61</v>
      </c>
      <c r="Q57">
        <v>2275.2399999999998</v>
      </c>
      <c r="R57" t="s">
        <v>25</v>
      </c>
      <c r="S57">
        <v>1.6287512526151089</v>
      </c>
      <c r="T57" t="s">
        <v>78</v>
      </c>
    </row>
    <row r="58" spans="1:20" x14ac:dyDescent="0.25">
      <c r="A58" s="11">
        <v>45018</v>
      </c>
      <c r="B58" t="s">
        <v>51</v>
      </c>
      <c r="C58" t="s">
        <v>52</v>
      </c>
      <c r="D58" t="s">
        <v>37</v>
      </c>
      <c r="E58" t="s">
        <v>38</v>
      </c>
      <c r="F58">
        <v>792</v>
      </c>
      <c r="G58">
        <v>7.89</v>
      </c>
      <c r="H58">
        <v>6248.88</v>
      </c>
      <c r="I58" t="s">
        <v>26</v>
      </c>
      <c r="J58" t="s">
        <v>40</v>
      </c>
      <c r="K58" t="s">
        <v>41</v>
      </c>
      <c r="L58">
        <v>3989.68</v>
      </c>
      <c r="M58">
        <v>36.200000000000003</v>
      </c>
      <c r="N58">
        <v>2023</v>
      </c>
      <c r="O58">
        <v>2</v>
      </c>
      <c r="P58" t="s">
        <v>62</v>
      </c>
      <c r="Q58">
        <v>2259.1999999999998</v>
      </c>
      <c r="R58" t="s">
        <v>25</v>
      </c>
      <c r="S58">
        <v>1.7659702549575071</v>
      </c>
      <c r="T58" t="s">
        <v>78</v>
      </c>
    </row>
    <row r="59" spans="1:20" x14ac:dyDescent="0.25">
      <c r="A59" s="11">
        <v>45116</v>
      </c>
      <c r="B59" t="s">
        <v>17</v>
      </c>
      <c r="C59" t="s">
        <v>18</v>
      </c>
      <c r="D59" t="s">
        <v>32</v>
      </c>
      <c r="E59" t="s">
        <v>20</v>
      </c>
      <c r="F59">
        <v>758</v>
      </c>
      <c r="G59">
        <v>10.07</v>
      </c>
      <c r="H59">
        <v>7633.06</v>
      </c>
      <c r="I59" t="s">
        <v>54</v>
      </c>
      <c r="J59" t="s">
        <v>27</v>
      </c>
      <c r="K59" t="s">
        <v>23</v>
      </c>
      <c r="L59">
        <v>5378.38</v>
      </c>
      <c r="M59">
        <v>29.5</v>
      </c>
      <c r="N59">
        <v>2024</v>
      </c>
      <c r="O59">
        <v>3</v>
      </c>
      <c r="P59" t="s">
        <v>63</v>
      </c>
      <c r="Q59">
        <v>2254.6799999999998</v>
      </c>
      <c r="R59" t="s">
        <v>25</v>
      </c>
      <c r="S59">
        <v>2.3854294179218338</v>
      </c>
      <c r="T59" t="s">
        <v>78</v>
      </c>
    </row>
    <row r="60" spans="1:20" x14ac:dyDescent="0.25">
      <c r="A60" s="11">
        <v>45033</v>
      </c>
      <c r="B60" t="s">
        <v>58</v>
      </c>
      <c r="C60" t="s">
        <v>59</v>
      </c>
      <c r="D60" t="s">
        <v>19</v>
      </c>
      <c r="E60" t="s">
        <v>20</v>
      </c>
      <c r="F60">
        <v>624</v>
      </c>
      <c r="G60">
        <v>9.86</v>
      </c>
      <c r="H60">
        <v>6152.64</v>
      </c>
      <c r="I60" t="s">
        <v>46</v>
      </c>
      <c r="J60" t="s">
        <v>34</v>
      </c>
      <c r="K60" t="s">
        <v>41</v>
      </c>
      <c r="L60">
        <v>3932.18</v>
      </c>
      <c r="M60">
        <v>36.1</v>
      </c>
      <c r="N60">
        <v>2023</v>
      </c>
      <c r="O60">
        <v>2</v>
      </c>
      <c r="P60" t="s">
        <v>63</v>
      </c>
      <c r="Q60">
        <v>2220.46</v>
      </c>
      <c r="R60" t="s">
        <v>25</v>
      </c>
      <c r="S60">
        <v>1.7708853120524575</v>
      </c>
      <c r="T60" t="s">
        <v>78</v>
      </c>
    </row>
    <row r="61" spans="1:20" x14ac:dyDescent="0.25">
      <c r="A61" s="11">
        <v>45122</v>
      </c>
      <c r="B61" t="s">
        <v>30</v>
      </c>
      <c r="C61" t="s">
        <v>31</v>
      </c>
      <c r="D61" t="s">
        <v>32</v>
      </c>
      <c r="E61" t="s">
        <v>20</v>
      </c>
      <c r="F61">
        <v>874</v>
      </c>
      <c r="G61">
        <v>9.67</v>
      </c>
      <c r="H61">
        <v>8451.58</v>
      </c>
      <c r="I61" t="s">
        <v>57</v>
      </c>
      <c r="J61" t="s">
        <v>47</v>
      </c>
      <c r="K61" t="s">
        <v>28</v>
      </c>
      <c r="L61">
        <v>6232.91</v>
      </c>
      <c r="M61">
        <v>26.3</v>
      </c>
      <c r="N61">
        <v>2024</v>
      </c>
      <c r="O61">
        <v>3</v>
      </c>
      <c r="P61" t="s">
        <v>66</v>
      </c>
      <c r="Q61">
        <v>2218.67</v>
      </c>
      <c r="R61" t="s">
        <v>25</v>
      </c>
      <c r="S61">
        <v>2.8093001663158557</v>
      </c>
      <c r="T61" t="s">
        <v>78</v>
      </c>
    </row>
    <row r="62" spans="1:20" x14ac:dyDescent="0.25">
      <c r="A62" s="11">
        <v>45077</v>
      </c>
      <c r="B62" t="s">
        <v>58</v>
      </c>
      <c r="C62" t="s">
        <v>59</v>
      </c>
      <c r="D62" t="s">
        <v>37</v>
      </c>
      <c r="E62" t="s">
        <v>38</v>
      </c>
      <c r="F62">
        <v>896</v>
      </c>
      <c r="G62">
        <v>6.3</v>
      </c>
      <c r="H62">
        <v>5644.8</v>
      </c>
      <c r="I62" t="s">
        <v>39</v>
      </c>
      <c r="J62" t="s">
        <v>22</v>
      </c>
      <c r="K62" t="s">
        <v>28</v>
      </c>
      <c r="L62">
        <v>3452.37</v>
      </c>
      <c r="M62">
        <v>38.799999999999997</v>
      </c>
      <c r="N62">
        <v>2023</v>
      </c>
      <c r="O62">
        <v>2</v>
      </c>
      <c r="P62" t="s">
        <v>67</v>
      </c>
      <c r="Q62">
        <v>2192.4299999999998</v>
      </c>
      <c r="R62" t="s">
        <v>25</v>
      </c>
      <c r="S62">
        <v>1.5746774127338159</v>
      </c>
      <c r="T62" t="s">
        <v>78</v>
      </c>
    </row>
    <row r="63" spans="1:20" x14ac:dyDescent="0.25">
      <c r="A63" s="11">
        <v>45086</v>
      </c>
      <c r="B63" t="s">
        <v>35</v>
      </c>
      <c r="C63" t="s">
        <v>36</v>
      </c>
      <c r="D63" t="s">
        <v>53</v>
      </c>
      <c r="E63" t="s">
        <v>50</v>
      </c>
      <c r="F63">
        <v>923</v>
      </c>
      <c r="G63">
        <v>9.34</v>
      </c>
      <c r="H63">
        <v>8620.82</v>
      </c>
      <c r="I63" t="s">
        <v>21</v>
      </c>
      <c r="J63" t="s">
        <v>47</v>
      </c>
      <c r="K63" t="s">
        <v>41</v>
      </c>
      <c r="L63">
        <v>6439.54</v>
      </c>
      <c r="M63">
        <v>25.3</v>
      </c>
      <c r="N63">
        <v>2023</v>
      </c>
      <c r="O63">
        <v>2</v>
      </c>
      <c r="P63" t="s">
        <v>69</v>
      </c>
      <c r="Q63">
        <v>2181.2800000000002</v>
      </c>
      <c r="R63" t="s">
        <v>25</v>
      </c>
      <c r="S63">
        <v>2.9521840387295528</v>
      </c>
      <c r="T63" t="s">
        <v>78</v>
      </c>
    </row>
    <row r="64" spans="1:20" x14ac:dyDescent="0.25">
      <c r="A64" s="11">
        <v>45114</v>
      </c>
      <c r="B64" t="s">
        <v>42</v>
      </c>
      <c r="C64" t="s">
        <v>43</v>
      </c>
      <c r="D64" t="s">
        <v>32</v>
      </c>
      <c r="E64" t="s">
        <v>20</v>
      </c>
      <c r="F64">
        <v>693</v>
      </c>
      <c r="G64">
        <v>8.67</v>
      </c>
      <c r="H64">
        <v>6008.31</v>
      </c>
      <c r="I64" t="s">
        <v>54</v>
      </c>
      <c r="J64" t="s">
        <v>56</v>
      </c>
      <c r="K64" t="s">
        <v>23</v>
      </c>
      <c r="L64">
        <v>3831.92</v>
      </c>
      <c r="M64">
        <v>36.200000000000003</v>
      </c>
      <c r="N64">
        <v>2024</v>
      </c>
      <c r="O64">
        <v>3</v>
      </c>
      <c r="P64" t="s">
        <v>62</v>
      </c>
      <c r="Q64">
        <v>2176.39</v>
      </c>
      <c r="R64" t="s">
        <v>25</v>
      </c>
      <c r="S64">
        <v>1.7606770845298867</v>
      </c>
      <c r="T64" t="s">
        <v>78</v>
      </c>
    </row>
    <row r="65" spans="1:20" x14ac:dyDescent="0.25">
      <c r="A65" s="11">
        <v>45056</v>
      </c>
      <c r="B65" t="s">
        <v>58</v>
      </c>
      <c r="C65" t="s">
        <v>59</v>
      </c>
      <c r="D65" t="s">
        <v>49</v>
      </c>
      <c r="E65" t="s">
        <v>50</v>
      </c>
      <c r="F65">
        <v>943</v>
      </c>
      <c r="G65">
        <v>8.4</v>
      </c>
      <c r="H65">
        <v>7921.2</v>
      </c>
      <c r="I65" t="s">
        <v>46</v>
      </c>
      <c r="J65" t="s">
        <v>27</v>
      </c>
      <c r="K65" t="s">
        <v>41</v>
      </c>
      <c r="L65">
        <v>5757.96</v>
      </c>
      <c r="M65">
        <v>27.3</v>
      </c>
      <c r="N65">
        <v>2023</v>
      </c>
      <c r="O65">
        <v>2</v>
      </c>
      <c r="P65" t="s">
        <v>65</v>
      </c>
      <c r="Q65">
        <v>2163.2399999999998</v>
      </c>
      <c r="R65" t="s">
        <v>25</v>
      </c>
      <c r="S65">
        <v>2.6617296277805518</v>
      </c>
      <c r="T65" t="s">
        <v>78</v>
      </c>
    </row>
    <row r="66" spans="1:20" x14ac:dyDescent="0.25">
      <c r="A66" s="11">
        <v>44990</v>
      </c>
      <c r="B66" t="s">
        <v>58</v>
      </c>
      <c r="C66" t="s">
        <v>59</v>
      </c>
      <c r="D66" t="s">
        <v>32</v>
      </c>
      <c r="E66" t="s">
        <v>20</v>
      </c>
      <c r="F66">
        <v>822</v>
      </c>
      <c r="G66">
        <v>7.52</v>
      </c>
      <c r="H66">
        <v>6181.44</v>
      </c>
      <c r="I66" t="s">
        <v>54</v>
      </c>
      <c r="J66" t="s">
        <v>22</v>
      </c>
      <c r="K66" t="s">
        <v>23</v>
      </c>
      <c r="L66">
        <v>4020.19</v>
      </c>
      <c r="M66">
        <v>35</v>
      </c>
      <c r="N66">
        <v>2023</v>
      </c>
      <c r="O66">
        <v>1</v>
      </c>
      <c r="P66" t="s">
        <v>61</v>
      </c>
      <c r="Q66">
        <v>2161.25</v>
      </c>
      <c r="R66" t="s">
        <v>25</v>
      </c>
      <c r="S66">
        <v>1.8601226142278775</v>
      </c>
      <c r="T66" t="s">
        <v>78</v>
      </c>
    </row>
    <row r="67" spans="1:20" x14ac:dyDescent="0.25">
      <c r="A67" s="11">
        <v>45002</v>
      </c>
      <c r="B67" t="s">
        <v>42</v>
      </c>
      <c r="C67" t="s">
        <v>43</v>
      </c>
      <c r="D67" t="s">
        <v>48</v>
      </c>
      <c r="E67" t="s">
        <v>38</v>
      </c>
      <c r="F67">
        <v>947</v>
      </c>
      <c r="G67">
        <v>10.67</v>
      </c>
      <c r="H67">
        <v>10104.49</v>
      </c>
      <c r="I67" t="s">
        <v>26</v>
      </c>
      <c r="J67" t="s">
        <v>22</v>
      </c>
      <c r="K67" t="s">
        <v>23</v>
      </c>
      <c r="L67">
        <v>7957.18</v>
      </c>
      <c r="M67">
        <v>21.3</v>
      </c>
      <c r="N67">
        <v>2023</v>
      </c>
      <c r="O67">
        <v>1</v>
      </c>
      <c r="P67" t="s">
        <v>62</v>
      </c>
      <c r="Q67">
        <v>2147.31</v>
      </c>
      <c r="R67" t="s">
        <v>29</v>
      </c>
      <c r="S67">
        <v>3.7056503252907129</v>
      </c>
      <c r="T67" t="s">
        <v>78</v>
      </c>
    </row>
    <row r="68" spans="1:20" x14ac:dyDescent="0.25">
      <c r="A68" s="11">
        <v>45027</v>
      </c>
      <c r="B68" t="s">
        <v>51</v>
      </c>
      <c r="C68" t="s">
        <v>52</v>
      </c>
      <c r="D68" t="s">
        <v>44</v>
      </c>
      <c r="E68" t="s">
        <v>38</v>
      </c>
      <c r="F68">
        <v>914</v>
      </c>
      <c r="G68">
        <v>11.69</v>
      </c>
      <c r="H68">
        <v>10684.66</v>
      </c>
      <c r="I68" t="s">
        <v>21</v>
      </c>
      <c r="J68" t="s">
        <v>27</v>
      </c>
      <c r="K68" t="s">
        <v>41</v>
      </c>
      <c r="L68">
        <v>8537.83</v>
      </c>
      <c r="M68">
        <v>20.100000000000001</v>
      </c>
      <c r="N68">
        <v>2023</v>
      </c>
      <c r="O68">
        <v>2</v>
      </c>
      <c r="P68" t="s">
        <v>63</v>
      </c>
      <c r="Q68">
        <v>2146.83</v>
      </c>
      <c r="R68" t="s">
        <v>29</v>
      </c>
      <c r="S68">
        <v>3.9769474061756172</v>
      </c>
      <c r="T68" t="s">
        <v>78</v>
      </c>
    </row>
    <row r="69" spans="1:20" x14ac:dyDescent="0.25">
      <c r="A69" s="11">
        <v>45118</v>
      </c>
      <c r="B69" t="s">
        <v>30</v>
      </c>
      <c r="C69" t="s">
        <v>31</v>
      </c>
      <c r="D69" t="s">
        <v>53</v>
      </c>
      <c r="E69" t="s">
        <v>50</v>
      </c>
      <c r="F69">
        <v>706</v>
      </c>
      <c r="G69">
        <v>7.7</v>
      </c>
      <c r="H69">
        <v>5436.2</v>
      </c>
      <c r="I69" t="s">
        <v>57</v>
      </c>
      <c r="J69" t="s">
        <v>27</v>
      </c>
      <c r="K69" t="s">
        <v>28</v>
      </c>
      <c r="L69">
        <v>3294.71</v>
      </c>
      <c r="M69">
        <v>39.4</v>
      </c>
      <c r="N69">
        <v>2024</v>
      </c>
      <c r="O69">
        <v>3</v>
      </c>
      <c r="P69" t="s">
        <v>64</v>
      </c>
      <c r="Q69">
        <v>2141.4899999999998</v>
      </c>
      <c r="R69" t="s">
        <v>25</v>
      </c>
      <c r="S69">
        <v>1.538512904566447</v>
      </c>
      <c r="T69" t="s">
        <v>78</v>
      </c>
    </row>
    <row r="70" spans="1:20" x14ac:dyDescent="0.25">
      <c r="A70" s="11">
        <v>44978</v>
      </c>
      <c r="B70" t="s">
        <v>30</v>
      </c>
      <c r="C70" t="s">
        <v>31</v>
      </c>
      <c r="D70" t="s">
        <v>53</v>
      </c>
      <c r="E70" t="s">
        <v>50</v>
      </c>
      <c r="F70">
        <v>626</v>
      </c>
      <c r="G70">
        <v>9.82</v>
      </c>
      <c r="H70">
        <v>6147.32</v>
      </c>
      <c r="I70" t="s">
        <v>55</v>
      </c>
      <c r="J70" t="s">
        <v>40</v>
      </c>
      <c r="K70" t="s">
        <v>28</v>
      </c>
      <c r="L70">
        <v>4007.71</v>
      </c>
      <c r="M70">
        <v>34.799999999999997</v>
      </c>
      <c r="N70">
        <v>2023</v>
      </c>
      <c r="O70">
        <v>1</v>
      </c>
      <c r="P70" t="s">
        <v>61</v>
      </c>
      <c r="Q70">
        <v>2139.61</v>
      </c>
      <c r="R70" t="s">
        <v>25</v>
      </c>
      <c r="S70">
        <v>1.8731030421431942</v>
      </c>
      <c r="T70" t="s">
        <v>78</v>
      </c>
    </row>
    <row r="71" spans="1:20" x14ac:dyDescent="0.25">
      <c r="A71" s="11">
        <v>45059</v>
      </c>
      <c r="B71" t="s">
        <v>58</v>
      </c>
      <c r="C71" t="s">
        <v>59</v>
      </c>
      <c r="D71" t="s">
        <v>19</v>
      </c>
      <c r="E71" t="s">
        <v>20</v>
      </c>
      <c r="F71">
        <v>942</v>
      </c>
      <c r="G71">
        <v>10.27</v>
      </c>
      <c r="H71">
        <v>9674.34</v>
      </c>
      <c r="I71" t="s">
        <v>55</v>
      </c>
      <c r="J71" t="s">
        <v>22</v>
      </c>
      <c r="K71" t="s">
        <v>41</v>
      </c>
      <c r="L71">
        <v>7539.15</v>
      </c>
      <c r="M71">
        <v>22.1</v>
      </c>
      <c r="N71">
        <v>2023</v>
      </c>
      <c r="O71">
        <v>2</v>
      </c>
      <c r="P71" t="s">
        <v>65</v>
      </c>
      <c r="Q71">
        <v>2135.19</v>
      </c>
      <c r="R71" t="s">
        <v>29</v>
      </c>
      <c r="S71">
        <v>3.5309035729841369</v>
      </c>
      <c r="T71" t="s">
        <v>78</v>
      </c>
    </row>
    <row r="72" spans="1:20" x14ac:dyDescent="0.25">
      <c r="A72" s="11">
        <v>45040</v>
      </c>
      <c r="B72" t="s">
        <v>42</v>
      </c>
      <c r="C72" t="s">
        <v>43</v>
      </c>
      <c r="D72" t="s">
        <v>49</v>
      </c>
      <c r="E72" t="s">
        <v>50</v>
      </c>
      <c r="F72">
        <v>633</v>
      </c>
      <c r="G72">
        <v>9.75</v>
      </c>
      <c r="H72">
        <v>6171.75</v>
      </c>
      <c r="I72" t="s">
        <v>57</v>
      </c>
      <c r="J72" t="s">
        <v>47</v>
      </c>
      <c r="K72" t="s">
        <v>28</v>
      </c>
      <c r="L72">
        <v>4039.36</v>
      </c>
      <c r="M72">
        <v>34.6</v>
      </c>
      <c r="N72">
        <v>2023</v>
      </c>
      <c r="O72">
        <v>2</v>
      </c>
      <c r="P72" t="s">
        <v>63</v>
      </c>
      <c r="Q72">
        <v>2132.39</v>
      </c>
      <c r="R72" t="s">
        <v>25</v>
      </c>
      <c r="S72">
        <v>1.8942876303115286</v>
      </c>
      <c r="T72" t="s">
        <v>78</v>
      </c>
    </row>
    <row r="73" spans="1:20" x14ac:dyDescent="0.25">
      <c r="A73" s="11">
        <v>45076</v>
      </c>
      <c r="B73" t="s">
        <v>58</v>
      </c>
      <c r="C73" t="s">
        <v>59</v>
      </c>
      <c r="D73" t="s">
        <v>48</v>
      </c>
      <c r="E73" t="s">
        <v>38</v>
      </c>
      <c r="F73">
        <v>798</v>
      </c>
      <c r="G73">
        <v>11.29</v>
      </c>
      <c r="H73">
        <v>9009.42</v>
      </c>
      <c r="I73" t="s">
        <v>39</v>
      </c>
      <c r="J73" t="s">
        <v>34</v>
      </c>
      <c r="K73" t="s">
        <v>23</v>
      </c>
      <c r="L73">
        <v>6880.94</v>
      </c>
      <c r="M73">
        <v>23.6</v>
      </c>
      <c r="N73">
        <v>2023</v>
      </c>
      <c r="O73">
        <v>2</v>
      </c>
      <c r="P73" t="s">
        <v>67</v>
      </c>
      <c r="Q73">
        <v>2128.48</v>
      </c>
      <c r="R73" t="s">
        <v>29</v>
      </c>
      <c r="S73">
        <v>3.2327952341577086</v>
      </c>
      <c r="T73" t="s">
        <v>78</v>
      </c>
    </row>
    <row r="74" spans="1:20" x14ac:dyDescent="0.25">
      <c r="A74" s="11">
        <v>45119</v>
      </c>
      <c r="B74" t="s">
        <v>35</v>
      </c>
      <c r="C74" t="s">
        <v>36</v>
      </c>
      <c r="D74" t="s">
        <v>32</v>
      </c>
      <c r="E74" t="s">
        <v>20</v>
      </c>
      <c r="F74">
        <v>906</v>
      </c>
      <c r="G74">
        <v>6.78</v>
      </c>
      <c r="H74">
        <v>6142.68</v>
      </c>
      <c r="I74" t="s">
        <v>54</v>
      </c>
      <c r="J74" t="s">
        <v>56</v>
      </c>
      <c r="K74" t="s">
        <v>41</v>
      </c>
      <c r="L74">
        <v>4019.69</v>
      </c>
      <c r="M74">
        <v>34.6</v>
      </c>
      <c r="N74">
        <v>2024</v>
      </c>
      <c r="O74">
        <v>3</v>
      </c>
      <c r="P74" t="s">
        <v>65</v>
      </c>
      <c r="Q74">
        <v>2122.9899999999998</v>
      </c>
      <c r="R74" t="s">
        <v>25</v>
      </c>
      <c r="S74">
        <v>1.8934097664143499</v>
      </c>
      <c r="T74" t="s">
        <v>78</v>
      </c>
    </row>
    <row r="75" spans="1:20" x14ac:dyDescent="0.25">
      <c r="A75" s="11">
        <v>44935</v>
      </c>
      <c r="B75" t="s">
        <v>51</v>
      </c>
      <c r="C75" t="s">
        <v>52</v>
      </c>
      <c r="D75" t="s">
        <v>49</v>
      </c>
      <c r="E75" t="s">
        <v>50</v>
      </c>
      <c r="F75">
        <v>962</v>
      </c>
      <c r="G75">
        <v>9.36</v>
      </c>
      <c r="H75">
        <v>9004.32</v>
      </c>
      <c r="I75" t="s">
        <v>57</v>
      </c>
      <c r="J75" t="s">
        <v>34</v>
      </c>
      <c r="K75" t="s">
        <v>28</v>
      </c>
      <c r="L75">
        <v>6885.5</v>
      </c>
      <c r="M75">
        <v>23.5</v>
      </c>
      <c r="N75">
        <v>2023</v>
      </c>
      <c r="O75">
        <v>1</v>
      </c>
      <c r="P75" t="s">
        <v>24</v>
      </c>
      <c r="Q75">
        <v>2118.8200000000002</v>
      </c>
      <c r="R75" t="s">
        <v>29</v>
      </c>
      <c r="S75">
        <v>3.2496861460624307</v>
      </c>
      <c r="T75" t="s">
        <v>78</v>
      </c>
    </row>
    <row r="76" spans="1:20" x14ac:dyDescent="0.25">
      <c r="A76" s="11">
        <v>45124</v>
      </c>
      <c r="B76" t="s">
        <v>42</v>
      </c>
      <c r="C76" t="s">
        <v>43</v>
      </c>
      <c r="D76" t="s">
        <v>53</v>
      </c>
      <c r="E76" t="s">
        <v>50</v>
      </c>
      <c r="F76">
        <v>923</v>
      </c>
      <c r="G76">
        <v>11.7</v>
      </c>
      <c r="H76">
        <v>10799.1</v>
      </c>
      <c r="I76" t="s">
        <v>57</v>
      </c>
      <c r="J76" t="s">
        <v>56</v>
      </c>
      <c r="K76" t="s">
        <v>41</v>
      </c>
      <c r="L76">
        <v>8690.08</v>
      </c>
      <c r="M76">
        <v>19.5</v>
      </c>
      <c r="N76">
        <v>2024</v>
      </c>
      <c r="O76">
        <v>3</v>
      </c>
      <c r="P76" t="s">
        <v>68</v>
      </c>
      <c r="Q76">
        <v>2109.02</v>
      </c>
      <c r="R76" t="s">
        <v>29</v>
      </c>
      <c r="S76">
        <v>4.1204350835933274</v>
      </c>
      <c r="T76" t="s">
        <v>78</v>
      </c>
    </row>
    <row r="77" spans="1:20" x14ac:dyDescent="0.25">
      <c r="A77" s="11">
        <v>44951</v>
      </c>
      <c r="B77" t="s">
        <v>30</v>
      </c>
      <c r="C77" t="s">
        <v>31</v>
      </c>
      <c r="D77" t="s">
        <v>19</v>
      </c>
      <c r="E77" t="s">
        <v>20</v>
      </c>
      <c r="F77">
        <v>492</v>
      </c>
      <c r="G77">
        <v>10.69</v>
      </c>
      <c r="H77">
        <v>5259.48</v>
      </c>
      <c r="I77" t="s">
        <v>55</v>
      </c>
      <c r="J77" t="s">
        <v>56</v>
      </c>
      <c r="K77" t="s">
        <v>41</v>
      </c>
      <c r="L77">
        <v>3165.96</v>
      </c>
      <c r="M77">
        <v>39.799999999999997</v>
      </c>
      <c r="N77">
        <v>2023</v>
      </c>
      <c r="O77">
        <v>1</v>
      </c>
      <c r="P77" t="s">
        <v>24</v>
      </c>
      <c r="Q77">
        <v>2093.52</v>
      </c>
      <c r="R77" t="s">
        <v>25</v>
      </c>
      <c r="S77">
        <v>1.5122664221024877</v>
      </c>
      <c r="T77" t="s">
        <v>78</v>
      </c>
    </row>
    <row r="78" spans="1:20" x14ac:dyDescent="0.25">
      <c r="A78" s="11">
        <v>45051</v>
      </c>
      <c r="B78" t="s">
        <v>51</v>
      </c>
      <c r="C78" t="s">
        <v>52</v>
      </c>
      <c r="D78" t="s">
        <v>48</v>
      </c>
      <c r="E78" t="s">
        <v>38</v>
      </c>
      <c r="F78">
        <v>780</v>
      </c>
      <c r="G78">
        <v>11.1</v>
      </c>
      <c r="H78">
        <v>8658</v>
      </c>
      <c r="I78" t="s">
        <v>54</v>
      </c>
      <c r="J78" t="s">
        <v>22</v>
      </c>
      <c r="K78" t="s">
        <v>28</v>
      </c>
      <c r="L78">
        <v>6570.21</v>
      </c>
      <c r="M78">
        <v>24.1</v>
      </c>
      <c r="N78">
        <v>2023</v>
      </c>
      <c r="O78">
        <v>2</v>
      </c>
      <c r="P78" t="s">
        <v>64</v>
      </c>
      <c r="Q78">
        <v>2087.79</v>
      </c>
      <c r="R78" t="s">
        <v>29</v>
      </c>
      <c r="S78">
        <v>3.1469688043337691</v>
      </c>
      <c r="T78" t="s">
        <v>78</v>
      </c>
    </row>
    <row r="79" spans="1:20" x14ac:dyDescent="0.25">
      <c r="A79" s="11">
        <v>45074</v>
      </c>
      <c r="B79" t="s">
        <v>17</v>
      </c>
      <c r="C79" t="s">
        <v>18</v>
      </c>
      <c r="D79" t="s">
        <v>49</v>
      </c>
      <c r="E79" t="s">
        <v>50</v>
      </c>
      <c r="F79">
        <v>481</v>
      </c>
      <c r="G79">
        <v>11.25</v>
      </c>
      <c r="H79">
        <v>5411.25</v>
      </c>
      <c r="I79" t="s">
        <v>55</v>
      </c>
      <c r="J79" t="s">
        <v>22</v>
      </c>
      <c r="K79" t="s">
        <v>23</v>
      </c>
      <c r="L79">
        <v>3325.12</v>
      </c>
      <c r="M79">
        <v>38.6</v>
      </c>
      <c r="N79">
        <v>2023</v>
      </c>
      <c r="O79">
        <v>2</v>
      </c>
      <c r="P79" t="s">
        <v>67</v>
      </c>
      <c r="Q79">
        <v>2086.13</v>
      </c>
      <c r="R79" t="s">
        <v>25</v>
      </c>
      <c r="S79">
        <v>1.5939179245780464</v>
      </c>
      <c r="T79" t="s">
        <v>78</v>
      </c>
    </row>
    <row r="80" spans="1:20" x14ac:dyDescent="0.25">
      <c r="A80" s="11">
        <v>45058</v>
      </c>
      <c r="B80" t="s">
        <v>30</v>
      </c>
      <c r="C80" t="s">
        <v>31</v>
      </c>
      <c r="D80" t="s">
        <v>53</v>
      </c>
      <c r="E80" t="s">
        <v>50</v>
      </c>
      <c r="F80">
        <v>600</v>
      </c>
      <c r="G80">
        <v>10.09</v>
      </c>
      <c r="H80">
        <v>6054</v>
      </c>
      <c r="I80" t="s">
        <v>54</v>
      </c>
      <c r="J80" t="s">
        <v>40</v>
      </c>
      <c r="K80" t="s">
        <v>23</v>
      </c>
      <c r="L80">
        <v>3973.55</v>
      </c>
      <c r="M80">
        <v>34.4</v>
      </c>
      <c r="N80">
        <v>2023</v>
      </c>
      <c r="O80">
        <v>2</v>
      </c>
      <c r="P80" t="s">
        <v>65</v>
      </c>
      <c r="Q80">
        <v>2080.4499999999998</v>
      </c>
      <c r="R80" t="s">
        <v>25</v>
      </c>
      <c r="S80">
        <v>1.9099473671561444</v>
      </c>
      <c r="T80" t="s">
        <v>78</v>
      </c>
    </row>
    <row r="81" spans="1:20" x14ac:dyDescent="0.25">
      <c r="A81" s="11">
        <v>45127</v>
      </c>
      <c r="B81" t="s">
        <v>51</v>
      </c>
      <c r="C81" t="s">
        <v>52</v>
      </c>
      <c r="D81" t="s">
        <v>45</v>
      </c>
      <c r="E81" t="s">
        <v>20</v>
      </c>
      <c r="F81">
        <v>470</v>
      </c>
      <c r="G81">
        <v>11.77</v>
      </c>
      <c r="H81">
        <v>5531.9</v>
      </c>
      <c r="I81" t="s">
        <v>39</v>
      </c>
      <c r="J81" t="s">
        <v>34</v>
      </c>
      <c r="K81" t="s">
        <v>28</v>
      </c>
      <c r="L81">
        <v>3455.07</v>
      </c>
      <c r="M81">
        <v>37.5</v>
      </c>
      <c r="N81">
        <v>2024</v>
      </c>
      <c r="O81">
        <v>3</v>
      </c>
      <c r="P81" t="s">
        <v>70</v>
      </c>
      <c r="Q81">
        <v>2076.83</v>
      </c>
      <c r="R81" t="s">
        <v>25</v>
      </c>
      <c r="S81">
        <v>1.6636267773481701</v>
      </c>
      <c r="T81" t="s">
        <v>78</v>
      </c>
    </row>
    <row r="82" spans="1:20" x14ac:dyDescent="0.25">
      <c r="A82" s="11">
        <v>45088</v>
      </c>
      <c r="B82" t="s">
        <v>42</v>
      </c>
      <c r="C82" t="s">
        <v>43</v>
      </c>
      <c r="D82" t="s">
        <v>37</v>
      </c>
      <c r="E82" t="s">
        <v>38</v>
      </c>
      <c r="F82">
        <v>586</v>
      </c>
      <c r="G82">
        <v>11.04</v>
      </c>
      <c r="H82">
        <v>6469.44</v>
      </c>
      <c r="I82" t="s">
        <v>55</v>
      </c>
      <c r="J82" t="s">
        <v>27</v>
      </c>
      <c r="K82" t="s">
        <v>28</v>
      </c>
      <c r="L82">
        <v>4412.58</v>
      </c>
      <c r="M82">
        <v>31.8</v>
      </c>
      <c r="N82">
        <v>2023</v>
      </c>
      <c r="O82">
        <v>2</v>
      </c>
      <c r="P82" t="s">
        <v>69</v>
      </c>
      <c r="Q82">
        <v>2056.86</v>
      </c>
      <c r="R82" t="s">
        <v>25</v>
      </c>
      <c r="S82">
        <v>2.1452991452991452</v>
      </c>
      <c r="T82" t="s">
        <v>78</v>
      </c>
    </row>
    <row r="83" spans="1:20" x14ac:dyDescent="0.25">
      <c r="A83" s="11">
        <v>45041</v>
      </c>
      <c r="B83" t="s">
        <v>17</v>
      </c>
      <c r="C83" t="s">
        <v>18</v>
      </c>
      <c r="D83" t="s">
        <v>45</v>
      </c>
      <c r="E83" t="s">
        <v>20</v>
      </c>
      <c r="F83">
        <v>596</v>
      </c>
      <c r="G83">
        <v>10.62</v>
      </c>
      <c r="H83">
        <v>6329.52</v>
      </c>
      <c r="I83" t="s">
        <v>21</v>
      </c>
      <c r="J83" t="s">
        <v>34</v>
      </c>
      <c r="K83" t="s">
        <v>23</v>
      </c>
      <c r="L83">
        <v>4287.26</v>
      </c>
      <c r="M83">
        <v>32.299999999999997</v>
      </c>
      <c r="N83">
        <v>2023</v>
      </c>
      <c r="O83">
        <v>2</v>
      </c>
      <c r="P83" t="s">
        <v>64</v>
      </c>
      <c r="Q83">
        <v>2042.26</v>
      </c>
      <c r="R83" t="s">
        <v>25</v>
      </c>
      <c r="S83">
        <v>2.0992723747221218</v>
      </c>
      <c r="T83" t="s">
        <v>78</v>
      </c>
    </row>
    <row r="84" spans="1:20" x14ac:dyDescent="0.25">
      <c r="A84" s="11">
        <v>44979</v>
      </c>
      <c r="B84" t="s">
        <v>58</v>
      </c>
      <c r="C84" t="s">
        <v>59</v>
      </c>
      <c r="D84" t="s">
        <v>44</v>
      </c>
      <c r="E84" t="s">
        <v>38</v>
      </c>
      <c r="F84">
        <v>669</v>
      </c>
      <c r="G84">
        <v>9.92</v>
      </c>
      <c r="H84">
        <v>6636.48</v>
      </c>
      <c r="I84" t="s">
        <v>33</v>
      </c>
      <c r="J84" t="s">
        <v>40</v>
      </c>
      <c r="K84" t="s">
        <v>28</v>
      </c>
      <c r="L84">
        <v>4594.3999999999996</v>
      </c>
      <c r="M84">
        <v>30.8</v>
      </c>
      <c r="N84">
        <v>2023</v>
      </c>
      <c r="O84">
        <v>1</v>
      </c>
      <c r="P84" t="s">
        <v>61</v>
      </c>
      <c r="Q84">
        <v>2042.08</v>
      </c>
      <c r="R84" t="s">
        <v>25</v>
      </c>
      <c r="S84">
        <v>2.2498628849016686</v>
      </c>
      <c r="T84" t="s">
        <v>78</v>
      </c>
    </row>
    <row r="85" spans="1:20" x14ac:dyDescent="0.25">
      <c r="A85" s="11">
        <v>45087</v>
      </c>
      <c r="B85" t="s">
        <v>17</v>
      </c>
      <c r="C85" t="s">
        <v>18</v>
      </c>
      <c r="D85" t="s">
        <v>37</v>
      </c>
      <c r="E85" t="s">
        <v>38</v>
      </c>
      <c r="F85">
        <v>629</v>
      </c>
      <c r="G85">
        <v>10.14</v>
      </c>
      <c r="H85">
        <v>6378.06</v>
      </c>
      <c r="I85" t="s">
        <v>33</v>
      </c>
      <c r="J85" t="s">
        <v>27</v>
      </c>
      <c r="K85" t="s">
        <v>23</v>
      </c>
      <c r="L85">
        <v>4336.2299999999996</v>
      </c>
      <c r="M85">
        <v>32</v>
      </c>
      <c r="N85">
        <v>2023</v>
      </c>
      <c r="O85">
        <v>2</v>
      </c>
      <c r="P85" t="s">
        <v>69</v>
      </c>
      <c r="Q85">
        <v>2041.83</v>
      </c>
      <c r="R85" t="s">
        <v>25</v>
      </c>
      <c r="S85">
        <v>2.1236978592732987</v>
      </c>
      <c r="T85" t="s">
        <v>78</v>
      </c>
    </row>
    <row r="86" spans="1:20" x14ac:dyDescent="0.25">
      <c r="A86" s="11">
        <v>44985</v>
      </c>
      <c r="B86" t="s">
        <v>58</v>
      </c>
      <c r="C86" t="s">
        <v>59</v>
      </c>
      <c r="D86" t="s">
        <v>53</v>
      </c>
      <c r="E86" t="s">
        <v>50</v>
      </c>
      <c r="F86">
        <v>664</v>
      </c>
      <c r="G86">
        <v>9.94</v>
      </c>
      <c r="H86">
        <v>6600.16</v>
      </c>
      <c r="I86" t="s">
        <v>57</v>
      </c>
      <c r="J86" t="s">
        <v>40</v>
      </c>
      <c r="K86" t="s">
        <v>28</v>
      </c>
      <c r="L86">
        <v>4559.8599999999997</v>
      </c>
      <c r="M86">
        <v>30.9</v>
      </c>
      <c r="N86">
        <v>2023</v>
      </c>
      <c r="O86">
        <v>1</v>
      </c>
      <c r="P86" t="s">
        <v>61</v>
      </c>
      <c r="Q86">
        <v>2040.3</v>
      </c>
      <c r="R86" t="s">
        <v>25</v>
      </c>
      <c r="S86">
        <v>2.2348968288977109</v>
      </c>
      <c r="T86" t="s">
        <v>78</v>
      </c>
    </row>
    <row r="87" spans="1:20" x14ac:dyDescent="0.25">
      <c r="A87" s="11">
        <v>45075</v>
      </c>
      <c r="B87" t="s">
        <v>51</v>
      </c>
      <c r="C87" t="s">
        <v>52</v>
      </c>
      <c r="D87" t="s">
        <v>45</v>
      </c>
      <c r="E87" t="s">
        <v>20</v>
      </c>
      <c r="F87">
        <v>475</v>
      </c>
      <c r="G87">
        <v>10.72</v>
      </c>
      <c r="H87">
        <v>5092</v>
      </c>
      <c r="I87" t="s">
        <v>46</v>
      </c>
      <c r="J87" t="s">
        <v>27</v>
      </c>
      <c r="K87" t="s">
        <v>23</v>
      </c>
      <c r="L87">
        <v>3062.75</v>
      </c>
      <c r="M87">
        <v>39.9</v>
      </c>
      <c r="N87">
        <v>2023</v>
      </c>
      <c r="O87">
        <v>2</v>
      </c>
      <c r="P87" t="s">
        <v>67</v>
      </c>
      <c r="Q87">
        <v>2029.25</v>
      </c>
      <c r="R87" t="s">
        <v>25</v>
      </c>
      <c r="S87">
        <v>1.5093014660588888</v>
      </c>
      <c r="T87" t="s">
        <v>78</v>
      </c>
    </row>
    <row r="88" spans="1:20" x14ac:dyDescent="0.25">
      <c r="A88" s="11">
        <v>45006</v>
      </c>
      <c r="B88" t="s">
        <v>51</v>
      </c>
      <c r="C88" t="s">
        <v>52</v>
      </c>
      <c r="D88" t="s">
        <v>32</v>
      </c>
      <c r="E88" t="s">
        <v>20</v>
      </c>
      <c r="F88">
        <v>960</v>
      </c>
      <c r="G88">
        <v>7.34</v>
      </c>
      <c r="H88">
        <v>7046.4</v>
      </c>
      <c r="I88" t="s">
        <v>46</v>
      </c>
      <c r="J88" t="s">
        <v>56</v>
      </c>
      <c r="K88" t="s">
        <v>23</v>
      </c>
      <c r="L88">
        <v>5024.63</v>
      </c>
      <c r="M88">
        <v>28.7</v>
      </c>
      <c r="N88">
        <v>2023</v>
      </c>
      <c r="O88">
        <v>1</v>
      </c>
      <c r="P88" t="s">
        <v>62</v>
      </c>
      <c r="Q88">
        <v>2021.77</v>
      </c>
      <c r="R88" t="s">
        <v>25</v>
      </c>
      <c r="S88">
        <v>2.4852629131899278</v>
      </c>
      <c r="T88" t="s">
        <v>78</v>
      </c>
    </row>
    <row r="89" spans="1:20" x14ac:dyDescent="0.25">
      <c r="A89" s="11">
        <v>45110</v>
      </c>
      <c r="B89" t="s">
        <v>17</v>
      </c>
      <c r="C89" t="s">
        <v>18</v>
      </c>
      <c r="D89" t="s">
        <v>45</v>
      </c>
      <c r="E89" t="s">
        <v>20</v>
      </c>
      <c r="F89">
        <v>707</v>
      </c>
      <c r="G89">
        <v>8.4600000000000009</v>
      </c>
      <c r="H89">
        <v>5981.22</v>
      </c>
      <c r="I89" t="s">
        <v>57</v>
      </c>
      <c r="J89" t="s">
        <v>34</v>
      </c>
      <c r="K89" t="s">
        <v>28</v>
      </c>
      <c r="L89">
        <v>3961.8</v>
      </c>
      <c r="M89">
        <v>33.799999999999997</v>
      </c>
      <c r="N89">
        <v>2024</v>
      </c>
      <c r="O89">
        <v>3</v>
      </c>
      <c r="P89" t="s">
        <v>62</v>
      </c>
      <c r="Q89">
        <v>2019.42</v>
      </c>
      <c r="R89" t="s">
        <v>25</v>
      </c>
      <c r="S89">
        <v>1.9618504323023442</v>
      </c>
      <c r="T89" t="s">
        <v>78</v>
      </c>
    </row>
    <row r="90" spans="1:20" x14ac:dyDescent="0.25">
      <c r="A90" s="11">
        <v>45056</v>
      </c>
      <c r="B90" t="s">
        <v>58</v>
      </c>
      <c r="C90" t="s">
        <v>59</v>
      </c>
      <c r="D90" t="s">
        <v>49</v>
      </c>
      <c r="E90" t="s">
        <v>50</v>
      </c>
      <c r="F90">
        <v>955</v>
      </c>
      <c r="G90">
        <v>11.93</v>
      </c>
      <c r="H90">
        <v>11393.15</v>
      </c>
      <c r="I90" t="s">
        <v>46</v>
      </c>
      <c r="J90" t="s">
        <v>47</v>
      </c>
      <c r="K90" t="s">
        <v>28</v>
      </c>
      <c r="L90">
        <v>9377.6</v>
      </c>
      <c r="M90">
        <v>17.7</v>
      </c>
      <c r="N90">
        <v>2023</v>
      </c>
      <c r="O90">
        <v>2</v>
      </c>
      <c r="P90" t="s">
        <v>65</v>
      </c>
      <c r="Q90">
        <v>2015.55</v>
      </c>
      <c r="R90" t="s">
        <v>29</v>
      </c>
      <c r="S90">
        <v>4.652625834139565</v>
      </c>
      <c r="T90" t="s">
        <v>78</v>
      </c>
    </row>
    <row r="91" spans="1:20" x14ac:dyDescent="0.25">
      <c r="A91" s="11">
        <v>45016</v>
      </c>
      <c r="B91" t="s">
        <v>51</v>
      </c>
      <c r="C91" t="s">
        <v>52</v>
      </c>
      <c r="D91" t="s">
        <v>32</v>
      </c>
      <c r="E91" t="s">
        <v>20</v>
      </c>
      <c r="F91">
        <v>493</v>
      </c>
      <c r="G91">
        <v>10.71</v>
      </c>
      <c r="H91">
        <v>5280.03</v>
      </c>
      <c r="I91" t="s">
        <v>57</v>
      </c>
      <c r="J91" t="s">
        <v>47</v>
      </c>
      <c r="K91" t="s">
        <v>23</v>
      </c>
      <c r="L91">
        <v>3267.45</v>
      </c>
      <c r="M91">
        <v>38.1</v>
      </c>
      <c r="N91">
        <v>2023</v>
      </c>
      <c r="O91">
        <v>1</v>
      </c>
      <c r="P91" t="s">
        <v>62</v>
      </c>
      <c r="Q91">
        <v>2012.58</v>
      </c>
      <c r="R91" t="s">
        <v>25</v>
      </c>
      <c r="S91">
        <v>1.623513102584742</v>
      </c>
      <c r="T91" t="s">
        <v>78</v>
      </c>
    </row>
    <row r="92" spans="1:20" x14ac:dyDescent="0.25">
      <c r="A92" s="11">
        <v>45032</v>
      </c>
      <c r="B92" t="s">
        <v>17</v>
      </c>
      <c r="C92" t="s">
        <v>18</v>
      </c>
      <c r="D92" t="s">
        <v>49</v>
      </c>
      <c r="E92" t="s">
        <v>50</v>
      </c>
      <c r="F92">
        <v>603</v>
      </c>
      <c r="G92">
        <v>10.25</v>
      </c>
      <c r="H92">
        <v>6180.75</v>
      </c>
      <c r="I92" t="s">
        <v>57</v>
      </c>
      <c r="J92" t="s">
        <v>27</v>
      </c>
      <c r="K92" t="s">
        <v>23</v>
      </c>
      <c r="L92">
        <v>4177.38</v>
      </c>
      <c r="M92">
        <v>32.4</v>
      </c>
      <c r="N92">
        <v>2023</v>
      </c>
      <c r="O92">
        <v>2</v>
      </c>
      <c r="P92" t="s">
        <v>63</v>
      </c>
      <c r="Q92">
        <v>2003.37</v>
      </c>
      <c r="R92" t="s">
        <v>25</v>
      </c>
      <c r="S92">
        <v>2.0851764776351849</v>
      </c>
      <c r="T92" t="s">
        <v>78</v>
      </c>
    </row>
    <row r="93" spans="1:20" x14ac:dyDescent="0.25">
      <c r="A93" s="11">
        <v>44934</v>
      </c>
      <c r="B93" t="s">
        <v>42</v>
      </c>
      <c r="C93" t="s">
        <v>43</v>
      </c>
      <c r="D93" t="s">
        <v>37</v>
      </c>
      <c r="E93" t="s">
        <v>38</v>
      </c>
      <c r="F93">
        <v>595</v>
      </c>
      <c r="G93">
        <v>8.65</v>
      </c>
      <c r="H93">
        <v>5146.75</v>
      </c>
      <c r="I93" t="s">
        <v>54</v>
      </c>
      <c r="J93" t="s">
        <v>22</v>
      </c>
      <c r="K93" t="s">
        <v>28</v>
      </c>
      <c r="L93">
        <v>3159.95</v>
      </c>
      <c r="M93">
        <v>38.6</v>
      </c>
      <c r="N93">
        <v>2023</v>
      </c>
      <c r="O93">
        <v>1</v>
      </c>
      <c r="P93" t="s">
        <v>24</v>
      </c>
      <c r="Q93">
        <v>1986.8</v>
      </c>
      <c r="R93" t="s">
        <v>25</v>
      </c>
      <c r="S93">
        <v>1.5904721159653714</v>
      </c>
      <c r="T93" t="s">
        <v>78</v>
      </c>
    </row>
    <row r="94" spans="1:20" x14ac:dyDescent="0.25">
      <c r="A94" s="11">
        <v>45093</v>
      </c>
      <c r="B94" t="s">
        <v>42</v>
      </c>
      <c r="C94" t="s">
        <v>43</v>
      </c>
      <c r="D94" t="s">
        <v>19</v>
      </c>
      <c r="E94" t="s">
        <v>20</v>
      </c>
      <c r="F94">
        <v>974</v>
      </c>
      <c r="G94">
        <v>8.51</v>
      </c>
      <c r="H94">
        <v>8288.74</v>
      </c>
      <c r="I94" t="s">
        <v>55</v>
      </c>
      <c r="J94" t="s">
        <v>56</v>
      </c>
      <c r="K94" t="s">
        <v>23</v>
      </c>
      <c r="L94">
        <v>6310.12</v>
      </c>
      <c r="M94">
        <v>23.9</v>
      </c>
      <c r="N94">
        <v>2023</v>
      </c>
      <c r="O94">
        <v>2</v>
      </c>
      <c r="P94" t="s">
        <v>70</v>
      </c>
      <c r="Q94">
        <v>1978.62</v>
      </c>
      <c r="R94" t="s">
        <v>29</v>
      </c>
      <c r="S94">
        <v>3.1891520352568965</v>
      </c>
      <c r="T94" t="s">
        <v>78</v>
      </c>
    </row>
    <row r="95" spans="1:20" x14ac:dyDescent="0.25">
      <c r="A95" s="11">
        <v>45052</v>
      </c>
      <c r="B95" t="s">
        <v>17</v>
      </c>
      <c r="C95" t="s">
        <v>18</v>
      </c>
      <c r="D95" t="s">
        <v>44</v>
      </c>
      <c r="E95" t="s">
        <v>38</v>
      </c>
      <c r="F95">
        <v>638</v>
      </c>
      <c r="G95">
        <v>11.19</v>
      </c>
      <c r="H95">
        <v>7139.22</v>
      </c>
      <c r="I95" t="s">
        <v>57</v>
      </c>
      <c r="J95" t="s">
        <v>27</v>
      </c>
      <c r="K95" t="s">
        <v>41</v>
      </c>
      <c r="L95">
        <v>5179.0200000000004</v>
      </c>
      <c r="M95">
        <v>27.5</v>
      </c>
      <c r="N95">
        <v>2023</v>
      </c>
      <c r="O95">
        <v>2</v>
      </c>
      <c r="P95" t="s">
        <v>65</v>
      </c>
      <c r="Q95">
        <v>1960.2</v>
      </c>
      <c r="R95" t="s">
        <v>25</v>
      </c>
      <c r="S95">
        <v>2.642087542087542</v>
      </c>
      <c r="T95" t="s">
        <v>78</v>
      </c>
    </row>
    <row r="96" spans="1:20" x14ac:dyDescent="0.25">
      <c r="A96" s="11">
        <v>45075</v>
      </c>
      <c r="B96" t="s">
        <v>30</v>
      </c>
      <c r="C96" t="s">
        <v>31</v>
      </c>
      <c r="D96" t="s">
        <v>32</v>
      </c>
      <c r="E96" t="s">
        <v>20</v>
      </c>
      <c r="F96">
        <v>743</v>
      </c>
      <c r="G96">
        <v>6.83</v>
      </c>
      <c r="H96">
        <v>5074.6899999999996</v>
      </c>
      <c r="I96" t="s">
        <v>21</v>
      </c>
      <c r="J96" t="s">
        <v>40</v>
      </c>
      <c r="K96" t="s">
        <v>28</v>
      </c>
      <c r="L96">
        <v>3115.81</v>
      </c>
      <c r="M96">
        <v>38.6</v>
      </c>
      <c r="N96">
        <v>2023</v>
      </c>
      <c r="O96">
        <v>2</v>
      </c>
      <c r="P96" t="s">
        <v>67</v>
      </c>
      <c r="Q96">
        <v>1958.88</v>
      </c>
      <c r="R96" t="s">
        <v>25</v>
      </c>
      <c r="S96">
        <v>1.5906078983909171</v>
      </c>
      <c r="T96" t="s">
        <v>78</v>
      </c>
    </row>
    <row r="97" spans="1:20" x14ac:dyDescent="0.25">
      <c r="A97" s="11">
        <v>44962</v>
      </c>
      <c r="B97" t="s">
        <v>42</v>
      </c>
      <c r="C97" t="s">
        <v>43</v>
      </c>
      <c r="D97" t="s">
        <v>49</v>
      </c>
      <c r="E97" t="s">
        <v>50</v>
      </c>
      <c r="F97">
        <v>942</v>
      </c>
      <c r="G97">
        <v>5.94</v>
      </c>
      <c r="H97">
        <v>5595.48</v>
      </c>
      <c r="I97" t="s">
        <v>39</v>
      </c>
      <c r="J97" t="s">
        <v>27</v>
      </c>
      <c r="K97" t="s">
        <v>23</v>
      </c>
      <c r="L97">
        <v>3639.22</v>
      </c>
      <c r="M97">
        <v>35</v>
      </c>
      <c r="N97">
        <v>2023</v>
      </c>
      <c r="O97">
        <v>1</v>
      </c>
      <c r="P97" t="s">
        <v>60</v>
      </c>
      <c r="Q97">
        <v>1956.26</v>
      </c>
      <c r="R97" t="s">
        <v>25</v>
      </c>
      <c r="S97">
        <v>1.8602946438612453</v>
      </c>
      <c r="T97" t="s">
        <v>78</v>
      </c>
    </row>
    <row r="98" spans="1:20" x14ac:dyDescent="0.25">
      <c r="A98" s="11">
        <v>44954</v>
      </c>
      <c r="B98" t="s">
        <v>30</v>
      </c>
      <c r="C98" t="s">
        <v>31</v>
      </c>
      <c r="D98" t="s">
        <v>19</v>
      </c>
      <c r="E98" t="s">
        <v>20</v>
      </c>
      <c r="F98">
        <v>593</v>
      </c>
      <c r="G98">
        <v>9.9</v>
      </c>
      <c r="H98">
        <v>5870.7</v>
      </c>
      <c r="I98" t="s">
        <v>26</v>
      </c>
      <c r="J98" t="s">
        <v>34</v>
      </c>
      <c r="K98" t="s">
        <v>23</v>
      </c>
      <c r="L98">
        <v>3915.01</v>
      </c>
      <c r="M98">
        <v>33.299999999999997</v>
      </c>
      <c r="N98">
        <v>2023</v>
      </c>
      <c r="O98">
        <v>1</v>
      </c>
      <c r="P98" t="s">
        <v>24</v>
      </c>
      <c r="Q98">
        <v>1955.69</v>
      </c>
      <c r="R98" t="s">
        <v>25</v>
      </c>
      <c r="S98">
        <v>2.0018561223915858</v>
      </c>
      <c r="T98" t="s">
        <v>78</v>
      </c>
    </row>
    <row r="99" spans="1:20" x14ac:dyDescent="0.25">
      <c r="A99" s="11">
        <v>44995</v>
      </c>
      <c r="B99" t="s">
        <v>51</v>
      </c>
      <c r="C99" t="s">
        <v>52</v>
      </c>
      <c r="D99" t="s">
        <v>45</v>
      </c>
      <c r="E99" t="s">
        <v>20</v>
      </c>
      <c r="F99">
        <v>988</v>
      </c>
      <c r="G99">
        <v>5.14</v>
      </c>
      <c r="H99">
        <v>5078.32</v>
      </c>
      <c r="I99" t="s">
        <v>39</v>
      </c>
      <c r="J99" t="s">
        <v>56</v>
      </c>
      <c r="K99" t="s">
        <v>28</v>
      </c>
      <c r="L99">
        <v>3123.11</v>
      </c>
      <c r="M99">
        <v>38.5</v>
      </c>
      <c r="N99">
        <v>2023</v>
      </c>
      <c r="O99">
        <v>1</v>
      </c>
      <c r="P99" t="s">
        <v>61</v>
      </c>
      <c r="Q99">
        <v>1955.21</v>
      </c>
      <c r="R99" t="s">
        <v>25</v>
      </c>
      <c r="S99">
        <v>1.5973271413300874</v>
      </c>
      <c r="T99" t="s">
        <v>78</v>
      </c>
    </row>
    <row r="100" spans="1:20" x14ac:dyDescent="0.25">
      <c r="A100" s="11">
        <v>45122</v>
      </c>
      <c r="B100" t="s">
        <v>35</v>
      </c>
      <c r="C100" t="s">
        <v>36</v>
      </c>
      <c r="D100" t="s">
        <v>53</v>
      </c>
      <c r="E100" t="s">
        <v>50</v>
      </c>
      <c r="F100">
        <v>847</v>
      </c>
      <c r="G100">
        <v>10.65</v>
      </c>
      <c r="H100">
        <v>9020.5499999999993</v>
      </c>
      <c r="I100" t="s">
        <v>55</v>
      </c>
      <c r="J100" t="s">
        <v>47</v>
      </c>
      <c r="K100" t="s">
        <v>41</v>
      </c>
      <c r="L100">
        <v>7065.45</v>
      </c>
      <c r="M100">
        <v>21.7</v>
      </c>
      <c r="N100">
        <v>2024</v>
      </c>
      <c r="O100">
        <v>3</v>
      </c>
      <c r="P100" t="s">
        <v>66</v>
      </c>
      <c r="Q100">
        <v>1955.1</v>
      </c>
      <c r="R100" t="s">
        <v>29</v>
      </c>
      <c r="S100">
        <v>3.6138560687432868</v>
      </c>
      <c r="T100" t="s">
        <v>78</v>
      </c>
    </row>
    <row r="101" spans="1:20" x14ac:dyDescent="0.25">
      <c r="A101" s="11">
        <v>45051</v>
      </c>
      <c r="B101" t="s">
        <v>58</v>
      </c>
      <c r="C101" t="s">
        <v>59</v>
      </c>
      <c r="D101" t="s">
        <v>32</v>
      </c>
      <c r="E101" t="s">
        <v>20</v>
      </c>
      <c r="F101">
        <v>772</v>
      </c>
      <c r="G101">
        <v>7.57</v>
      </c>
      <c r="H101">
        <v>5844.04</v>
      </c>
      <c r="I101" t="s">
        <v>46</v>
      </c>
      <c r="J101" t="s">
        <v>22</v>
      </c>
      <c r="K101" t="s">
        <v>23</v>
      </c>
      <c r="L101">
        <v>3889.42</v>
      </c>
      <c r="M101">
        <v>33.4</v>
      </c>
      <c r="N101">
        <v>2023</v>
      </c>
      <c r="O101">
        <v>2</v>
      </c>
      <c r="P101" t="s">
        <v>64</v>
      </c>
      <c r="Q101">
        <v>1954.62</v>
      </c>
      <c r="R101" t="s">
        <v>25</v>
      </c>
      <c r="S101">
        <v>1.9898599216215942</v>
      </c>
      <c r="T101" t="s">
        <v>78</v>
      </c>
    </row>
    <row r="102" spans="1:20" x14ac:dyDescent="0.25">
      <c r="A102" s="11">
        <v>45039</v>
      </c>
      <c r="B102" t="s">
        <v>35</v>
      </c>
      <c r="C102" t="s">
        <v>36</v>
      </c>
      <c r="D102" t="s">
        <v>37</v>
      </c>
      <c r="E102" t="s">
        <v>38</v>
      </c>
      <c r="F102">
        <v>903</v>
      </c>
      <c r="G102">
        <v>6.54</v>
      </c>
      <c r="H102">
        <v>5905.62</v>
      </c>
      <c r="I102" t="s">
        <v>21</v>
      </c>
      <c r="J102" t="s">
        <v>47</v>
      </c>
      <c r="K102" t="s">
        <v>23</v>
      </c>
      <c r="L102">
        <v>3959.1</v>
      </c>
      <c r="M102">
        <v>33</v>
      </c>
      <c r="N102">
        <v>2023</v>
      </c>
      <c r="O102">
        <v>2</v>
      </c>
      <c r="P102" t="s">
        <v>63</v>
      </c>
      <c r="Q102">
        <v>1946.52</v>
      </c>
      <c r="R102" t="s">
        <v>25</v>
      </c>
      <c r="S102">
        <v>2.0339374884409098</v>
      </c>
      <c r="T102" t="s">
        <v>78</v>
      </c>
    </row>
    <row r="103" spans="1:20" x14ac:dyDescent="0.25">
      <c r="A103" s="11">
        <v>45001</v>
      </c>
      <c r="B103" t="s">
        <v>58</v>
      </c>
      <c r="C103" t="s">
        <v>59</v>
      </c>
      <c r="D103" t="s">
        <v>53</v>
      </c>
      <c r="E103" t="s">
        <v>50</v>
      </c>
      <c r="F103">
        <v>807</v>
      </c>
      <c r="G103">
        <v>6.08</v>
      </c>
      <c r="H103">
        <v>4906.5600000000004</v>
      </c>
      <c r="I103" t="s">
        <v>26</v>
      </c>
      <c r="J103" t="s">
        <v>22</v>
      </c>
      <c r="K103" t="s">
        <v>41</v>
      </c>
      <c r="L103">
        <v>2963.91</v>
      </c>
      <c r="M103">
        <v>39.6</v>
      </c>
      <c r="N103">
        <v>2023</v>
      </c>
      <c r="O103">
        <v>1</v>
      </c>
      <c r="P103" t="s">
        <v>62</v>
      </c>
      <c r="Q103">
        <v>1942.65</v>
      </c>
      <c r="R103" t="s">
        <v>25</v>
      </c>
      <c r="S103">
        <v>1.5257045787970041</v>
      </c>
      <c r="T103" t="s">
        <v>78</v>
      </c>
    </row>
    <row r="104" spans="1:20" x14ac:dyDescent="0.25">
      <c r="A104" s="11">
        <v>45115</v>
      </c>
      <c r="B104" t="s">
        <v>42</v>
      </c>
      <c r="C104" t="s">
        <v>43</v>
      </c>
      <c r="D104" t="s">
        <v>32</v>
      </c>
      <c r="E104" t="s">
        <v>20</v>
      </c>
      <c r="F104">
        <v>765</v>
      </c>
      <c r="G104">
        <v>11.85</v>
      </c>
      <c r="H104">
        <v>9065.25</v>
      </c>
      <c r="I104" t="s">
        <v>57</v>
      </c>
      <c r="J104" t="s">
        <v>27</v>
      </c>
      <c r="K104" t="s">
        <v>23</v>
      </c>
      <c r="L104">
        <v>7123.5</v>
      </c>
      <c r="M104">
        <v>21.4</v>
      </c>
      <c r="N104">
        <v>2024</v>
      </c>
      <c r="O104">
        <v>3</v>
      </c>
      <c r="P104" t="s">
        <v>63</v>
      </c>
      <c r="Q104">
        <v>1941.75</v>
      </c>
      <c r="R104" t="s">
        <v>29</v>
      </c>
      <c r="S104">
        <v>3.6685979142526071</v>
      </c>
      <c r="T104" t="s">
        <v>78</v>
      </c>
    </row>
    <row r="105" spans="1:20" x14ac:dyDescent="0.25">
      <c r="A105" s="11">
        <v>45124</v>
      </c>
      <c r="B105" t="s">
        <v>51</v>
      </c>
      <c r="C105" t="s">
        <v>52</v>
      </c>
      <c r="D105" t="s">
        <v>49</v>
      </c>
      <c r="E105" t="s">
        <v>50</v>
      </c>
      <c r="F105">
        <v>832</v>
      </c>
      <c r="G105">
        <v>9.76</v>
      </c>
      <c r="H105">
        <v>8120.32</v>
      </c>
      <c r="I105" t="s">
        <v>21</v>
      </c>
      <c r="J105" t="s">
        <v>27</v>
      </c>
      <c r="K105" t="s">
        <v>28</v>
      </c>
      <c r="L105">
        <v>6209.81</v>
      </c>
      <c r="M105">
        <v>23.5</v>
      </c>
      <c r="N105">
        <v>2024</v>
      </c>
      <c r="O105">
        <v>3</v>
      </c>
      <c r="P105" t="s">
        <v>67</v>
      </c>
      <c r="Q105">
        <v>1910.51</v>
      </c>
      <c r="R105" t="s">
        <v>29</v>
      </c>
      <c r="S105">
        <v>3.2503415318422832</v>
      </c>
      <c r="T105" t="s">
        <v>78</v>
      </c>
    </row>
    <row r="106" spans="1:20" x14ac:dyDescent="0.25">
      <c r="A106" s="11">
        <v>44944</v>
      </c>
      <c r="B106" t="s">
        <v>42</v>
      </c>
      <c r="C106" t="s">
        <v>43</v>
      </c>
      <c r="D106" t="s">
        <v>44</v>
      </c>
      <c r="E106" t="s">
        <v>38</v>
      </c>
      <c r="F106">
        <v>575</v>
      </c>
      <c r="G106">
        <v>8.52</v>
      </c>
      <c r="H106">
        <v>4899</v>
      </c>
      <c r="I106" t="s">
        <v>46</v>
      </c>
      <c r="J106" t="s">
        <v>27</v>
      </c>
      <c r="K106" t="s">
        <v>23</v>
      </c>
      <c r="L106">
        <v>2997.58</v>
      </c>
      <c r="M106">
        <v>38.799999999999997</v>
      </c>
      <c r="N106">
        <v>2023</v>
      </c>
      <c r="O106">
        <v>1</v>
      </c>
      <c r="P106" t="s">
        <v>24</v>
      </c>
      <c r="Q106">
        <v>1901.42</v>
      </c>
      <c r="R106" t="s">
        <v>25</v>
      </c>
      <c r="S106">
        <v>1.5764954612868276</v>
      </c>
      <c r="T106" t="s">
        <v>78</v>
      </c>
    </row>
    <row r="107" spans="1:20" x14ac:dyDescent="0.25">
      <c r="A107" s="11">
        <v>45091</v>
      </c>
      <c r="B107" t="s">
        <v>30</v>
      </c>
      <c r="C107" t="s">
        <v>31</v>
      </c>
      <c r="D107" t="s">
        <v>49</v>
      </c>
      <c r="E107" t="s">
        <v>50</v>
      </c>
      <c r="F107">
        <v>658</v>
      </c>
      <c r="G107">
        <v>11.02</v>
      </c>
      <c r="H107">
        <v>7251.16</v>
      </c>
      <c r="I107" t="s">
        <v>57</v>
      </c>
      <c r="J107" t="s">
        <v>40</v>
      </c>
      <c r="K107" t="s">
        <v>41</v>
      </c>
      <c r="L107">
        <v>5357.78</v>
      </c>
      <c r="M107">
        <v>26.1</v>
      </c>
      <c r="N107">
        <v>2023</v>
      </c>
      <c r="O107">
        <v>2</v>
      </c>
      <c r="P107" t="s">
        <v>70</v>
      </c>
      <c r="Q107">
        <v>1893.38</v>
      </c>
      <c r="R107" t="s">
        <v>25</v>
      </c>
      <c r="S107">
        <v>2.8297436330794659</v>
      </c>
      <c r="T107" t="s">
        <v>78</v>
      </c>
    </row>
    <row r="108" spans="1:20" x14ac:dyDescent="0.25">
      <c r="A108" s="11">
        <v>45108</v>
      </c>
      <c r="B108" t="s">
        <v>58</v>
      </c>
      <c r="C108" t="s">
        <v>59</v>
      </c>
      <c r="D108" t="s">
        <v>49</v>
      </c>
      <c r="E108" t="s">
        <v>50</v>
      </c>
      <c r="F108">
        <v>739</v>
      </c>
      <c r="G108">
        <v>11.67</v>
      </c>
      <c r="H108">
        <v>8624.1299999999992</v>
      </c>
      <c r="I108" t="s">
        <v>55</v>
      </c>
      <c r="J108" t="s">
        <v>56</v>
      </c>
      <c r="K108" t="s">
        <v>23</v>
      </c>
      <c r="L108">
        <v>6741.37</v>
      </c>
      <c r="M108">
        <v>21.8</v>
      </c>
      <c r="N108">
        <v>2024</v>
      </c>
      <c r="O108">
        <v>3</v>
      </c>
      <c r="P108" t="s">
        <v>60</v>
      </c>
      <c r="Q108">
        <v>1882.76</v>
      </c>
      <c r="R108" t="s">
        <v>29</v>
      </c>
      <c r="S108">
        <v>3.580578512396694</v>
      </c>
      <c r="T108" t="s">
        <v>78</v>
      </c>
    </row>
    <row r="109" spans="1:20" x14ac:dyDescent="0.25">
      <c r="A109" s="11">
        <v>45118</v>
      </c>
      <c r="B109" t="s">
        <v>30</v>
      </c>
      <c r="C109" t="s">
        <v>31</v>
      </c>
      <c r="D109" t="s">
        <v>53</v>
      </c>
      <c r="E109" t="s">
        <v>50</v>
      </c>
      <c r="F109">
        <v>939</v>
      </c>
      <c r="G109">
        <v>5.18</v>
      </c>
      <c r="H109">
        <v>4864.0200000000004</v>
      </c>
      <c r="I109" t="s">
        <v>26</v>
      </c>
      <c r="J109" t="s">
        <v>34</v>
      </c>
      <c r="K109" t="s">
        <v>23</v>
      </c>
      <c r="L109">
        <v>2995</v>
      </c>
      <c r="M109">
        <v>38.4</v>
      </c>
      <c r="N109">
        <v>2024</v>
      </c>
      <c r="O109">
        <v>3</v>
      </c>
      <c r="P109" t="s">
        <v>64</v>
      </c>
      <c r="Q109">
        <v>1869.02</v>
      </c>
      <c r="R109" t="s">
        <v>25</v>
      </c>
      <c r="S109">
        <v>1.6024440615937765</v>
      </c>
      <c r="T109" t="s">
        <v>78</v>
      </c>
    </row>
    <row r="110" spans="1:20" x14ac:dyDescent="0.25">
      <c r="A110" s="11">
        <v>45035</v>
      </c>
      <c r="B110" t="s">
        <v>30</v>
      </c>
      <c r="C110" t="s">
        <v>31</v>
      </c>
      <c r="D110" t="s">
        <v>53</v>
      </c>
      <c r="E110" t="s">
        <v>50</v>
      </c>
      <c r="F110">
        <v>758</v>
      </c>
      <c r="G110">
        <v>10.52</v>
      </c>
      <c r="H110">
        <v>7974.16</v>
      </c>
      <c r="I110" t="s">
        <v>26</v>
      </c>
      <c r="J110" t="s">
        <v>34</v>
      </c>
      <c r="K110" t="s">
        <v>23</v>
      </c>
      <c r="L110">
        <v>6129.14</v>
      </c>
      <c r="M110">
        <v>23.1</v>
      </c>
      <c r="N110">
        <v>2023</v>
      </c>
      <c r="O110">
        <v>2</v>
      </c>
      <c r="P110" t="s">
        <v>63</v>
      </c>
      <c r="Q110">
        <v>1845.02</v>
      </c>
      <c r="R110" t="s">
        <v>29</v>
      </c>
      <c r="S110">
        <v>3.3219910895274851</v>
      </c>
      <c r="T110" t="s">
        <v>78</v>
      </c>
    </row>
    <row r="111" spans="1:20" x14ac:dyDescent="0.25">
      <c r="A111" s="11">
        <v>44948</v>
      </c>
      <c r="B111" t="s">
        <v>35</v>
      </c>
      <c r="C111" t="s">
        <v>36</v>
      </c>
      <c r="D111" t="s">
        <v>53</v>
      </c>
      <c r="E111" t="s">
        <v>50</v>
      </c>
      <c r="F111">
        <v>969</v>
      </c>
      <c r="G111">
        <v>11.44</v>
      </c>
      <c r="H111">
        <v>11085.36</v>
      </c>
      <c r="I111" t="s">
        <v>33</v>
      </c>
      <c r="J111" t="s">
        <v>34</v>
      </c>
      <c r="K111" t="s">
        <v>28</v>
      </c>
      <c r="L111">
        <v>9254.84</v>
      </c>
      <c r="M111">
        <v>16.5</v>
      </c>
      <c r="N111">
        <v>2023</v>
      </c>
      <c r="O111">
        <v>1</v>
      </c>
      <c r="P111" t="s">
        <v>24</v>
      </c>
      <c r="Q111">
        <v>1830.52</v>
      </c>
      <c r="R111" t="s">
        <v>29</v>
      </c>
      <c r="S111">
        <v>5.0558529816664119</v>
      </c>
      <c r="T111" t="s">
        <v>78</v>
      </c>
    </row>
    <row r="112" spans="1:20" x14ac:dyDescent="0.25">
      <c r="A112" s="11">
        <v>45125</v>
      </c>
      <c r="B112" t="s">
        <v>30</v>
      </c>
      <c r="C112" t="s">
        <v>31</v>
      </c>
      <c r="D112" t="s">
        <v>32</v>
      </c>
      <c r="E112" t="s">
        <v>20</v>
      </c>
      <c r="F112">
        <v>832</v>
      </c>
      <c r="G112">
        <v>8.6999999999999993</v>
      </c>
      <c r="H112">
        <v>7238.4</v>
      </c>
      <c r="I112" t="s">
        <v>21</v>
      </c>
      <c r="J112" t="s">
        <v>47</v>
      </c>
      <c r="K112" t="s">
        <v>28</v>
      </c>
      <c r="L112">
        <v>5409.36</v>
      </c>
      <c r="M112">
        <v>25.3</v>
      </c>
      <c r="N112">
        <v>2024</v>
      </c>
      <c r="O112">
        <v>3</v>
      </c>
      <c r="P112" t="s">
        <v>69</v>
      </c>
      <c r="Q112">
        <v>1829.04</v>
      </c>
      <c r="R112" t="s">
        <v>25</v>
      </c>
      <c r="S112">
        <v>2.9574858942396012</v>
      </c>
      <c r="T112" t="s">
        <v>78</v>
      </c>
    </row>
    <row r="113" spans="1:20" x14ac:dyDescent="0.25">
      <c r="A113" s="11">
        <v>44931</v>
      </c>
      <c r="B113" t="s">
        <v>35</v>
      </c>
      <c r="C113" t="s">
        <v>36</v>
      </c>
      <c r="D113" t="s">
        <v>53</v>
      </c>
      <c r="E113" t="s">
        <v>50</v>
      </c>
      <c r="F113">
        <v>667</v>
      </c>
      <c r="G113">
        <v>11.03</v>
      </c>
      <c r="H113">
        <v>7357.01</v>
      </c>
      <c r="I113" t="s">
        <v>55</v>
      </c>
      <c r="J113" t="s">
        <v>56</v>
      </c>
      <c r="K113" t="s">
        <v>23</v>
      </c>
      <c r="L113">
        <v>5531.23</v>
      </c>
      <c r="M113">
        <v>24.8</v>
      </c>
      <c r="N113">
        <v>2023</v>
      </c>
      <c r="O113">
        <v>1</v>
      </c>
      <c r="P113" t="s">
        <v>24</v>
      </c>
      <c r="Q113">
        <v>1825.78</v>
      </c>
      <c r="R113" t="s">
        <v>29</v>
      </c>
      <c r="S113">
        <v>3.0295161520007885</v>
      </c>
      <c r="T113" t="s">
        <v>78</v>
      </c>
    </row>
    <row r="114" spans="1:20" x14ac:dyDescent="0.25">
      <c r="A114" s="11">
        <v>44998</v>
      </c>
      <c r="B114" t="s">
        <v>58</v>
      </c>
      <c r="C114" t="s">
        <v>59</v>
      </c>
      <c r="D114" t="s">
        <v>32</v>
      </c>
      <c r="E114" t="s">
        <v>20</v>
      </c>
      <c r="F114">
        <v>821</v>
      </c>
      <c r="G114">
        <v>9.3000000000000007</v>
      </c>
      <c r="H114">
        <v>7635.3</v>
      </c>
      <c r="I114" t="s">
        <v>54</v>
      </c>
      <c r="J114" t="s">
        <v>40</v>
      </c>
      <c r="K114" t="s">
        <v>41</v>
      </c>
      <c r="L114">
        <v>5813.82</v>
      </c>
      <c r="M114">
        <v>23.9</v>
      </c>
      <c r="N114">
        <v>2023</v>
      </c>
      <c r="O114">
        <v>1</v>
      </c>
      <c r="P114" t="s">
        <v>61</v>
      </c>
      <c r="Q114">
        <v>1821.48</v>
      </c>
      <c r="R114" t="s">
        <v>29</v>
      </c>
      <c r="S114">
        <v>3.1918110547466894</v>
      </c>
      <c r="T114" t="s">
        <v>78</v>
      </c>
    </row>
    <row r="115" spans="1:20" x14ac:dyDescent="0.25">
      <c r="A115" s="11">
        <v>44970</v>
      </c>
      <c r="B115" t="s">
        <v>58</v>
      </c>
      <c r="C115" t="s">
        <v>59</v>
      </c>
      <c r="D115" t="s">
        <v>48</v>
      </c>
      <c r="E115" t="s">
        <v>38</v>
      </c>
      <c r="F115">
        <v>747</v>
      </c>
      <c r="G115">
        <v>7.1</v>
      </c>
      <c r="H115">
        <v>5303.7</v>
      </c>
      <c r="I115" t="s">
        <v>46</v>
      </c>
      <c r="J115" t="s">
        <v>56</v>
      </c>
      <c r="K115" t="s">
        <v>41</v>
      </c>
      <c r="L115">
        <v>3484.67</v>
      </c>
      <c r="M115">
        <v>34.299999999999997</v>
      </c>
      <c r="N115">
        <v>2023</v>
      </c>
      <c r="O115">
        <v>1</v>
      </c>
      <c r="P115" t="s">
        <v>60</v>
      </c>
      <c r="Q115">
        <v>1819.03</v>
      </c>
      <c r="R115" t="s">
        <v>25</v>
      </c>
      <c r="S115">
        <v>1.9156748376882184</v>
      </c>
      <c r="T115" t="s">
        <v>78</v>
      </c>
    </row>
    <row r="116" spans="1:20" x14ac:dyDescent="0.25">
      <c r="A116" s="11">
        <v>44987</v>
      </c>
      <c r="B116" t="s">
        <v>42</v>
      </c>
      <c r="C116" t="s">
        <v>43</v>
      </c>
      <c r="D116" t="s">
        <v>45</v>
      </c>
      <c r="E116" t="s">
        <v>20</v>
      </c>
      <c r="F116">
        <v>885</v>
      </c>
      <c r="G116">
        <v>9.0500000000000007</v>
      </c>
      <c r="H116">
        <v>8009.25</v>
      </c>
      <c r="I116" t="s">
        <v>39</v>
      </c>
      <c r="J116" t="s">
        <v>27</v>
      </c>
      <c r="K116" t="s">
        <v>28</v>
      </c>
      <c r="L116">
        <v>6193.34</v>
      </c>
      <c r="M116">
        <v>22.7</v>
      </c>
      <c r="N116">
        <v>2023</v>
      </c>
      <c r="O116">
        <v>1</v>
      </c>
      <c r="P116" t="s">
        <v>61</v>
      </c>
      <c r="Q116">
        <v>1815.91</v>
      </c>
      <c r="R116" t="s">
        <v>29</v>
      </c>
      <c r="S116">
        <v>3.4105985428793275</v>
      </c>
      <c r="T116" t="s">
        <v>78</v>
      </c>
    </row>
    <row r="117" spans="1:20" x14ac:dyDescent="0.25">
      <c r="A117" s="11">
        <v>45037</v>
      </c>
      <c r="B117" t="s">
        <v>51</v>
      </c>
      <c r="C117" t="s">
        <v>52</v>
      </c>
      <c r="D117" t="s">
        <v>32</v>
      </c>
      <c r="E117" t="s">
        <v>20</v>
      </c>
      <c r="F117">
        <v>987</v>
      </c>
      <c r="G117">
        <v>7.17</v>
      </c>
      <c r="H117">
        <v>7076.79</v>
      </c>
      <c r="I117" t="s">
        <v>55</v>
      </c>
      <c r="J117" t="s">
        <v>22</v>
      </c>
      <c r="K117" t="s">
        <v>41</v>
      </c>
      <c r="L117">
        <v>5266.84</v>
      </c>
      <c r="M117">
        <v>25.6</v>
      </c>
      <c r="N117">
        <v>2023</v>
      </c>
      <c r="O117">
        <v>2</v>
      </c>
      <c r="P117" t="s">
        <v>63</v>
      </c>
      <c r="Q117">
        <v>1809.95</v>
      </c>
      <c r="R117" t="s">
        <v>25</v>
      </c>
      <c r="S117">
        <v>2.909936738583939</v>
      </c>
      <c r="T117" t="s">
        <v>78</v>
      </c>
    </row>
    <row r="118" spans="1:20" x14ac:dyDescent="0.25">
      <c r="A118" s="11">
        <v>45096</v>
      </c>
      <c r="B118" t="s">
        <v>35</v>
      </c>
      <c r="C118" t="s">
        <v>36</v>
      </c>
      <c r="D118" t="s">
        <v>19</v>
      </c>
      <c r="E118" t="s">
        <v>20</v>
      </c>
      <c r="F118">
        <v>852</v>
      </c>
      <c r="G118">
        <v>7.35</v>
      </c>
      <c r="H118">
        <v>6262.2</v>
      </c>
      <c r="I118" t="s">
        <v>21</v>
      </c>
      <c r="J118" t="s">
        <v>40</v>
      </c>
      <c r="K118" t="s">
        <v>41</v>
      </c>
      <c r="L118">
        <v>4453.08</v>
      </c>
      <c r="M118">
        <v>28.9</v>
      </c>
      <c r="N118">
        <v>2023</v>
      </c>
      <c r="O118">
        <v>2</v>
      </c>
      <c r="P118" t="s">
        <v>70</v>
      </c>
      <c r="Q118">
        <v>1809.12</v>
      </c>
      <c r="R118" t="s">
        <v>25</v>
      </c>
      <c r="S118">
        <v>2.4614619262403821</v>
      </c>
      <c r="T118" t="s">
        <v>78</v>
      </c>
    </row>
    <row r="119" spans="1:20" x14ac:dyDescent="0.25">
      <c r="A119" s="11">
        <v>45016</v>
      </c>
      <c r="B119" t="s">
        <v>51</v>
      </c>
      <c r="C119" t="s">
        <v>52</v>
      </c>
      <c r="D119" t="s">
        <v>37</v>
      </c>
      <c r="E119" t="s">
        <v>38</v>
      </c>
      <c r="F119">
        <v>939</v>
      </c>
      <c r="G119">
        <v>7.63</v>
      </c>
      <c r="H119">
        <v>7164.57</v>
      </c>
      <c r="I119" t="s">
        <v>46</v>
      </c>
      <c r="J119" t="s">
        <v>27</v>
      </c>
      <c r="K119" t="s">
        <v>41</v>
      </c>
      <c r="L119">
        <v>5355.54</v>
      </c>
      <c r="M119">
        <v>25.2</v>
      </c>
      <c r="N119">
        <v>2023</v>
      </c>
      <c r="O119">
        <v>1</v>
      </c>
      <c r="P119" t="s">
        <v>62</v>
      </c>
      <c r="Q119">
        <v>1809.03</v>
      </c>
      <c r="R119" t="s">
        <v>25</v>
      </c>
      <c r="S119">
        <v>2.9604484171075107</v>
      </c>
      <c r="T119" t="s">
        <v>78</v>
      </c>
    </row>
    <row r="120" spans="1:20" x14ac:dyDescent="0.25">
      <c r="A120" s="11">
        <v>45003</v>
      </c>
      <c r="B120" t="s">
        <v>58</v>
      </c>
      <c r="C120" t="s">
        <v>59</v>
      </c>
      <c r="D120" t="s">
        <v>37</v>
      </c>
      <c r="E120" t="s">
        <v>38</v>
      </c>
      <c r="F120">
        <v>793</v>
      </c>
      <c r="G120">
        <v>8.09</v>
      </c>
      <c r="H120">
        <v>6415.37</v>
      </c>
      <c r="I120" t="s">
        <v>54</v>
      </c>
      <c r="J120" t="s">
        <v>34</v>
      </c>
      <c r="K120" t="s">
        <v>28</v>
      </c>
      <c r="L120">
        <v>4607.82</v>
      </c>
      <c r="M120">
        <v>28.2</v>
      </c>
      <c r="N120">
        <v>2023</v>
      </c>
      <c r="O120">
        <v>1</v>
      </c>
      <c r="P120" t="s">
        <v>62</v>
      </c>
      <c r="Q120">
        <v>1807.55</v>
      </c>
      <c r="R120" t="s">
        <v>25</v>
      </c>
      <c r="S120">
        <v>2.5492074908024671</v>
      </c>
      <c r="T120" t="s">
        <v>78</v>
      </c>
    </row>
    <row r="121" spans="1:20" x14ac:dyDescent="0.25">
      <c r="A121" s="11">
        <v>45092</v>
      </c>
      <c r="B121" t="s">
        <v>30</v>
      </c>
      <c r="C121" t="s">
        <v>31</v>
      </c>
      <c r="D121" t="s">
        <v>37</v>
      </c>
      <c r="E121" t="s">
        <v>38</v>
      </c>
      <c r="F121">
        <v>840</v>
      </c>
      <c r="G121">
        <v>10.050000000000001</v>
      </c>
      <c r="H121">
        <v>8442</v>
      </c>
      <c r="I121" t="s">
        <v>55</v>
      </c>
      <c r="J121" t="s">
        <v>27</v>
      </c>
      <c r="K121" t="s">
        <v>23</v>
      </c>
      <c r="L121">
        <v>6641.6</v>
      </c>
      <c r="M121">
        <v>21.3</v>
      </c>
      <c r="N121">
        <v>2023</v>
      </c>
      <c r="O121">
        <v>2</v>
      </c>
      <c r="P121" t="s">
        <v>70</v>
      </c>
      <c r="Q121">
        <v>1800.4</v>
      </c>
      <c r="R121" t="s">
        <v>29</v>
      </c>
      <c r="S121">
        <v>3.6889580093312597</v>
      </c>
      <c r="T121" t="s">
        <v>78</v>
      </c>
    </row>
    <row r="122" spans="1:20" x14ac:dyDescent="0.25">
      <c r="A122" s="11">
        <v>45004</v>
      </c>
      <c r="B122" t="s">
        <v>58</v>
      </c>
      <c r="C122" t="s">
        <v>59</v>
      </c>
      <c r="D122" t="s">
        <v>37</v>
      </c>
      <c r="E122" t="s">
        <v>38</v>
      </c>
      <c r="F122">
        <v>609</v>
      </c>
      <c r="G122">
        <v>7.39</v>
      </c>
      <c r="H122">
        <v>4500.51</v>
      </c>
      <c r="I122" t="s">
        <v>57</v>
      </c>
      <c r="J122" t="s">
        <v>56</v>
      </c>
      <c r="K122" t="s">
        <v>28</v>
      </c>
      <c r="L122">
        <v>2707.92</v>
      </c>
      <c r="M122">
        <v>39.799999999999997</v>
      </c>
      <c r="N122">
        <v>2023</v>
      </c>
      <c r="O122">
        <v>1</v>
      </c>
      <c r="P122" t="s">
        <v>62</v>
      </c>
      <c r="Q122">
        <v>1792.59</v>
      </c>
      <c r="R122" t="s">
        <v>25</v>
      </c>
      <c r="S122">
        <v>1.5106187137047513</v>
      </c>
      <c r="T122" t="s">
        <v>78</v>
      </c>
    </row>
    <row r="123" spans="1:20" x14ac:dyDescent="0.25">
      <c r="A123" s="11">
        <v>45051</v>
      </c>
      <c r="B123" t="s">
        <v>58</v>
      </c>
      <c r="C123" t="s">
        <v>59</v>
      </c>
      <c r="D123" t="s">
        <v>48</v>
      </c>
      <c r="E123" t="s">
        <v>38</v>
      </c>
      <c r="F123">
        <v>954</v>
      </c>
      <c r="G123">
        <v>8.35</v>
      </c>
      <c r="H123">
        <v>7965.9</v>
      </c>
      <c r="I123" t="s">
        <v>57</v>
      </c>
      <c r="J123" t="s">
        <v>34</v>
      </c>
      <c r="K123" t="s">
        <v>23</v>
      </c>
      <c r="L123">
        <v>6182.6</v>
      </c>
      <c r="M123">
        <v>22.4</v>
      </c>
      <c r="N123">
        <v>2023</v>
      </c>
      <c r="O123">
        <v>2</v>
      </c>
      <c r="P123" t="s">
        <v>64</v>
      </c>
      <c r="Q123">
        <v>1783.3</v>
      </c>
      <c r="R123" t="s">
        <v>29</v>
      </c>
      <c r="S123">
        <v>3.4669433073515394</v>
      </c>
      <c r="T123" t="s">
        <v>78</v>
      </c>
    </row>
    <row r="124" spans="1:20" x14ac:dyDescent="0.25">
      <c r="A124" s="11">
        <v>45121</v>
      </c>
      <c r="B124" t="s">
        <v>35</v>
      </c>
      <c r="C124" t="s">
        <v>36</v>
      </c>
      <c r="D124" t="s">
        <v>49</v>
      </c>
      <c r="E124" t="s">
        <v>50</v>
      </c>
      <c r="F124">
        <v>872</v>
      </c>
      <c r="G124">
        <v>6.59</v>
      </c>
      <c r="H124">
        <v>5746.48</v>
      </c>
      <c r="I124" t="s">
        <v>21</v>
      </c>
      <c r="J124" t="s">
        <v>47</v>
      </c>
      <c r="K124" t="s">
        <v>23</v>
      </c>
      <c r="L124">
        <v>3963.37</v>
      </c>
      <c r="M124">
        <v>31</v>
      </c>
      <c r="N124">
        <v>2024</v>
      </c>
      <c r="O124">
        <v>3</v>
      </c>
      <c r="P124" t="s">
        <v>66</v>
      </c>
      <c r="Q124">
        <v>1783.11</v>
      </c>
      <c r="R124" t="s">
        <v>25</v>
      </c>
      <c r="S124">
        <v>2.2227288277223503</v>
      </c>
      <c r="T124" t="s">
        <v>78</v>
      </c>
    </row>
    <row r="125" spans="1:20" x14ac:dyDescent="0.25">
      <c r="A125" s="11">
        <v>44969</v>
      </c>
      <c r="B125" t="s">
        <v>42</v>
      </c>
      <c r="C125" t="s">
        <v>43</v>
      </c>
      <c r="D125" t="s">
        <v>37</v>
      </c>
      <c r="E125" t="s">
        <v>38</v>
      </c>
      <c r="F125">
        <v>846</v>
      </c>
      <c r="G125">
        <v>9.69</v>
      </c>
      <c r="H125">
        <v>8197.74</v>
      </c>
      <c r="I125" t="s">
        <v>57</v>
      </c>
      <c r="J125" t="s">
        <v>40</v>
      </c>
      <c r="K125" t="s">
        <v>23</v>
      </c>
      <c r="L125">
        <v>6419.21</v>
      </c>
      <c r="M125">
        <v>21.7</v>
      </c>
      <c r="N125">
        <v>2023</v>
      </c>
      <c r="O125">
        <v>1</v>
      </c>
      <c r="P125" t="s">
        <v>60</v>
      </c>
      <c r="Q125">
        <v>1778.53</v>
      </c>
      <c r="R125" t="s">
        <v>29</v>
      </c>
      <c r="S125">
        <v>3.6092784490562431</v>
      </c>
      <c r="T125" t="s">
        <v>78</v>
      </c>
    </row>
    <row r="126" spans="1:20" x14ac:dyDescent="0.25">
      <c r="A126" s="11">
        <v>44984</v>
      </c>
      <c r="B126" t="s">
        <v>51</v>
      </c>
      <c r="C126" t="s">
        <v>52</v>
      </c>
      <c r="D126" t="s">
        <v>32</v>
      </c>
      <c r="E126" t="s">
        <v>20</v>
      </c>
      <c r="F126">
        <v>743</v>
      </c>
      <c r="G126">
        <v>6.06</v>
      </c>
      <c r="H126">
        <v>4502.58</v>
      </c>
      <c r="I126" t="s">
        <v>21</v>
      </c>
      <c r="J126" t="s">
        <v>47</v>
      </c>
      <c r="K126" t="s">
        <v>23</v>
      </c>
      <c r="L126">
        <v>2729.15</v>
      </c>
      <c r="M126">
        <v>39.4</v>
      </c>
      <c r="N126">
        <v>2023</v>
      </c>
      <c r="O126">
        <v>1</v>
      </c>
      <c r="P126" t="s">
        <v>61</v>
      </c>
      <c r="Q126">
        <v>1773.43</v>
      </c>
      <c r="R126" t="s">
        <v>25</v>
      </c>
      <c r="S126">
        <v>1.538910472925348</v>
      </c>
      <c r="T126" t="s">
        <v>78</v>
      </c>
    </row>
    <row r="127" spans="1:20" x14ac:dyDescent="0.25">
      <c r="A127" s="11">
        <v>45034</v>
      </c>
      <c r="B127" t="s">
        <v>35</v>
      </c>
      <c r="C127" t="s">
        <v>36</v>
      </c>
      <c r="D127" t="s">
        <v>53</v>
      </c>
      <c r="E127" t="s">
        <v>50</v>
      </c>
      <c r="F127">
        <v>812</v>
      </c>
      <c r="G127">
        <v>11.68</v>
      </c>
      <c r="H127">
        <v>9484.16</v>
      </c>
      <c r="I127" t="s">
        <v>55</v>
      </c>
      <c r="J127" t="s">
        <v>22</v>
      </c>
      <c r="K127" t="s">
        <v>41</v>
      </c>
      <c r="L127">
        <v>7724.28</v>
      </c>
      <c r="M127">
        <v>18.600000000000001</v>
      </c>
      <c r="N127">
        <v>2023</v>
      </c>
      <c r="O127">
        <v>2</v>
      </c>
      <c r="P127" t="s">
        <v>63</v>
      </c>
      <c r="Q127">
        <v>1759.88</v>
      </c>
      <c r="R127" t="s">
        <v>29</v>
      </c>
      <c r="S127">
        <v>4.3890947110030227</v>
      </c>
      <c r="T127" t="s">
        <v>78</v>
      </c>
    </row>
    <row r="128" spans="1:20" x14ac:dyDescent="0.25">
      <c r="A128" s="11">
        <v>45005</v>
      </c>
      <c r="B128" t="s">
        <v>58</v>
      </c>
      <c r="C128" t="s">
        <v>59</v>
      </c>
      <c r="D128" t="s">
        <v>45</v>
      </c>
      <c r="E128" t="s">
        <v>20</v>
      </c>
      <c r="F128">
        <v>746</v>
      </c>
      <c r="G128">
        <v>11.21</v>
      </c>
      <c r="H128">
        <v>8362.66</v>
      </c>
      <c r="I128" t="s">
        <v>55</v>
      </c>
      <c r="J128" t="s">
        <v>34</v>
      </c>
      <c r="K128" t="s">
        <v>23</v>
      </c>
      <c r="L128">
        <v>6610.07</v>
      </c>
      <c r="M128">
        <v>21</v>
      </c>
      <c r="N128">
        <v>2023</v>
      </c>
      <c r="O128">
        <v>1</v>
      </c>
      <c r="P128" t="s">
        <v>62</v>
      </c>
      <c r="Q128">
        <v>1752.59</v>
      </c>
      <c r="R128" t="s">
        <v>29</v>
      </c>
      <c r="S128">
        <v>3.7716008878288703</v>
      </c>
      <c r="T128" t="s">
        <v>78</v>
      </c>
    </row>
    <row r="129" spans="1:20" x14ac:dyDescent="0.25">
      <c r="A129" s="11">
        <v>45041</v>
      </c>
      <c r="B129" t="s">
        <v>42</v>
      </c>
      <c r="C129" t="s">
        <v>43</v>
      </c>
      <c r="D129" t="s">
        <v>53</v>
      </c>
      <c r="E129" t="s">
        <v>50</v>
      </c>
      <c r="F129">
        <v>643</v>
      </c>
      <c r="G129">
        <v>11.61</v>
      </c>
      <c r="H129">
        <v>7465.23</v>
      </c>
      <c r="I129" t="s">
        <v>55</v>
      </c>
      <c r="J129" t="s">
        <v>56</v>
      </c>
      <c r="K129" t="s">
        <v>23</v>
      </c>
      <c r="L129">
        <v>5719.86</v>
      </c>
      <c r="M129">
        <v>23.4</v>
      </c>
      <c r="N129">
        <v>2023</v>
      </c>
      <c r="O129">
        <v>2</v>
      </c>
      <c r="P129" t="s">
        <v>64</v>
      </c>
      <c r="Q129">
        <v>1745.37</v>
      </c>
      <c r="R129" t="s">
        <v>29</v>
      </c>
      <c r="S129">
        <v>3.2771618625277164</v>
      </c>
      <c r="T129" t="s">
        <v>78</v>
      </c>
    </row>
    <row r="130" spans="1:20" x14ac:dyDescent="0.25">
      <c r="A130" s="11">
        <v>45073</v>
      </c>
      <c r="B130" t="s">
        <v>17</v>
      </c>
      <c r="C130" t="s">
        <v>18</v>
      </c>
      <c r="D130" t="s">
        <v>45</v>
      </c>
      <c r="E130" t="s">
        <v>20</v>
      </c>
      <c r="F130">
        <v>853</v>
      </c>
      <c r="G130">
        <v>7.06</v>
      </c>
      <c r="H130">
        <v>6022.18</v>
      </c>
      <c r="I130" t="s">
        <v>57</v>
      </c>
      <c r="J130" t="s">
        <v>27</v>
      </c>
      <c r="K130" t="s">
        <v>41</v>
      </c>
      <c r="L130">
        <v>4280.42</v>
      </c>
      <c r="M130">
        <v>28.9</v>
      </c>
      <c r="N130">
        <v>2023</v>
      </c>
      <c r="O130">
        <v>2</v>
      </c>
      <c r="P130" t="s">
        <v>67</v>
      </c>
      <c r="Q130">
        <v>1741.76</v>
      </c>
      <c r="R130" t="s">
        <v>25</v>
      </c>
      <c r="S130">
        <v>2.4575257211096821</v>
      </c>
      <c r="T130" t="s">
        <v>78</v>
      </c>
    </row>
    <row r="131" spans="1:20" x14ac:dyDescent="0.25">
      <c r="A131" s="11">
        <v>44969</v>
      </c>
      <c r="B131" t="s">
        <v>58</v>
      </c>
      <c r="C131" t="s">
        <v>59</v>
      </c>
      <c r="D131" t="s">
        <v>48</v>
      </c>
      <c r="E131" t="s">
        <v>38</v>
      </c>
      <c r="F131">
        <v>463</v>
      </c>
      <c r="G131">
        <v>10.63</v>
      </c>
      <c r="H131">
        <v>4921.6899999999996</v>
      </c>
      <c r="I131" t="s">
        <v>57</v>
      </c>
      <c r="J131" t="s">
        <v>47</v>
      </c>
      <c r="K131" t="s">
        <v>41</v>
      </c>
      <c r="L131">
        <v>3180.33</v>
      </c>
      <c r="M131">
        <v>35.4</v>
      </c>
      <c r="N131">
        <v>2023</v>
      </c>
      <c r="O131">
        <v>1</v>
      </c>
      <c r="P131" t="s">
        <v>60</v>
      </c>
      <c r="Q131">
        <v>1741.36</v>
      </c>
      <c r="R131" t="s">
        <v>25</v>
      </c>
      <c r="S131">
        <v>1.8263483713878808</v>
      </c>
      <c r="T131" t="s">
        <v>78</v>
      </c>
    </row>
    <row r="132" spans="1:20" x14ac:dyDescent="0.25">
      <c r="A132" s="11">
        <v>45079</v>
      </c>
      <c r="B132" t="s">
        <v>17</v>
      </c>
      <c r="C132" t="s">
        <v>18</v>
      </c>
      <c r="D132" t="s">
        <v>32</v>
      </c>
      <c r="E132" t="s">
        <v>20</v>
      </c>
      <c r="F132">
        <v>693</v>
      </c>
      <c r="G132">
        <v>8.3000000000000007</v>
      </c>
      <c r="H132">
        <v>5751.9</v>
      </c>
      <c r="I132" t="s">
        <v>57</v>
      </c>
      <c r="J132" t="s">
        <v>27</v>
      </c>
      <c r="K132" t="s">
        <v>41</v>
      </c>
      <c r="L132">
        <v>4017.51</v>
      </c>
      <c r="M132">
        <v>30.2</v>
      </c>
      <c r="N132">
        <v>2023</v>
      </c>
      <c r="O132">
        <v>2</v>
      </c>
      <c r="P132" t="s">
        <v>68</v>
      </c>
      <c r="Q132">
        <v>1734.39</v>
      </c>
      <c r="R132" t="s">
        <v>25</v>
      </c>
      <c r="S132">
        <v>2.3163821285869961</v>
      </c>
      <c r="T132" t="s">
        <v>78</v>
      </c>
    </row>
    <row r="133" spans="1:20" x14ac:dyDescent="0.25">
      <c r="A133" s="11">
        <v>45015</v>
      </c>
      <c r="B133" t="s">
        <v>58</v>
      </c>
      <c r="C133" t="s">
        <v>59</v>
      </c>
      <c r="D133" t="s">
        <v>45</v>
      </c>
      <c r="E133" t="s">
        <v>20</v>
      </c>
      <c r="F133">
        <v>827</v>
      </c>
      <c r="G133">
        <v>9.61</v>
      </c>
      <c r="H133">
        <v>7947.47</v>
      </c>
      <c r="I133" t="s">
        <v>33</v>
      </c>
      <c r="J133" t="s">
        <v>47</v>
      </c>
      <c r="K133" t="s">
        <v>41</v>
      </c>
      <c r="L133">
        <v>6214.44</v>
      </c>
      <c r="M133">
        <v>21.8</v>
      </c>
      <c r="N133">
        <v>2023</v>
      </c>
      <c r="O133">
        <v>1</v>
      </c>
      <c r="P133" t="s">
        <v>62</v>
      </c>
      <c r="Q133">
        <v>1733.03</v>
      </c>
      <c r="R133" t="s">
        <v>29</v>
      </c>
      <c r="S133">
        <v>3.58588137539454</v>
      </c>
      <c r="T133" t="s">
        <v>78</v>
      </c>
    </row>
    <row r="134" spans="1:20" x14ac:dyDescent="0.25">
      <c r="A134" s="11">
        <v>45024</v>
      </c>
      <c r="B134" t="s">
        <v>30</v>
      </c>
      <c r="C134" t="s">
        <v>31</v>
      </c>
      <c r="D134" t="s">
        <v>37</v>
      </c>
      <c r="E134" t="s">
        <v>38</v>
      </c>
      <c r="F134">
        <v>582</v>
      </c>
      <c r="G134">
        <v>8.11</v>
      </c>
      <c r="H134">
        <v>4720.0200000000004</v>
      </c>
      <c r="I134" t="s">
        <v>55</v>
      </c>
      <c r="J134" t="s">
        <v>56</v>
      </c>
      <c r="K134" t="s">
        <v>41</v>
      </c>
      <c r="L134">
        <v>2987.99</v>
      </c>
      <c r="M134">
        <v>36.700000000000003</v>
      </c>
      <c r="N134">
        <v>2023</v>
      </c>
      <c r="O134">
        <v>2</v>
      </c>
      <c r="P134" t="s">
        <v>63</v>
      </c>
      <c r="Q134">
        <v>1732.03</v>
      </c>
      <c r="R134" t="s">
        <v>25</v>
      </c>
      <c r="S134">
        <v>1.7251375553541219</v>
      </c>
      <c r="T134" t="s">
        <v>78</v>
      </c>
    </row>
    <row r="135" spans="1:20" x14ac:dyDescent="0.25">
      <c r="A135" s="11">
        <v>45065</v>
      </c>
      <c r="B135" t="s">
        <v>51</v>
      </c>
      <c r="C135" t="s">
        <v>52</v>
      </c>
      <c r="D135" t="s">
        <v>19</v>
      </c>
      <c r="E135" t="s">
        <v>20</v>
      </c>
      <c r="F135">
        <v>502</v>
      </c>
      <c r="G135">
        <v>10.45</v>
      </c>
      <c r="H135">
        <v>5245.9</v>
      </c>
      <c r="I135" t="s">
        <v>55</v>
      </c>
      <c r="J135" t="s">
        <v>40</v>
      </c>
      <c r="K135" t="s">
        <v>23</v>
      </c>
      <c r="L135">
        <v>3527.03</v>
      </c>
      <c r="M135">
        <v>32.799999999999997</v>
      </c>
      <c r="N135">
        <v>2023</v>
      </c>
      <c r="O135">
        <v>2</v>
      </c>
      <c r="P135" t="s">
        <v>65</v>
      </c>
      <c r="Q135">
        <v>1718.87</v>
      </c>
      <c r="R135" t="s">
        <v>25</v>
      </c>
      <c r="S135">
        <v>2.0519469186151369</v>
      </c>
      <c r="T135" t="s">
        <v>78</v>
      </c>
    </row>
    <row r="136" spans="1:20" x14ac:dyDescent="0.25">
      <c r="A136" s="11">
        <v>45050</v>
      </c>
      <c r="B136" t="s">
        <v>58</v>
      </c>
      <c r="C136" t="s">
        <v>59</v>
      </c>
      <c r="D136" t="s">
        <v>45</v>
      </c>
      <c r="E136" t="s">
        <v>20</v>
      </c>
      <c r="F136">
        <v>772</v>
      </c>
      <c r="G136">
        <v>9.81</v>
      </c>
      <c r="H136">
        <v>7573.32</v>
      </c>
      <c r="I136" t="s">
        <v>33</v>
      </c>
      <c r="J136" t="s">
        <v>56</v>
      </c>
      <c r="K136" t="s">
        <v>28</v>
      </c>
      <c r="L136">
        <v>5861.76</v>
      </c>
      <c r="M136">
        <v>22.6</v>
      </c>
      <c r="N136">
        <v>2023</v>
      </c>
      <c r="O136">
        <v>2</v>
      </c>
      <c r="P136" t="s">
        <v>64</v>
      </c>
      <c r="Q136">
        <v>1711.56</v>
      </c>
      <c r="R136" t="s">
        <v>29</v>
      </c>
      <c r="S136">
        <v>3.4248054406506347</v>
      </c>
      <c r="T136" t="s">
        <v>78</v>
      </c>
    </row>
    <row r="137" spans="1:20" x14ac:dyDescent="0.25">
      <c r="A137" s="11">
        <v>45127</v>
      </c>
      <c r="B137" t="s">
        <v>42</v>
      </c>
      <c r="C137" t="s">
        <v>43</v>
      </c>
      <c r="D137" t="s">
        <v>32</v>
      </c>
      <c r="E137" t="s">
        <v>20</v>
      </c>
      <c r="F137">
        <v>899</v>
      </c>
      <c r="G137">
        <v>5.62</v>
      </c>
      <c r="H137">
        <v>5052.38</v>
      </c>
      <c r="I137" t="s">
        <v>39</v>
      </c>
      <c r="J137" t="s">
        <v>34</v>
      </c>
      <c r="K137" t="s">
        <v>41</v>
      </c>
      <c r="L137">
        <v>3342.54</v>
      </c>
      <c r="M137">
        <v>33.799999999999997</v>
      </c>
      <c r="N137">
        <v>2024</v>
      </c>
      <c r="O137">
        <v>3</v>
      </c>
      <c r="P137" t="s">
        <v>70</v>
      </c>
      <c r="Q137">
        <v>1709.84</v>
      </c>
      <c r="R137" t="s">
        <v>25</v>
      </c>
      <c r="S137">
        <v>1.9548846675712348</v>
      </c>
      <c r="T137" t="s">
        <v>78</v>
      </c>
    </row>
    <row r="138" spans="1:20" x14ac:dyDescent="0.25">
      <c r="A138" s="11">
        <v>44994</v>
      </c>
      <c r="B138" t="s">
        <v>35</v>
      </c>
      <c r="C138" t="s">
        <v>36</v>
      </c>
      <c r="D138" t="s">
        <v>48</v>
      </c>
      <c r="E138" t="s">
        <v>38</v>
      </c>
      <c r="F138">
        <v>659</v>
      </c>
      <c r="G138">
        <v>8.86</v>
      </c>
      <c r="H138">
        <v>5838.74</v>
      </c>
      <c r="I138" t="s">
        <v>55</v>
      </c>
      <c r="J138" t="s">
        <v>27</v>
      </c>
      <c r="K138" t="s">
        <v>28</v>
      </c>
      <c r="L138">
        <v>4130.53</v>
      </c>
      <c r="M138">
        <v>29.3</v>
      </c>
      <c r="N138">
        <v>2023</v>
      </c>
      <c r="O138">
        <v>1</v>
      </c>
      <c r="P138" t="s">
        <v>61</v>
      </c>
      <c r="Q138">
        <v>1708.21</v>
      </c>
      <c r="R138" t="s">
        <v>25</v>
      </c>
      <c r="S138">
        <v>2.4180457906229327</v>
      </c>
      <c r="T138" t="s">
        <v>78</v>
      </c>
    </row>
    <row r="139" spans="1:20" x14ac:dyDescent="0.25">
      <c r="A139" s="11">
        <v>45080</v>
      </c>
      <c r="B139" t="s">
        <v>58</v>
      </c>
      <c r="C139" t="s">
        <v>59</v>
      </c>
      <c r="D139" t="s">
        <v>49</v>
      </c>
      <c r="E139" t="s">
        <v>50</v>
      </c>
      <c r="F139">
        <v>356</v>
      </c>
      <c r="G139">
        <v>11.97</v>
      </c>
      <c r="H139">
        <v>4261.32</v>
      </c>
      <c r="I139" t="s">
        <v>33</v>
      </c>
      <c r="J139" t="s">
        <v>22</v>
      </c>
      <c r="K139" t="s">
        <v>28</v>
      </c>
      <c r="L139">
        <v>2559.2399999999998</v>
      </c>
      <c r="M139">
        <v>39.9</v>
      </c>
      <c r="N139">
        <v>2023</v>
      </c>
      <c r="O139">
        <v>2</v>
      </c>
      <c r="P139" t="s">
        <v>68</v>
      </c>
      <c r="Q139">
        <v>1702.08</v>
      </c>
      <c r="R139" t="s">
        <v>25</v>
      </c>
      <c r="S139">
        <v>1.503595600676819</v>
      </c>
      <c r="T139" t="s">
        <v>78</v>
      </c>
    </row>
    <row r="140" spans="1:20" x14ac:dyDescent="0.25">
      <c r="A140" s="11">
        <v>45080</v>
      </c>
      <c r="B140" t="s">
        <v>58</v>
      </c>
      <c r="C140" t="s">
        <v>59</v>
      </c>
      <c r="D140" t="s">
        <v>53</v>
      </c>
      <c r="E140" t="s">
        <v>50</v>
      </c>
      <c r="F140">
        <v>875</v>
      </c>
      <c r="G140">
        <v>5.0599999999999996</v>
      </c>
      <c r="H140">
        <v>4427.5</v>
      </c>
      <c r="I140" t="s">
        <v>54</v>
      </c>
      <c r="J140" t="s">
        <v>34</v>
      </c>
      <c r="K140" t="s">
        <v>41</v>
      </c>
      <c r="L140">
        <v>2726.68</v>
      </c>
      <c r="M140">
        <v>38.4</v>
      </c>
      <c r="N140">
        <v>2023</v>
      </c>
      <c r="O140">
        <v>2</v>
      </c>
      <c r="P140" t="s">
        <v>68</v>
      </c>
      <c r="Q140">
        <v>1700.82</v>
      </c>
      <c r="R140" t="s">
        <v>25</v>
      </c>
      <c r="S140">
        <v>1.6031561246927952</v>
      </c>
      <c r="T140" t="s">
        <v>78</v>
      </c>
    </row>
    <row r="141" spans="1:20" x14ac:dyDescent="0.25">
      <c r="A141" s="11">
        <v>45087</v>
      </c>
      <c r="B141" t="s">
        <v>58</v>
      </c>
      <c r="C141" t="s">
        <v>59</v>
      </c>
      <c r="D141" t="s">
        <v>45</v>
      </c>
      <c r="E141" t="s">
        <v>20</v>
      </c>
      <c r="F141">
        <v>954</v>
      </c>
      <c r="G141">
        <v>8.76</v>
      </c>
      <c r="H141">
        <v>8357.0400000000009</v>
      </c>
      <c r="I141" t="s">
        <v>21</v>
      </c>
      <c r="J141" t="s">
        <v>22</v>
      </c>
      <c r="K141" t="s">
        <v>28</v>
      </c>
      <c r="L141">
        <v>6659.07</v>
      </c>
      <c r="M141">
        <v>20.3</v>
      </c>
      <c r="N141">
        <v>2023</v>
      </c>
      <c r="O141">
        <v>2</v>
      </c>
      <c r="P141" t="s">
        <v>69</v>
      </c>
      <c r="Q141">
        <v>1697.97</v>
      </c>
      <c r="R141" t="s">
        <v>29</v>
      </c>
      <c r="S141">
        <v>3.921783070372268</v>
      </c>
      <c r="T141" t="s">
        <v>78</v>
      </c>
    </row>
    <row r="142" spans="1:20" x14ac:dyDescent="0.25">
      <c r="A142" s="11">
        <v>45099</v>
      </c>
      <c r="B142" t="s">
        <v>35</v>
      </c>
      <c r="C142" t="s">
        <v>36</v>
      </c>
      <c r="D142" t="s">
        <v>32</v>
      </c>
      <c r="E142" t="s">
        <v>20</v>
      </c>
      <c r="F142">
        <v>963</v>
      </c>
      <c r="G142">
        <v>11.55</v>
      </c>
      <c r="H142">
        <v>11122.65</v>
      </c>
      <c r="I142" t="s">
        <v>26</v>
      </c>
      <c r="J142" t="s">
        <v>34</v>
      </c>
      <c r="K142" t="s">
        <v>41</v>
      </c>
      <c r="L142">
        <v>9426.07</v>
      </c>
      <c r="M142">
        <v>15.3</v>
      </c>
      <c r="N142">
        <v>2024</v>
      </c>
      <c r="O142">
        <v>2</v>
      </c>
      <c r="P142" t="s">
        <v>24</v>
      </c>
      <c r="Q142">
        <v>1696.58</v>
      </c>
      <c r="R142" t="s">
        <v>29</v>
      </c>
      <c r="S142">
        <v>5.5559242711808459</v>
      </c>
      <c r="T142" t="s">
        <v>78</v>
      </c>
    </row>
    <row r="143" spans="1:20" x14ac:dyDescent="0.25">
      <c r="A143" s="11">
        <v>45075</v>
      </c>
      <c r="B143" t="s">
        <v>17</v>
      </c>
      <c r="C143" t="s">
        <v>18</v>
      </c>
      <c r="D143" t="s">
        <v>49</v>
      </c>
      <c r="E143" t="s">
        <v>50</v>
      </c>
      <c r="F143">
        <v>988</v>
      </c>
      <c r="G143">
        <v>4.72</v>
      </c>
      <c r="H143">
        <v>4663.3599999999997</v>
      </c>
      <c r="I143" t="s">
        <v>33</v>
      </c>
      <c r="J143" t="s">
        <v>56</v>
      </c>
      <c r="K143" t="s">
        <v>23</v>
      </c>
      <c r="L143">
        <v>2968.71</v>
      </c>
      <c r="M143">
        <v>36.299999999999997</v>
      </c>
      <c r="N143">
        <v>2023</v>
      </c>
      <c r="O143">
        <v>2</v>
      </c>
      <c r="P143" t="s">
        <v>67</v>
      </c>
      <c r="Q143">
        <v>1694.65</v>
      </c>
      <c r="R143" t="s">
        <v>25</v>
      </c>
      <c r="S143">
        <v>1.7518130587436933</v>
      </c>
      <c r="T143" t="s">
        <v>78</v>
      </c>
    </row>
    <row r="144" spans="1:20" x14ac:dyDescent="0.25">
      <c r="A144" s="11">
        <v>45017</v>
      </c>
      <c r="B144" t="s">
        <v>30</v>
      </c>
      <c r="C144" t="s">
        <v>31</v>
      </c>
      <c r="D144" t="s">
        <v>49</v>
      </c>
      <c r="E144" t="s">
        <v>50</v>
      </c>
      <c r="F144">
        <v>454</v>
      </c>
      <c r="G144">
        <v>10.98</v>
      </c>
      <c r="H144">
        <v>4984.92</v>
      </c>
      <c r="I144" t="s">
        <v>33</v>
      </c>
      <c r="J144" t="s">
        <v>27</v>
      </c>
      <c r="K144" t="s">
        <v>23</v>
      </c>
      <c r="L144">
        <v>3295.17</v>
      </c>
      <c r="M144">
        <v>33.9</v>
      </c>
      <c r="N144">
        <v>2023</v>
      </c>
      <c r="O144">
        <v>2</v>
      </c>
      <c r="P144" t="s">
        <v>62</v>
      </c>
      <c r="Q144">
        <v>1689.75</v>
      </c>
      <c r="R144" t="s">
        <v>25</v>
      </c>
      <c r="S144">
        <v>1.9500932090545939</v>
      </c>
      <c r="T144" t="s">
        <v>78</v>
      </c>
    </row>
    <row r="145" spans="1:20" x14ac:dyDescent="0.25">
      <c r="A145" s="11">
        <v>44998</v>
      </c>
      <c r="B145" t="s">
        <v>58</v>
      </c>
      <c r="C145" t="s">
        <v>59</v>
      </c>
      <c r="D145" t="s">
        <v>37</v>
      </c>
      <c r="E145" t="s">
        <v>38</v>
      </c>
      <c r="F145">
        <v>474</v>
      </c>
      <c r="G145">
        <v>10.84</v>
      </c>
      <c r="H145">
        <v>5138.16</v>
      </c>
      <c r="I145" t="s">
        <v>26</v>
      </c>
      <c r="J145" t="s">
        <v>22</v>
      </c>
      <c r="K145" t="s">
        <v>41</v>
      </c>
      <c r="L145">
        <v>3449.32</v>
      </c>
      <c r="M145">
        <v>32.9</v>
      </c>
      <c r="N145">
        <v>2023</v>
      </c>
      <c r="O145">
        <v>1</v>
      </c>
      <c r="P145" t="s">
        <v>61</v>
      </c>
      <c r="Q145">
        <v>1688.84</v>
      </c>
      <c r="R145" t="s">
        <v>25</v>
      </c>
      <c r="S145">
        <v>2.0424196489898394</v>
      </c>
      <c r="T145" t="s">
        <v>78</v>
      </c>
    </row>
    <row r="146" spans="1:20" x14ac:dyDescent="0.25">
      <c r="A146" s="11">
        <v>45096</v>
      </c>
      <c r="B146" t="s">
        <v>58</v>
      </c>
      <c r="C146" t="s">
        <v>59</v>
      </c>
      <c r="D146" t="s">
        <v>44</v>
      </c>
      <c r="E146" t="s">
        <v>38</v>
      </c>
      <c r="F146">
        <v>774</v>
      </c>
      <c r="G146">
        <v>9.91</v>
      </c>
      <c r="H146">
        <v>7670.34</v>
      </c>
      <c r="I146" t="s">
        <v>46</v>
      </c>
      <c r="J146" t="s">
        <v>47</v>
      </c>
      <c r="K146" t="s">
        <v>23</v>
      </c>
      <c r="L146">
        <v>5986.98</v>
      </c>
      <c r="M146">
        <v>21.9</v>
      </c>
      <c r="N146">
        <v>2023</v>
      </c>
      <c r="O146">
        <v>2</v>
      </c>
      <c r="P146" t="s">
        <v>70</v>
      </c>
      <c r="Q146">
        <v>1683.36</v>
      </c>
      <c r="R146" t="s">
        <v>29</v>
      </c>
      <c r="S146">
        <v>3.5565654405474763</v>
      </c>
      <c r="T146" t="s">
        <v>78</v>
      </c>
    </row>
    <row r="147" spans="1:20" x14ac:dyDescent="0.25">
      <c r="A147" s="11">
        <v>45024</v>
      </c>
      <c r="B147" t="s">
        <v>30</v>
      </c>
      <c r="C147" t="s">
        <v>31</v>
      </c>
      <c r="D147" t="s">
        <v>48</v>
      </c>
      <c r="E147" t="s">
        <v>38</v>
      </c>
      <c r="F147">
        <v>874</v>
      </c>
      <c r="G147">
        <v>10.17</v>
      </c>
      <c r="H147">
        <v>8888.58</v>
      </c>
      <c r="I147" t="s">
        <v>21</v>
      </c>
      <c r="J147" t="s">
        <v>34</v>
      </c>
      <c r="K147" t="s">
        <v>28</v>
      </c>
      <c r="L147">
        <v>7206.69</v>
      </c>
      <c r="M147">
        <v>18.899999999999999</v>
      </c>
      <c r="N147">
        <v>2023</v>
      </c>
      <c r="O147">
        <v>2</v>
      </c>
      <c r="P147" t="s">
        <v>63</v>
      </c>
      <c r="Q147">
        <v>1681.89</v>
      </c>
      <c r="R147" t="s">
        <v>29</v>
      </c>
      <c r="S147">
        <v>4.2848759431354004</v>
      </c>
      <c r="T147" t="s">
        <v>78</v>
      </c>
    </row>
    <row r="148" spans="1:20" x14ac:dyDescent="0.25">
      <c r="A148" s="11">
        <v>44958</v>
      </c>
      <c r="B148" t="s">
        <v>30</v>
      </c>
      <c r="C148" t="s">
        <v>31</v>
      </c>
      <c r="D148" t="s">
        <v>45</v>
      </c>
      <c r="E148" t="s">
        <v>20</v>
      </c>
      <c r="F148">
        <v>579</v>
      </c>
      <c r="G148">
        <v>11.4</v>
      </c>
      <c r="H148">
        <v>6600.6</v>
      </c>
      <c r="I148" t="s">
        <v>55</v>
      </c>
      <c r="J148" t="s">
        <v>34</v>
      </c>
      <c r="K148" t="s">
        <v>23</v>
      </c>
      <c r="L148">
        <v>4927</v>
      </c>
      <c r="M148">
        <v>25.4</v>
      </c>
      <c r="N148">
        <v>2023</v>
      </c>
      <c r="O148">
        <v>1</v>
      </c>
      <c r="P148" t="s">
        <v>60</v>
      </c>
      <c r="Q148">
        <v>1673.6</v>
      </c>
      <c r="R148" t="s">
        <v>25</v>
      </c>
      <c r="S148">
        <v>2.9439531548757172</v>
      </c>
      <c r="T148" t="s">
        <v>78</v>
      </c>
    </row>
    <row r="149" spans="1:20" x14ac:dyDescent="0.25">
      <c r="A149" s="11">
        <v>44927</v>
      </c>
      <c r="B149" t="s">
        <v>30</v>
      </c>
      <c r="C149" t="s">
        <v>31</v>
      </c>
      <c r="D149" t="s">
        <v>45</v>
      </c>
      <c r="E149" t="s">
        <v>20</v>
      </c>
      <c r="F149">
        <v>584</v>
      </c>
      <c r="G149">
        <v>7.37</v>
      </c>
      <c r="H149">
        <v>4304.08</v>
      </c>
      <c r="I149" t="s">
        <v>21</v>
      </c>
      <c r="J149" t="s">
        <v>47</v>
      </c>
      <c r="K149" t="s">
        <v>28</v>
      </c>
      <c r="L149">
        <v>2634.87</v>
      </c>
      <c r="M149">
        <v>38.799999999999997</v>
      </c>
      <c r="N149">
        <v>2023</v>
      </c>
      <c r="O149">
        <v>1</v>
      </c>
      <c r="P149" t="s">
        <v>24</v>
      </c>
      <c r="Q149">
        <v>1669.21</v>
      </c>
      <c r="R149" t="s">
        <v>25</v>
      </c>
      <c r="S149">
        <v>1.5785131888737785</v>
      </c>
      <c r="T149" t="s">
        <v>78</v>
      </c>
    </row>
    <row r="150" spans="1:20" x14ac:dyDescent="0.25">
      <c r="A150" s="11">
        <v>44934</v>
      </c>
      <c r="B150" t="s">
        <v>42</v>
      </c>
      <c r="C150" t="s">
        <v>43</v>
      </c>
      <c r="D150" t="s">
        <v>37</v>
      </c>
      <c r="E150" t="s">
        <v>38</v>
      </c>
      <c r="F150">
        <v>571</v>
      </c>
      <c r="G150">
        <v>8.0399999999999991</v>
      </c>
      <c r="H150">
        <v>4590.84</v>
      </c>
      <c r="I150" t="s">
        <v>57</v>
      </c>
      <c r="J150" t="s">
        <v>56</v>
      </c>
      <c r="K150" t="s">
        <v>28</v>
      </c>
      <c r="L150">
        <v>2928.05</v>
      </c>
      <c r="M150">
        <v>36.200000000000003</v>
      </c>
      <c r="N150">
        <v>2023</v>
      </c>
      <c r="O150">
        <v>1</v>
      </c>
      <c r="P150" t="s">
        <v>24</v>
      </c>
      <c r="Q150">
        <v>1662.79</v>
      </c>
      <c r="R150" t="s">
        <v>25</v>
      </c>
      <c r="S150">
        <v>1.7609259136752087</v>
      </c>
      <c r="T150" t="s">
        <v>78</v>
      </c>
    </row>
    <row r="151" spans="1:20" x14ac:dyDescent="0.25">
      <c r="A151" s="11">
        <v>44983</v>
      </c>
      <c r="B151" t="s">
        <v>42</v>
      </c>
      <c r="C151" t="s">
        <v>43</v>
      </c>
      <c r="D151" t="s">
        <v>53</v>
      </c>
      <c r="E151" t="s">
        <v>50</v>
      </c>
      <c r="F151">
        <v>573</v>
      </c>
      <c r="G151">
        <v>10.42</v>
      </c>
      <c r="H151">
        <v>5970.66</v>
      </c>
      <c r="I151" t="s">
        <v>33</v>
      </c>
      <c r="J151" t="s">
        <v>34</v>
      </c>
      <c r="K151" t="s">
        <v>23</v>
      </c>
      <c r="L151">
        <v>4316.99</v>
      </c>
      <c r="M151">
        <v>27.7</v>
      </c>
      <c r="N151">
        <v>2023</v>
      </c>
      <c r="O151">
        <v>1</v>
      </c>
      <c r="P151" t="s">
        <v>61</v>
      </c>
      <c r="Q151">
        <v>1653.67</v>
      </c>
      <c r="R151" t="s">
        <v>25</v>
      </c>
      <c r="S151">
        <v>2.6105510773007912</v>
      </c>
      <c r="T151" t="s">
        <v>78</v>
      </c>
    </row>
    <row r="152" spans="1:20" x14ac:dyDescent="0.25">
      <c r="A152" s="11">
        <v>44966</v>
      </c>
      <c r="B152" t="s">
        <v>17</v>
      </c>
      <c r="C152" t="s">
        <v>18</v>
      </c>
      <c r="D152" t="s">
        <v>44</v>
      </c>
      <c r="E152" t="s">
        <v>38</v>
      </c>
      <c r="F152">
        <v>790</v>
      </c>
      <c r="G152">
        <v>6.92</v>
      </c>
      <c r="H152">
        <v>5466.8</v>
      </c>
      <c r="I152" t="s">
        <v>55</v>
      </c>
      <c r="J152" t="s">
        <v>56</v>
      </c>
      <c r="K152" t="s">
        <v>23</v>
      </c>
      <c r="L152">
        <v>3819.31</v>
      </c>
      <c r="M152">
        <v>30.1</v>
      </c>
      <c r="N152">
        <v>2023</v>
      </c>
      <c r="O152">
        <v>1</v>
      </c>
      <c r="P152" t="s">
        <v>60</v>
      </c>
      <c r="Q152">
        <v>1647.49</v>
      </c>
      <c r="R152" t="s">
        <v>25</v>
      </c>
      <c r="S152">
        <v>2.3182598983908855</v>
      </c>
      <c r="T152" t="s">
        <v>78</v>
      </c>
    </row>
    <row r="153" spans="1:20" x14ac:dyDescent="0.25">
      <c r="A153" s="11">
        <v>44980</v>
      </c>
      <c r="B153" t="s">
        <v>30</v>
      </c>
      <c r="C153" t="s">
        <v>31</v>
      </c>
      <c r="D153" t="s">
        <v>19</v>
      </c>
      <c r="E153" t="s">
        <v>20</v>
      </c>
      <c r="F153">
        <v>510</v>
      </c>
      <c r="G153">
        <v>9.1999999999999993</v>
      </c>
      <c r="H153">
        <v>4692</v>
      </c>
      <c r="I153" t="s">
        <v>21</v>
      </c>
      <c r="J153" t="s">
        <v>56</v>
      </c>
      <c r="K153" t="s">
        <v>28</v>
      </c>
      <c r="L153">
        <v>3045.65</v>
      </c>
      <c r="M153">
        <v>35.1</v>
      </c>
      <c r="N153">
        <v>2023</v>
      </c>
      <c r="O153">
        <v>1</v>
      </c>
      <c r="P153" t="s">
        <v>61</v>
      </c>
      <c r="Q153">
        <v>1646.35</v>
      </c>
      <c r="R153" t="s">
        <v>25</v>
      </c>
      <c r="S153">
        <v>1.8499407780848545</v>
      </c>
      <c r="T153" t="s">
        <v>78</v>
      </c>
    </row>
    <row r="154" spans="1:20" x14ac:dyDescent="0.25">
      <c r="A154" s="11">
        <v>45075</v>
      </c>
      <c r="B154" t="s">
        <v>42</v>
      </c>
      <c r="C154" t="s">
        <v>43</v>
      </c>
      <c r="D154" t="s">
        <v>45</v>
      </c>
      <c r="E154" t="s">
        <v>20</v>
      </c>
      <c r="F154">
        <v>863</v>
      </c>
      <c r="G154">
        <v>9.5500000000000007</v>
      </c>
      <c r="H154">
        <v>8241.65</v>
      </c>
      <c r="I154" t="s">
        <v>46</v>
      </c>
      <c r="J154" t="s">
        <v>47</v>
      </c>
      <c r="K154" t="s">
        <v>41</v>
      </c>
      <c r="L154">
        <v>6600.15</v>
      </c>
      <c r="M154">
        <v>19.899999999999999</v>
      </c>
      <c r="N154">
        <v>2023</v>
      </c>
      <c r="O154">
        <v>2</v>
      </c>
      <c r="P154" t="s">
        <v>67</v>
      </c>
      <c r="Q154">
        <v>1641.5</v>
      </c>
      <c r="R154" t="s">
        <v>29</v>
      </c>
      <c r="S154">
        <v>4.0208041425525431</v>
      </c>
      <c r="T154" t="s">
        <v>78</v>
      </c>
    </row>
    <row r="155" spans="1:20" x14ac:dyDescent="0.25">
      <c r="A155" s="11">
        <v>44929</v>
      </c>
      <c r="B155" t="s">
        <v>30</v>
      </c>
      <c r="C155" t="s">
        <v>31</v>
      </c>
      <c r="D155" t="s">
        <v>37</v>
      </c>
      <c r="E155" t="s">
        <v>38</v>
      </c>
      <c r="F155">
        <v>578</v>
      </c>
      <c r="G155">
        <v>11.54</v>
      </c>
      <c r="H155">
        <v>6670.12</v>
      </c>
      <c r="I155" t="s">
        <v>21</v>
      </c>
      <c r="J155" t="s">
        <v>22</v>
      </c>
      <c r="K155" t="s">
        <v>41</v>
      </c>
      <c r="L155">
        <v>5034.58</v>
      </c>
      <c r="M155">
        <v>24.5</v>
      </c>
      <c r="N155">
        <v>2023</v>
      </c>
      <c r="O155">
        <v>1</v>
      </c>
      <c r="P155" t="s">
        <v>24</v>
      </c>
      <c r="Q155">
        <v>1635.54</v>
      </c>
      <c r="R155" t="s">
        <v>29</v>
      </c>
      <c r="S155">
        <v>3.0782371571468752</v>
      </c>
      <c r="T155" t="s">
        <v>78</v>
      </c>
    </row>
    <row r="156" spans="1:20" x14ac:dyDescent="0.25">
      <c r="A156" s="11">
        <v>45101</v>
      </c>
      <c r="B156" t="s">
        <v>51</v>
      </c>
      <c r="C156" t="s">
        <v>52</v>
      </c>
      <c r="D156" t="s">
        <v>37</v>
      </c>
      <c r="E156" t="s">
        <v>38</v>
      </c>
      <c r="F156">
        <v>588</v>
      </c>
      <c r="G156">
        <v>7.29</v>
      </c>
      <c r="H156">
        <v>4286.5200000000004</v>
      </c>
      <c r="I156" t="s">
        <v>21</v>
      </c>
      <c r="J156" t="s">
        <v>56</v>
      </c>
      <c r="K156" t="s">
        <v>28</v>
      </c>
      <c r="L156">
        <v>2651.01</v>
      </c>
      <c r="M156">
        <v>38.200000000000003</v>
      </c>
      <c r="N156">
        <v>2024</v>
      </c>
      <c r="O156">
        <v>2</v>
      </c>
      <c r="P156" t="s">
        <v>24</v>
      </c>
      <c r="Q156">
        <v>1635.51</v>
      </c>
      <c r="R156" t="s">
        <v>25</v>
      </c>
      <c r="S156">
        <v>1.6209072399435041</v>
      </c>
      <c r="T156" t="s">
        <v>78</v>
      </c>
    </row>
    <row r="157" spans="1:20" x14ac:dyDescent="0.25">
      <c r="A157" s="11">
        <v>45064</v>
      </c>
      <c r="B157" t="s">
        <v>17</v>
      </c>
      <c r="C157" t="s">
        <v>18</v>
      </c>
      <c r="D157" t="s">
        <v>48</v>
      </c>
      <c r="E157" t="s">
        <v>38</v>
      </c>
      <c r="F157">
        <v>709</v>
      </c>
      <c r="G157">
        <v>7.73</v>
      </c>
      <c r="H157">
        <v>5480.57</v>
      </c>
      <c r="I157" t="s">
        <v>55</v>
      </c>
      <c r="J157" t="s">
        <v>34</v>
      </c>
      <c r="K157" t="s">
        <v>23</v>
      </c>
      <c r="L157">
        <v>3854.62</v>
      </c>
      <c r="M157">
        <v>29.7</v>
      </c>
      <c r="N157">
        <v>2023</v>
      </c>
      <c r="O157">
        <v>2</v>
      </c>
      <c r="P157" t="s">
        <v>65</v>
      </c>
      <c r="Q157">
        <v>1625.95</v>
      </c>
      <c r="R157" t="s">
        <v>25</v>
      </c>
      <c r="S157">
        <v>2.3706879055321504</v>
      </c>
      <c r="T157" t="s">
        <v>78</v>
      </c>
    </row>
    <row r="158" spans="1:20" x14ac:dyDescent="0.25">
      <c r="A158" s="11">
        <v>45000</v>
      </c>
      <c r="B158" t="s">
        <v>17</v>
      </c>
      <c r="C158" t="s">
        <v>18</v>
      </c>
      <c r="D158" t="s">
        <v>48</v>
      </c>
      <c r="E158" t="s">
        <v>38</v>
      </c>
      <c r="F158">
        <v>905</v>
      </c>
      <c r="G158">
        <v>7</v>
      </c>
      <c r="H158">
        <v>6335</v>
      </c>
      <c r="I158" t="s">
        <v>39</v>
      </c>
      <c r="J158" t="s">
        <v>34</v>
      </c>
      <c r="K158" t="s">
        <v>23</v>
      </c>
      <c r="L158">
        <v>4727.9799999999996</v>
      </c>
      <c r="M158">
        <v>25.4</v>
      </c>
      <c r="N158">
        <v>2023</v>
      </c>
      <c r="O158">
        <v>1</v>
      </c>
      <c r="P158" t="s">
        <v>61</v>
      </c>
      <c r="Q158">
        <v>1607.02</v>
      </c>
      <c r="R158" t="s">
        <v>25</v>
      </c>
      <c r="S158">
        <v>2.9420791278266605</v>
      </c>
      <c r="T158" t="s">
        <v>78</v>
      </c>
    </row>
    <row r="159" spans="1:20" x14ac:dyDescent="0.25">
      <c r="A159" s="11">
        <v>45097</v>
      </c>
      <c r="B159" t="s">
        <v>30</v>
      </c>
      <c r="C159" t="s">
        <v>31</v>
      </c>
      <c r="D159" t="s">
        <v>32</v>
      </c>
      <c r="E159" t="s">
        <v>20</v>
      </c>
      <c r="F159">
        <v>481</v>
      </c>
      <c r="G159">
        <v>11.99</v>
      </c>
      <c r="H159">
        <v>5767.19</v>
      </c>
      <c r="I159" t="s">
        <v>57</v>
      </c>
      <c r="J159" t="s">
        <v>22</v>
      </c>
      <c r="K159" t="s">
        <v>28</v>
      </c>
      <c r="L159">
        <v>4171.3500000000004</v>
      </c>
      <c r="M159">
        <v>27.7</v>
      </c>
      <c r="N159">
        <v>2023</v>
      </c>
      <c r="O159">
        <v>2</v>
      </c>
      <c r="P159" t="s">
        <v>70</v>
      </c>
      <c r="Q159">
        <v>1595.84</v>
      </c>
      <c r="R159" t="s">
        <v>25</v>
      </c>
      <c r="S159">
        <v>2.6138898636454786</v>
      </c>
      <c r="T159" t="s">
        <v>78</v>
      </c>
    </row>
    <row r="160" spans="1:20" x14ac:dyDescent="0.25">
      <c r="A160" s="11">
        <v>45071</v>
      </c>
      <c r="B160" t="s">
        <v>30</v>
      </c>
      <c r="C160" t="s">
        <v>31</v>
      </c>
      <c r="D160" t="s">
        <v>53</v>
      </c>
      <c r="E160" t="s">
        <v>50</v>
      </c>
      <c r="F160">
        <v>902</v>
      </c>
      <c r="G160">
        <v>10.54</v>
      </c>
      <c r="H160">
        <v>9507.08</v>
      </c>
      <c r="I160" t="s">
        <v>33</v>
      </c>
      <c r="J160" t="s">
        <v>27</v>
      </c>
      <c r="K160" t="s">
        <v>41</v>
      </c>
      <c r="L160">
        <v>7911.77</v>
      </c>
      <c r="M160">
        <v>16.8</v>
      </c>
      <c r="N160">
        <v>2023</v>
      </c>
      <c r="O160">
        <v>2</v>
      </c>
      <c r="P160" t="s">
        <v>66</v>
      </c>
      <c r="Q160">
        <v>1595.31</v>
      </c>
      <c r="R160" t="s">
        <v>29</v>
      </c>
      <c r="S160">
        <v>4.9593934721151376</v>
      </c>
      <c r="T160" t="s">
        <v>78</v>
      </c>
    </row>
    <row r="161" spans="1:20" x14ac:dyDescent="0.25">
      <c r="A161" s="11">
        <v>45118</v>
      </c>
      <c r="B161" t="s">
        <v>35</v>
      </c>
      <c r="C161" t="s">
        <v>36</v>
      </c>
      <c r="D161" t="s">
        <v>45</v>
      </c>
      <c r="E161" t="s">
        <v>20</v>
      </c>
      <c r="F161">
        <v>594</v>
      </c>
      <c r="G161">
        <v>7.46</v>
      </c>
      <c r="H161">
        <v>4431.24</v>
      </c>
      <c r="I161" t="s">
        <v>33</v>
      </c>
      <c r="J161" t="s">
        <v>40</v>
      </c>
      <c r="K161" t="s">
        <v>41</v>
      </c>
      <c r="L161">
        <v>2842.72</v>
      </c>
      <c r="M161">
        <v>35.799999999999997</v>
      </c>
      <c r="N161">
        <v>2024</v>
      </c>
      <c r="O161">
        <v>3</v>
      </c>
      <c r="P161" t="s">
        <v>64</v>
      </c>
      <c r="Q161">
        <v>1588.52</v>
      </c>
      <c r="R161" t="s">
        <v>25</v>
      </c>
      <c r="S161">
        <v>1.7895399491350439</v>
      </c>
      <c r="T161" t="s">
        <v>78</v>
      </c>
    </row>
    <row r="162" spans="1:20" x14ac:dyDescent="0.25">
      <c r="A162" s="11">
        <v>44991</v>
      </c>
      <c r="B162" t="s">
        <v>42</v>
      </c>
      <c r="C162" t="s">
        <v>43</v>
      </c>
      <c r="D162" t="s">
        <v>49</v>
      </c>
      <c r="E162" t="s">
        <v>50</v>
      </c>
      <c r="F162">
        <v>571</v>
      </c>
      <c r="G162">
        <v>11.66</v>
      </c>
      <c r="H162">
        <v>6657.86</v>
      </c>
      <c r="I162" t="s">
        <v>55</v>
      </c>
      <c r="J162" t="s">
        <v>56</v>
      </c>
      <c r="K162" t="s">
        <v>23</v>
      </c>
      <c r="L162">
        <v>5074.34</v>
      </c>
      <c r="M162">
        <v>23.8</v>
      </c>
      <c r="N162">
        <v>2023</v>
      </c>
      <c r="O162">
        <v>1</v>
      </c>
      <c r="P162" t="s">
        <v>61</v>
      </c>
      <c r="Q162">
        <v>1583.52</v>
      </c>
      <c r="R162" t="s">
        <v>29</v>
      </c>
      <c r="S162">
        <v>3.204468525815904</v>
      </c>
      <c r="T162" t="s">
        <v>78</v>
      </c>
    </row>
    <row r="163" spans="1:20" x14ac:dyDescent="0.25">
      <c r="A163" s="11">
        <v>45008</v>
      </c>
      <c r="B163" t="s">
        <v>58</v>
      </c>
      <c r="C163" t="s">
        <v>59</v>
      </c>
      <c r="D163" t="s">
        <v>19</v>
      </c>
      <c r="E163" t="s">
        <v>20</v>
      </c>
      <c r="F163">
        <v>527</v>
      </c>
      <c r="G163">
        <v>9.9499999999999993</v>
      </c>
      <c r="H163">
        <v>5243.65</v>
      </c>
      <c r="I163" t="s">
        <v>55</v>
      </c>
      <c r="J163" t="s">
        <v>27</v>
      </c>
      <c r="K163" t="s">
        <v>41</v>
      </c>
      <c r="L163">
        <v>3663.75</v>
      </c>
      <c r="M163">
        <v>30.1</v>
      </c>
      <c r="N163">
        <v>2023</v>
      </c>
      <c r="O163">
        <v>1</v>
      </c>
      <c r="P163" t="s">
        <v>62</v>
      </c>
      <c r="Q163">
        <v>1579.9</v>
      </c>
      <c r="R163" t="s">
        <v>25</v>
      </c>
      <c r="S163">
        <v>2.3189758845496549</v>
      </c>
      <c r="T163" t="s">
        <v>78</v>
      </c>
    </row>
    <row r="164" spans="1:20" x14ac:dyDescent="0.25">
      <c r="A164" s="11">
        <v>45125</v>
      </c>
      <c r="B164" t="s">
        <v>51</v>
      </c>
      <c r="C164" t="s">
        <v>52</v>
      </c>
      <c r="D164" t="s">
        <v>44</v>
      </c>
      <c r="E164" t="s">
        <v>38</v>
      </c>
      <c r="F164">
        <v>595</v>
      </c>
      <c r="G164">
        <v>7.33</v>
      </c>
      <c r="H164">
        <v>4361.3500000000004</v>
      </c>
      <c r="I164" t="s">
        <v>26</v>
      </c>
      <c r="J164" t="s">
        <v>34</v>
      </c>
      <c r="K164" t="s">
        <v>28</v>
      </c>
      <c r="L164">
        <v>2789.76</v>
      </c>
      <c r="M164">
        <v>36</v>
      </c>
      <c r="N164">
        <v>2024</v>
      </c>
      <c r="O164">
        <v>3</v>
      </c>
      <c r="P164" t="s">
        <v>69</v>
      </c>
      <c r="Q164">
        <v>1571.59</v>
      </c>
      <c r="R164" t="s">
        <v>25</v>
      </c>
      <c r="S164">
        <v>1.7751194650004138</v>
      </c>
      <c r="T164" t="s">
        <v>78</v>
      </c>
    </row>
    <row r="165" spans="1:20" x14ac:dyDescent="0.25">
      <c r="A165" s="11">
        <v>45106</v>
      </c>
      <c r="B165" t="s">
        <v>42</v>
      </c>
      <c r="C165" t="s">
        <v>43</v>
      </c>
      <c r="D165" t="s">
        <v>45</v>
      </c>
      <c r="E165" t="s">
        <v>20</v>
      </c>
      <c r="F165">
        <v>742</v>
      </c>
      <c r="G165">
        <v>6.84</v>
      </c>
      <c r="H165">
        <v>5075.28</v>
      </c>
      <c r="I165" t="s">
        <v>55</v>
      </c>
      <c r="J165" t="s">
        <v>56</v>
      </c>
      <c r="K165" t="s">
        <v>23</v>
      </c>
      <c r="L165">
        <v>3504.44</v>
      </c>
      <c r="M165">
        <v>31</v>
      </c>
      <c r="N165">
        <v>2024</v>
      </c>
      <c r="O165">
        <v>2</v>
      </c>
      <c r="P165" t="s">
        <v>60</v>
      </c>
      <c r="Q165">
        <v>1570.84</v>
      </c>
      <c r="R165" t="s">
        <v>25</v>
      </c>
      <c r="S165">
        <v>2.2309337679203485</v>
      </c>
      <c r="T165" t="s">
        <v>78</v>
      </c>
    </row>
    <row r="166" spans="1:20" x14ac:dyDescent="0.25">
      <c r="A166" s="11">
        <v>45062</v>
      </c>
      <c r="B166" t="s">
        <v>17</v>
      </c>
      <c r="C166" t="s">
        <v>18</v>
      </c>
      <c r="D166" t="s">
        <v>37</v>
      </c>
      <c r="E166" t="s">
        <v>38</v>
      </c>
      <c r="F166">
        <v>528</v>
      </c>
      <c r="G166">
        <v>11.47</v>
      </c>
      <c r="H166">
        <v>6056.16</v>
      </c>
      <c r="I166" t="s">
        <v>46</v>
      </c>
      <c r="J166" t="s">
        <v>27</v>
      </c>
      <c r="K166" t="s">
        <v>41</v>
      </c>
      <c r="L166">
        <v>4490.21</v>
      </c>
      <c r="M166">
        <v>25.9</v>
      </c>
      <c r="N166">
        <v>2023</v>
      </c>
      <c r="O166">
        <v>2</v>
      </c>
      <c r="P166" t="s">
        <v>65</v>
      </c>
      <c r="Q166">
        <v>1565.95</v>
      </c>
      <c r="R166" t="s">
        <v>25</v>
      </c>
      <c r="S166">
        <v>2.8674031737922667</v>
      </c>
      <c r="T166" t="s">
        <v>78</v>
      </c>
    </row>
    <row r="167" spans="1:20" x14ac:dyDescent="0.25">
      <c r="A167" s="11">
        <v>45073</v>
      </c>
      <c r="B167" t="s">
        <v>17</v>
      </c>
      <c r="C167" t="s">
        <v>18</v>
      </c>
      <c r="D167" t="s">
        <v>48</v>
      </c>
      <c r="E167" t="s">
        <v>38</v>
      </c>
      <c r="F167">
        <v>641</v>
      </c>
      <c r="G167">
        <v>8.2200000000000006</v>
      </c>
      <c r="H167">
        <v>5269.02</v>
      </c>
      <c r="I167" t="s">
        <v>21</v>
      </c>
      <c r="J167" t="s">
        <v>22</v>
      </c>
      <c r="K167" t="s">
        <v>41</v>
      </c>
      <c r="L167">
        <v>3704.28</v>
      </c>
      <c r="M167">
        <v>29.7</v>
      </c>
      <c r="N167">
        <v>2023</v>
      </c>
      <c r="O167">
        <v>2</v>
      </c>
      <c r="P167" t="s">
        <v>67</v>
      </c>
      <c r="Q167">
        <v>1564.74</v>
      </c>
      <c r="R167" t="s">
        <v>25</v>
      </c>
      <c r="S167">
        <v>2.3673453736723036</v>
      </c>
      <c r="T167" t="s">
        <v>78</v>
      </c>
    </row>
    <row r="168" spans="1:20" x14ac:dyDescent="0.25">
      <c r="A168" s="11">
        <v>45081</v>
      </c>
      <c r="B168" t="s">
        <v>35</v>
      </c>
      <c r="C168" t="s">
        <v>36</v>
      </c>
      <c r="D168" t="s">
        <v>48</v>
      </c>
      <c r="E168" t="s">
        <v>38</v>
      </c>
      <c r="F168">
        <v>544</v>
      </c>
      <c r="G168">
        <v>9.23</v>
      </c>
      <c r="H168">
        <v>5021.12</v>
      </c>
      <c r="I168" t="s">
        <v>26</v>
      </c>
      <c r="J168" t="s">
        <v>22</v>
      </c>
      <c r="K168" t="s">
        <v>28</v>
      </c>
      <c r="L168">
        <v>3462.32</v>
      </c>
      <c r="M168">
        <v>31</v>
      </c>
      <c r="N168">
        <v>2023</v>
      </c>
      <c r="O168">
        <v>2</v>
      </c>
      <c r="P168" t="s">
        <v>68</v>
      </c>
      <c r="Q168">
        <v>1558.8</v>
      </c>
      <c r="R168" t="s">
        <v>25</v>
      </c>
      <c r="S168">
        <v>2.2211444701052092</v>
      </c>
      <c r="T168" t="s">
        <v>78</v>
      </c>
    </row>
    <row r="169" spans="1:20" x14ac:dyDescent="0.25">
      <c r="A169" s="11">
        <v>45097</v>
      </c>
      <c r="B169" t="s">
        <v>42</v>
      </c>
      <c r="C169" t="s">
        <v>43</v>
      </c>
      <c r="D169" t="s">
        <v>53</v>
      </c>
      <c r="E169" t="s">
        <v>50</v>
      </c>
      <c r="F169">
        <v>875</v>
      </c>
      <c r="G169">
        <v>10.44</v>
      </c>
      <c r="H169">
        <v>9135</v>
      </c>
      <c r="I169" t="s">
        <v>21</v>
      </c>
      <c r="J169" t="s">
        <v>47</v>
      </c>
      <c r="K169" t="s">
        <v>41</v>
      </c>
      <c r="L169">
        <v>7577.16</v>
      </c>
      <c r="M169">
        <v>17.100000000000001</v>
      </c>
      <c r="N169">
        <v>2024</v>
      </c>
      <c r="O169">
        <v>2</v>
      </c>
      <c r="P169" t="s">
        <v>24</v>
      </c>
      <c r="Q169">
        <v>1557.84</v>
      </c>
      <c r="R169" t="s">
        <v>29</v>
      </c>
      <c r="S169">
        <v>4.8638884609459252</v>
      </c>
      <c r="T169" t="s">
        <v>78</v>
      </c>
    </row>
    <row r="170" spans="1:20" x14ac:dyDescent="0.25">
      <c r="A170" s="11">
        <v>45035</v>
      </c>
      <c r="B170" t="s">
        <v>42</v>
      </c>
      <c r="C170" t="s">
        <v>43</v>
      </c>
      <c r="D170" t="s">
        <v>44</v>
      </c>
      <c r="E170" t="s">
        <v>38</v>
      </c>
      <c r="F170">
        <v>437</v>
      </c>
      <c r="G170">
        <v>10.3</v>
      </c>
      <c r="H170">
        <v>4501.1000000000004</v>
      </c>
      <c r="I170" t="s">
        <v>21</v>
      </c>
      <c r="J170" t="s">
        <v>56</v>
      </c>
      <c r="K170" t="s">
        <v>41</v>
      </c>
      <c r="L170">
        <v>2957.98</v>
      </c>
      <c r="M170">
        <v>34.299999999999997</v>
      </c>
      <c r="N170">
        <v>2023</v>
      </c>
      <c r="O170">
        <v>2</v>
      </c>
      <c r="P170" t="s">
        <v>63</v>
      </c>
      <c r="Q170">
        <v>1543.12</v>
      </c>
      <c r="R170" t="s">
        <v>25</v>
      </c>
      <c r="S170">
        <v>1.9168826792472395</v>
      </c>
      <c r="T170" t="s">
        <v>78</v>
      </c>
    </row>
    <row r="171" spans="1:20" x14ac:dyDescent="0.25">
      <c r="A171" s="11">
        <v>45028</v>
      </c>
      <c r="B171" t="s">
        <v>17</v>
      </c>
      <c r="C171" t="s">
        <v>18</v>
      </c>
      <c r="D171" t="s">
        <v>44</v>
      </c>
      <c r="E171" t="s">
        <v>38</v>
      </c>
      <c r="F171">
        <v>475</v>
      </c>
      <c r="G171">
        <v>9.7100000000000009</v>
      </c>
      <c r="H171">
        <v>4612.25</v>
      </c>
      <c r="I171" t="s">
        <v>54</v>
      </c>
      <c r="J171" t="s">
        <v>47</v>
      </c>
      <c r="K171" t="s">
        <v>41</v>
      </c>
      <c r="L171">
        <v>3075.72</v>
      </c>
      <c r="M171">
        <v>33.299999999999997</v>
      </c>
      <c r="N171">
        <v>2023</v>
      </c>
      <c r="O171">
        <v>2</v>
      </c>
      <c r="P171" t="s">
        <v>63</v>
      </c>
      <c r="Q171">
        <v>1536.53</v>
      </c>
      <c r="R171" t="s">
        <v>25</v>
      </c>
      <c r="S171">
        <v>2.0017311734883143</v>
      </c>
      <c r="T171" t="s">
        <v>78</v>
      </c>
    </row>
    <row r="172" spans="1:20" x14ac:dyDescent="0.25">
      <c r="A172" s="11">
        <v>45009</v>
      </c>
      <c r="B172" t="s">
        <v>51</v>
      </c>
      <c r="C172" t="s">
        <v>52</v>
      </c>
      <c r="D172" t="s">
        <v>49</v>
      </c>
      <c r="E172" t="s">
        <v>50</v>
      </c>
      <c r="F172">
        <v>866</v>
      </c>
      <c r="G172">
        <v>5.63</v>
      </c>
      <c r="H172">
        <v>4875.58</v>
      </c>
      <c r="I172" t="s">
        <v>26</v>
      </c>
      <c r="J172" t="s">
        <v>34</v>
      </c>
      <c r="K172" t="s">
        <v>28</v>
      </c>
      <c r="L172">
        <v>3339.76</v>
      </c>
      <c r="M172">
        <v>31.5</v>
      </c>
      <c r="N172">
        <v>2023</v>
      </c>
      <c r="O172">
        <v>1</v>
      </c>
      <c r="P172" t="s">
        <v>62</v>
      </c>
      <c r="Q172">
        <v>1535.82</v>
      </c>
      <c r="R172" t="s">
        <v>25</v>
      </c>
      <c r="S172">
        <v>2.1745777499967445</v>
      </c>
      <c r="T172" t="s">
        <v>78</v>
      </c>
    </row>
    <row r="173" spans="1:20" x14ac:dyDescent="0.25">
      <c r="A173" s="11">
        <v>45012</v>
      </c>
      <c r="B173" t="s">
        <v>30</v>
      </c>
      <c r="C173" t="s">
        <v>31</v>
      </c>
      <c r="D173" t="s">
        <v>32</v>
      </c>
      <c r="E173" t="s">
        <v>20</v>
      </c>
      <c r="F173">
        <v>382</v>
      </c>
      <c r="G173">
        <v>11.36</v>
      </c>
      <c r="H173">
        <v>4339.5200000000004</v>
      </c>
      <c r="I173" t="s">
        <v>55</v>
      </c>
      <c r="J173" t="s">
        <v>27</v>
      </c>
      <c r="K173" t="s">
        <v>23</v>
      </c>
      <c r="L173">
        <v>2809.4</v>
      </c>
      <c r="M173">
        <v>35.299999999999997</v>
      </c>
      <c r="N173">
        <v>2023</v>
      </c>
      <c r="O173">
        <v>1</v>
      </c>
      <c r="P173" t="s">
        <v>62</v>
      </c>
      <c r="Q173">
        <v>1530.12</v>
      </c>
      <c r="R173" t="s">
        <v>25</v>
      </c>
      <c r="S173">
        <v>1.8360651452173689</v>
      </c>
      <c r="T173" t="s">
        <v>78</v>
      </c>
    </row>
    <row r="174" spans="1:20" x14ac:dyDescent="0.25">
      <c r="A174" s="11">
        <v>45001</v>
      </c>
      <c r="B174" t="s">
        <v>17</v>
      </c>
      <c r="C174" t="s">
        <v>18</v>
      </c>
      <c r="D174" t="s">
        <v>45</v>
      </c>
      <c r="E174" t="s">
        <v>20</v>
      </c>
      <c r="F174">
        <v>984</v>
      </c>
      <c r="G174">
        <v>4.8</v>
      </c>
      <c r="H174">
        <v>4723.2</v>
      </c>
      <c r="I174" t="s">
        <v>33</v>
      </c>
      <c r="J174" t="s">
        <v>34</v>
      </c>
      <c r="K174" t="s">
        <v>23</v>
      </c>
      <c r="L174">
        <v>3195.14</v>
      </c>
      <c r="M174">
        <v>32.4</v>
      </c>
      <c r="N174">
        <v>2023</v>
      </c>
      <c r="O174">
        <v>1</v>
      </c>
      <c r="P174" t="s">
        <v>62</v>
      </c>
      <c r="Q174">
        <v>1528.06</v>
      </c>
      <c r="R174" t="s">
        <v>25</v>
      </c>
      <c r="S174">
        <v>2.0909781029540726</v>
      </c>
      <c r="T174" t="s">
        <v>78</v>
      </c>
    </row>
    <row r="175" spans="1:20" x14ac:dyDescent="0.25">
      <c r="A175" s="11">
        <v>45073</v>
      </c>
      <c r="B175" t="s">
        <v>51</v>
      </c>
      <c r="C175" t="s">
        <v>52</v>
      </c>
      <c r="D175" t="s">
        <v>45</v>
      </c>
      <c r="E175" t="s">
        <v>20</v>
      </c>
      <c r="F175">
        <v>474</v>
      </c>
      <c r="G175">
        <v>8.49</v>
      </c>
      <c r="H175">
        <v>4024.26</v>
      </c>
      <c r="I175" t="s">
        <v>57</v>
      </c>
      <c r="J175" t="s">
        <v>40</v>
      </c>
      <c r="K175" t="s">
        <v>41</v>
      </c>
      <c r="L175">
        <v>2500.5100000000002</v>
      </c>
      <c r="M175">
        <v>37.9</v>
      </c>
      <c r="N175">
        <v>2023</v>
      </c>
      <c r="O175">
        <v>2</v>
      </c>
      <c r="P175" t="s">
        <v>67</v>
      </c>
      <c r="Q175">
        <v>1523.75</v>
      </c>
      <c r="R175" t="s">
        <v>25</v>
      </c>
      <c r="S175">
        <v>1.6410237899917968</v>
      </c>
      <c r="T175" t="s">
        <v>78</v>
      </c>
    </row>
    <row r="176" spans="1:20" x14ac:dyDescent="0.25">
      <c r="A176" s="11">
        <v>44966</v>
      </c>
      <c r="B176" t="s">
        <v>17</v>
      </c>
      <c r="C176" t="s">
        <v>18</v>
      </c>
      <c r="D176" t="s">
        <v>49</v>
      </c>
      <c r="E176" t="s">
        <v>50</v>
      </c>
      <c r="F176">
        <v>911</v>
      </c>
      <c r="G176">
        <v>10.81</v>
      </c>
      <c r="H176">
        <v>9847.91</v>
      </c>
      <c r="I176" t="s">
        <v>21</v>
      </c>
      <c r="J176" t="s">
        <v>47</v>
      </c>
      <c r="K176" t="s">
        <v>23</v>
      </c>
      <c r="L176">
        <v>8329.15</v>
      </c>
      <c r="M176">
        <v>15.4</v>
      </c>
      <c r="N176">
        <v>2023</v>
      </c>
      <c r="O176">
        <v>1</v>
      </c>
      <c r="P176" t="s">
        <v>60</v>
      </c>
      <c r="Q176">
        <v>1518.76</v>
      </c>
      <c r="R176" t="s">
        <v>29</v>
      </c>
      <c r="S176">
        <v>5.4841778819563327</v>
      </c>
      <c r="T176" t="s">
        <v>78</v>
      </c>
    </row>
    <row r="177" spans="1:20" x14ac:dyDescent="0.25">
      <c r="A177" s="11">
        <v>45069</v>
      </c>
      <c r="B177" t="s">
        <v>35</v>
      </c>
      <c r="C177" t="s">
        <v>36</v>
      </c>
      <c r="D177" t="s">
        <v>32</v>
      </c>
      <c r="E177" t="s">
        <v>20</v>
      </c>
      <c r="F177">
        <v>725</v>
      </c>
      <c r="G177">
        <v>6.72</v>
      </c>
      <c r="H177">
        <v>4872</v>
      </c>
      <c r="I177" t="s">
        <v>39</v>
      </c>
      <c r="J177" t="s">
        <v>40</v>
      </c>
      <c r="K177" t="s">
        <v>28</v>
      </c>
      <c r="L177">
        <v>3353.89</v>
      </c>
      <c r="M177">
        <v>31.2</v>
      </c>
      <c r="N177">
        <v>2023</v>
      </c>
      <c r="O177">
        <v>2</v>
      </c>
      <c r="P177" t="s">
        <v>66</v>
      </c>
      <c r="Q177">
        <v>1518.11</v>
      </c>
      <c r="R177" t="s">
        <v>25</v>
      </c>
      <c r="S177">
        <v>2.2092536113983834</v>
      </c>
      <c r="T177" t="s">
        <v>78</v>
      </c>
    </row>
    <row r="178" spans="1:20" x14ac:dyDescent="0.25">
      <c r="A178" s="11">
        <v>44954</v>
      </c>
      <c r="B178" t="s">
        <v>58</v>
      </c>
      <c r="C178" t="s">
        <v>59</v>
      </c>
      <c r="D178" t="s">
        <v>45</v>
      </c>
      <c r="E178" t="s">
        <v>20</v>
      </c>
      <c r="F178">
        <v>843</v>
      </c>
      <c r="G178">
        <v>6.96</v>
      </c>
      <c r="H178">
        <v>5867.28</v>
      </c>
      <c r="I178" t="s">
        <v>46</v>
      </c>
      <c r="J178" t="s">
        <v>22</v>
      </c>
      <c r="K178" t="s">
        <v>28</v>
      </c>
      <c r="L178">
        <v>4357.92</v>
      </c>
      <c r="M178">
        <v>25.7</v>
      </c>
      <c r="N178">
        <v>2023</v>
      </c>
      <c r="O178">
        <v>1</v>
      </c>
      <c r="P178" t="s">
        <v>24</v>
      </c>
      <c r="Q178">
        <v>1509.36</v>
      </c>
      <c r="R178" t="s">
        <v>25</v>
      </c>
      <c r="S178">
        <v>2.88726347591032</v>
      </c>
      <c r="T178" t="s">
        <v>78</v>
      </c>
    </row>
    <row r="179" spans="1:20" x14ac:dyDescent="0.25">
      <c r="A179" s="11">
        <v>45055</v>
      </c>
      <c r="B179" t="s">
        <v>30</v>
      </c>
      <c r="C179" t="s">
        <v>31</v>
      </c>
      <c r="D179" t="s">
        <v>49</v>
      </c>
      <c r="E179" t="s">
        <v>50</v>
      </c>
      <c r="F179">
        <v>874</v>
      </c>
      <c r="G179">
        <v>8.7100000000000009</v>
      </c>
      <c r="H179">
        <v>7612.54</v>
      </c>
      <c r="I179" t="s">
        <v>46</v>
      </c>
      <c r="J179" t="s">
        <v>40</v>
      </c>
      <c r="K179" t="s">
        <v>28</v>
      </c>
      <c r="L179">
        <v>6111.95</v>
      </c>
      <c r="M179">
        <v>19.7</v>
      </c>
      <c r="N179">
        <v>2023</v>
      </c>
      <c r="O179">
        <v>2</v>
      </c>
      <c r="P179" t="s">
        <v>65</v>
      </c>
      <c r="Q179">
        <v>1500.59</v>
      </c>
      <c r="R179" t="s">
        <v>29</v>
      </c>
      <c r="S179">
        <v>4.073031274365416</v>
      </c>
      <c r="T179" t="s">
        <v>78</v>
      </c>
    </row>
    <row r="180" spans="1:20" x14ac:dyDescent="0.25">
      <c r="A180" s="11">
        <v>45050</v>
      </c>
      <c r="B180" t="s">
        <v>51</v>
      </c>
      <c r="C180" t="s">
        <v>52</v>
      </c>
      <c r="D180" t="s">
        <v>45</v>
      </c>
      <c r="E180" t="s">
        <v>20</v>
      </c>
      <c r="F180">
        <v>883</v>
      </c>
      <c r="G180">
        <v>10.46</v>
      </c>
      <c r="H180">
        <v>9236.18</v>
      </c>
      <c r="I180" t="s">
        <v>39</v>
      </c>
      <c r="J180" t="s">
        <v>27</v>
      </c>
      <c r="K180" t="s">
        <v>28</v>
      </c>
      <c r="L180">
        <v>7744.36</v>
      </c>
      <c r="M180">
        <v>16.2</v>
      </c>
      <c r="N180">
        <v>2023</v>
      </c>
      <c r="O180">
        <v>2</v>
      </c>
      <c r="P180" t="s">
        <v>64</v>
      </c>
      <c r="Q180">
        <v>1491.82</v>
      </c>
      <c r="R180" t="s">
        <v>29</v>
      </c>
      <c r="S180">
        <v>5.191216098456918</v>
      </c>
      <c r="T180" t="s">
        <v>78</v>
      </c>
    </row>
    <row r="181" spans="1:20" x14ac:dyDescent="0.25">
      <c r="A181" s="11">
        <v>44929</v>
      </c>
      <c r="B181" t="s">
        <v>51</v>
      </c>
      <c r="C181" t="s">
        <v>52</v>
      </c>
      <c r="D181" t="s">
        <v>32</v>
      </c>
      <c r="E181" t="s">
        <v>20</v>
      </c>
      <c r="F181">
        <v>454</v>
      </c>
      <c r="G181">
        <v>11.22</v>
      </c>
      <c r="H181">
        <v>5093.88</v>
      </c>
      <c r="I181" t="s">
        <v>46</v>
      </c>
      <c r="J181" t="s">
        <v>34</v>
      </c>
      <c r="K181" t="s">
        <v>23</v>
      </c>
      <c r="L181">
        <v>3602.94</v>
      </c>
      <c r="M181">
        <v>29.3</v>
      </c>
      <c r="N181">
        <v>2023</v>
      </c>
      <c r="O181">
        <v>1</v>
      </c>
      <c r="P181" t="s">
        <v>24</v>
      </c>
      <c r="Q181">
        <v>1490.94</v>
      </c>
      <c r="R181" t="s">
        <v>25</v>
      </c>
      <c r="S181">
        <v>2.4165559982293048</v>
      </c>
      <c r="T181" t="s">
        <v>78</v>
      </c>
    </row>
    <row r="182" spans="1:20" x14ac:dyDescent="0.25">
      <c r="A182" s="11">
        <v>45129</v>
      </c>
      <c r="B182" t="s">
        <v>30</v>
      </c>
      <c r="C182" t="s">
        <v>31</v>
      </c>
      <c r="D182" t="s">
        <v>19</v>
      </c>
      <c r="E182" t="s">
        <v>20</v>
      </c>
      <c r="F182">
        <v>569</v>
      </c>
      <c r="G182">
        <v>11.87</v>
      </c>
      <c r="H182">
        <v>6754.03</v>
      </c>
      <c r="I182" t="s">
        <v>46</v>
      </c>
      <c r="J182" t="s">
        <v>40</v>
      </c>
      <c r="K182" t="s">
        <v>28</v>
      </c>
      <c r="L182">
        <v>5274.51</v>
      </c>
      <c r="M182">
        <v>21.9</v>
      </c>
      <c r="N182">
        <v>2025</v>
      </c>
      <c r="O182">
        <v>3</v>
      </c>
      <c r="P182" t="s">
        <v>63</v>
      </c>
      <c r="Q182">
        <v>1479.52</v>
      </c>
      <c r="R182" t="s">
        <v>29</v>
      </c>
      <c r="S182">
        <v>3.5650143289715586</v>
      </c>
      <c r="T182" t="s">
        <v>78</v>
      </c>
    </row>
    <row r="183" spans="1:20" x14ac:dyDescent="0.25">
      <c r="A183" s="11">
        <v>45086</v>
      </c>
      <c r="B183" t="s">
        <v>58</v>
      </c>
      <c r="C183" t="s">
        <v>59</v>
      </c>
      <c r="D183" t="s">
        <v>32</v>
      </c>
      <c r="E183" t="s">
        <v>20</v>
      </c>
      <c r="F183">
        <v>630</v>
      </c>
      <c r="G183">
        <v>10.199999999999999</v>
      </c>
      <c r="H183">
        <v>6426</v>
      </c>
      <c r="I183" t="s">
        <v>57</v>
      </c>
      <c r="J183" t="s">
        <v>27</v>
      </c>
      <c r="K183" t="s">
        <v>28</v>
      </c>
      <c r="L183">
        <v>4951.58</v>
      </c>
      <c r="M183">
        <v>22.9</v>
      </c>
      <c r="N183">
        <v>2023</v>
      </c>
      <c r="O183">
        <v>2</v>
      </c>
      <c r="P183" t="s">
        <v>69</v>
      </c>
      <c r="Q183">
        <v>1474.42</v>
      </c>
      <c r="R183" t="s">
        <v>29</v>
      </c>
      <c r="S183">
        <v>3.3583239511129799</v>
      </c>
      <c r="T183" t="s">
        <v>78</v>
      </c>
    </row>
    <row r="184" spans="1:20" x14ac:dyDescent="0.25">
      <c r="A184" s="11">
        <v>44927</v>
      </c>
      <c r="B184" t="s">
        <v>35</v>
      </c>
      <c r="C184" t="s">
        <v>36</v>
      </c>
      <c r="D184" t="s">
        <v>37</v>
      </c>
      <c r="E184" t="s">
        <v>38</v>
      </c>
      <c r="F184">
        <v>630</v>
      </c>
      <c r="G184">
        <v>9.6199999999999992</v>
      </c>
      <c r="H184">
        <v>6060.6</v>
      </c>
      <c r="I184" t="s">
        <v>26</v>
      </c>
      <c r="J184" t="s">
        <v>40</v>
      </c>
      <c r="K184" t="s">
        <v>41</v>
      </c>
      <c r="L184">
        <v>4596.97</v>
      </c>
      <c r="M184">
        <v>24.1</v>
      </c>
      <c r="N184">
        <v>2023</v>
      </c>
      <c r="O184">
        <v>1</v>
      </c>
      <c r="P184" t="s">
        <v>24</v>
      </c>
      <c r="Q184">
        <v>1463.63</v>
      </c>
      <c r="R184" t="s">
        <v>29</v>
      </c>
      <c r="S184">
        <v>3.1408006121765748</v>
      </c>
      <c r="T184" t="s">
        <v>78</v>
      </c>
    </row>
    <row r="185" spans="1:20" x14ac:dyDescent="0.25">
      <c r="A185" s="11">
        <v>45092</v>
      </c>
      <c r="B185" t="s">
        <v>42</v>
      </c>
      <c r="C185" t="s">
        <v>43</v>
      </c>
      <c r="D185" t="s">
        <v>45</v>
      </c>
      <c r="E185" t="s">
        <v>20</v>
      </c>
      <c r="F185">
        <v>722</v>
      </c>
      <c r="G185">
        <v>7.55</v>
      </c>
      <c r="H185">
        <v>5451.1</v>
      </c>
      <c r="I185" t="s">
        <v>54</v>
      </c>
      <c r="J185" t="s">
        <v>34</v>
      </c>
      <c r="K185" t="s">
        <v>23</v>
      </c>
      <c r="L185">
        <v>3988.87</v>
      </c>
      <c r="M185">
        <v>26.8</v>
      </c>
      <c r="N185">
        <v>2023</v>
      </c>
      <c r="O185">
        <v>2</v>
      </c>
      <c r="P185" t="s">
        <v>70</v>
      </c>
      <c r="Q185">
        <v>1462.23</v>
      </c>
      <c r="R185" t="s">
        <v>25</v>
      </c>
      <c r="S185">
        <v>2.7279360976043439</v>
      </c>
      <c r="T185" t="s">
        <v>78</v>
      </c>
    </row>
    <row r="186" spans="1:20" x14ac:dyDescent="0.25">
      <c r="A186" s="11">
        <v>44991</v>
      </c>
      <c r="B186" t="s">
        <v>51</v>
      </c>
      <c r="C186" t="s">
        <v>52</v>
      </c>
      <c r="D186" t="s">
        <v>37</v>
      </c>
      <c r="E186" t="s">
        <v>38</v>
      </c>
      <c r="F186">
        <v>912</v>
      </c>
      <c r="G186">
        <v>5.33</v>
      </c>
      <c r="H186">
        <v>4860.96</v>
      </c>
      <c r="I186" t="s">
        <v>26</v>
      </c>
      <c r="J186" t="s">
        <v>47</v>
      </c>
      <c r="K186" t="s">
        <v>41</v>
      </c>
      <c r="L186">
        <v>3406.22</v>
      </c>
      <c r="M186">
        <v>29.9</v>
      </c>
      <c r="N186">
        <v>2023</v>
      </c>
      <c r="O186">
        <v>1</v>
      </c>
      <c r="P186" t="s">
        <v>61</v>
      </c>
      <c r="Q186">
        <v>1454.74</v>
      </c>
      <c r="R186" t="s">
        <v>25</v>
      </c>
      <c r="S186">
        <v>2.3414630793131419</v>
      </c>
      <c r="T186" t="s">
        <v>78</v>
      </c>
    </row>
    <row r="187" spans="1:20" x14ac:dyDescent="0.25">
      <c r="A187" s="11">
        <v>44943</v>
      </c>
      <c r="B187" t="s">
        <v>42</v>
      </c>
      <c r="C187" t="s">
        <v>43</v>
      </c>
      <c r="D187" t="s">
        <v>19</v>
      </c>
      <c r="E187" t="s">
        <v>20</v>
      </c>
      <c r="F187">
        <v>923</v>
      </c>
      <c r="G187">
        <v>7.49</v>
      </c>
      <c r="H187">
        <v>6913.27</v>
      </c>
      <c r="I187" t="s">
        <v>46</v>
      </c>
      <c r="J187" t="s">
        <v>22</v>
      </c>
      <c r="K187" t="s">
        <v>41</v>
      </c>
      <c r="L187">
        <v>5461.02</v>
      </c>
      <c r="M187">
        <v>21</v>
      </c>
      <c r="N187">
        <v>2023</v>
      </c>
      <c r="O187">
        <v>1</v>
      </c>
      <c r="P187" t="s">
        <v>24</v>
      </c>
      <c r="Q187">
        <v>1452.25</v>
      </c>
      <c r="R187" t="s">
        <v>29</v>
      </c>
      <c r="S187">
        <v>3.760385608538475</v>
      </c>
      <c r="T187" t="s">
        <v>78</v>
      </c>
    </row>
    <row r="188" spans="1:20" x14ac:dyDescent="0.25">
      <c r="A188" s="11">
        <v>45103</v>
      </c>
      <c r="B188" t="s">
        <v>35</v>
      </c>
      <c r="C188" t="s">
        <v>36</v>
      </c>
      <c r="D188" t="s">
        <v>44</v>
      </c>
      <c r="E188" t="s">
        <v>38</v>
      </c>
      <c r="F188">
        <v>870</v>
      </c>
      <c r="G188">
        <v>8.2100000000000009</v>
      </c>
      <c r="H188">
        <v>7142.7</v>
      </c>
      <c r="I188" t="s">
        <v>55</v>
      </c>
      <c r="J188" t="s">
        <v>27</v>
      </c>
      <c r="K188" t="s">
        <v>41</v>
      </c>
      <c r="L188">
        <v>5693.37</v>
      </c>
      <c r="M188">
        <v>20.3</v>
      </c>
      <c r="N188">
        <v>2024</v>
      </c>
      <c r="O188">
        <v>2</v>
      </c>
      <c r="P188" t="s">
        <v>60</v>
      </c>
      <c r="Q188">
        <v>1449.33</v>
      </c>
      <c r="R188" t="s">
        <v>29</v>
      </c>
      <c r="S188">
        <v>3.9282772039494112</v>
      </c>
      <c r="T188" t="s">
        <v>78</v>
      </c>
    </row>
    <row r="189" spans="1:20" x14ac:dyDescent="0.25">
      <c r="A189" s="11">
        <v>45045</v>
      </c>
      <c r="B189" t="s">
        <v>51</v>
      </c>
      <c r="C189" t="s">
        <v>52</v>
      </c>
      <c r="D189" t="s">
        <v>19</v>
      </c>
      <c r="E189" t="s">
        <v>20</v>
      </c>
      <c r="F189">
        <v>376</v>
      </c>
      <c r="G189">
        <v>11.28</v>
      </c>
      <c r="H189">
        <v>4241.28</v>
      </c>
      <c r="I189" t="s">
        <v>54</v>
      </c>
      <c r="J189" t="s">
        <v>34</v>
      </c>
      <c r="K189" t="s">
        <v>41</v>
      </c>
      <c r="L189">
        <v>2798.03</v>
      </c>
      <c r="M189">
        <v>34</v>
      </c>
      <c r="N189">
        <v>2023</v>
      </c>
      <c r="O189">
        <v>2</v>
      </c>
      <c r="P189" t="s">
        <v>64</v>
      </c>
      <c r="Q189">
        <v>1443.25</v>
      </c>
      <c r="R189" t="s">
        <v>25</v>
      </c>
      <c r="S189">
        <v>1.938700848778798</v>
      </c>
      <c r="T189" t="s">
        <v>78</v>
      </c>
    </row>
    <row r="190" spans="1:20" x14ac:dyDescent="0.25">
      <c r="A190" s="11">
        <v>45125</v>
      </c>
      <c r="B190" t="s">
        <v>58</v>
      </c>
      <c r="C190" t="s">
        <v>59</v>
      </c>
      <c r="D190" t="s">
        <v>44</v>
      </c>
      <c r="E190" t="s">
        <v>38</v>
      </c>
      <c r="F190">
        <v>899</v>
      </c>
      <c r="G190">
        <v>5</v>
      </c>
      <c r="H190">
        <v>4495</v>
      </c>
      <c r="I190" t="s">
        <v>21</v>
      </c>
      <c r="J190" t="s">
        <v>22</v>
      </c>
      <c r="K190" t="s">
        <v>41</v>
      </c>
      <c r="L190">
        <v>3056.72</v>
      </c>
      <c r="M190">
        <v>32</v>
      </c>
      <c r="N190">
        <v>2024</v>
      </c>
      <c r="O190">
        <v>3</v>
      </c>
      <c r="P190" t="s">
        <v>69</v>
      </c>
      <c r="Q190">
        <v>1438.28</v>
      </c>
      <c r="R190" t="s">
        <v>25</v>
      </c>
      <c r="S190">
        <v>2.1252607280918876</v>
      </c>
      <c r="T190" t="s">
        <v>78</v>
      </c>
    </row>
    <row r="191" spans="1:20" x14ac:dyDescent="0.25">
      <c r="A191" s="11">
        <v>44932</v>
      </c>
      <c r="B191" t="s">
        <v>17</v>
      </c>
      <c r="C191" t="s">
        <v>18</v>
      </c>
      <c r="D191" t="s">
        <v>19</v>
      </c>
      <c r="E191" t="s">
        <v>20</v>
      </c>
      <c r="F191">
        <v>575</v>
      </c>
      <c r="G191">
        <v>7.42</v>
      </c>
      <c r="H191">
        <v>4266.5</v>
      </c>
      <c r="I191" t="s">
        <v>39</v>
      </c>
      <c r="J191" t="s">
        <v>22</v>
      </c>
      <c r="K191" t="s">
        <v>23</v>
      </c>
      <c r="L191">
        <v>2829.7</v>
      </c>
      <c r="M191">
        <v>33.700000000000003</v>
      </c>
      <c r="N191">
        <v>2023</v>
      </c>
      <c r="O191">
        <v>1</v>
      </c>
      <c r="P191" t="s">
        <v>24</v>
      </c>
      <c r="Q191">
        <v>1436.8</v>
      </c>
      <c r="R191" t="s">
        <v>25</v>
      </c>
      <c r="S191">
        <v>1.969445991091314</v>
      </c>
      <c r="T191" t="s">
        <v>78</v>
      </c>
    </row>
    <row r="192" spans="1:20" x14ac:dyDescent="0.25">
      <c r="A192" s="11">
        <v>44940</v>
      </c>
      <c r="B192" t="s">
        <v>58</v>
      </c>
      <c r="C192" t="s">
        <v>59</v>
      </c>
      <c r="D192" t="s">
        <v>32</v>
      </c>
      <c r="E192" t="s">
        <v>20</v>
      </c>
      <c r="F192">
        <v>701</v>
      </c>
      <c r="G192">
        <v>5.34</v>
      </c>
      <c r="H192">
        <v>3743.34</v>
      </c>
      <c r="I192" t="s">
        <v>57</v>
      </c>
      <c r="J192" t="s">
        <v>40</v>
      </c>
      <c r="K192" t="s">
        <v>41</v>
      </c>
      <c r="L192">
        <v>2314.11</v>
      </c>
      <c r="M192">
        <v>38.200000000000003</v>
      </c>
      <c r="N192">
        <v>2023</v>
      </c>
      <c r="O192">
        <v>1</v>
      </c>
      <c r="P192" t="s">
        <v>24</v>
      </c>
      <c r="Q192">
        <v>1429.23</v>
      </c>
      <c r="R192" t="s">
        <v>25</v>
      </c>
      <c r="S192">
        <v>1.6191305808022503</v>
      </c>
      <c r="T192" t="s">
        <v>78</v>
      </c>
    </row>
    <row r="193" spans="1:20" x14ac:dyDescent="0.25">
      <c r="A193" s="11">
        <v>45061</v>
      </c>
      <c r="B193" t="s">
        <v>35</v>
      </c>
      <c r="C193" t="s">
        <v>36</v>
      </c>
      <c r="D193" t="s">
        <v>19</v>
      </c>
      <c r="E193" t="s">
        <v>20</v>
      </c>
      <c r="F193">
        <v>422</v>
      </c>
      <c r="G193">
        <v>9.07</v>
      </c>
      <c r="H193">
        <v>3827.54</v>
      </c>
      <c r="I193" t="s">
        <v>57</v>
      </c>
      <c r="J193" t="s">
        <v>27</v>
      </c>
      <c r="K193" t="s">
        <v>28</v>
      </c>
      <c r="L193">
        <v>2407.6</v>
      </c>
      <c r="M193">
        <v>37.1</v>
      </c>
      <c r="N193">
        <v>2023</v>
      </c>
      <c r="O193">
        <v>2</v>
      </c>
      <c r="P193" t="s">
        <v>65</v>
      </c>
      <c r="Q193">
        <v>1419.94</v>
      </c>
      <c r="R193" t="s">
        <v>25</v>
      </c>
      <c r="S193">
        <v>1.6955646013211825</v>
      </c>
      <c r="T193" t="s">
        <v>78</v>
      </c>
    </row>
    <row r="194" spans="1:20" x14ac:dyDescent="0.25">
      <c r="A194" s="11">
        <v>44940</v>
      </c>
      <c r="B194" t="s">
        <v>30</v>
      </c>
      <c r="C194" t="s">
        <v>31</v>
      </c>
      <c r="D194" t="s">
        <v>19</v>
      </c>
      <c r="E194" t="s">
        <v>20</v>
      </c>
      <c r="F194">
        <v>944</v>
      </c>
      <c r="G194">
        <v>5.24</v>
      </c>
      <c r="H194">
        <v>4946.5600000000004</v>
      </c>
      <c r="I194" t="s">
        <v>33</v>
      </c>
      <c r="J194" t="s">
        <v>40</v>
      </c>
      <c r="K194" t="s">
        <v>23</v>
      </c>
      <c r="L194">
        <v>3530.4</v>
      </c>
      <c r="M194">
        <v>28.6</v>
      </c>
      <c r="N194">
        <v>2023</v>
      </c>
      <c r="O194">
        <v>1</v>
      </c>
      <c r="P194" t="s">
        <v>24</v>
      </c>
      <c r="Q194">
        <v>1416.16</v>
      </c>
      <c r="R194" t="s">
        <v>25</v>
      </c>
      <c r="S194">
        <v>2.492938650999887</v>
      </c>
      <c r="T194" t="s">
        <v>78</v>
      </c>
    </row>
    <row r="195" spans="1:20" x14ac:dyDescent="0.25">
      <c r="A195" s="11">
        <v>44945</v>
      </c>
      <c r="B195" t="s">
        <v>35</v>
      </c>
      <c r="C195" t="s">
        <v>36</v>
      </c>
      <c r="D195" t="s">
        <v>37</v>
      </c>
      <c r="E195" t="s">
        <v>38</v>
      </c>
      <c r="F195">
        <v>801</v>
      </c>
      <c r="G195">
        <v>9.27</v>
      </c>
      <c r="H195">
        <v>7425.27</v>
      </c>
      <c r="I195" t="s">
        <v>55</v>
      </c>
      <c r="J195" t="s">
        <v>47</v>
      </c>
      <c r="K195" t="s">
        <v>41</v>
      </c>
      <c r="L195">
        <v>6017.7</v>
      </c>
      <c r="M195">
        <v>19</v>
      </c>
      <c r="N195">
        <v>2023</v>
      </c>
      <c r="O195">
        <v>1</v>
      </c>
      <c r="P195" t="s">
        <v>24</v>
      </c>
      <c r="Q195">
        <v>1407.57</v>
      </c>
      <c r="R195" t="s">
        <v>29</v>
      </c>
      <c r="S195">
        <v>4.2752403077644452</v>
      </c>
      <c r="T195" t="s">
        <v>78</v>
      </c>
    </row>
    <row r="196" spans="1:20" x14ac:dyDescent="0.25">
      <c r="A196" s="11">
        <v>44955</v>
      </c>
      <c r="B196" t="s">
        <v>17</v>
      </c>
      <c r="C196" t="s">
        <v>18</v>
      </c>
      <c r="D196" t="s">
        <v>45</v>
      </c>
      <c r="E196" t="s">
        <v>20</v>
      </c>
      <c r="F196">
        <v>892</v>
      </c>
      <c r="G196">
        <v>6.11</v>
      </c>
      <c r="H196">
        <v>5450.12</v>
      </c>
      <c r="I196" t="s">
        <v>55</v>
      </c>
      <c r="J196" t="s">
        <v>47</v>
      </c>
      <c r="K196" t="s">
        <v>28</v>
      </c>
      <c r="L196">
        <v>4045.13</v>
      </c>
      <c r="M196">
        <v>25.8</v>
      </c>
      <c r="N196">
        <v>2023</v>
      </c>
      <c r="O196">
        <v>1</v>
      </c>
      <c r="P196" t="s">
        <v>24</v>
      </c>
      <c r="Q196">
        <v>1404.99</v>
      </c>
      <c r="R196" t="s">
        <v>25</v>
      </c>
      <c r="S196">
        <v>2.8791165773421876</v>
      </c>
      <c r="T196" t="s">
        <v>78</v>
      </c>
    </row>
    <row r="197" spans="1:20" x14ac:dyDescent="0.25">
      <c r="A197" s="11">
        <v>45132</v>
      </c>
      <c r="B197" t="s">
        <v>17</v>
      </c>
      <c r="C197" t="s">
        <v>18</v>
      </c>
      <c r="D197" t="s">
        <v>49</v>
      </c>
      <c r="E197" t="s">
        <v>50</v>
      </c>
      <c r="F197">
        <v>523</v>
      </c>
      <c r="G197">
        <v>8.6</v>
      </c>
      <c r="H197">
        <v>4497.8</v>
      </c>
      <c r="I197" t="s">
        <v>33</v>
      </c>
      <c r="J197" t="s">
        <v>40</v>
      </c>
      <c r="K197" t="s">
        <v>41</v>
      </c>
      <c r="L197">
        <v>3094.23</v>
      </c>
      <c r="M197">
        <v>31.2</v>
      </c>
      <c r="N197">
        <v>2025</v>
      </c>
      <c r="O197">
        <v>3</v>
      </c>
      <c r="P197" t="s">
        <v>66</v>
      </c>
      <c r="Q197">
        <v>1403.57</v>
      </c>
      <c r="R197" t="s">
        <v>25</v>
      </c>
      <c r="S197">
        <v>2.2045427018246331</v>
      </c>
      <c r="T197" t="s">
        <v>78</v>
      </c>
    </row>
    <row r="198" spans="1:20" x14ac:dyDescent="0.25">
      <c r="A198" s="11">
        <v>44989</v>
      </c>
      <c r="B198" t="s">
        <v>58</v>
      </c>
      <c r="C198" t="s">
        <v>59</v>
      </c>
      <c r="D198" t="s">
        <v>44</v>
      </c>
      <c r="E198" t="s">
        <v>38</v>
      </c>
      <c r="F198">
        <v>635</v>
      </c>
      <c r="G198">
        <v>8.93</v>
      </c>
      <c r="H198">
        <v>5670.55</v>
      </c>
      <c r="I198" t="s">
        <v>54</v>
      </c>
      <c r="J198" t="s">
        <v>47</v>
      </c>
      <c r="K198" t="s">
        <v>23</v>
      </c>
      <c r="L198">
        <v>4267.22</v>
      </c>
      <c r="M198">
        <v>24.7</v>
      </c>
      <c r="N198">
        <v>2023</v>
      </c>
      <c r="O198">
        <v>1</v>
      </c>
      <c r="P198" t="s">
        <v>61</v>
      </c>
      <c r="Q198">
        <v>1403.33</v>
      </c>
      <c r="R198" t="s">
        <v>29</v>
      </c>
      <c r="S198">
        <v>3.0407815695524221</v>
      </c>
      <c r="T198" t="s">
        <v>78</v>
      </c>
    </row>
    <row r="199" spans="1:20" x14ac:dyDescent="0.25">
      <c r="A199" s="11">
        <v>45022</v>
      </c>
      <c r="B199" t="s">
        <v>51</v>
      </c>
      <c r="C199" t="s">
        <v>52</v>
      </c>
      <c r="D199" t="s">
        <v>53</v>
      </c>
      <c r="E199" t="s">
        <v>50</v>
      </c>
      <c r="F199">
        <v>658</v>
      </c>
      <c r="G199">
        <v>8.23</v>
      </c>
      <c r="H199">
        <v>5415.34</v>
      </c>
      <c r="I199" t="s">
        <v>39</v>
      </c>
      <c r="J199" t="s">
        <v>34</v>
      </c>
      <c r="K199" t="s">
        <v>28</v>
      </c>
      <c r="L199">
        <v>4022.67</v>
      </c>
      <c r="M199">
        <v>25.7</v>
      </c>
      <c r="N199">
        <v>2023</v>
      </c>
      <c r="O199">
        <v>2</v>
      </c>
      <c r="P199" t="s">
        <v>63</v>
      </c>
      <c r="Q199">
        <v>1392.67</v>
      </c>
      <c r="R199" t="s">
        <v>25</v>
      </c>
      <c r="S199">
        <v>2.8884588596006231</v>
      </c>
      <c r="T199" t="s">
        <v>78</v>
      </c>
    </row>
    <row r="200" spans="1:20" x14ac:dyDescent="0.25">
      <c r="A200" s="11">
        <v>45039</v>
      </c>
      <c r="B200" t="s">
        <v>58</v>
      </c>
      <c r="C200" t="s">
        <v>59</v>
      </c>
      <c r="D200" t="s">
        <v>45</v>
      </c>
      <c r="E200" t="s">
        <v>20</v>
      </c>
      <c r="F200">
        <v>941</v>
      </c>
      <c r="G200">
        <v>7.38</v>
      </c>
      <c r="H200">
        <v>6944.58</v>
      </c>
      <c r="I200" t="s">
        <v>21</v>
      </c>
      <c r="J200" t="s">
        <v>27</v>
      </c>
      <c r="K200" t="s">
        <v>41</v>
      </c>
      <c r="L200">
        <v>5552.88</v>
      </c>
      <c r="M200">
        <v>20</v>
      </c>
      <c r="N200">
        <v>2023</v>
      </c>
      <c r="O200">
        <v>2</v>
      </c>
      <c r="P200" t="s">
        <v>63</v>
      </c>
      <c r="Q200">
        <v>1391.7</v>
      </c>
      <c r="R200" t="s">
        <v>29</v>
      </c>
      <c r="S200">
        <v>3.9899978443630091</v>
      </c>
      <c r="T200" t="s">
        <v>78</v>
      </c>
    </row>
    <row r="201" spans="1:20" x14ac:dyDescent="0.25">
      <c r="A201" s="11">
        <v>44932</v>
      </c>
      <c r="B201" t="s">
        <v>51</v>
      </c>
      <c r="C201" t="s">
        <v>52</v>
      </c>
      <c r="D201" t="s">
        <v>44</v>
      </c>
      <c r="E201" t="s">
        <v>38</v>
      </c>
      <c r="F201">
        <v>552</v>
      </c>
      <c r="G201">
        <v>7.27</v>
      </c>
      <c r="H201">
        <v>4013.04</v>
      </c>
      <c r="I201" t="s">
        <v>21</v>
      </c>
      <c r="J201" t="s">
        <v>40</v>
      </c>
      <c r="K201" t="s">
        <v>23</v>
      </c>
      <c r="L201">
        <v>2623.37</v>
      </c>
      <c r="M201">
        <v>34.6</v>
      </c>
      <c r="N201">
        <v>2023</v>
      </c>
      <c r="O201">
        <v>1</v>
      </c>
      <c r="P201" t="s">
        <v>24</v>
      </c>
      <c r="Q201">
        <v>1389.67</v>
      </c>
      <c r="R201" t="s">
        <v>25</v>
      </c>
      <c r="S201">
        <v>1.8877647211208415</v>
      </c>
      <c r="T201" t="s">
        <v>78</v>
      </c>
    </row>
    <row r="202" spans="1:20" x14ac:dyDescent="0.25">
      <c r="A202" s="11">
        <v>44993</v>
      </c>
      <c r="B202" t="s">
        <v>30</v>
      </c>
      <c r="C202" t="s">
        <v>31</v>
      </c>
      <c r="D202" t="s">
        <v>48</v>
      </c>
      <c r="E202" t="s">
        <v>38</v>
      </c>
      <c r="F202">
        <v>853</v>
      </c>
      <c r="G202">
        <v>6.36</v>
      </c>
      <c r="H202">
        <v>5425.08</v>
      </c>
      <c r="I202" t="s">
        <v>55</v>
      </c>
      <c r="J202" t="s">
        <v>34</v>
      </c>
      <c r="K202" t="s">
        <v>28</v>
      </c>
      <c r="L202">
        <v>4042.86</v>
      </c>
      <c r="M202">
        <v>25.5</v>
      </c>
      <c r="N202">
        <v>2023</v>
      </c>
      <c r="O202">
        <v>1</v>
      </c>
      <c r="P202" t="s">
        <v>61</v>
      </c>
      <c r="Q202">
        <v>1382.22</v>
      </c>
      <c r="R202" t="s">
        <v>25</v>
      </c>
      <c r="S202">
        <v>2.9249034162434344</v>
      </c>
      <c r="T202" t="s">
        <v>78</v>
      </c>
    </row>
    <row r="203" spans="1:20" x14ac:dyDescent="0.25">
      <c r="A203" s="11">
        <v>45000</v>
      </c>
      <c r="B203" t="s">
        <v>17</v>
      </c>
      <c r="C203" t="s">
        <v>18</v>
      </c>
      <c r="D203" t="s">
        <v>49</v>
      </c>
      <c r="E203" t="s">
        <v>50</v>
      </c>
      <c r="F203">
        <v>908</v>
      </c>
      <c r="G203">
        <v>9.6999999999999993</v>
      </c>
      <c r="H203">
        <v>8807.6</v>
      </c>
      <c r="I203" t="s">
        <v>57</v>
      </c>
      <c r="J203" t="s">
        <v>27</v>
      </c>
      <c r="K203" t="s">
        <v>41</v>
      </c>
      <c r="L203">
        <v>7433.41</v>
      </c>
      <c r="M203">
        <v>15.6</v>
      </c>
      <c r="N203">
        <v>2023</v>
      </c>
      <c r="O203">
        <v>1</v>
      </c>
      <c r="P203" t="s">
        <v>61</v>
      </c>
      <c r="Q203">
        <v>1374.19</v>
      </c>
      <c r="R203" t="s">
        <v>29</v>
      </c>
      <c r="S203">
        <v>5.4093029348197845</v>
      </c>
      <c r="T203" t="s">
        <v>78</v>
      </c>
    </row>
    <row r="204" spans="1:20" x14ac:dyDescent="0.25">
      <c r="A204" s="11">
        <v>44937</v>
      </c>
      <c r="B204" t="s">
        <v>42</v>
      </c>
      <c r="C204" t="s">
        <v>43</v>
      </c>
      <c r="D204" t="s">
        <v>37</v>
      </c>
      <c r="E204" t="s">
        <v>38</v>
      </c>
      <c r="F204">
        <v>446</v>
      </c>
      <c r="G204">
        <v>8.8800000000000008</v>
      </c>
      <c r="H204">
        <v>3960.48</v>
      </c>
      <c r="I204" t="s">
        <v>21</v>
      </c>
      <c r="J204" t="s">
        <v>27</v>
      </c>
      <c r="K204" t="s">
        <v>41</v>
      </c>
      <c r="L204">
        <v>2589.58</v>
      </c>
      <c r="M204">
        <v>34.6</v>
      </c>
      <c r="N204">
        <v>2023</v>
      </c>
      <c r="O204">
        <v>1</v>
      </c>
      <c r="P204" t="s">
        <v>24</v>
      </c>
      <c r="Q204">
        <v>1370.9</v>
      </c>
      <c r="R204" t="s">
        <v>25</v>
      </c>
      <c r="S204">
        <v>1.8889634546648186</v>
      </c>
      <c r="T204" t="s">
        <v>78</v>
      </c>
    </row>
    <row r="205" spans="1:20" x14ac:dyDescent="0.25">
      <c r="A205" s="11">
        <v>44989</v>
      </c>
      <c r="B205" t="s">
        <v>17</v>
      </c>
      <c r="C205" t="s">
        <v>18</v>
      </c>
      <c r="D205" t="s">
        <v>49</v>
      </c>
      <c r="E205" t="s">
        <v>50</v>
      </c>
      <c r="F205">
        <v>356</v>
      </c>
      <c r="G205">
        <v>11.6</v>
      </c>
      <c r="H205">
        <v>4129.6000000000004</v>
      </c>
      <c r="I205" t="s">
        <v>54</v>
      </c>
      <c r="J205" t="s">
        <v>47</v>
      </c>
      <c r="K205" t="s">
        <v>28</v>
      </c>
      <c r="L205">
        <v>2763.32</v>
      </c>
      <c r="M205">
        <v>33.1</v>
      </c>
      <c r="N205">
        <v>2023</v>
      </c>
      <c r="O205">
        <v>1</v>
      </c>
      <c r="P205" t="s">
        <v>61</v>
      </c>
      <c r="Q205">
        <v>1366.28</v>
      </c>
      <c r="R205" t="s">
        <v>25</v>
      </c>
      <c r="S205">
        <v>2.0225136867991922</v>
      </c>
      <c r="T205" t="s">
        <v>78</v>
      </c>
    </row>
    <row r="206" spans="1:20" x14ac:dyDescent="0.25">
      <c r="A206" s="11">
        <v>45111</v>
      </c>
      <c r="B206" t="s">
        <v>51</v>
      </c>
      <c r="C206" t="s">
        <v>52</v>
      </c>
      <c r="D206" t="s">
        <v>19</v>
      </c>
      <c r="E206" t="s">
        <v>20</v>
      </c>
      <c r="F206">
        <v>339</v>
      </c>
      <c r="G206">
        <v>10.119999999999999</v>
      </c>
      <c r="H206">
        <v>3430.68</v>
      </c>
      <c r="I206" t="s">
        <v>54</v>
      </c>
      <c r="J206" t="s">
        <v>22</v>
      </c>
      <c r="K206" t="s">
        <v>28</v>
      </c>
      <c r="L206">
        <v>2066.27</v>
      </c>
      <c r="M206">
        <v>39.799999999999997</v>
      </c>
      <c r="N206">
        <v>2024</v>
      </c>
      <c r="O206">
        <v>3</v>
      </c>
      <c r="P206" t="s">
        <v>62</v>
      </c>
      <c r="Q206">
        <v>1364.41</v>
      </c>
      <c r="R206" t="s">
        <v>25</v>
      </c>
      <c r="S206">
        <v>1.5144054939497658</v>
      </c>
      <c r="T206" t="s">
        <v>78</v>
      </c>
    </row>
    <row r="207" spans="1:20" x14ac:dyDescent="0.25">
      <c r="A207" s="11">
        <v>45048</v>
      </c>
      <c r="B207" t="s">
        <v>42</v>
      </c>
      <c r="C207" t="s">
        <v>43</v>
      </c>
      <c r="D207" t="s">
        <v>19</v>
      </c>
      <c r="E207" t="s">
        <v>20</v>
      </c>
      <c r="F207">
        <v>467</v>
      </c>
      <c r="G207">
        <v>7.56</v>
      </c>
      <c r="H207">
        <v>3530.52</v>
      </c>
      <c r="I207" t="s">
        <v>21</v>
      </c>
      <c r="J207" t="s">
        <v>34</v>
      </c>
      <c r="K207" t="s">
        <v>28</v>
      </c>
      <c r="L207">
        <v>2167.0100000000002</v>
      </c>
      <c r="M207">
        <v>38.6</v>
      </c>
      <c r="N207">
        <v>2023</v>
      </c>
      <c r="O207">
        <v>2</v>
      </c>
      <c r="P207" t="s">
        <v>64</v>
      </c>
      <c r="Q207">
        <v>1363.51</v>
      </c>
      <c r="R207" t="s">
        <v>25</v>
      </c>
      <c r="S207">
        <v>1.5892879406825033</v>
      </c>
      <c r="T207" t="s">
        <v>78</v>
      </c>
    </row>
    <row r="208" spans="1:20" x14ac:dyDescent="0.25">
      <c r="A208" s="11">
        <v>44948</v>
      </c>
      <c r="B208" t="s">
        <v>30</v>
      </c>
      <c r="C208" t="s">
        <v>31</v>
      </c>
      <c r="D208" t="s">
        <v>48</v>
      </c>
      <c r="E208" t="s">
        <v>38</v>
      </c>
      <c r="F208">
        <v>343</v>
      </c>
      <c r="G208">
        <v>10.57</v>
      </c>
      <c r="H208">
        <v>3625.51</v>
      </c>
      <c r="I208" t="s">
        <v>57</v>
      </c>
      <c r="J208" t="s">
        <v>34</v>
      </c>
      <c r="K208" t="s">
        <v>41</v>
      </c>
      <c r="L208">
        <v>2270.0300000000002</v>
      </c>
      <c r="M208">
        <v>37.4</v>
      </c>
      <c r="N208">
        <v>2023</v>
      </c>
      <c r="O208">
        <v>1</v>
      </c>
      <c r="P208" t="s">
        <v>24</v>
      </c>
      <c r="Q208">
        <v>1355.48</v>
      </c>
      <c r="R208" t="s">
        <v>25</v>
      </c>
      <c r="S208">
        <v>1.6747056393307169</v>
      </c>
      <c r="T208" t="s">
        <v>78</v>
      </c>
    </row>
    <row r="209" spans="1:20" x14ac:dyDescent="0.25">
      <c r="A209" s="11">
        <v>45025</v>
      </c>
      <c r="B209" t="s">
        <v>51</v>
      </c>
      <c r="C209" t="s">
        <v>52</v>
      </c>
      <c r="D209" t="s">
        <v>45</v>
      </c>
      <c r="E209" t="s">
        <v>20</v>
      </c>
      <c r="F209">
        <v>743</v>
      </c>
      <c r="G209">
        <v>6.22</v>
      </c>
      <c r="H209">
        <v>4621.46</v>
      </c>
      <c r="I209" t="s">
        <v>54</v>
      </c>
      <c r="J209" t="s">
        <v>40</v>
      </c>
      <c r="K209" t="s">
        <v>28</v>
      </c>
      <c r="L209">
        <v>3275.31</v>
      </c>
      <c r="M209">
        <v>29.1</v>
      </c>
      <c r="N209">
        <v>2023</v>
      </c>
      <c r="O209">
        <v>2</v>
      </c>
      <c r="P209" t="s">
        <v>63</v>
      </c>
      <c r="Q209">
        <v>1346.15</v>
      </c>
      <c r="R209" t="s">
        <v>25</v>
      </c>
      <c r="S209">
        <v>2.4330943802696576</v>
      </c>
      <c r="T209" t="s">
        <v>78</v>
      </c>
    </row>
    <row r="210" spans="1:20" x14ac:dyDescent="0.25">
      <c r="A210" s="11">
        <v>44971</v>
      </c>
      <c r="B210" t="s">
        <v>58</v>
      </c>
      <c r="C210" t="s">
        <v>59</v>
      </c>
      <c r="D210" t="s">
        <v>45</v>
      </c>
      <c r="E210" t="s">
        <v>20</v>
      </c>
      <c r="F210">
        <v>947</v>
      </c>
      <c r="G210">
        <v>5.64</v>
      </c>
      <c r="H210">
        <v>5341.08</v>
      </c>
      <c r="I210" t="s">
        <v>33</v>
      </c>
      <c r="J210" t="s">
        <v>47</v>
      </c>
      <c r="K210" t="s">
        <v>28</v>
      </c>
      <c r="L210">
        <v>3998.35</v>
      </c>
      <c r="M210">
        <v>25.1</v>
      </c>
      <c r="N210">
        <v>2023</v>
      </c>
      <c r="O210">
        <v>1</v>
      </c>
      <c r="P210" t="s">
        <v>60</v>
      </c>
      <c r="Q210">
        <v>1342.73</v>
      </c>
      <c r="R210" t="s">
        <v>25</v>
      </c>
      <c r="S210">
        <v>2.9777766192756547</v>
      </c>
      <c r="T210" t="s">
        <v>78</v>
      </c>
    </row>
    <row r="211" spans="1:20" x14ac:dyDescent="0.25">
      <c r="A211" s="11">
        <v>45038</v>
      </c>
      <c r="B211" t="s">
        <v>42</v>
      </c>
      <c r="C211" t="s">
        <v>43</v>
      </c>
      <c r="D211" t="s">
        <v>44</v>
      </c>
      <c r="E211" t="s">
        <v>38</v>
      </c>
      <c r="F211">
        <v>370</v>
      </c>
      <c r="G211">
        <v>11.59</v>
      </c>
      <c r="H211">
        <v>4288.3</v>
      </c>
      <c r="I211" t="s">
        <v>39</v>
      </c>
      <c r="J211" t="s">
        <v>47</v>
      </c>
      <c r="K211" t="s">
        <v>23</v>
      </c>
      <c r="L211">
        <v>2945.61</v>
      </c>
      <c r="M211">
        <v>31.3</v>
      </c>
      <c r="N211">
        <v>2023</v>
      </c>
      <c r="O211">
        <v>2</v>
      </c>
      <c r="P211" t="s">
        <v>63</v>
      </c>
      <c r="Q211">
        <v>1342.69</v>
      </c>
      <c r="R211" t="s">
        <v>25</v>
      </c>
      <c r="S211">
        <v>2.1938124213332935</v>
      </c>
      <c r="T211" t="s">
        <v>78</v>
      </c>
    </row>
    <row r="212" spans="1:20" x14ac:dyDescent="0.25">
      <c r="A212" s="11">
        <v>45073</v>
      </c>
      <c r="B212" t="s">
        <v>35</v>
      </c>
      <c r="C212" t="s">
        <v>36</v>
      </c>
      <c r="D212" t="s">
        <v>37</v>
      </c>
      <c r="E212" t="s">
        <v>38</v>
      </c>
      <c r="F212">
        <v>935</v>
      </c>
      <c r="G212">
        <v>8.16</v>
      </c>
      <c r="H212">
        <v>7629.6</v>
      </c>
      <c r="I212" t="s">
        <v>26</v>
      </c>
      <c r="J212" t="s">
        <v>56</v>
      </c>
      <c r="K212" t="s">
        <v>23</v>
      </c>
      <c r="L212">
        <v>6288.94</v>
      </c>
      <c r="M212">
        <v>17.600000000000001</v>
      </c>
      <c r="N212">
        <v>2023</v>
      </c>
      <c r="O212">
        <v>2</v>
      </c>
      <c r="P212" t="s">
        <v>67</v>
      </c>
      <c r="Q212">
        <v>1340.66</v>
      </c>
      <c r="R212" t="s">
        <v>29</v>
      </c>
      <c r="S212">
        <v>4.6909283487237623</v>
      </c>
      <c r="T212" t="s">
        <v>78</v>
      </c>
    </row>
    <row r="213" spans="1:20" x14ac:dyDescent="0.25">
      <c r="A213" s="11">
        <v>45088</v>
      </c>
      <c r="B213" t="s">
        <v>58</v>
      </c>
      <c r="C213" t="s">
        <v>59</v>
      </c>
      <c r="D213" t="s">
        <v>19</v>
      </c>
      <c r="E213" t="s">
        <v>20</v>
      </c>
      <c r="F213">
        <v>630</v>
      </c>
      <c r="G213">
        <v>11.42</v>
      </c>
      <c r="H213">
        <v>7194.6</v>
      </c>
      <c r="I213" t="s">
        <v>55</v>
      </c>
      <c r="J213" t="s">
        <v>34</v>
      </c>
      <c r="K213" t="s">
        <v>28</v>
      </c>
      <c r="L213">
        <v>5854.62</v>
      </c>
      <c r="M213">
        <v>18.600000000000001</v>
      </c>
      <c r="N213">
        <v>2023</v>
      </c>
      <c r="O213">
        <v>2</v>
      </c>
      <c r="P213" t="s">
        <v>69</v>
      </c>
      <c r="Q213">
        <v>1339.98</v>
      </c>
      <c r="R213" t="s">
        <v>29</v>
      </c>
      <c r="S213">
        <v>4.3691846146957412</v>
      </c>
      <c r="T213" t="s">
        <v>78</v>
      </c>
    </row>
    <row r="214" spans="1:20" x14ac:dyDescent="0.25">
      <c r="A214" s="11">
        <v>45064</v>
      </c>
      <c r="B214" t="s">
        <v>17</v>
      </c>
      <c r="C214" t="s">
        <v>18</v>
      </c>
      <c r="D214" t="s">
        <v>19</v>
      </c>
      <c r="E214" t="s">
        <v>20</v>
      </c>
      <c r="F214">
        <v>568</v>
      </c>
      <c r="G214">
        <v>9.24</v>
      </c>
      <c r="H214">
        <v>5248.32</v>
      </c>
      <c r="I214" t="s">
        <v>55</v>
      </c>
      <c r="J214" t="s">
        <v>22</v>
      </c>
      <c r="K214" t="s">
        <v>28</v>
      </c>
      <c r="L214">
        <v>3917.27</v>
      </c>
      <c r="M214">
        <v>25.4</v>
      </c>
      <c r="N214">
        <v>2023</v>
      </c>
      <c r="O214">
        <v>2</v>
      </c>
      <c r="P214" t="s">
        <v>65</v>
      </c>
      <c r="Q214">
        <v>1331.05</v>
      </c>
      <c r="R214" t="s">
        <v>25</v>
      </c>
      <c r="S214">
        <v>2.9429923744412307</v>
      </c>
      <c r="T214" t="s">
        <v>78</v>
      </c>
    </row>
    <row r="215" spans="1:20" x14ac:dyDescent="0.25">
      <c r="A215" s="11">
        <v>44960</v>
      </c>
      <c r="B215" t="s">
        <v>51</v>
      </c>
      <c r="C215" t="s">
        <v>52</v>
      </c>
      <c r="D215" t="s">
        <v>48</v>
      </c>
      <c r="E215" t="s">
        <v>38</v>
      </c>
      <c r="F215">
        <v>852</v>
      </c>
      <c r="G215">
        <v>8.4700000000000006</v>
      </c>
      <c r="H215">
        <v>7216.44</v>
      </c>
      <c r="I215" t="s">
        <v>26</v>
      </c>
      <c r="J215" t="s">
        <v>34</v>
      </c>
      <c r="K215" t="s">
        <v>28</v>
      </c>
      <c r="L215">
        <v>5887.04</v>
      </c>
      <c r="M215">
        <v>18.399999999999999</v>
      </c>
      <c r="N215">
        <v>2023</v>
      </c>
      <c r="O215">
        <v>1</v>
      </c>
      <c r="P215" t="s">
        <v>60</v>
      </c>
      <c r="Q215">
        <v>1329.4</v>
      </c>
      <c r="R215" t="s">
        <v>29</v>
      </c>
      <c r="S215">
        <v>4.4283436136602976</v>
      </c>
      <c r="T215" t="s">
        <v>78</v>
      </c>
    </row>
    <row r="216" spans="1:20" x14ac:dyDescent="0.25">
      <c r="A216" s="11">
        <v>45044</v>
      </c>
      <c r="B216" t="s">
        <v>51</v>
      </c>
      <c r="C216" t="s">
        <v>52</v>
      </c>
      <c r="D216" t="s">
        <v>19</v>
      </c>
      <c r="E216" t="s">
        <v>20</v>
      </c>
      <c r="F216">
        <v>400</v>
      </c>
      <c r="G216">
        <v>10.039999999999999</v>
      </c>
      <c r="H216">
        <v>4016</v>
      </c>
      <c r="I216" t="s">
        <v>54</v>
      </c>
      <c r="J216" t="s">
        <v>34</v>
      </c>
      <c r="K216" t="s">
        <v>23</v>
      </c>
      <c r="L216">
        <v>2693.77</v>
      </c>
      <c r="M216">
        <v>32.9</v>
      </c>
      <c r="N216">
        <v>2023</v>
      </c>
      <c r="O216">
        <v>2</v>
      </c>
      <c r="P216" t="s">
        <v>64</v>
      </c>
      <c r="Q216">
        <v>1322.23</v>
      </c>
      <c r="R216" t="s">
        <v>25</v>
      </c>
      <c r="S216">
        <v>2.0372930579399955</v>
      </c>
      <c r="T216" t="s">
        <v>78</v>
      </c>
    </row>
    <row r="217" spans="1:20" x14ac:dyDescent="0.25">
      <c r="A217" s="11">
        <v>44994</v>
      </c>
      <c r="B217" t="s">
        <v>42</v>
      </c>
      <c r="C217" t="s">
        <v>43</v>
      </c>
      <c r="D217" t="s">
        <v>48</v>
      </c>
      <c r="E217" t="s">
        <v>38</v>
      </c>
      <c r="F217">
        <v>469</v>
      </c>
      <c r="G217">
        <v>10.33</v>
      </c>
      <c r="H217">
        <v>4844.7700000000004</v>
      </c>
      <c r="I217" t="s">
        <v>26</v>
      </c>
      <c r="J217" t="s">
        <v>22</v>
      </c>
      <c r="K217" t="s">
        <v>28</v>
      </c>
      <c r="L217">
        <v>3522.78</v>
      </c>
      <c r="M217">
        <v>27.3</v>
      </c>
      <c r="N217">
        <v>2023</v>
      </c>
      <c r="O217">
        <v>1</v>
      </c>
      <c r="P217" t="s">
        <v>61</v>
      </c>
      <c r="Q217">
        <v>1321.99</v>
      </c>
      <c r="R217" t="s">
        <v>25</v>
      </c>
      <c r="S217">
        <v>2.6647554066218353</v>
      </c>
      <c r="T217" t="s">
        <v>78</v>
      </c>
    </row>
    <row r="218" spans="1:20" x14ac:dyDescent="0.25">
      <c r="A218" s="11">
        <v>45086</v>
      </c>
      <c r="B218" t="s">
        <v>17</v>
      </c>
      <c r="C218" t="s">
        <v>18</v>
      </c>
      <c r="D218" t="s">
        <v>37</v>
      </c>
      <c r="E218" t="s">
        <v>38</v>
      </c>
      <c r="F218">
        <v>950</v>
      </c>
      <c r="G218">
        <v>5.69</v>
      </c>
      <c r="H218">
        <v>5405.5</v>
      </c>
      <c r="I218" t="s">
        <v>57</v>
      </c>
      <c r="J218" t="s">
        <v>47</v>
      </c>
      <c r="K218" t="s">
        <v>23</v>
      </c>
      <c r="L218">
        <v>4084.2</v>
      </c>
      <c r="M218">
        <v>24.4</v>
      </c>
      <c r="N218">
        <v>2023</v>
      </c>
      <c r="O218">
        <v>2</v>
      </c>
      <c r="P218" t="s">
        <v>69</v>
      </c>
      <c r="Q218">
        <v>1321.3</v>
      </c>
      <c r="R218" t="s">
        <v>29</v>
      </c>
      <c r="S218">
        <v>3.0910466964353289</v>
      </c>
      <c r="T218" t="s">
        <v>78</v>
      </c>
    </row>
    <row r="219" spans="1:20" x14ac:dyDescent="0.25">
      <c r="A219" s="11">
        <v>44937</v>
      </c>
      <c r="B219" t="s">
        <v>51</v>
      </c>
      <c r="C219" t="s">
        <v>52</v>
      </c>
      <c r="D219" t="s">
        <v>32</v>
      </c>
      <c r="E219" t="s">
        <v>20</v>
      </c>
      <c r="F219">
        <v>987</v>
      </c>
      <c r="G219">
        <v>3.58</v>
      </c>
      <c r="H219">
        <v>3533.46</v>
      </c>
      <c r="I219" t="s">
        <v>57</v>
      </c>
      <c r="J219" t="s">
        <v>34</v>
      </c>
      <c r="K219" t="s">
        <v>28</v>
      </c>
      <c r="L219">
        <v>2215.62</v>
      </c>
      <c r="M219">
        <v>37.299999999999997</v>
      </c>
      <c r="N219">
        <v>2023</v>
      </c>
      <c r="O219">
        <v>1</v>
      </c>
      <c r="P219" t="s">
        <v>24</v>
      </c>
      <c r="Q219">
        <v>1317.84</v>
      </c>
      <c r="R219" t="s">
        <v>25</v>
      </c>
      <c r="S219">
        <v>1.6812511382261883</v>
      </c>
      <c r="T219" t="s">
        <v>78</v>
      </c>
    </row>
    <row r="220" spans="1:20" x14ac:dyDescent="0.25">
      <c r="A220" s="11">
        <v>45009</v>
      </c>
      <c r="B220" t="s">
        <v>58</v>
      </c>
      <c r="C220" t="s">
        <v>59</v>
      </c>
      <c r="D220" t="s">
        <v>44</v>
      </c>
      <c r="E220" t="s">
        <v>38</v>
      </c>
      <c r="F220">
        <v>873</v>
      </c>
      <c r="G220">
        <v>3.95</v>
      </c>
      <c r="H220">
        <v>3448.35</v>
      </c>
      <c r="I220" t="s">
        <v>46</v>
      </c>
      <c r="J220" t="s">
        <v>27</v>
      </c>
      <c r="K220" t="s">
        <v>28</v>
      </c>
      <c r="L220">
        <v>2131.6999999999998</v>
      </c>
      <c r="M220">
        <v>38.200000000000003</v>
      </c>
      <c r="N220">
        <v>2023</v>
      </c>
      <c r="O220">
        <v>1</v>
      </c>
      <c r="P220" t="s">
        <v>62</v>
      </c>
      <c r="Q220">
        <v>1316.65</v>
      </c>
      <c r="R220" t="s">
        <v>25</v>
      </c>
      <c r="S220">
        <v>1.6190331523183836</v>
      </c>
      <c r="T220" t="s">
        <v>78</v>
      </c>
    </row>
    <row r="221" spans="1:20" x14ac:dyDescent="0.25">
      <c r="A221" s="11">
        <v>45065</v>
      </c>
      <c r="B221" t="s">
        <v>51</v>
      </c>
      <c r="C221" t="s">
        <v>52</v>
      </c>
      <c r="D221" t="s">
        <v>53</v>
      </c>
      <c r="E221" t="s">
        <v>50</v>
      </c>
      <c r="F221">
        <v>625</v>
      </c>
      <c r="G221">
        <v>6.04</v>
      </c>
      <c r="H221">
        <v>3775</v>
      </c>
      <c r="I221" t="s">
        <v>26</v>
      </c>
      <c r="J221" t="s">
        <v>47</v>
      </c>
      <c r="K221" t="s">
        <v>41</v>
      </c>
      <c r="L221">
        <v>2461.83</v>
      </c>
      <c r="M221">
        <v>34.799999999999997</v>
      </c>
      <c r="N221">
        <v>2023</v>
      </c>
      <c r="O221">
        <v>2</v>
      </c>
      <c r="P221" t="s">
        <v>66</v>
      </c>
      <c r="Q221">
        <v>1313.17</v>
      </c>
      <c r="R221" t="s">
        <v>25</v>
      </c>
      <c r="S221">
        <v>1.8747229985455043</v>
      </c>
      <c r="T221" t="s">
        <v>78</v>
      </c>
    </row>
    <row r="222" spans="1:20" x14ac:dyDescent="0.25">
      <c r="A222" s="11">
        <v>44947</v>
      </c>
      <c r="B222" t="s">
        <v>58</v>
      </c>
      <c r="C222" t="s">
        <v>59</v>
      </c>
      <c r="D222" t="s">
        <v>45</v>
      </c>
      <c r="E222" t="s">
        <v>20</v>
      </c>
      <c r="F222">
        <v>495</v>
      </c>
      <c r="G222">
        <v>7.67</v>
      </c>
      <c r="H222">
        <v>3796.65</v>
      </c>
      <c r="I222" t="s">
        <v>57</v>
      </c>
      <c r="J222" t="s">
        <v>27</v>
      </c>
      <c r="K222" t="s">
        <v>41</v>
      </c>
      <c r="L222">
        <v>2484.5100000000002</v>
      </c>
      <c r="M222">
        <v>34.6</v>
      </c>
      <c r="N222">
        <v>2023</v>
      </c>
      <c r="O222">
        <v>1</v>
      </c>
      <c r="P222" t="s">
        <v>24</v>
      </c>
      <c r="Q222">
        <v>1312.14</v>
      </c>
      <c r="R222" t="s">
        <v>25</v>
      </c>
      <c r="S222">
        <v>1.8934793543371897</v>
      </c>
      <c r="T222" t="s">
        <v>78</v>
      </c>
    </row>
    <row r="223" spans="1:20" x14ac:dyDescent="0.25">
      <c r="A223" s="11">
        <v>45072</v>
      </c>
      <c r="B223" t="s">
        <v>17</v>
      </c>
      <c r="C223" t="s">
        <v>18</v>
      </c>
      <c r="D223" t="s">
        <v>19</v>
      </c>
      <c r="E223" t="s">
        <v>20</v>
      </c>
      <c r="F223">
        <v>551</v>
      </c>
      <c r="G223">
        <v>7.74</v>
      </c>
      <c r="H223">
        <v>4264.74</v>
      </c>
      <c r="I223" t="s">
        <v>46</v>
      </c>
      <c r="J223" t="s">
        <v>47</v>
      </c>
      <c r="K223" t="s">
        <v>41</v>
      </c>
      <c r="L223">
        <v>2955.84</v>
      </c>
      <c r="M223">
        <v>30.7</v>
      </c>
      <c r="N223">
        <v>2023</v>
      </c>
      <c r="O223">
        <v>2</v>
      </c>
      <c r="P223" t="s">
        <v>67</v>
      </c>
      <c r="Q223">
        <v>1308.9000000000001</v>
      </c>
      <c r="R223" t="s">
        <v>25</v>
      </c>
      <c r="S223">
        <v>2.2582626633050653</v>
      </c>
      <c r="T223" t="s">
        <v>78</v>
      </c>
    </row>
    <row r="224" spans="1:20" x14ac:dyDescent="0.25">
      <c r="A224" s="11">
        <v>45085</v>
      </c>
      <c r="B224" t="s">
        <v>35</v>
      </c>
      <c r="C224" t="s">
        <v>36</v>
      </c>
      <c r="D224" t="s">
        <v>19</v>
      </c>
      <c r="E224" t="s">
        <v>20</v>
      </c>
      <c r="F224">
        <v>923</v>
      </c>
      <c r="G224">
        <v>6.05</v>
      </c>
      <c r="H224">
        <v>5584.15</v>
      </c>
      <c r="I224" t="s">
        <v>57</v>
      </c>
      <c r="J224" t="s">
        <v>40</v>
      </c>
      <c r="K224" t="s">
        <v>23</v>
      </c>
      <c r="L224">
        <v>4284.08</v>
      </c>
      <c r="M224">
        <v>23.3</v>
      </c>
      <c r="N224">
        <v>2023</v>
      </c>
      <c r="O224">
        <v>2</v>
      </c>
      <c r="P224" t="s">
        <v>69</v>
      </c>
      <c r="Q224">
        <v>1300.07</v>
      </c>
      <c r="R224" t="s">
        <v>29</v>
      </c>
      <c r="S224">
        <v>3.2952687162998915</v>
      </c>
      <c r="T224" t="s">
        <v>78</v>
      </c>
    </row>
    <row r="225" spans="1:20" x14ac:dyDescent="0.25">
      <c r="A225" s="11">
        <v>44939</v>
      </c>
      <c r="B225" t="s">
        <v>58</v>
      </c>
      <c r="C225" t="s">
        <v>59</v>
      </c>
      <c r="D225" t="s">
        <v>53</v>
      </c>
      <c r="E225" t="s">
        <v>50</v>
      </c>
      <c r="F225">
        <v>496</v>
      </c>
      <c r="G225">
        <v>9.09</v>
      </c>
      <c r="H225">
        <v>4508.6400000000003</v>
      </c>
      <c r="I225" t="s">
        <v>26</v>
      </c>
      <c r="J225" t="s">
        <v>34</v>
      </c>
      <c r="K225" t="s">
        <v>41</v>
      </c>
      <c r="L225">
        <v>3208.86</v>
      </c>
      <c r="M225">
        <v>28.8</v>
      </c>
      <c r="N225">
        <v>2023</v>
      </c>
      <c r="O225">
        <v>1</v>
      </c>
      <c r="P225" t="s">
        <v>24</v>
      </c>
      <c r="Q225">
        <v>1299.78</v>
      </c>
      <c r="R225" t="s">
        <v>25</v>
      </c>
      <c r="S225">
        <v>2.4687716382772469</v>
      </c>
      <c r="T225" t="s">
        <v>78</v>
      </c>
    </row>
    <row r="226" spans="1:20" x14ac:dyDescent="0.25">
      <c r="A226" s="11">
        <v>44959</v>
      </c>
      <c r="B226" t="s">
        <v>17</v>
      </c>
      <c r="C226" t="s">
        <v>18</v>
      </c>
      <c r="D226" t="s">
        <v>53</v>
      </c>
      <c r="E226" t="s">
        <v>50</v>
      </c>
      <c r="F226">
        <v>645</v>
      </c>
      <c r="G226">
        <v>5.87</v>
      </c>
      <c r="H226">
        <v>3786.15</v>
      </c>
      <c r="I226" t="s">
        <v>54</v>
      </c>
      <c r="J226" t="s">
        <v>22</v>
      </c>
      <c r="K226" t="s">
        <v>28</v>
      </c>
      <c r="L226">
        <v>2487.52</v>
      </c>
      <c r="M226">
        <v>34.299999999999997</v>
      </c>
      <c r="N226">
        <v>2023</v>
      </c>
      <c r="O226">
        <v>1</v>
      </c>
      <c r="P226" t="s">
        <v>60</v>
      </c>
      <c r="Q226">
        <v>1298.6300000000001</v>
      </c>
      <c r="R226" t="s">
        <v>25</v>
      </c>
      <c r="S226">
        <v>1.9154955607062827</v>
      </c>
      <c r="T226" t="s">
        <v>78</v>
      </c>
    </row>
    <row r="227" spans="1:20" x14ac:dyDescent="0.25">
      <c r="A227" s="11">
        <v>45115</v>
      </c>
      <c r="B227" t="s">
        <v>51</v>
      </c>
      <c r="C227" t="s">
        <v>52</v>
      </c>
      <c r="D227" t="s">
        <v>19</v>
      </c>
      <c r="E227" t="s">
        <v>20</v>
      </c>
      <c r="F227">
        <v>801</v>
      </c>
      <c r="G227">
        <v>4.5999999999999996</v>
      </c>
      <c r="H227">
        <v>3684.6</v>
      </c>
      <c r="I227" t="s">
        <v>21</v>
      </c>
      <c r="J227" t="s">
        <v>40</v>
      </c>
      <c r="K227" t="s">
        <v>41</v>
      </c>
      <c r="L227">
        <v>2387.54</v>
      </c>
      <c r="M227">
        <v>35.200000000000003</v>
      </c>
      <c r="N227">
        <v>2024</v>
      </c>
      <c r="O227">
        <v>3</v>
      </c>
      <c r="P227" t="s">
        <v>63</v>
      </c>
      <c r="Q227">
        <v>1297.06</v>
      </c>
      <c r="R227" t="s">
        <v>25</v>
      </c>
      <c r="S227">
        <v>1.8407321172497804</v>
      </c>
      <c r="T227" t="s">
        <v>78</v>
      </c>
    </row>
    <row r="228" spans="1:20" x14ac:dyDescent="0.25">
      <c r="A228" s="11">
        <v>45042</v>
      </c>
      <c r="B228" t="s">
        <v>17</v>
      </c>
      <c r="C228" t="s">
        <v>18</v>
      </c>
      <c r="D228" t="s">
        <v>44</v>
      </c>
      <c r="E228" t="s">
        <v>38</v>
      </c>
      <c r="F228">
        <v>453</v>
      </c>
      <c r="G228">
        <v>8.9499999999999993</v>
      </c>
      <c r="H228">
        <v>4054.35</v>
      </c>
      <c r="I228" t="s">
        <v>26</v>
      </c>
      <c r="J228" t="s">
        <v>47</v>
      </c>
      <c r="K228" t="s">
        <v>23</v>
      </c>
      <c r="L228">
        <v>2765.07</v>
      </c>
      <c r="M228">
        <v>31.8</v>
      </c>
      <c r="N228">
        <v>2023</v>
      </c>
      <c r="O228">
        <v>2</v>
      </c>
      <c r="P228" t="s">
        <v>64</v>
      </c>
      <c r="Q228">
        <v>1289.28</v>
      </c>
      <c r="R228" t="s">
        <v>25</v>
      </c>
      <c r="S228">
        <v>2.1446621370067014</v>
      </c>
      <c r="T228" t="s">
        <v>78</v>
      </c>
    </row>
    <row r="229" spans="1:20" x14ac:dyDescent="0.25">
      <c r="A229" s="11">
        <v>44952</v>
      </c>
      <c r="B229" t="s">
        <v>35</v>
      </c>
      <c r="C229" t="s">
        <v>36</v>
      </c>
      <c r="D229" t="s">
        <v>49</v>
      </c>
      <c r="E229" t="s">
        <v>50</v>
      </c>
      <c r="F229">
        <v>401</v>
      </c>
      <c r="G229">
        <v>10.210000000000001</v>
      </c>
      <c r="H229">
        <v>4094.21</v>
      </c>
      <c r="I229" t="s">
        <v>46</v>
      </c>
      <c r="J229" t="s">
        <v>27</v>
      </c>
      <c r="K229" t="s">
        <v>23</v>
      </c>
      <c r="L229">
        <v>2805.92</v>
      </c>
      <c r="M229">
        <v>31.5</v>
      </c>
      <c r="N229">
        <v>2023</v>
      </c>
      <c r="O229">
        <v>1</v>
      </c>
      <c r="P229" t="s">
        <v>24</v>
      </c>
      <c r="Q229">
        <v>1288.29</v>
      </c>
      <c r="R229" t="s">
        <v>25</v>
      </c>
      <c r="S229">
        <v>2.1780189243105204</v>
      </c>
      <c r="T229" t="s">
        <v>78</v>
      </c>
    </row>
    <row r="230" spans="1:20" x14ac:dyDescent="0.25">
      <c r="A230" s="11">
        <v>44975</v>
      </c>
      <c r="B230" t="s">
        <v>17</v>
      </c>
      <c r="C230" t="s">
        <v>18</v>
      </c>
      <c r="D230" t="s">
        <v>44</v>
      </c>
      <c r="E230" t="s">
        <v>38</v>
      </c>
      <c r="F230">
        <v>869</v>
      </c>
      <c r="G230">
        <v>7.98</v>
      </c>
      <c r="H230">
        <v>6934.62</v>
      </c>
      <c r="I230" t="s">
        <v>57</v>
      </c>
      <c r="J230" t="s">
        <v>34</v>
      </c>
      <c r="K230" t="s">
        <v>41</v>
      </c>
      <c r="L230">
        <v>5647.21</v>
      </c>
      <c r="M230">
        <v>18.600000000000001</v>
      </c>
      <c r="N230">
        <v>2023</v>
      </c>
      <c r="O230">
        <v>1</v>
      </c>
      <c r="P230" t="s">
        <v>60</v>
      </c>
      <c r="Q230">
        <v>1287.4100000000001</v>
      </c>
      <c r="R230" t="s">
        <v>29</v>
      </c>
      <c r="S230">
        <v>4.386489152639796</v>
      </c>
      <c r="T230" t="s">
        <v>78</v>
      </c>
    </row>
    <row r="231" spans="1:20" x14ac:dyDescent="0.25">
      <c r="A231" s="11">
        <v>45085</v>
      </c>
      <c r="B231" t="s">
        <v>51</v>
      </c>
      <c r="C231" t="s">
        <v>52</v>
      </c>
      <c r="D231" t="s">
        <v>53</v>
      </c>
      <c r="E231" t="s">
        <v>50</v>
      </c>
      <c r="F231">
        <v>994</v>
      </c>
      <c r="G231">
        <v>9.4600000000000009</v>
      </c>
      <c r="H231">
        <v>9403.24</v>
      </c>
      <c r="I231" t="s">
        <v>57</v>
      </c>
      <c r="J231" t="s">
        <v>56</v>
      </c>
      <c r="K231" t="s">
        <v>23</v>
      </c>
      <c r="L231">
        <v>8118.92</v>
      </c>
      <c r="M231">
        <v>13.7</v>
      </c>
      <c r="N231">
        <v>2023</v>
      </c>
      <c r="O231">
        <v>2</v>
      </c>
      <c r="P231" t="s">
        <v>68</v>
      </c>
      <c r="Q231">
        <v>1284.32</v>
      </c>
      <c r="R231" t="s">
        <v>29</v>
      </c>
      <c r="S231">
        <v>6.3215709480503302</v>
      </c>
      <c r="T231" t="s">
        <v>78</v>
      </c>
    </row>
    <row r="232" spans="1:20" x14ac:dyDescent="0.25">
      <c r="A232" s="11">
        <v>45044</v>
      </c>
      <c r="B232" t="s">
        <v>58</v>
      </c>
      <c r="C232" t="s">
        <v>59</v>
      </c>
      <c r="D232" t="s">
        <v>32</v>
      </c>
      <c r="E232" t="s">
        <v>20</v>
      </c>
      <c r="F232">
        <v>512</v>
      </c>
      <c r="G232">
        <v>8.5</v>
      </c>
      <c r="H232">
        <v>4352</v>
      </c>
      <c r="I232" t="s">
        <v>39</v>
      </c>
      <c r="J232" t="s">
        <v>27</v>
      </c>
      <c r="K232" t="s">
        <v>28</v>
      </c>
      <c r="L232">
        <v>3068.13</v>
      </c>
      <c r="M232">
        <v>29.5</v>
      </c>
      <c r="N232">
        <v>2023</v>
      </c>
      <c r="O232">
        <v>2</v>
      </c>
      <c r="P232" t="s">
        <v>64</v>
      </c>
      <c r="Q232">
        <v>1283.8699999999999</v>
      </c>
      <c r="R232" t="s">
        <v>25</v>
      </c>
      <c r="S232">
        <v>2.389751298807512</v>
      </c>
      <c r="T232" t="s">
        <v>78</v>
      </c>
    </row>
    <row r="233" spans="1:20" x14ac:dyDescent="0.25">
      <c r="A233" s="11">
        <v>45063</v>
      </c>
      <c r="B233" t="s">
        <v>42</v>
      </c>
      <c r="C233" t="s">
        <v>43</v>
      </c>
      <c r="D233" t="s">
        <v>19</v>
      </c>
      <c r="E233" t="s">
        <v>20</v>
      </c>
      <c r="F233">
        <v>513</v>
      </c>
      <c r="G233">
        <v>8.58</v>
      </c>
      <c r="H233">
        <v>4401.54</v>
      </c>
      <c r="I233" t="s">
        <v>54</v>
      </c>
      <c r="J233" t="s">
        <v>22</v>
      </c>
      <c r="K233" t="s">
        <v>28</v>
      </c>
      <c r="L233">
        <v>3117.71</v>
      </c>
      <c r="M233">
        <v>29.2</v>
      </c>
      <c r="N233">
        <v>2023</v>
      </c>
      <c r="O233">
        <v>2</v>
      </c>
      <c r="P233" t="s">
        <v>65</v>
      </c>
      <c r="Q233">
        <v>1283.83</v>
      </c>
      <c r="R233" t="s">
        <v>25</v>
      </c>
      <c r="S233">
        <v>2.4284445759952642</v>
      </c>
      <c r="T233" t="s">
        <v>78</v>
      </c>
    </row>
    <row r="234" spans="1:20" x14ac:dyDescent="0.25">
      <c r="A234" s="11">
        <v>44992</v>
      </c>
      <c r="B234" t="s">
        <v>30</v>
      </c>
      <c r="C234" t="s">
        <v>31</v>
      </c>
      <c r="D234" t="s">
        <v>37</v>
      </c>
      <c r="E234" t="s">
        <v>38</v>
      </c>
      <c r="F234">
        <v>897</v>
      </c>
      <c r="G234">
        <v>7.71</v>
      </c>
      <c r="H234">
        <v>6915.87</v>
      </c>
      <c r="I234" t="s">
        <v>26</v>
      </c>
      <c r="J234" t="s">
        <v>56</v>
      </c>
      <c r="K234" t="s">
        <v>23</v>
      </c>
      <c r="L234">
        <v>5633.59</v>
      </c>
      <c r="M234">
        <v>18.5</v>
      </c>
      <c r="N234">
        <v>2023</v>
      </c>
      <c r="O234">
        <v>1</v>
      </c>
      <c r="P234" t="s">
        <v>61</v>
      </c>
      <c r="Q234">
        <v>1282.28</v>
      </c>
      <c r="R234" t="s">
        <v>29</v>
      </c>
      <c r="S234">
        <v>4.393416414511651</v>
      </c>
      <c r="T234" t="s">
        <v>78</v>
      </c>
    </row>
    <row r="235" spans="1:20" x14ac:dyDescent="0.25">
      <c r="A235" s="11">
        <v>45113</v>
      </c>
      <c r="B235" t="s">
        <v>58</v>
      </c>
      <c r="C235" t="s">
        <v>59</v>
      </c>
      <c r="D235" t="s">
        <v>53</v>
      </c>
      <c r="E235" t="s">
        <v>50</v>
      </c>
      <c r="F235">
        <v>505</v>
      </c>
      <c r="G235">
        <v>10.93</v>
      </c>
      <c r="H235">
        <v>5519.65</v>
      </c>
      <c r="I235" t="s">
        <v>46</v>
      </c>
      <c r="J235" t="s">
        <v>22</v>
      </c>
      <c r="K235" t="s">
        <v>23</v>
      </c>
      <c r="L235">
        <v>4237.6099999999997</v>
      </c>
      <c r="M235">
        <v>23.2</v>
      </c>
      <c r="N235">
        <v>2024</v>
      </c>
      <c r="O235">
        <v>3</v>
      </c>
      <c r="P235" t="s">
        <v>62</v>
      </c>
      <c r="Q235">
        <v>1282.04</v>
      </c>
      <c r="R235" t="s">
        <v>29</v>
      </c>
      <c r="S235">
        <v>3.3053648872110073</v>
      </c>
      <c r="T235" t="s">
        <v>78</v>
      </c>
    </row>
    <row r="236" spans="1:20" x14ac:dyDescent="0.25">
      <c r="A236" s="11">
        <v>45117</v>
      </c>
      <c r="B236" t="s">
        <v>51</v>
      </c>
      <c r="C236" t="s">
        <v>52</v>
      </c>
      <c r="D236" t="s">
        <v>19</v>
      </c>
      <c r="E236" t="s">
        <v>20</v>
      </c>
      <c r="F236">
        <v>571</v>
      </c>
      <c r="G236">
        <v>9.8000000000000007</v>
      </c>
      <c r="H236">
        <v>5595.8</v>
      </c>
      <c r="I236" t="s">
        <v>26</v>
      </c>
      <c r="J236" t="s">
        <v>40</v>
      </c>
      <c r="K236" t="s">
        <v>23</v>
      </c>
      <c r="L236">
        <v>4314.66</v>
      </c>
      <c r="M236">
        <v>22.9</v>
      </c>
      <c r="N236">
        <v>2024</v>
      </c>
      <c r="O236">
        <v>3</v>
      </c>
      <c r="P236" t="s">
        <v>63</v>
      </c>
      <c r="Q236">
        <v>1281.1400000000001</v>
      </c>
      <c r="R236" t="s">
        <v>29</v>
      </c>
      <c r="S236">
        <v>3.367828652606272</v>
      </c>
      <c r="T236" t="s">
        <v>78</v>
      </c>
    </row>
    <row r="237" spans="1:20" x14ac:dyDescent="0.25">
      <c r="A237" s="11">
        <v>45111</v>
      </c>
      <c r="B237" t="s">
        <v>42</v>
      </c>
      <c r="C237" t="s">
        <v>43</v>
      </c>
      <c r="D237" t="s">
        <v>53</v>
      </c>
      <c r="E237" t="s">
        <v>50</v>
      </c>
      <c r="F237">
        <v>703</v>
      </c>
      <c r="G237">
        <v>5.72</v>
      </c>
      <c r="H237">
        <v>4021.16</v>
      </c>
      <c r="I237" t="s">
        <v>21</v>
      </c>
      <c r="J237" t="s">
        <v>22</v>
      </c>
      <c r="K237" t="s">
        <v>41</v>
      </c>
      <c r="L237">
        <v>2741.87</v>
      </c>
      <c r="M237">
        <v>31.8</v>
      </c>
      <c r="N237">
        <v>2024</v>
      </c>
      <c r="O237">
        <v>3</v>
      </c>
      <c r="P237" t="s">
        <v>62</v>
      </c>
      <c r="Q237">
        <v>1279.29</v>
      </c>
      <c r="R237" t="s">
        <v>25</v>
      </c>
      <c r="S237">
        <v>2.1432747852324336</v>
      </c>
      <c r="T237" t="s">
        <v>78</v>
      </c>
    </row>
    <row r="238" spans="1:20" x14ac:dyDescent="0.25">
      <c r="A238" s="11">
        <v>44968</v>
      </c>
      <c r="B238" t="s">
        <v>35</v>
      </c>
      <c r="C238" t="s">
        <v>36</v>
      </c>
      <c r="D238" t="s">
        <v>44</v>
      </c>
      <c r="E238" t="s">
        <v>38</v>
      </c>
      <c r="F238">
        <v>459</v>
      </c>
      <c r="G238">
        <v>10.53</v>
      </c>
      <c r="H238">
        <v>4833.2700000000004</v>
      </c>
      <c r="I238" t="s">
        <v>57</v>
      </c>
      <c r="J238" t="s">
        <v>27</v>
      </c>
      <c r="K238" t="s">
        <v>41</v>
      </c>
      <c r="L238">
        <v>3566.53</v>
      </c>
      <c r="M238">
        <v>26.2</v>
      </c>
      <c r="N238">
        <v>2023</v>
      </c>
      <c r="O238">
        <v>1</v>
      </c>
      <c r="P238" t="s">
        <v>60</v>
      </c>
      <c r="Q238">
        <v>1266.74</v>
      </c>
      <c r="R238" t="s">
        <v>25</v>
      </c>
      <c r="S238">
        <v>2.8155185752403811</v>
      </c>
      <c r="T238" t="s">
        <v>78</v>
      </c>
    </row>
    <row r="239" spans="1:20" x14ac:dyDescent="0.25">
      <c r="A239" s="11">
        <v>44941</v>
      </c>
      <c r="B239" t="s">
        <v>35</v>
      </c>
      <c r="C239" t="s">
        <v>36</v>
      </c>
      <c r="D239" t="s">
        <v>48</v>
      </c>
      <c r="E239" t="s">
        <v>38</v>
      </c>
      <c r="F239">
        <v>569</v>
      </c>
      <c r="G239">
        <v>10.029999999999999</v>
      </c>
      <c r="H239">
        <v>5707.07</v>
      </c>
      <c r="I239" t="s">
        <v>21</v>
      </c>
      <c r="J239" t="s">
        <v>40</v>
      </c>
      <c r="K239" t="s">
        <v>23</v>
      </c>
      <c r="L239">
        <v>4440.55</v>
      </c>
      <c r="M239">
        <v>22.2</v>
      </c>
      <c r="N239">
        <v>2023</v>
      </c>
      <c r="O239">
        <v>1</v>
      </c>
      <c r="P239" t="s">
        <v>24</v>
      </c>
      <c r="Q239">
        <v>1266.52</v>
      </c>
      <c r="R239" t="s">
        <v>29</v>
      </c>
      <c r="S239">
        <v>3.506103338281275</v>
      </c>
      <c r="T239" t="s">
        <v>78</v>
      </c>
    </row>
    <row r="240" spans="1:20" x14ac:dyDescent="0.25">
      <c r="A240" s="11">
        <v>45051</v>
      </c>
      <c r="B240" t="s">
        <v>17</v>
      </c>
      <c r="C240" t="s">
        <v>18</v>
      </c>
      <c r="D240" t="s">
        <v>45</v>
      </c>
      <c r="E240" t="s">
        <v>20</v>
      </c>
      <c r="F240">
        <v>308</v>
      </c>
      <c r="G240">
        <v>10.78</v>
      </c>
      <c r="H240">
        <v>3320.24</v>
      </c>
      <c r="I240" t="s">
        <v>55</v>
      </c>
      <c r="J240" t="s">
        <v>56</v>
      </c>
      <c r="K240" t="s">
        <v>28</v>
      </c>
      <c r="L240">
        <v>2056.2199999999998</v>
      </c>
      <c r="M240">
        <v>38.1</v>
      </c>
      <c r="N240">
        <v>2023</v>
      </c>
      <c r="O240">
        <v>2</v>
      </c>
      <c r="P240" t="s">
        <v>64</v>
      </c>
      <c r="Q240">
        <v>1264.02</v>
      </c>
      <c r="R240" t="s">
        <v>25</v>
      </c>
      <c r="S240">
        <v>1.626730589705859</v>
      </c>
      <c r="T240" t="s">
        <v>78</v>
      </c>
    </row>
    <row r="241" spans="1:20" x14ac:dyDescent="0.25">
      <c r="A241" s="11">
        <v>44938</v>
      </c>
      <c r="B241" t="s">
        <v>30</v>
      </c>
      <c r="C241" t="s">
        <v>31</v>
      </c>
      <c r="D241" t="s">
        <v>53</v>
      </c>
      <c r="E241" t="s">
        <v>50</v>
      </c>
      <c r="F241">
        <v>823</v>
      </c>
      <c r="G241">
        <v>4.83</v>
      </c>
      <c r="H241">
        <v>3975.09</v>
      </c>
      <c r="I241" t="s">
        <v>39</v>
      </c>
      <c r="J241" t="s">
        <v>47</v>
      </c>
      <c r="K241" t="s">
        <v>28</v>
      </c>
      <c r="L241">
        <v>2713.01</v>
      </c>
      <c r="M241">
        <v>31.7</v>
      </c>
      <c r="N241">
        <v>2023</v>
      </c>
      <c r="O241">
        <v>1</v>
      </c>
      <c r="P241" t="s">
        <v>24</v>
      </c>
      <c r="Q241">
        <v>1262.08</v>
      </c>
      <c r="R241" t="s">
        <v>25</v>
      </c>
      <c r="S241">
        <v>2.149633937626775</v>
      </c>
      <c r="T241" t="s">
        <v>78</v>
      </c>
    </row>
    <row r="242" spans="1:20" x14ac:dyDescent="0.25">
      <c r="A242" s="11">
        <v>44951</v>
      </c>
      <c r="B242" t="s">
        <v>30</v>
      </c>
      <c r="C242" t="s">
        <v>31</v>
      </c>
      <c r="D242" t="s">
        <v>53</v>
      </c>
      <c r="E242" t="s">
        <v>50</v>
      </c>
      <c r="F242">
        <v>781</v>
      </c>
      <c r="G242">
        <v>6.4</v>
      </c>
      <c r="H242">
        <v>4998.3999999999996</v>
      </c>
      <c r="I242" t="s">
        <v>21</v>
      </c>
      <c r="J242" t="s">
        <v>22</v>
      </c>
      <c r="K242" t="s">
        <v>23</v>
      </c>
      <c r="L242">
        <v>3737.43</v>
      </c>
      <c r="M242">
        <v>25.2</v>
      </c>
      <c r="N242">
        <v>2023</v>
      </c>
      <c r="O242">
        <v>1</v>
      </c>
      <c r="P242" t="s">
        <v>24</v>
      </c>
      <c r="Q242">
        <v>1260.97</v>
      </c>
      <c r="R242" t="s">
        <v>25</v>
      </c>
      <c r="S242">
        <v>2.9639325281331037</v>
      </c>
      <c r="T242" t="s">
        <v>78</v>
      </c>
    </row>
    <row r="243" spans="1:20" x14ac:dyDescent="0.25">
      <c r="A243" s="11">
        <v>45089</v>
      </c>
      <c r="B243" t="s">
        <v>30</v>
      </c>
      <c r="C243" t="s">
        <v>31</v>
      </c>
      <c r="D243" t="s">
        <v>44</v>
      </c>
      <c r="E243" t="s">
        <v>38</v>
      </c>
      <c r="F243">
        <v>884</v>
      </c>
      <c r="G243">
        <v>10.9</v>
      </c>
      <c r="H243">
        <v>9635.6</v>
      </c>
      <c r="I243" t="s">
        <v>55</v>
      </c>
      <c r="J243" t="s">
        <v>22</v>
      </c>
      <c r="K243" t="s">
        <v>23</v>
      </c>
      <c r="L243">
        <v>8379.32</v>
      </c>
      <c r="M243">
        <v>13</v>
      </c>
      <c r="N243">
        <v>2023</v>
      </c>
      <c r="O243">
        <v>2</v>
      </c>
      <c r="P243" t="s">
        <v>69</v>
      </c>
      <c r="Q243">
        <v>1256.28</v>
      </c>
      <c r="R243" t="s">
        <v>29</v>
      </c>
      <c r="S243">
        <v>6.6699461903397328</v>
      </c>
      <c r="T243" t="s">
        <v>78</v>
      </c>
    </row>
    <row r="244" spans="1:20" x14ac:dyDescent="0.25">
      <c r="A244" s="11">
        <v>45034</v>
      </c>
      <c r="B244" t="s">
        <v>30</v>
      </c>
      <c r="C244" t="s">
        <v>31</v>
      </c>
      <c r="D244" t="s">
        <v>49</v>
      </c>
      <c r="E244" t="s">
        <v>50</v>
      </c>
      <c r="F244">
        <v>623</v>
      </c>
      <c r="G244">
        <v>6.62</v>
      </c>
      <c r="H244">
        <v>4124.26</v>
      </c>
      <c r="I244" t="s">
        <v>55</v>
      </c>
      <c r="J244" t="s">
        <v>40</v>
      </c>
      <c r="K244" t="s">
        <v>23</v>
      </c>
      <c r="L244">
        <v>2871.12</v>
      </c>
      <c r="M244">
        <v>30.4</v>
      </c>
      <c r="N244">
        <v>2023</v>
      </c>
      <c r="O244">
        <v>2</v>
      </c>
      <c r="P244" t="s">
        <v>63</v>
      </c>
      <c r="Q244">
        <v>1253.1400000000001</v>
      </c>
      <c r="R244" t="s">
        <v>25</v>
      </c>
      <c r="S244">
        <v>2.2911406546754551</v>
      </c>
      <c r="T244" t="s">
        <v>78</v>
      </c>
    </row>
    <row r="245" spans="1:20" x14ac:dyDescent="0.25">
      <c r="A245" s="11">
        <v>45049</v>
      </c>
      <c r="B245" t="s">
        <v>17</v>
      </c>
      <c r="C245" t="s">
        <v>18</v>
      </c>
      <c r="D245" t="s">
        <v>44</v>
      </c>
      <c r="E245" t="s">
        <v>38</v>
      </c>
      <c r="F245">
        <v>903</v>
      </c>
      <c r="G245">
        <v>7.96</v>
      </c>
      <c r="H245">
        <v>7187.88</v>
      </c>
      <c r="I245" t="s">
        <v>33</v>
      </c>
      <c r="J245" t="s">
        <v>56</v>
      </c>
      <c r="K245" t="s">
        <v>41</v>
      </c>
      <c r="L245">
        <v>5938.28</v>
      </c>
      <c r="M245">
        <v>17.399999999999999</v>
      </c>
      <c r="N245">
        <v>2023</v>
      </c>
      <c r="O245">
        <v>2</v>
      </c>
      <c r="P245" t="s">
        <v>64</v>
      </c>
      <c r="Q245">
        <v>1249.5999999999999</v>
      </c>
      <c r="R245" t="s">
        <v>29</v>
      </c>
      <c r="S245">
        <v>4.7521446862996157</v>
      </c>
      <c r="T245" t="s">
        <v>78</v>
      </c>
    </row>
    <row r="246" spans="1:20" x14ac:dyDescent="0.25">
      <c r="A246" s="11">
        <v>45063</v>
      </c>
      <c r="B246" t="s">
        <v>51</v>
      </c>
      <c r="C246" t="s">
        <v>52</v>
      </c>
      <c r="D246" t="s">
        <v>44</v>
      </c>
      <c r="E246" t="s">
        <v>38</v>
      </c>
      <c r="F246">
        <v>684</v>
      </c>
      <c r="G246">
        <v>5.26</v>
      </c>
      <c r="H246">
        <v>3597.84</v>
      </c>
      <c r="I246" t="s">
        <v>46</v>
      </c>
      <c r="J246" t="s">
        <v>34</v>
      </c>
      <c r="K246" t="s">
        <v>41</v>
      </c>
      <c r="L246">
        <v>2356.92</v>
      </c>
      <c r="M246">
        <v>34.5</v>
      </c>
      <c r="N246">
        <v>2023</v>
      </c>
      <c r="O246">
        <v>2</v>
      </c>
      <c r="P246" t="s">
        <v>65</v>
      </c>
      <c r="Q246">
        <v>1240.92</v>
      </c>
      <c r="R246" t="s">
        <v>25</v>
      </c>
      <c r="S246">
        <v>1.8993327531186539</v>
      </c>
      <c r="T246" t="s">
        <v>78</v>
      </c>
    </row>
    <row r="247" spans="1:20" x14ac:dyDescent="0.25">
      <c r="A247" s="11">
        <v>44967</v>
      </c>
      <c r="B247" t="s">
        <v>42</v>
      </c>
      <c r="C247" t="s">
        <v>43</v>
      </c>
      <c r="D247" t="s">
        <v>44</v>
      </c>
      <c r="E247" t="s">
        <v>38</v>
      </c>
      <c r="F247">
        <v>953</v>
      </c>
      <c r="G247">
        <v>9.1199999999999992</v>
      </c>
      <c r="H247">
        <v>8691.36</v>
      </c>
      <c r="I247" t="s">
        <v>26</v>
      </c>
      <c r="J247" t="s">
        <v>56</v>
      </c>
      <c r="K247" t="s">
        <v>28</v>
      </c>
      <c r="L247">
        <v>7450.64</v>
      </c>
      <c r="M247">
        <v>14.3</v>
      </c>
      <c r="N247">
        <v>2023</v>
      </c>
      <c r="O247">
        <v>1</v>
      </c>
      <c r="P247" t="s">
        <v>60</v>
      </c>
      <c r="Q247">
        <v>1240.72</v>
      </c>
      <c r="R247" t="s">
        <v>29</v>
      </c>
      <c r="S247">
        <v>6.0050938164936492</v>
      </c>
      <c r="T247" t="s">
        <v>78</v>
      </c>
    </row>
    <row r="248" spans="1:20" x14ac:dyDescent="0.25">
      <c r="A248" s="11">
        <v>44930</v>
      </c>
      <c r="B248" t="s">
        <v>42</v>
      </c>
      <c r="C248" t="s">
        <v>43</v>
      </c>
      <c r="D248" t="s">
        <v>19</v>
      </c>
      <c r="E248" t="s">
        <v>20</v>
      </c>
      <c r="F248">
        <v>889</v>
      </c>
      <c r="G248">
        <v>9.48</v>
      </c>
      <c r="H248">
        <v>8427.7199999999993</v>
      </c>
      <c r="I248" t="s">
        <v>26</v>
      </c>
      <c r="J248" t="s">
        <v>40</v>
      </c>
      <c r="K248" t="s">
        <v>28</v>
      </c>
      <c r="L248">
        <v>7187.3</v>
      </c>
      <c r="M248">
        <v>14.7</v>
      </c>
      <c r="N248">
        <v>2023</v>
      </c>
      <c r="O248">
        <v>1</v>
      </c>
      <c r="P248" t="s">
        <v>24</v>
      </c>
      <c r="Q248">
        <v>1240.42</v>
      </c>
      <c r="R248" t="s">
        <v>29</v>
      </c>
      <c r="S248">
        <v>5.7942471098498896</v>
      </c>
      <c r="T248" t="s">
        <v>78</v>
      </c>
    </row>
    <row r="249" spans="1:20" x14ac:dyDescent="0.25">
      <c r="A249" s="11">
        <v>45037</v>
      </c>
      <c r="B249" t="s">
        <v>51</v>
      </c>
      <c r="C249" t="s">
        <v>52</v>
      </c>
      <c r="D249" t="s">
        <v>48</v>
      </c>
      <c r="E249" t="s">
        <v>38</v>
      </c>
      <c r="F249">
        <v>764</v>
      </c>
      <c r="G249">
        <v>5.97</v>
      </c>
      <c r="H249">
        <v>4561.08</v>
      </c>
      <c r="I249" t="s">
        <v>57</v>
      </c>
      <c r="J249" t="s">
        <v>47</v>
      </c>
      <c r="K249" t="s">
        <v>23</v>
      </c>
      <c r="L249">
        <v>3321.1</v>
      </c>
      <c r="M249">
        <v>27.2</v>
      </c>
      <c r="N249">
        <v>2023</v>
      </c>
      <c r="O249">
        <v>2</v>
      </c>
      <c r="P249" t="s">
        <v>63</v>
      </c>
      <c r="Q249">
        <v>1239.98</v>
      </c>
      <c r="R249" t="s">
        <v>25</v>
      </c>
      <c r="S249">
        <v>2.6783496508008193</v>
      </c>
      <c r="T249" t="s">
        <v>78</v>
      </c>
    </row>
    <row r="250" spans="1:20" x14ac:dyDescent="0.25">
      <c r="A250" s="11">
        <v>45011</v>
      </c>
      <c r="B250" t="s">
        <v>17</v>
      </c>
      <c r="C250" t="s">
        <v>18</v>
      </c>
      <c r="D250" t="s">
        <v>45</v>
      </c>
      <c r="E250" t="s">
        <v>20</v>
      </c>
      <c r="F250">
        <v>966</v>
      </c>
      <c r="G250">
        <v>4.8899999999999997</v>
      </c>
      <c r="H250">
        <v>4723.74</v>
      </c>
      <c r="I250" t="s">
        <v>39</v>
      </c>
      <c r="J250" t="s">
        <v>22</v>
      </c>
      <c r="K250" t="s">
        <v>41</v>
      </c>
      <c r="L250">
        <v>3488.24</v>
      </c>
      <c r="M250">
        <v>26.2</v>
      </c>
      <c r="N250">
        <v>2023</v>
      </c>
      <c r="O250">
        <v>1</v>
      </c>
      <c r="P250" t="s">
        <v>62</v>
      </c>
      <c r="Q250">
        <v>1235.5</v>
      </c>
      <c r="R250" t="s">
        <v>25</v>
      </c>
      <c r="S250">
        <v>2.8233427762039658</v>
      </c>
      <c r="T250" t="s">
        <v>78</v>
      </c>
    </row>
    <row r="251" spans="1:20" x14ac:dyDescent="0.25">
      <c r="A251" s="11">
        <v>44958</v>
      </c>
      <c r="B251" t="s">
        <v>30</v>
      </c>
      <c r="C251" t="s">
        <v>31</v>
      </c>
      <c r="D251" t="s">
        <v>48</v>
      </c>
      <c r="E251" t="s">
        <v>38</v>
      </c>
      <c r="F251">
        <v>978</v>
      </c>
      <c r="G251">
        <v>7.36</v>
      </c>
      <c r="H251">
        <v>7198.08</v>
      </c>
      <c r="I251" t="s">
        <v>21</v>
      </c>
      <c r="J251" t="s">
        <v>47</v>
      </c>
      <c r="K251" t="s">
        <v>41</v>
      </c>
      <c r="L251">
        <v>5962.74</v>
      </c>
      <c r="M251">
        <v>17.2</v>
      </c>
      <c r="N251">
        <v>2023</v>
      </c>
      <c r="O251">
        <v>1</v>
      </c>
      <c r="P251" t="s">
        <v>60</v>
      </c>
      <c r="Q251">
        <v>1235.3399999999999</v>
      </c>
      <c r="R251" t="s">
        <v>29</v>
      </c>
      <c r="S251">
        <v>4.8268007188304436</v>
      </c>
      <c r="T251" t="s">
        <v>78</v>
      </c>
    </row>
    <row r="252" spans="1:20" x14ac:dyDescent="0.25">
      <c r="A252" s="11">
        <v>45101</v>
      </c>
      <c r="B252" t="s">
        <v>58</v>
      </c>
      <c r="C252" t="s">
        <v>59</v>
      </c>
      <c r="D252" t="s">
        <v>45</v>
      </c>
      <c r="E252" t="s">
        <v>20</v>
      </c>
      <c r="F252">
        <v>555</v>
      </c>
      <c r="G252">
        <v>8.24</v>
      </c>
      <c r="H252">
        <v>4573.2</v>
      </c>
      <c r="I252" t="s">
        <v>55</v>
      </c>
      <c r="J252" t="s">
        <v>27</v>
      </c>
      <c r="K252" t="s">
        <v>28</v>
      </c>
      <c r="L252">
        <v>3341.63</v>
      </c>
      <c r="M252">
        <v>26.9</v>
      </c>
      <c r="N252">
        <v>2024</v>
      </c>
      <c r="O252">
        <v>2</v>
      </c>
      <c r="P252" t="s">
        <v>24</v>
      </c>
      <c r="Q252">
        <v>1231.57</v>
      </c>
      <c r="R252" t="s">
        <v>25</v>
      </c>
      <c r="S252">
        <v>2.713309028313454</v>
      </c>
      <c r="T252" t="s">
        <v>78</v>
      </c>
    </row>
    <row r="253" spans="1:20" x14ac:dyDescent="0.25">
      <c r="A253" s="11">
        <v>45120</v>
      </c>
      <c r="B253" t="s">
        <v>58</v>
      </c>
      <c r="C253" t="s">
        <v>59</v>
      </c>
      <c r="D253" t="s">
        <v>48</v>
      </c>
      <c r="E253" t="s">
        <v>38</v>
      </c>
      <c r="F253">
        <v>798</v>
      </c>
      <c r="G253">
        <v>11.52</v>
      </c>
      <c r="H253">
        <v>9192.9599999999991</v>
      </c>
      <c r="I253" t="s">
        <v>54</v>
      </c>
      <c r="J253" t="s">
        <v>47</v>
      </c>
      <c r="K253" t="s">
        <v>41</v>
      </c>
      <c r="L253">
        <v>7961.73</v>
      </c>
      <c r="M253">
        <v>13.4</v>
      </c>
      <c r="N253">
        <v>2024</v>
      </c>
      <c r="O253">
        <v>3</v>
      </c>
      <c r="P253" t="s">
        <v>66</v>
      </c>
      <c r="Q253">
        <v>1231.23</v>
      </c>
      <c r="R253" t="s">
        <v>29</v>
      </c>
      <c r="S253">
        <v>6.466484734777417</v>
      </c>
      <c r="T253" t="s">
        <v>78</v>
      </c>
    </row>
    <row r="254" spans="1:20" x14ac:dyDescent="0.25">
      <c r="A254" s="11">
        <v>44939</v>
      </c>
      <c r="B254" t="s">
        <v>17</v>
      </c>
      <c r="C254" t="s">
        <v>18</v>
      </c>
      <c r="D254" t="s">
        <v>48</v>
      </c>
      <c r="E254" t="s">
        <v>38</v>
      </c>
      <c r="F254">
        <v>356</v>
      </c>
      <c r="G254">
        <v>9.19</v>
      </c>
      <c r="H254">
        <v>3271.64</v>
      </c>
      <c r="I254" t="s">
        <v>54</v>
      </c>
      <c r="J254" t="s">
        <v>34</v>
      </c>
      <c r="K254" t="s">
        <v>23</v>
      </c>
      <c r="L254">
        <v>2041.26</v>
      </c>
      <c r="M254">
        <v>37.6</v>
      </c>
      <c r="N254">
        <v>2023</v>
      </c>
      <c r="O254">
        <v>1</v>
      </c>
      <c r="P254" t="s">
        <v>24</v>
      </c>
      <c r="Q254">
        <v>1230.3800000000001</v>
      </c>
      <c r="R254" t="s">
        <v>25</v>
      </c>
      <c r="S254">
        <v>1.6590484240641101</v>
      </c>
      <c r="T254" t="s">
        <v>78</v>
      </c>
    </row>
    <row r="255" spans="1:20" x14ac:dyDescent="0.25">
      <c r="A255" s="11">
        <v>44972</v>
      </c>
      <c r="B255" t="s">
        <v>17</v>
      </c>
      <c r="C255" t="s">
        <v>18</v>
      </c>
      <c r="D255" t="s">
        <v>19</v>
      </c>
      <c r="E255" t="s">
        <v>20</v>
      </c>
      <c r="F255">
        <v>717</v>
      </c>
      <c r="G255">
        <v>11.01</v>
      </c>
      <c r="H255">
        <v>7894.17</v>
      </c>
      <c r="I255" t="s">
        <v>33</v>
      </c>
      <c r="J255" t="s">
        <v>22</v>
      </c>
      <c r="K255" t="s">
        <v>23</v>
      </c>
      <c r="L255">
        <v>6666.53</v>
      </c>
      <c r="M255">
        <v>15.6</v>
      </c>
      <c r="N255">
        <v>2023</v>
      </c>
      <c r="O255">
        <v>1</v>
      </c>
      <c r="P255" t="s">
        <v>60</v>
      </c>
      <c r="Q255">
        <v>1227.6400000000001</v>
      </c>
      <c r="R255" t="s">
        <v>29</v>
      </c>
      <c r="S255">
        <v>5.4303623212016543</v>
      </c>
      <c r="T255" t="s">
        <v>78</v>
      </c>
    </row>
    <row r="256" spans="1:20" x14ac:dyDescent="0.25">
      <c r="A256" s="11">
        <v>44955</v>
      </c>
      <c r="B256" t="s">
        <v>17</v>
      </c>
      <c r="C256" t="s">
        <v>18</v>
      </c>
      <c r="D256" t="s">
        <v>44</v>
      </c>
      <c r="E256" t="s">
        <v>38</v>
      </c>
      <c r="F256">
        <v>392</v>
      </c>
      <c r="G256">
        <v>8.27</v>
      </c>
      <c r="H256">
        <v>3241.84</v>
      </c>
      <c r="I256" t="s">
        <v>54</v>
      </c>
      <c r="J256" t="s">
        <v>40</v>
      </c>
      <c r="K256" t="s">
        <v>41</v>
      </c>
      <c r="L256">
        <v>2014.4</v>
      </c>
      <c r="M256">
        <v>37.9</v>
      </c>
      <c r="N256">
        <v>2023</v>
      </c>
      <c r="O256">
        <v>1</v>
      </c>
      <c r="P256" t="s">
        <v>60</v>
      </c>
      <c r="Q256">
        <v>1227.44</v>
      </c>
      <c r="R256" t="s">
        <v>25</v>
      </c>
      <c r="S256">
        <v>1.6411392817571531</v>
      </c>
      <c r="T256" t="s">
        <v>78</v>
      </c>
    </row>
    <row r="257" spans="1:20" x14ac:dyDescent="0.25">
      <c r="A257" s="11">
        <v>45113</v>
      </c>
      <c r="B257" t="s">
        <v>42</v>
      </c>
      <c r="C257" t="s">
        <v>43</v>
      </c>
      <c r="D257" t="s">
        <v>48</v>
      </c>
      <c r="E257" t="s">
        <v>38</v>
      </c>
      <c r="F257">
        <v>605</v>
      </c>
      <c r="G257">
        <v>5.73</v>
      </c>
      <c r="H257">
        <v>3466.65</v>
      </c>
      <c r="I257" t="s">
        <v>39</v>
      </c>
      <c r="J257" t="s">
        <v>27</v>
      </c>
      <c r="K257" t="s">
        <v>23</v>
      </c>
      <c r="L257">
        <v>2241.2199999999998</v>
      </c>
      <c r="M257">
        <v>35.299999999999997</v>
      </c>
      <c r="N257">
        <v>2024</v>
      </c>
      <c r="O257">
        <v>3</v>
      </c>
      <c r="P257" t="s">
        <v>62</v>
      </c>
      <c r="Q257">
        <v>1225.43</v>
      </c>
      <c r="R257" t="s">
        <v>25</v>
      </c>
      <c r="S257">
        <v>1.8289253568135264</v>
      </c>
      <c r="T257" t="s">
        <v>78</v>
      </c>
    </row>
    <row r="258" spans="1:20" x14ac:dyDescent="0.25">
      <c r="A258" s="11">
        <v>45065</v>
      </c>
      <c r="B258" t="s">
        <v>35</v>
      </c>
      <c r="C258" t="s">
        <v>36</v>
      </c>
      <c r="D258" t="s">
        <v>48</v>
      </c>
      <c r="E258" t="s">
        <v>38</v>
      </c>
      <c r="F258">
        <v>599</v>
      </c>
      <c r="G258">
        <v>10.89</v>
      </c>
      <c r="H258">
        <v>6523.11</v>
      </c>
      <c r="I258" t="s">
        <v>21</v>
      </c>
      <c r="J258" t="s">
        <v>40</v>
      </c>
      <c r="K258" t="s">
        <v>41</v>
      </c>
      <c r="L258">
        <v>5299.67</v>
      </c>
      <c r="M258">
        <v>18.8</v>
      </c>
      <c r="N258">
        <v>2023</v>
      </c>
      <c r="O258">
        <v>2</v>
      </c>
      <c r="P258" t="s">
        <v>65</v>
      </c>
      <c r="Q258">
        <v>1223.44</v>
      </c>
      <c r="R258" t="s">
        <v>29</v>
      </c>
      <c r="S258">
        <v>4.3317776106715487</v>
      </c>
      <c r="T258" t="s">
        <v>78</v>
      </c>
    </row>
    <row r="259" spans="1:20" x14ac:dyDescent="0.25">
      <c r="A259" s="11">
        <v>45074</v>
      </c>
      <c r="B259" t="s">
        <v>17</v>
      </c>
      <c r="C259" t="s">
        <v>18</v>
      </c>
      <c r="D259" t="s">
        <v>19</v>
      </c>
      <c r="E259" t="s">
        <v>20</v>
      </c>
      <c r="F259">
        <v>996</v>
      </c>
      <c r="G259">
        <v>5.1100000000000003</v>
      </c>
      <c r="H259">
        <v>5089.5600000000004</v>
      </c>
      <c r="I259" t="s">
        <v>39</v>
      </c>
      <c r="J259" t="s">
        <v>56</v>
      </c>
      <c r="K259" t="s">
        <v>28</v>
      </c>
      <c r="L259">
        <v>3867.19</v>
      </c>
      <c r="M259">
        <v>24</v>
      </c>
      <c r="N259">
        <v>2023</v>
      </c>
      <c r="O259">
        <v>2</v>
      </c>
      <c r="P259" t="s">
        <v>67</v>
      </c>
      <c r="Q259">
        <v>1222.3699999999999</v>
      </c>
      <c r="R259" t="s">
        <v>29</v>
      </c>
      <c r="S259">
        <v>3.1636820275366708</v>
      </c>
      <c r="T259" t="s">
        <v>78</v>
      </c>
    </row>
    <row r="260" spans="1:20" x14ac:dyDescent="0.25">
      <c r="A260" s="11">
        <v>45127</v>
      </c>
      <c r="B260" t="s">
        <v>42</v>
      </c>
      <c r="C260" t="s">
        <v>43</v>
      </c>
      <c r="D260" t="s">
        <v>37</v>
      </c>
      <c r="E260" t="s">
        <v>38</v>
      </c>
      <c r="F260">
        <v>587</v>
      </c>
      <c r="G260">
        <v>5.47</v>
      </c>
      <c r="H260">
        <v>3210.89</v>
      </c>
      <c r="I260" t="s">
        <v>57</v>
      </c>
      <c r="J260" t="s">
        <v>34</v>
      </c>
      <c r="K260" t="s">
        <v>28</v>
      </c>
      <c r="L260">
        <v>1988.81</v>
      </c>
      <c r="M260">
        <v>38.1</v>
      </c>
      <c r="N260">
        <v>2024</v>
      </c>
      <c r="O260">
        <v>3</v>
      </c>
      <c r="P260" t="s">
        <v>70</v>
      </c>
      <c r="Q260">
        <v>1222.08</v>
      </c>
      <c r="R260" t="s">
        <v>25</v>
      </c>
      <c r="S260">
        <v>1.6273975517151087</v>
      </c>
      <c r="T260" t="s">
        <v>78</v>
      </c>
    </row>
    <row r="261" spans="1:20" x14ac:dyDescent="0.25">
      <c r="A261" s="11">
        <v>45117</v>
      </c>
      <c r="B261" t="s">
        <v>51</v>
      </c>
      <c r="C261" t="s">
        <v>52</v>
      </c>
      <c r="D261" t="s">
        <v>45</v>
      </c>
      <c r="E261" t="s">
        <v>20</v>
      </c>
      <c r="F261">
        <v>454</v>
      </c>
      <c r="G261">
        <v>8.82</v>
      </c>
      <c r="H261">
        <v>4004.28</v>
      </c>
      <c r="I261" t="s">
        <v>57</v>
      </c>
      <c r="J261" t="s">
        <v>56</v>
      </c>
      <c r="K261" t="s">
        <v>41</v>
      </c>
      <c r="L261">
        <v>2783.02</v>
      </c>
      <c r="M261">
        <v>30.5</v>
      </c>
      <c r="N261">
        <v>2024</v>
      </c>
      <c r="O261">
        <v>3</v>
      </c>
      <c r="P261" t="s">
        <v>63</v>
      </c>
      <c r="Q261">
        <v>1221.26</v>
      </c>
      <c r="R261" t="s">
        <v>25</v>
      </c>
      <c r="S261">
        <v>2.2788104089219332</v>
      </c>
      <c r="T261" t="s">
        <v>78</v>
      </c>
    </row>
    <row r="262" spans="1:20" x14ac:dyDescent="0.25">
      <c r="A262" s="11">
        <v>44938</v>
      </c>
      <c r="B262" t="s">
        <v>17</v>
      </c>
      <c r="C262" t="s">
        <v>18</v>
      </c>
      <c r="D262" t="s">
        <v>45</v>
      </c>
      <c r="E262" t="s">
        <v>20</v>
      </c>
      <c r="F262">
        <v>899</v>
      </c>
      <c r="G262">
        <v>10.92</v>
      </c>
      <c r="H262">
        <v>9817.08</v>
      </c>
      <c r="I262" t="s">
        <v>33</v>
      </c>
      <c r="J262" t="s">
        <v>34</v>
      </c>
      <c r="K262" t="s">
        <v>23</v>
      </c>
      <c r="L262">
        <v>8601.48</v>
      </c>
      <c r="M262">
        <v>12.4</v>
      </c>
      <c r="N262">
        <v>2023</v>
      </c>
      <c r="O262">
        <v>1</v>
      </c>
      <c r="P262" t="s">
        <v>24</v>
      </c>
      <c r="Q262">
        <v>1215.5999999999999</v>
      </c>
      <c r="R262" t="s">
        <v>29</v>
      </c>
      <c r="S262">
        <v>7.0759131293188551</v>
      </c>
      <c r="T262" t="s">
        <v>78</v>
      </c>
    </row>
    <row r="263" spans="1:20" x14ac:dyDescent="0.25">
      <c r="A263" s="11">
        <v>44967</v>
      </c>
      <c r="B263" t="s">
        <v>58</v>
      </c>
      <c r="C263" t="s">
        <v>59</v>
      </c>
      <c r="D263" t="s">
        <v>32</v>
      </c>
      <c r="E263" t="s">
        <v>20</v>
      </c>
      <c r="F263">
        <v>870</v>
      </c>
      <c r="G263">
        <v>8.48</v>
      </c>
      <c r="H263">
        <v>7377.6</v>
      </c>
      <c r="I263" t="s">
        <v>57</v>
      </c>
      <c r="J263" t="s">
        <v>27</v>
      </c>
      <c r="K263" t="s">
        <v>28</v>
      </c>
      <c r="L263">
        <v>6166.59</v>
      </c>
      <c r="M263">
        <v>16.399999999999999</v>
      </c>
      <c r="N263">
        <v>2023</v>
      </c>
      <c r="O263">
        <v>1</v>
      </c>
      <c r="P263" t="s">
        <v>60</v>
      </c>
      <c r="Q263">
        <v>1211.01</v>
      </c>
      <c r="R263" t="s">
        <v>29</v>
      </c>
      <c r="S263">
        <v>5.0921049372011797</v>
      </c>
      <c r="T263" t="s">
        <v>78</v>
      </c>
    </row>
    <row r="264" spans="1:20" x14ac:dyDescent="0.25">
      <c r="A264" s="11">
        <v>44953</v>
      </c>
      <c r="B264" t="s">
        <v>58</v>
      </c>
      <c r="C264" t="s">
        <v>59</v>
      </c>
      <c r="D264" t="s">
        <v>45</v>
      </c>
      <c r="E264" t="s">
        <v>20</v>
      </c>
      <c r="F264">
        <v>865</v>
      </c>
      <c r="G264">
        <v>8.15</v>
      </c>
      <c r="H264">
        <v>7049.75</v>
      </c>
      <c r="I264" t="s">
        <v>46</v>
      </c>
      <c r="J264" t="s">
        <v>22</v>
      </c>
      <c r="K264" t="s">
        <v>23</v>
      </c>
      <c r="L264">
        <v>5840.69</v>
      </c>
      <c r="M264">
        <v>17.2</v>
      </c>
      <c r="N264">
        <v>2023</v>
      </c>
      <c r="O264">
        <v>1</v>
      </c>
      <c r="P264" t="s">
        <v>24</v>
      </c>
      <c r="Q264">
        <v>1209.06</v>
      </c>
      <c r="R264" t="s">
        <v>29</v>
      </c>
      <c r="S264">
        <v>4.8307693580136633</v>
      </c>
      <c r="T264" t="s">
        <v>78</v>
      </c>
    </row>
    <row r="265" spans="1:20" x14ac:dyDescent="0.25">
      <c r="A265" s="11">
        <v>45064</v>
      </c>
      <c r="B265" t="s">
        <v>42</v>
      </c>
      <c r="C265" t="s">
        <v>43</v>
      </c>
      <c r="D265" t="s">
        <v>49</v>
      </c>
      <c r="E265" t="s">
        <v>50</v>
      </c>
      <c r="F265">
        <v>908</v>
      </c>
      <c r="G265">
        <v>5.23</v>
      </c>
      <c r="H265">
        <v>4748.84</v>
      </c>
      <c r="I265" t="s">
        <v>54</v>
      </c>
      <c r="J265" t="s">
        <v>56</v>
      </c>
      <c r="K265" t="s">
        <v>23</v>
      </c>
      <c r="L265">
        <v>3541.77</v>
      </c>
      <c r="M265">
        <v>25.4</v>
      </c>
      <c r="N265">
        <v>2023</v>
      </c>
      <c r="O265">
        <v>2</v>
      </c>
      <c r="P265" t="s">
        <v>65</v>
      </c>
      <c r="Q265">
        <v>1207.07</v>
      </c>
      <c r="R265" t="s">
        <v>25</v>
      </c>
      <c r="S265">
        <v>2.9341877438756661</v>
      </c>
      <c r="T265" t="s">
        <v>78</v>
      </c>
    </row>
    <row r="266" spans="1:20" x14ac:dyDescent="0.25">
      <c r="A266" s="11">
        <v>45001</v>
      </c>
      <c r="B266" t="s">
        <v>58</v>
      </c>
      <c r="C266" t="s">
        <v>59</v>
      </c>
      <c r="D266" t="s">
        <v>44</v>
      </c>
      <c r="E266" t="s">
        <v>38</v>
      </c>
      <c r="F266">
        <v>735</v>
      </c>
      <c r="G266">
        <v>11.74</v>
      </c>
      <c r="H266">
        <v>8628.9</v>
      </c>
      <c r="I266" t="s">
        <v>26</v>
      </c>
      <c r="J266" t="s">
        <v>56</v>
      </c>
      <c r="K266" t="s">
        <v>28</v>
      </c>
      <c r="L266">
        <v>7423.64</v>
      </c>
      <c r="M266">
        <v>14</v>
      </c>
      <c r="N266">
        <v>2023</v>
      </c>
      <c r="O266">
        <v>1</v>
      </c>
      <c r="P266" t="s">
        <v>61</v>
      </c>
      <c r="Q266">
        <v>1205.26</v>
      </c>
      <c r="R266" t="s">
        <v>29</v>
      </c>
      <c r="S266">
        <v>6.1593681031478686</v>
      </c>
      <c r="T266" t="s">
        <v>78</v>
      </c>
    </row>
    <row r="267" spans="1:20" x14ac:dyDescent="0.25">
      <c r="A267" s="11">
        <v>44977</v>
      </c>
      <c r="B267" t="s">
        <v>17</v>
      </c>
      <c r="C267" t="s">
        <v>18</v>
      </c>
      <c r="D267" t="s">
        <v>32</v>
      </c>
      <c r="E267" t="s">
        <v>20</v>
      </c>
      <c r="F267">
        <v>404</v>
      </c>
      <c r="G267">
        <v>9.32</v>
      </c>
      <c r="H267">
        <v>3765.28</v>
      </c>
      <c r="I267" t="s">
        <v>46</v>
      </c>
      <c r="J267" t="s">
        <v>34</v>
      </c>
      <c r="K267" t="s">
        <v>23</v>
      </c>
      <c r="L267">
        <v>2562.14</v>
      </c>
      <c r="M267">
        <v>32</v>
      </c>
      <c r="N267">
        <v>2023</v>
      </c>
      <c r="O267">
        <v>1</v>
      </c>
      <c r="P267" t="s">
        <v>60</v>
      </c>
      <c r="Q267">
        <v>1203.1400000000001</v>
      </c>
      <c r="R267" t="s">
        <v>25</v>
      </c>
      <c r="S267">
        <v>2.1295443589274727</v>
      </c>
      <c r="T267" t="s">
        <v>78</v>
      </c>
    </row>
    <row r="268" spans="1:20" x14ac:dyDescent="0.25">
      <c r="A268" s="11">
        <v>45105</v>
      </c>
      <c r="B268" t="s">
        <v>42</v>
      </c>
      <c r="C268" t="s">
        <v>43</v>
      </c>
      <c r="D268" t="s">
        <v>53</v>
      </c>
      <c r="E268" t="s">
        <v>50</v>
      </c>
      <c r="F268">
        <v>547</v>
      </c>
      <c r="G268">
        <v>5.75</v>
      </c>
      <c r="H268">
        <v>3145.25</v>
      </c>
      <c r="I268" t="s">
        <v>26</v>
      </c>
      <c r="J268" t="s">
        <v>56</v>
      </c>
      <c r="K268" t="s">
        <v>23</v>
      </c>
      <c r="L268">
        <v>1945.52</v>
      </c>
      <c r="M268">
        <v>38.1</v>
      </c>
      <c r="N268">
        <v>2024</v>
      </c>
      <c r="O268">
        <v>2</v>
      </c>
      <c r="P268" t="s">
        <v>60</v>
      </c>
      <c r="Q268">
        <v>1199.73</v>
      </c>
      <c r="R268" t="s">
        <v>25</v>
      </c>
      <c r="S268">
        <v>1.6216315337617631</v>
      </c>
      <c r="T268" t="s">
        <v>78</v>
      </c>
    </row>
    <row r="269" spans="1:20" x14ac:dyDescent="0.25">
      <c r="A269" s="11">
        <v>44942</v>
      </c>
      <c r="B269" t="s">
        <v>42</v>
      </c>
      <c r="C269" t="s">
        <v>43</v>
      </c>
      <c r="D269" t="s">
        <v>49</v>
      </c>
      <c r="E269" t="s">
        <v>50</v>
      </c>
      <c r="F269">
        <v>518</v>
      </c>
      <c r="G269">
        <v>11.45</v>
      </c>
      <c r="H269">
        <v>5931.1</v>
      </c>
      <c r="I269" t="s">
        <v>39</v>
      </c>
      <c r="J269" t="s">
        <v>47</v>
      </c>
      <c r="K269" t="s">
        <v>41</v>
      </c>
      <c r="L269">
        <v>4732.0200000000004</v>
      </c>
      <c r="M269">
        <v>20.2</v>
      </c>
      <c r="N269">
        <v>2023</v>
      </c>
      <c r="O269">
        <v>1</v>
      </c>
      <c r="P269" t="s">
        <v>24</v>
      </c>
      <c r="Q269">
        <v>1199.08</v>
      </c>
      <c r="R269" t="s">
        <v>29</v>
      </c>
      <c r="S269">
        <v>3.9463755545918544</v>
      </c>
      <c r="T269" t="s">
        <v>78</v>
      </c>
    </row>
    <row r="270" spans="1:20" x14ac:dyDescent="0.25">
      <c r="A270" s="11">
        <v>45016</v>
      </c>
      <c r="B270" t="s">
        <v>35</v>
      </c>
      <c r="C270" t="s">
        <v>36</v>
      </c>
      <c r="D270" t="s">
        <v>53</v>
      </c>
      <c r="E270" t="s">
        <v>50</v>
      </c>
      <c r="F270">
        <v>502</v>
      </c>
      <c r="G270">
        <v>7.07</v>
      </c>
      <c r="H270">
        <v>3549.14</v>
      </c>
      <c r="I270" t="s">
        <v>54</v>
      </c>
      <c r="J270" t="s">
        <v>56</v>
      </c>
      <c r="K270" t="s">
        <v>23</v>
      </c>
      <c r="L270">
        <v>2351.58</v>
      </c>
      <c r="M270">
        <v>33.700000000000003</v>
      </c>
      <c r="N270">
        <v>2023</v>
      </c>
      <c r="O270">
        <v>1</v>
      </c>
      <c r="P270" t="s">
        <v>62</v>
      </c>
      <c r="Q270">
        <v>1197.56</v>
      </c>
      <c r="R270" t="s">
        <v>25</v>
      </c>
      <c r="S270">
        <v>1.9636427402384848</v>
      </c>
      <c r="T270" t="s">
        <v>78</v>
      </c>
    </row>
    <row r="271" spans="1:20" x14ac:dyDescent="0.25">
      <c r="A271" s="11">
        <v>45107</v>
      </c>
      <c r="B271" t="s">
        <v>42</v>
      </c>
      <c r="C271" t="s">
        <v>43</v>
      </c>
      <c r="D271" t="s">
        <v>53</v>
      </c>
      <c r="E271" t="s">
        <v>50</v>
      </c>
      <c r="F271">
        <v>978</v>
      </c>
      <c r="G271">
        <v>4.25</v>
      </c>
      <c r="H271">
        <v>4156.5</v>
      </c>
      <c r="I271" t="s">
        <v>57</v>
      </c>
      <c r="J271" t="s">
        <v>22</v>
      </c>
      <c r="K271" t="s">
        <v>23</v>
      </c>
      <c r="L271">
        <v>2960.34</v>
      </c>
      <c r="M271">
        <v>28.8</v>
      </c>
      <c r="N271">
        <v>2024</v>
      </c>
      <c r="O271">
        <v>2</v>
      </c>
      <c r="P271" t="s">
        <v>60</v>
      </c>
      <c r="Q271">
        <v>1196.1600000000001</v>
      </c>
      <c r="R271" t="s">
        <v>25</v>
      </c>
      <c r="S271">
        <v>2.4748695826645264</v>
      </c>
      <c r="T271" t="s">
        <v>78</v>
      </c>
    </row>
    <row r="272" spans="1:20" x14ac:dyDescent="0.25">
      <c r="A272" s="11">
        <v>45055</v>
      </c>
      <c r="B272" t="s">
        <v>51</v>
      </c>
      <c r="C272" t="s">
        <v>52</v>
      </c>
      <c r="D272" t="s">
        <v>49</v>
      </c>
      <c r="E272" t="s">
        <v>50</v>
      </c>
      <c r="F272">
        <v>858</v>
      </c>
      <c r="G272">
        <v>7.13</v>
      </c>
      <c r="H272">
        <v>6117.54</v>
      </c>
      <c r="I272" t="s">
        <v>54</v>
      </c>
      <c r="J272" t="s">
        <v>47</v>
      </c>
      <c r="K272" t="s">
        <v>28</v>
      </c>
      <c r="L272">
        <v>4922.62</v>
      </c>
      <c r="M272">
        <v>19.5</v>
      </c>
      <c r="N272">
        <v>2023</v>
      </c>
      <c r="O272">
        <v>2</v>
      </c>
      <c r="P272" t="s">
        <v>65</v>
      </c>
      <c r="Q272">
        <v>1194.92</v>
      </c>
      <c r="R272" t="s">
        <v>29</v>
      </c>
      <c r="S272">
        <v>4.1196230710005688</v>
      </c>
      <c r="T272" t="s">
        <v>78</v>
      </c>
    </row>
    <row r="273" spans="1:20" x14ac:dyDescent="0.25">
      <c r="A273" s="11">
        <v>44961</v>
      </c>
      <c r="B273" t="s">
        <v>35</v>
      </c>
      <c r="C273" t="s">
        <v>36</v>
      </c>
      <c r="D273" t="s">
        <v>45</v>
      </c>
      <c r="E273" t="s">
        <v>20</v>
      </c>
      <c r="F273">
        <v>451</v>
      </c>
      <c r="G273">
        <v>7.5</v>
      </c>
      <c r="H273">
        <v>3382.5</v>
      </c>
      <c r="I273" t="s">
        <v>46</v>
      </c>
      <c r="J273" t="s">
        <v>34</v>
      </c>
      <c r="K273" t="s">
        <v>28</v>
      </c>
      <c r="L273">
        <v>2189.08</v>
      </c>
      <c r="M273">
        <v>35.299999999999997</v>
      </c>
      <c r="N273">
        <v>2023</v>
      </c>
      <c r="O273">
        <v>1</v>
      </c>
      <c r="P273" t="s">
        <v>60</v>
      </c>
      <c r="Q273">
        <v>1193.42</v>
      </c>
      <c r="R273" t="s">
        <v>25</v>
      </c>
      <c r="S273">
        <v>1.8342913643143233</v>
      </c>
      <c r="T273" t="s">
        <v>78</v>
      </c>
    </row>
    <row r="274" spans="1:20" x14ac:dyDescent="0.25">
      <c r="A274" s="11">
        <v>45042</v>
      </c>
      <c r="B274" t="s">
        <v>42</v>
      </c>
      <c r="C274" t="s">
        <v>43</v>
      </c>
      <c r="D274" t="s">
        <v>32</v>
      </c>
      <c r="E274" t="s">
        <v>20</v>
      </c>
      <c r="F274">
        <v>767</v>
      </c>
      <c r="G274">
        <v>10.59</v>
      </c>
      <c r="H274">
        <v>8122.53</v>
      </c>
      <c r="I274" t="s">
        <v>54</v>
      </c>
      <c r="J274" t="s">
        <v>47</v>
      </c>
      <c r="K274" t="s">
        <v>28</v>
      </c>
      <c r="L274">
        <v>6934.04</v>
      </c>
      <c r="M274">
        <v>14.6</v>
      </c>
      <c r="N274">
        <v>2023</v>
      </c>
      <c r="O274">
        <v>2</v>
      </c>
      <c r="P274" t="s">
        <v>64</v>
      </c>
      <c r="Q274">
        <v>1188.49</v>
      </c>
      <c r="R274" t="s">
        <v>29</v>
      </c>
      <c r="S274">
        <v>5.8343275921547511</v>
      </c>
      <c r="T274" t="s">
        <v>78</v>
      </c>
    </row>
    <row r="275" spans="1:20" x14ac:dyDescent="0.25">
      <c r="A275" s="11">
        <v>44995</v>
      </c>
      <c r="B275" t="s">
        <v>30</v>
      </c>
      <c r="C275" t="s">
        <v>31</v>
      </c>
      <c r="D275" t="s">
        <v>44</v>
      </c>
      <c r="E275" t="s">
        <v>38</v>
      </c>
      <c r="F275">
        <v>707</v>
      </c>
      <c r="G275">
        <v>6.86</v>
      </c>
      <c r="H275">
        <v>4850.0200000000004</v>
      </c>
      <c r="I275" t="s">
        <v>21</v>
      </c>
      <c r="J275" t="s">
        <v>27</v>
      </c>
      <c r="K275" t="s">
        <v>41</v>
      </c>
      <c r="L275">
        <v>3665.32</v>
      </c>
      <c r="M275">
        <v>24.4</v>
      </c>
      <c r="N275">
        <v>2023</v>
      </c>
      <c r="O275">
        <v>1</v>
      </c>
      <c r="P275" t="s">
        <v>61</v>
      </c>
      <c r="Q275">
        <v>1184.7</v>
      </c>
      <c r="R275" t="s">
        <v>29</v>
      </c>
      <c r="S275">
        <v>3.0938803072507808</v>
      </c>
      <c r="T275" t="s">
        <v>78</v>
      </c>
    </row>
    <row r="276" spans="1:20" x14ac:dyDescent="0.25">
      <c r="A276" s="11">
        <v>45054</v>
      </c>
      <c r="B276" t="s">
        <v>30</v>
      </c>
      <c r="C276" t="s">
        <v>31</v>
      </c>
      <c r="D276" t="s">
        <v>44</v>
      </c>
      <c r="E276" t="s">
        <v>38</v>
      </c>
      <c r="F276">
        <v>884</v>
      </c>
      <c r="G276">
        <v>3.73</v>
      </c>
      <c r="H276">
        <v>3297.32</v>
      </c>
      <c r="I276" t="s">
        <v>57</v>
      </c>
      <c r="J276" t="s">
        <v>47</v>
      </c>
      <c r="K276" t="s">
        <v>41</v>
      </c>
      <c r="L276">
        <v>2118.37</v>
      </c>
      <c r="M276">
        <v>35.799999999999997</v>
      </c>
      <c r="N276">
        <v>2023</v>
      </c>
      <c r="O276">
        <v>2</v>
      </c>
      <c r="P276" t="s">
        <v>65</v>
      </c>
      <c r="Q276">
        <v>1178.95</v>
      </c>
      <c r="R276" t="s">
        <v>25</v>
      </c>
      <c r="S276">
        <v>1.7968276856524872</v>
      </c>
      <c r="T276" t="s">
        <v>78</v>
      </c>
    </row>
    <row r="277" spans="1:20" x14ac:dyDescent="0.25">
      <c r="A277" s="11">
        <v>45099</v>
      </c>
      <c r="B277" t="s">
        <v>30</v>
      </c>
      <c r="C277" t="s">
        <v>31</v>
      </c>
      <c r="D277" t="s">
        <v>19</v>
      </c>
      <c r="E277" t="s">
        <v>20</v>
      </c>
      <c r="F277">
        <v>882</v>
      </c>
      <c r="G277">
        <v>8.84</v>
      </c>
      <c r="H277">
        <v>7796.88</v>
      </c>
      <c r="I277" t="s">
        <v>57</v>
      </c>
      <c r="J277" t="s">
        <v>40</v>
      </c>
      <c r="K277" t="s">
        <v>23</v>
      </c>
      <c r="L277">
        <v>6628.89</v>
      </c>
      <c r="M277">
        <v>15</v>
      </c>
      <c r="N277">
        <v>2024</v>
      </c>
      <c r="O277">
        <v>2</v>
      </c>
      <c r="P277" t="s">
        <v>24</v>
      </c>
      <c r="Q277">
        <v>1167.99</v>
      </c>
      <c r="R277" t="s">
        <v>29</v>
      </c>
      <c r="S277">
        <v>5.6754681118845198</v>
      </c>
      <c r="T277" t="s">
        <v>78</v>
      </c>
    </row>
    <row r="278" spans="1:20" x14ac:dyDescent="0.25">
      <c r="A278" s="11">
        <v>45121</v>
      </c>
      <c r="B278" t="s">
        <v>51</v>
      </c>
      <c r="C278" t="s">
        <v>52</v>
      </c>
      <c r="D278" t="s">
        <v>44</v>
      </c>
      <c r="E278" t="s">
        <v>38</v>
      </c>
      <c r="F278">
        <v>642</v>
      </c>
      <c r="G278">
        <v>8.1999999999999993</v>
      </c>
      <c r="H278">
        <v>5264.4</v>
      </c>
      <c r="I278" t="s">
        <v>21</v>
      </c>
      <c r="J278" t="s">
        <v>56</v>
      </c>
      <c r="K278" t="s">
        <v>28</v>
      </c>
      <c r="L278">
        <v>4101.49</v>
      </c>
      <c r="M278">
        <v>22.1</v>
      </c>
      <c r="N278">
        <v>2024</v>
      </c>
      <c r="O278">
        <v>3</v>
      </c>
      <c r="P278" t="s">
        <v>66</v>
      </c>
      <c r="Q278">
        <v>1162.9100000000001</v>
      </c>
      <c r="R278" t="s">
        <v>29</v>
      </c>
      <c r="S278">
        <v>3.5269195380553953</v>
      </c>
      <c r="T278" t="s">
        <v>78</v>
      </c>
    </row>
    <row r="279" spans="1:20" x14ac:dyDescent="0.25">
      <c r="A279" s="11">
        <v>45009</v>
      </c>
      <c r="B279" t="s">
        <v>58</v>
      </c>
      <c r="C279" t="s">
        <v>59</v>
      </c>
      <c r="D279" t="s">
        <v>48</v>
      </c>
      <c r="E279" t="s">
        <v>38</v>
      </c>
      <c r="F279">
        <v>418</v>
      </c>
      <c r="G279">
        <v>9.83</v>
      </c>
      <c r="H279">
        <v>4108.9399999999996</v>
      </c>
      <c r="I279" t="s">
        <v>39</v>
      </c>
      <c r="J279" t="s">
        <v>47</v>
      </c>
      <c r="K279" t="s">
        <v>23</v>
      </c>
      <c r="L279">
        <v>2946.17</v>
      </c>
      <c r="M279">
        <v>28.3</v>
      </c>
      <c r="N279">
        <v>2023</v>
      </c>
      <c r="O279">
        <v>1</v>
      </c>
      <c r="P279" t="s">
        <v>62</v>
      </c>
      <c r="Q279">
        <v>1162.77</v>
      </c>
      <c r="R279" t="s">
        <v>25</v>
      </c>
      <c r="S279">
        <v>2.533751300773154</v>
      </c>
      <c r="T279" t="s">
        <v>78</v>
      </c>
    </row>
    <row r="280" spans="1:20" x14ac:dyDescent="0.25">
      <c r="A280" s="11">
        <v>44960</v>
      </c>
      <c r="B280" t="s">
        <v>51</v>
      </c>
      <c r="C280" t="s">
        <v>52</v>
      </c>
      <c r="D280" t="s">
        <v>19</v>
      </c>
      <c r="E280" t="s">
        <v>20</v>
      </c>
      <c r="F280">
        <v>807</v>
      </c>
      <c r="G280">
        <v>6.57</v>
      </c>
      <c r="H280">
        <v>5301.99</v>
      </c>
      <c r="I280" t="s">
        <v>39</v>
      </c>
      <c r="J280" t="s">
        <v>56</v>
      </c>
      <c r="K280" t="s">
        <v>41</v>
      </c>
      <c r="L280">
        <v>4142.8100000000004</v>
      </c>
      <c r="M280">
        <v>21.9</v>
      </c>
      <c r="N280">
        <v>2023</v>
      </c>
      <c r="O280">
        <v>1</v>
      </c>
      <c r="P280" t="s">
        <v>60</v>
      </c>
      <c r="Q280">
        <v>1159.18</v>
      </c>
      <c r="R280" t="s">
        <v>29</v>
      </c>
      <c r="S280">
        <v>3.5739143187425597</v>
      </c>
      <c r="T280" t="s">
        <v>78</v>
      </c>
    </row>
    <row r="281" spans="1:20" x14ac:dyDescent="0.25">
      <c r="A281" s="11">
        <v>44962</v>
      </c>
      <c r="B281" t="s">
        <v>51</v>
      </c>
      <c r="C281" t="s">
        <v>52</v>
      </c>
      <c r="D281" t="s">
        <v>44</v>
      </c>
      <c r="E281" t="s">
        <v>38</v>
      </c>
      <c r="F281">
        <v>733</v>
      </c>
      <c r="G281">
        <v>6</v>
      </c>
      <c r="H281">
        <v>4398</v>
      </c>
      <c r="I281" t="s">
        <v>21</v>
      </c>
      <c r="J281" t="s">
        <v>22</v>
      </c>
      <c r="K281" t="s">
        <v>28</v>
      </c>
      <c r="L281">
        <v>3241.26</v>
      </c>
      <c r="M281">
        <v>26.3</v>
      </c>
      <c r="N281">
        <v>2023</v>
      </c>
      <c r="O281">
        <v>1</v>
      </c>
      <c r="P281" t="s">
        <v>60</v>
      </c>
      <c r="Q281">
        <v>1156.74</v>
      </c>
      <c r="R281" t="s">
        <v>25</v>
      </c>
      <c r="S281">
        <v>2.8020644224285496</v>
      </c>
      <c r="T281" t="s">
        <v>78</v>
      </c>
    </row>
    <row r="282" spans="1:20" x14ac:dyDescent="0.25">
      <c r="A282" s="11">
        <v>45068</v>
      </c>
      <c r="B282" t="s">
        <v>30</v>
      </c>
      <c r="C282" t="s">
        <v>31</v>
      </c>
      <c r="D282" t="s">
        <v>53</v>
      </c>
      <c r="E282" t="s">
        <v>50</v>
      </c>
      <c r="F282">
        <v>330</v>
      </c>
      <c r="G282">
        <v>10.99</v>
      </c>
      <c r="H282">
        <v>3626.7</v>
      </c>
      <c r="I282" t="s">
        <v>26</v>
      </c>
      <c r="J282" t="s">
        <v>27</v>
      </c>
      <c r="K282" t="s">
        <v>41</v>
      </c>
      <c r="L282">
        <v>2472.34</v>
      </c>
      <c r="M282">
        <v>31.8</v>
      </c>
      <c r="N282">
        <v>2023</v>
      </c>
      <c r="O282">
        <v>2</v>
      </c>
      <c r="P282" t="s">
        <v>66</v>
      </c>
      <c r="Q282">
        <v>1154.3599999999999</v>
      </c>
      <c r="R282" t="s">
        <v>25</v>
      </c>
      <c r="S282">
        <v>2.1417408780623033</v>
      </c>
      <c r="T282" t="s">
        <v>78</v>
      </c>
    </row>
    <row r="283" spans="1:20" x14ac:dyDescent="0.25">
      <c r="A283" s="11">
        <v>45072</v>
      </c>
      <c r="B283" t="s">
        <v>30</v>
      </c>
      <c r="C283" t="s">
        <v>31</v>
      </c>
      <c r="D283" t="s">
        <v>32</v>
      </c>
      <c r="E283" t="s">
        <v>20</v>
      </c>
      <c r="F283">
        <v>297</v>
      </c>
      <c r="G283">
        <v>10.76</v>
      </c>
      <c r="H283">
        <v>3195.72</v>
      </c>
      <c r="I283" t="s">
        <v>39</v>
      </c>
      <c r="J283" t="s">
        <v>27</v>
      </c>
      <c r="K283" t="s">
        <v>23</v>
      </c>
      <c r="L283">
        <v>2041.88</v>
      </c>
      <c r="M283">
        <v>36.1</v>
      </c>
      <c r="N283">
        <v>2023</v>
      </c>
      <c r="O283">
        <v>2</v>
      </c>
      <c r="P283" t="s">
        <v>66</v>
      </c>
      <c r="Q283">
        <v>1153.8399999999999</v>
      </c>
      <c r="R283" t="s">
        <v>25</v>
      </c>
      <c r="S283">
        <v>1.7696387714067812</v>
      </c>
      <c r="T283" t="s">
        <v>78</v>
      </c>
    </row>
    <row r="284" spans="1:20" x14ac:dyDescent="0.25">
      <c r="A284" s="11">
        <v>45039</v>
      </c>
      <c r="B284" t="s">
        <v>35</v>
      </c>
      <c r="C284" t="s">
        <v>36</v>
      </c>
      <c r="D284" t="s">
        <v>32</v>
      </c>
      <c r="E284" t="s">
        <v>20</v>
      </c>
      <c r="F284">
        <v>774</v>
      </c>
      <c r="G284">
        <v>9.16</v>
      </c>
      <c r="H284">
        <v>7089.84</v>
      </c>
      <c r="I284" t="s">
        <v>26</v>
      </c>
      <c r="J284" t="s">
        <v>56</v>
      </c>
      <c r="K284" t="s">
        <v>41</v>
      </c>
      <c r="L284">
        <v>5940.22</v>
      </c>
      <c r="M284">
        <v>16.2</v>
      </c>
      <c r="N284">
        <v>2023</v>
      </c>
      <c r="O284">
        <v>2</v>
      </c>
      <c r="P284" t="s">
        <v>63</v>
      </c>
      <c r="Q284">
        <v>1149.6199999999999</v>
      </c>
      <c r="R284" t="s">
        <v>29</v>
      </c>
      <c r="S284">
        <v>5.1671160905342646</v>
      </c>
      <c r="T284" t="s">
        <v>78</v>
      </c>
    </row>
    <row r="285" spans="1:20" x14ac:dyDescent="0.25">
      <c r="A285" s="11">
        <v>45070</v>
      </c>
      <c r="B285" t="s">
        <v>58</v>
      </c>
      <c r="C285" t="s">
        <v>59</v>
      </c>
      <c r="D285" t="s">
        <v>32</v>
      </c>
      <c r="E285" t="s">
        <v>20</v>
      </c>
      <c r="F285">
        <v>658</v>
      </c>
      <c r="G285">
        <v>7.12</v>
      </c>
      <c r="H285">
        <v>4684.96</v>
      </c>
      <c r="I285" t="s">
        <v>57</v>
      </c>
      <c r="J285" t="s">
        <v>34</v>
      </c>
      <c r="K285" t="s">
        <v>41</v>
      </c>
      <c r="L285">
        <v>3542.12</v>
      </c>
      <c r="M285">
        <v>24.4</v>
      </c>
      <c r="N285">
        <v>2023</v>
      </c>
      <c r="O285">
        <v>2</v>
      </c>
      <c r="P285" t="s">
        <v>66</v>
      </c>
      <c r="Q285">
        <v>1142.8399999999999</v>
      </c>
      <c r="R285" t="s">
        <v>29</v>
      </c>
      <c r="S285">
        <v>3.0994014910223653</v>
      </c>
      <c r="T285" t="s">
        <v>78</v>
      </c>
    </row>
    <row r="286" spans="1:20" x14ac:dyDescent="0.25">
      <c r="A286" s="11">
        <v>44945</v>
      </c>
      <c r="B286" t="s">
        <v>51</v>
      </c>
      <c r="C286" t="s">
        <v>52</v>
      </c>
      <c r="D286" t="s">
        <v>49</v>
      </c>
      <c r="E286" t="s">
        <v>50</v>
      </c>
      <c r="F286">
        <v>710</v>
      </c>
      <c r="G286">
        <v>4.34</v>
      </c>
      <c r="H286">
        <v>3081.4</v>
      </c>
      <c r="I286" t="s">
        <v>55</v>
      </c>
      <c r="J286" t="s">
        <v>56</v>
      </c>
      <c r="K286" t="s">
        <v>41</v>
      </c>
      <c r="L286">
        <v>1939.2</v>
      </c>
      <c r="M286">
        <v>37.1</v>
      </c>
      <c r="N286">
        <v>2023</v>
      </c>
      <c r="O286">
        <v>1</v>
      </c>
      <c r="P286" t="s">
        <v>24</v>
      </c>
      <c r="Q286">
        <v>1142.2</v>
      </c>
      <c r="R286" t="s">
        <v>25</v>
      </c>
      <c r="S286">
        <v>1.6977762213272631</v>
      </c>
      <c r="T286" t="s">
        <v>78</v>
      </c>
    </row>
    <row r="287" spans="1:20" x14ac:dyDescent="0.25">
      <c r="A287" s="11">
        <v>45116</v>
      </c>
      <c r="B287" t="s">
        <v>51</v>
      </c>
      <c r="C287" t="s">
        <v>52</v>
      </c>
      <c r="D287" t="s">
        <v>19</v>
      </c>
      <c r="E287" t="s">
        <v>20</v>
      </c>
      <c r="F287">
        <v>645</v>
      </c>
      <c r="G287">
        <v>6.17</v>
      </c>
      <c r="H287">
        <v>3979.65</v>
      </c>
      <c r="I287" t="s">
        <v>26</v>
      </c>
      <c r="J287" t="s">
        <v>34</v>
      </c>
      <c r="K287" t="s">
        <v>23</v>
      </c>
      <c r="L287">
        <v>2839.94</v>
      </c>
      <c r="M287">
        <v>28.6</v>
      </c>
      <c r="N287">
        <v>2024</v>
      </c>
      <c r="O287">
        <v>3</v>
      </c>
      <c r="P287" t="s">
        <v>63</v>
      </c>
      <c r="Q287">
        <v>1139.71</v>
      </c>
      <c r="R287" t="s">
        <v>25</v>
      </c>
      <c r="S287">
        <v>2.4918093199147151</v>
      </c>
      <c r="T287" t="s">
        <v>78</v>
      </c>
    </row>
    <row r="288" spans="1:20" x14ac:dyDescent="0.25">
      <c r="A288" s="11">
        <v>45021</v>
      </c>
      <c r="B288" t="s">
        <v>35</v>
      </c>
      <c r="C288" t="s">
        <v>36</v>
      </c>
      <c r="D288" t="s">
        <v>53</v>
      </c>
      <c r="E288" t="s">
        <v>50</v>
      </c>
      <c r="F288">
        <v>533</v>
      </c>
      <c r="G288">
        <v>11.13</v>
      </c>
      <c r="H288">
        <v>5932.29</v>
      </c>
      <c r="I288" t="s">
        <v>33</v>
      </c>
      <c r="J288" t="s">
        <v>34</v>
      </c>
      <c r="K288" t="s">
        <v>23</v>
      </c>
      <c r="L288">
        <v>4793.7700000000004</v>
      </c>
      <c r="M288">
        <v>19.2</v>
      </c>
      <c r="N288">
        <v>2023</v>
      </c>
      <c r="O288">
        <v>2</v>
      </c>
      <c r="P288" t="s">
        <v>62</v>
      </c>
      <c r="Q288">
        <v>1138.52</v>
      </c>
      <c r="R288" t="s">
        <v>29</v>
      </c>
      <c r="S288">
        <v>4.2105277026314871</v>
      </c>
      <c r="T288" t="s">
        <v>78</v>
      </c>
    </row>
    <row r="289" spans="1:20" x14ac:dyDescent="0.25">
      <c r="A289" s="11">
        <v>44945</v>
      </c>
      <c r="B289" t="s">
        <v>30</v>
      </c>
      <c r="C289" t="s">
        <v>31</v>
      </c>
      <c r="D289" t="s">
        <v>44</v>
      </c>
      <c r="E289" t="s">
        <v>38</v>
      </c>
      <c r="F289">
        <v>903</v>
      </c>
      <c r="G289">
        <v>3.65</v>
      </c>
      <c r="H289">
        <v>3295.95</v>
      </c>
      <c r="I289" t="s">
        <v>39</v>
      </c>
      <c r="J289" t="s">
        <v>56</v>
      </c>
      <c r="K289" t="s">
        <v>41</v>
      </c>
      <c r="L289">
        <v>2162.9699999999998</v>
      </c>
      <c r="M289">
        <v>34.4</v>
      </c>
      <c r="N289">
        <v>2023</v>
      </c>
      <c r="O289">
        <v>1</v>
      </c>
      <c r="P289" t="s">
        <v>24</v>
      </c>
      <c r="Q289">
        <v>1132.98</v>
      </c>
      <c r="R289" t="s">
        <v>25</v>
      </c>
      <c r="S289">
        <v>1.9090981305936554</v>
      </c>
      <c r="T289" t="s">
        <v>78</v>
      </c>
    </row>
    <row r="290" spans="1:20" x14ac:dyDescent="0.25">
      <c r="A290" s="11">
        <v>45014</v>
      </c>
      <c r="B290" t="s">
        <v>35</v>
      </c>
      <c r="C290" t="s">
        <v>36</v>
      </c>
      <c r="D290" t="s">
        <v>32</v>
      </c>
      <c r="E290" t="s">
        <v>20</v>
      </c>
      <c r="F290">
        <v>629</v>
      </c>
      <c r="G290">
        <v>4.55</v>
      </c>
      <c r="H290">
        <v>2861.95</v>
      </c>
      <c r="I290" t="s">
        <v>54</v>
      </c>
      <c r="J290" t="s">
        <v>40</v>
      </c>
      <c r="K290" t="s">
        <v>41</v>
      </c>
      <c r="L290">
        <v>1729.48</v>
      </c>
      <c r="M290">
        <v>39.6</v>
      </c>
      <c r="N290">
        <v>2023</v>
      </c>
      <c r="O290">
        <v>1</v>
      </c>
      <c r="P290" t="s">
        <v>62</v>
      </c>
      <c r="Q290">
        <v>1132.47</v>
      </c>
      <c r="R290" t="s">
        <v>25</v>
      </c>
      <c r="S290">
        <v>1.5271751128065203</v>
      </c>
      <c r="T290" t="s">
        <v>78</v>
      </c>
    </row>
    <row r="291" spans="1:20" x14ac:dyDescent="0.25">
      <c r="A291" s="11">
        <v>44933</v>
      </c>
      <c r="B291" t="s">
        <v>35</v>
      </c>
      <c r="C291" t="s">
        <v>36</v>
      </c>
      <c r="D291" t="s">
        <v>19</v>
      </c>
      <c r="E291" t="s">
        <v>20</v>
      </c>
      <c r="F291">
        <v>413</v>
      </c>
      <c r="G291">
        <v>8.34</v>
      </c>
      <c r="H291">
        <v>3444.42</v>
      </c>
      <c r="I291" t="s">
        <v>55</v>
      </c>
      <c r="J291" t="s">
        <v>27</v>
      </c>
      <c r="K291" t="s">
        <v>23</v>
      </c>
      <c r="L291">
        <v>2318.25</v>
      </c>
      <c r="M291">
        <v>32.700000000000003</v>
      </c>
      <c r="N291">
        <v>2023</v>
      </c>
      <c r="O291">
        <v>1</v>
      </c>
      <c r="P291" t="s">
        <v>24</v>
      </c>
      <c r="Q291">
        <v>1126.17</v>
      </c>
      <c r="R291" t="s">
        <v>25</v>
      </c>
      <c r="S291">
        <v>2.0585257998348383</v>
      </c>
      <c r="T291" t="s">
        <v>78</v>
      </c>
    </row>
    <row r="292" spans="1:20" x14ac:dyDescent="0.25">
      <c r="A292" s="11">
        <v>45130</v>
      </c>
      <c r="B292" t="s">
        <v>17</v>
      </c>
      <c r="C292" t="s">
        <v>18</v>
      </c>
      <c r="D292" t="s">
        <v>32</v>
      </c>
      <c r="E292" t="s">
        <v>20</v>
      </c>
      <c r="F292">
        <v>699</v>
      </c>
      <c r="G292">
        <v>7.62</v>
      </c>
      <c r="H292">
        <v>5326.38</v>
      </c>
      <c r="I292" t="s">
        <v>57</v>
      </c>
      <c r="J292" t="s">
        <v>27</v>
      </c>
      <c r="K292" t="s">
        <v>41</v>
      </c>
      <c r="L292">
        <v>4203.4399999999996</v>
      </c>
      <c r="M292">
        <v>21.1</v>
      </c>
      <c r="N292">
        <v>2025</v>
      </c>
      <c r="O292">
        <v>3</v>
      </c>
      <c r="P292" t="s">
        <v>63</v>
      </c>
      <c r="Q292">
        <v>1122.94</v>
      </c>
      <c r="R292" t="s">
        <v>29</v>
      </c>
      <c r="S292">
        <v>3.743245409371827</v>
      </c>
      <c r="T292" t="s">
        <v>78</v>
      </c>
    </row>
    <row r="293" spans="1:20" x14ac:dyDescent="0.25">
      <c r="A293" s="11">
        <v>44936</v>
      </c>
      <c r="B293" t="s">
        <v>30</v>
      </c>
      <c r="C293" t="s">
        <v>31</v>
      </c>
      <c r="D293" t="s">
        <v>32</v>
      </c>
      <c r="E293" t="s">
        <v>20</v>
      </c>
      <c r="F293">
        <v>818</v>
      </c>
      <c r="G293">
        <v>3.71</v>
      </c>
      <c r="H293">
        <v>3034.78</v>
      </c>
      <c r="I293" t="s">
        <v>39</v>
      </c>
      <c r="J293" t="s">
        <v>22</v>
      </c>
      <c r="K293" t="s">
        <v>41</v>
      </c>
      <c r="L293">
        <v>1912.3</v>
      </c>
      <c r="M293">
        <v>37</v>
      </c>
      <c r="N293">
        <v>2023</v>
      </c>
      <c r="O293">
        <v>1</v>
      </c>
      <c r="P293" t="s">
        <v>24</v>
      </c>
      <c r="Q293">
        <v>1122.48</v>
      </c>
      <c r="R293" t="s">
        <v>25</v>
      </c>
      <c r="S293">
        <v>1.7036383721758961</v>
      </c>
      <c r="T293" t="s">
        <v>78</v>
      </c>
    </row>
    <row r="294" spans="1:20" x14ac:dyDescent="0.25">
      <c r="A294" s="11">
        <v>44948</v>
      </c>
      <c r="B294" t="s">
        <v>17</v>
      </c>
      <c r="C294" t="s">
        <v>18</v>
      </c>
      <c r="D294" t="s">
        <v>32</v>
      </c>
      <c r="E294" t="s">
        <v>20</v>
      </c>
      <c r="F294">
        <v>706</v>
      </c>
      <c r="G294">
        <v>6.12</v>
      </c>
      <c r="H294">
        <v>4320.72</v>
      </c>
      <c r="I294" t="s">
        <v>57</v>
      </c>
      <c r="J294" t="s">
        <v>27</v>
      </c>
      <c r="K294" t="s">
        <v>23</v>
      </c>
      <c r="L294">
        <v>3199.04</v>
      </c>
      <c r="M294">
        <v>26</v>
      </c>
      <c r="N294">
        <v>2023</v>
      </c>
      <c r="O294">
        <v>1</v>
      </c>
      <c r="P294" t="s">
        <v>24</v>
      </c>
      <c r="Q294">
        <v>1121.68</v>
      </c>
      <c r="R294" t="s">
        <v>25</v>
      </c>
      <c r="S294">
        <v>2.8520077027316169</v>
      </c>
      <c r="T294" t="s">
        <v>78</v>
      </c>
    </row>
    <row r="295" spans="1:20" x14ac:dyDescent="0.25">
      <c r="A295" s="11">
        <v>44980</v>
      </c>
      <c r="B295" t="s">
        <v>30</v>
      </c>
      <c r="C295" t="s">
        <v>31</v>
      </c>
      <c r="D295" t="s">
        <v>32</v>
      </c>
      <c r="E295" t="s">
        <v>20</v>
      </c>
      <c r="F295">
        <v>536</v>
      </c>
      <c r="G295">
        <v>11.08</v>
      </c>
      <c r="H295">
        <v>5938.88</v>
      </c>
      <c r="I295" t="s">
        <v>46</v>
      </c>
      <c r="J295" t="s">
        <v>40</v>
      </c>
      <c r="K295" t="s">
        <v>41</v>
      </c>
      <c r="L295">
        <v>4819.95</v>
      </c>
      <c r="M295">
        <v>18.8</v>
      </c>
      <c r="N295">
        <v>2023</v>
      </c>
      <c r="O295">
        <v>1</v>
      </c>
      <c r="P295" t="s">
        <v>61</v>
      </c>
      <c r="Q295">
        <v>1118.93</v>
      </c>
      <c r="R295" t="s">
        <v>29</v>
      </c>
      <c r="S295">
        <v>4.3076421223847783</v>
      </c>
      <c r="T295" t="s">
        <v>78</v>
      </c>
    </row>
    <row r="296" spans="1:20" x14ac:dyDescent="0.25">
      <c r="A296" s="11">
        <v>44982</v>
      </c>
      <c r="B296" t="s">
        <v>17</v>
      </c>
      <c r="C296" t="s">
        <v>18</v>
      </c>
      <c r="D296" t="s">
        <v>45</v>
      </c>
      <c r="E296" t="s">
        <v>20</v>
      </c>
      <c r="F296">
        <v>570</v>
      </c>
      <c r="G296">
        <v>6.98</v>
      </c>
      <c r="H296">
        <v>3978.6</v>
      </c>
      <c r="I296" t="s">
        <v>57</v>
      </c>
      <c r="J296" t="s">
        <v>56</v>
      </c>
      <c r="K296" t="s">
        <v>28</v>
      </c>
      <c r="L296">
        <v>2864.01</v>
      </c>
      <c r="M296">
        <v>28</v>
      </c>
      <c r="N296">
        <v>2023</v>
      </c>
      <c r="O296">
        <v>1</v>
      </c>
      <c r="P296" t="s">
        <v>61</v>
      </c>
      <c r="Q296">
        <v>1114.5899999999999</v>
      </c>
      <c r="R296" t="s">
        <v>25</v>
      </c>
      <c r="S296">
        <v>2.5695636960676125</v>
      </c>
      <c r="T296" t="s">
        <v>78</v>
      </c>
    </row>
    <row r="297" spans="1:20" x14ac:dyDescent="0.25">
      <c r="A297" s="11">
        <v>45060</v>
      </c>
      <c r="B297" t="s">
        <v>30</v>
      </c>
      <c r="C297" t="s">
        <v>31</v>
      </c>
      <c r="D297" t="s">
        <v>19</v>
      </c>
      <c r="E297" t="s">
        <v>20</v>
      </c>
      <c r="F297">
        <v>675</v>
      </c>
      <c r="G297">
        <v>6.34</v>
      </c>
      <c r="H297">
        <v>4279.5</v>
      </c>
      <c r="I297" t="s">
        <v>46</v>
      </c>
      <c r="J297" t="s">
        <v>56</v>
      </c>
      <c r="K297" t="s">
        <v>28</v>
      </c>
      <c r="L297">
        <v>3167.16</v>
      </c>
      <c r="M297">
        <v>26</v>
      </c>
      <c r="N297">
        <v>2023</v>
      </c>
      <c r="O297">
        <v>2</v>
      </c>
      <c r="P297" t="s">
        <v>65</v>
      </c>
      <c r="Q297">
        <v>1112.3399999999999</v>
      </c>
      <c r="R297" t="s">
        <v>25</v>
      </c>
      <c r="S297">
        <v>2.8472948918496144</v>
      </c>
      <c r="T297" t="s">
        <v>78</v>
      </c>
    </row>
    <row r="298" spans="1:20" x14ac:dyDescent="0.25">
      <c r="A298" s="11">
        <v>44967</v>
      </c>
      <c r="B298" t="s">
        <v>51</v>
      </c>
      <c r="C298" t="s">
        <v>52</v>
      </c>
      <c r="D298" t="s">
        <v>44</v>
      </c>
      <c r="E298" t="s">
        <v>38</v>
      </c>
      <c r="F298">
        <v>769</v>
      </c>
      <c r="G298">
        <v>4.45</v>
      </c>
      <c r="H298">
        <v>3422.05</v>
      </c>
      <c r="I298" t="s">
        <v>46</v>
      </c>
      <c r="J298" t="s">
        <v>27</v>
      </c>
      <c r="K298" t="s">
        <v>41</v>
      </c>
      <c r="L298">
        <v>2310.54</v>
      </c>
      <c r="M298">
        <v>32.5</v>
      </c>
      <c r="N298">
        <v>2023</v>
      </c>
      <c r="O298">
        <v>1</v>
      </c>
      <c r="P298" t="s">
        <v>60</v>
      </c>
      <c r="Q298">
        <v>1111.51</v>
      </c>
      <c r="R298" t="s">
        <v>25</v>
      </c>
      <c r="S298">
        <v>2.0787397324360555</v>
      </c>
      <c r="T298" t="s">
        <v>78</v>
      </c>
    </row>
    <row r="299" spans="1:20" x14ac:dyDescent="0.25">
      <c r="A299" s="11">
        <v>45099</v>
      </c>
      <c r="B299" t="s">
        <v>17</v>
      </c>
      <c r="C299" t="s">
        <v>18</v>
      </c>
      <c r="D299" t="s">
        <v>48</v>
      </c>
      <c r="E299" t="s">
        <v>38</v>
      </c>
      <c r="F299">
        <v>442</v>
      </c>
      <c r="G299">
        <v>11.26</v>
      </c>
      <c r="H299">
        <v>4976.92</v>
      </c>
      <c r="I299" t="s">
        <v>46</v>
      </c>
      <c r="J299" t="s">
        <v>22</v>
      </c>
      <c r="K299" t="s">
        <v>28</v>
      </c>
      <c r="L299">
        <v>3866.2</v>
      </c>
      <c r="M299">
        <v>22.3</v>
      </c>
      <c r="N299">
        <v>2024</v>
      </c>
      <c r="O299">
        <v>2</v>
      </c>
      <c r="P299" t="s">
        <v>24</v>
      </c>
      <c r="Q299">
        <v>1110.72</v>
      </c>
      <c r="R299" t="s">
        <v>29</v>
      </c>
      <c r="S299">
        <v>3.4808052434456926</v>
      </c>
      <c r="T299" t="s">
        <v>78</v>
      </c>
    </row>
    <row r="300" spans="1:20" x14ac:dyDescent="0.25">
      <c r="A300" s="11">
        <v>45075</v>
      </c>
      <c r="B300" t="s">
        <v>35</v>
      </c>
      <c r="C300" t="s">
        <v>36</v>
      </c>
      <c r="D300" t="s">
        <v>37</v>
      </c>
      <c r="E300" t="s">
        <v>38</v>
      </c>
      <c r="F300">
        <v>603</v>
      </c>
      <c r="G300">
        <v>5.22</v>
      </c>
      <c r="H300">
        <v>3147.66</v>
      </c>
      <c r="I300" t="s">
        <v>26</v>
      </c>
      <c r="J300" t="s">
        <v>27</v>
      </c>
      <c r="K300" t="s">
        <v>23</v>
      </c>
      <c r="L300">
        <v>2037.19</v>
      </c>
      <c r="M300">
        <v>35.299999999999997</v>
      </c>
      <c r="N300">
        <v>2023</v>
      </c>
      <c r="O300">
        <v>2</v>
      </c>
      <c r="P300" t="s">
        <v>67</v>
      </c>
      <c r="Q300">
        <v>1110.47</v>
      </c>
      <c r="R300" t="s">
        <v>25</v>
      </c>
      <c r="S300">
        <v>1.8345295235350798</v>
      </c>
      <c r="T300" t="s">
        <v>78</v>
      </c>
    </row>
    <row r="301" spans="1:20" x14ac:dyDescent="0.25">
      <c r="A301" s="11">
        <v>45008</v>
      </c>
      <c r="B301" t="s">
        <v>30</v>
      </c>
      <c r="C301" t="s">
        <v>31</v>
      </c>
      <c r="D301" t="s">
        <v>32</v>
      </c>
      <c r="E301" t="s">
        <v>20</v>
      </c>
      <c r="F301">
        <v>756</v>
      </c>
      <c r="G301">
        <v>5.85</v>
      </c>
      <c r="H301">
        <v>4422.6000000000004</v>
      </c>
      <c r="I301" t="s">
        <v>33</v>
      </c>
      <c r="J301" t="s">
        <v>56</v>
      </c>
      <c r="K301" t="s">
        <v>41</v>
      </c>
      <c r="L301">
        <v>3318.82</v>
      </c>
      <c r="M301">
        <v>25</v>
      </c>
      <c r="N301">
        <v>2023</v>
      </c>
      <c r="O301">
        <v>1</v>
      </c>
      <c r="P301" t="s">
        <v>62</v>
      </c>
      <c r="Q301">
        <v>1103.78</v>
      </c>
      <c r="R301" t="s">
        <v>29</v>
      </c>
      <c r="S301">
        <v>3.0067767127507294</v>
      </c>
      <c r="T301" t="s">
        <v>78</v>
      </c>
    </row>
    <row r="302" spans="1:20" x14ac:dyDescent="0.25">
      <c r="A302" s="11">
        <v>45056</v>
      </c>
      <c r="B302" t="s">
        <v>42</v>
      </c>
      <c r="C302" t="s">
        <v>43</v>
      </c>
      <c r="D302" t="s">
        <v>48</v>
      </c>
      <c r="E302" t="s">
        <v>38</v>
      </c>
      <c r="F302">
        <v>402</v>
      </c>
      <c r="G302">
        <v>7.43</v>
      </c>
      <c r="H302">
        <v>2986.86</v>
      </c>
      <c r="I302" t="s">
        <v>55</v>
      </c>
      <c r="J302" t="s">
        <v>56</v>
      </c>
      <c r="K302" t="s">
        <v>23</v>
      </c>
      <c r="L302">
        <v>1889.58</v>
      </c>
      <c r="M302">
        <v>36.700000000000003</v>
      </c>
      <c r="N302">
        <v>2023</v>
      </c>
      <c r="O302">
        <v>2</v>
      </c>
      <c r="P302" t="s">
        <v>65</v>
      </c>
      <c r="Q302">
        <v>1097.28</v>
      </c>
      <c r="R302" t="s">
        <v>25</v>
      </c>
      <c r="S302">
        <v>1.7220581802274715</v>
      </c>
      <c r="T302" t="s">
        <v>78</v>
      </c>
    </row>
    <row r="303" spans="1:20" x14ac:dyDescent="0.25">
      <c r="A303" s="11">
        <v>45109</v>
      </c>
      <c r="B303" t="s">
        <v>35</v>
      </c>
      <c r="C303" t="s">
        <v>36</v>
      </c>
      <c r="D303" t="s">
        <v>32</v>
      </c>
      <c r="E303" t="s">
        <v>20</v>
      </c>
      <c r="F303">
        <v>742</v>
      </c>
      <c r="G303">
        <v>8.36</v>
      </c>
      <c r="H303">
        <v>6203.12</v>
      </c>
      <c r="I303" t="s">
        <v>39</v>
      </c>
      <c r="J303" t="s">
        <v>56</v>
      </c>
      <c r="K303" t="s">
        <v>28</v>
      </c>
      <c r="L303">
        <v>5105.8500000000004</v>
      </c>
      <c r="M303">
        <v>17.7</v>
      </c>
      <c r="N303">
        <v>2024</v>
      </c>
      <c r="O303">
        <v>3</v>
      </c>
      <c r="P303" t="s">
        <v>61</v>
      </c>
      <c r="Q303">
        <v>1097.27</v>
      </c>
      <c r="R303" t="s">
        <v>29</v>
      </c>
      <c r="S303">
        <v>4.6532302897190307</v>
      </c>
      <c r="T303" t="s">
        <v>78</v>
      </c>
    </row>
    <row r="304" spans="1:20" x14ac:dyDescent="0.25">
      <c r="A304" s="11">
        <v>45108</v>
      </c>
      <c r="B304" t="s">
        <v>58</v>
      </c>
      <c r="C304" t="s">
        <v>59</v>
      </c>
      <c r="D304" t="s">
        <v>45</v>
      </c>
      <c r="E304" t="s">
        <v>20</v>
      </c>
      <c r="F304">
        <v>616</v>
      </c>
      <c r="G304">
        <v>5.52</v>
      </c>
      <c r="H304">
        <v>3400.32</v>
      </c>
      <c r="I304" t="s">
        <v>33</v>
      </c>
      <c r="J304" t="s">
        <v>34</v>
      </c>
      <c r="K304" t="s">
        <v>28</v>
      </c>
      <c r="L304">
        <v>2304.5100000000002</v>
      </c>
      <c r="M304">
        <v>32.200000000000003</v>
      </c>
      <c r="N304">
        <v>2024</v>
      </c>
      <c r="O304">
        <v>3</v>
      </c>
      <c r="P304" t="s">
        <v>61</v>
      </c>
      <c r="Q304">
        <v>1095.81</v>
      </c>
      <c r="R304" t="s">
        <v>25</v>
      </c>
      <c r="S304">
        <v>2.1030196840693187</v>
      </c>
      <c r="T304" t="s">
        <v>78</v>
      </c>
    </row>
    <row r="305" spans="1:20" x14ac:dyDescent="0.25">
      <c r="A305" s="11">
        <v>45128</v>
      </c>
      <c r="B305" t="s">
        <v>42</v>
      </c>
      <c r="C305" t="s">
        <v>43</v>
      </c>
      <c r="D305" t="s">
        <v>48</v>
      </c>
      <c r="E305" t="s">
        <v>38</v>
      </c>
      <c r="F305">
        <v>754</v>
      </c>
      <c r="G305">
        <v>4.24</v>
      </c>
      <c r="H305">
        <v>3196.96</v>
      </c>
      <c r="I305" t="s">
        <v>33</v>
      </c>
      <c r="J305" t="s">
        <v>22</v>
      </c>
      <c r="K305" t="s">
        <v>23</v>
      </c>
      <c r="L305">
        <v>2106.9299999999998</v>
      </c>
      <c r="M305">
        <v>34.1</v>
      </c>
      <c r="N305">
        <v>2025</v>
      </c>
      <c r="O305">
        <v>3</v>
      </c>
      <c r="P305" t="s">
        <v>60</v>
      </c>
      <c r="Q305">
        <v>1090.03</v>
      </c>
      <c r="R305" t="s">
        <v>25</v>
      </c>
      <c r="S305">
        <v>1.9329101033916496</v>
      </c>
      <c r="T305" t="s">
        <v>78</v>
      </c>
    </row>
    <row r="306" spans="1:20" x14ac:dyDescent="0.25">
      <c r="A306" s="11">
        <v>44999</v>
      </c>
      <c r="B306" t="s">
        <v>17</v>
      </c>
      <c r="C306" t="s">
        <v>18</v>
      </c>
      <c r="D306" t="s">
        <v>19</v>
      </c>
      <c r="E306" t="s">
        <v>20</v>
      </c>
      <c r="F306">
        <v>731</v>
      </c>
      <c r="G306">
        <v>11.05</v>
      </c>
      <c r="H306">
        <v>8077.55</v>
      </c>
      <c r="I306" t="s">
        <v>55</v>
      </c>
      <c r="J306" t="s">
        <v>27</v>
      </c>
      <c r="K306" t="s">
        <v>23</v>
      </c>
      <c r="L306">
        <v>6987.53</v>
      </c>
      <c r="M306">
        <v>13.5</v>
      </c>
      <c r="N306">
        <v>2023</v>
      </c>
      <c r="O306">
        <v>1</v>
      </c>
      <c r="P306" t="s">
        <v>61</v>
      </c>
      <c r="Q306">
        <v>1090.02</v>
      </c>
      <c r="R306" t="s">
        <v>29</v>
      </c>
      <c r="S306">
        <v>6.4104603585255315</v>
      </c>
      <c r="T306" t="s">
        <v>78</v>
      </c>
    </row>
    <row r="307" spans="1:20" x14ac:dyDescent="0.25">
      <c r="A307" s="11">
        <v>45049</v>
      </c>
      <c r="B307" t="s">
        <v>58</v>
      </c>
      <c r="C307" t="s">
        <v>59</v>
      </c>
      <c r="D307" t="s">
        <v>44</v>
      </c>
      <c r="E307" t="s">
        <v>38</v>
      </c>
      <c r="F307">
        <v>406</v>
      </c>
      <c r="G307">
        <v>11.72</v>
      </c>
      <c r="H307">
        <v>4758.32</v>
      </c>
      <c r="I307" t="s">
        <v>46</v>
      </c>
      <c r="J307" t="s">
        <v>40</v>
      </c>
      <c r="K307" t="s">
        <v>41</v>
      </c>
      <c r="L307">
        <v>3674.17</v>
      </c>
      <c r="M307">
        <v>22.8</v>
      </c>
      <c r="N307">
        <v>2023</v>
      </c>
      <c r="O307">
        <v>2</v>
      </c>
      <c r="P307" t="s">
        <v>64</v>
      </c>
      <c r="Q307">
        <v>1084.1500000000001</v>
      </c>
      <c r="R307" t="s">
        <v>29</v>
      </c>
      <c r="S307">
        <v>3.3889867638241937</v>
      </c>
      <c r="T307" t="s">
        <v>78</v>
      </c>
    </row>
    <row r="308" spans="1:20" x14ac:dyDescent="0.25">
      <c r="A308" s="11">
        <v>45051</v>
      </c>
      <c r="B308" t="s">
        <v>42</v>
      </c>
      <c r="C308" t="s">
        <v>43</v>
      </c>
      <c r="D308" t="s">
        <v>19</v>
      </c>
      <c r="E308" t="s">
        <v>20</v>
      </c>
      <c r="F308">
        <v>585</v>
      </c>
      <c r="G308">
        <v>7.41</v>
      </c>
      <c r="H308">
        <v>4334.8500000000004</v>
      </c>
      <c r="I308" t="s">
        <v>26</v>
      </c>
      <c r="J308" t="s">
        <v>34</v>
      </c>
      <c r="K308" t="s">
        <v>41</v>
      </c>
      <c r="L308">
        <v>3254.21</v>
      </c>
      <c r="M308">
        <v>24.9</v>
      </c>
      <c r="N308">
        <v>2023</v>
      </c>
      <c r="O308">
        <v>2</v>
      </c>
      <c r="P308" t="s">
        <v>64</v>
      </c>
      <c r="Q308">
        <v>1080.6400000000001</v>
      </c>
      <c r="R308" t="s">
        <v>29</v>
      </c>
      <c r="S308">
        <v>3.0113728901391768</v>
      </c>
      <c r="T308" t="s">
        <v>78</v>
      </c>
    </row>
    <row r="309" spans="1:20" x14ac:dyDescent="0.25">
      <c r="A309" s="11">
        <v>45080</v>
      </c>
      <c r="B309" t="s">
        <v>51</v>
      </c>
      <c r="C309" t="s">
        <v>52</v>
      </c>
      <c r="D309" t="s">
        <v>19</v>
      </c>
      <c r="E309" t="s">
        <v>20</v>
      </c>
      <c r="F309">
        <v>661</v>
      </c>
      <c r="G309">
        <v>10.19</v>
      </c>
      <c r="H309">
        <v>6735.59</v>
      </c>
      <c r="I309" t="s">
        <v>39</v>
      </c>
      <c r="J309" t="s">
        <v>34</v>
      </c>
      <c r="K309" t="s">
        <v>28</v>
      </c>
      <c r="L309">
        <v>5659.92</v>
      </c>
      <c r="M309">
        <v>16</v>
      </c>
      <c r="N309">
        <v>2023</v>
      </c>
      <c r="O309">
        <v>2</v>
      </c>
      <c r="P309" t="s">
        <v>68</v>
      </c>
      <c r="Q309">
        <v>1075.67</v>
      </c>
      <c r="R309" t="s">
        <v>29</v>
      </c>
      <c r="S309">
        <v>5.2617624364349656</v>
      </c>
      <c r="T309" t="s">
        <v>78</v>
      </c>
    </row>
    <row r="310" spans="1:20" x14ac:dyDescent="0.25">
      <c r="A310" s="11">
        <v>45075</v>
      </c>
      <c r="B310" t="s">
        <v>51</v>
      </c>
      <c r="C310" t="s">
        <v>52</v>
      </c>
      <c r="D310" t="s">
        <v>49</v>
      </c>
      <c r="E310" t="s">
        <v>50</v>
      </c>
      <c r="F310">
        <v>891</v>
      </c>
      <c r="G310">
        <v>9.77</v>
      </c>
      <c r="H310">
        <v>8705.07</v>
      </c>
      <c r="I310" t="s">
        <v>54</v>
      </c>
      <c r="J310" t="s">
        <v>22</v>
      </c>
      <c r="K310" t="s">
        <v>28</v>
      </c>
      <c r="L310">
        <v>7633.56</v>
      </c>
      <c r="M310">
        <v>12.3</v>
      </c>
      <c r="N310">
        <v>2023</v>
      </c>
      <c r="O310">
        <v>2</v>
      </c>
      <c r="P310" t="s">
        <v>67</v>
      </c>
      <c r="Q310">
        <v>1071.51</v>
      </c>
      <c r="R310" t="s">
        <v>29</v>
      </c>
      <c r="S310">
        <v>7.1241145672928861</v>
      </c>
      <c r="T310" t="s">
        <v>78</v>
      </c>
    </row>
    <row r="311" spans="1:20" x14ac:dyDescent="0.25">
      <c r="A311" s="11">
        <v>45014</v>
      </c>
      <c r="B311" t="s">
        <v>58</v>
      </c>
      <c r="C311" t="s">
        <v>59</v>
      </c>
      <c r="D311" t="s">
        <v>49</v>
      </c>
      <c r="E311" t="s">
        <v>50</v>
      </c>
      <c r="F311">
        <v>477</v>
      </c>
      <c r="G311">
        <v>5.77</v>
      </c>
      <c r="H311">
        <v>2752.29</v>
      </c>
      <c r="I311" t="s">
        <v>57</v>
      </c>
      <c r="J311" t="s">
        <v>27</v>
      </c>
      <c r="K311" t="s">
        <v>41</v>
      </c>
      <c r="L311">
        <v>1680.8</v>
      </c>
      <c r="M311">
        <v>38.9</v>
      </c>
      <c r="N311">
        <v>2023</v>
      </c>
      <c r="O311">
        <v>1</v>
      </c>
      <c r="P311" t="s">
        <v>62</v>
      </c>
      <c r="Q311">
        <v>1071.49</v>
      </c>
      <c r="R311" t="s">
        <v>25</v>
      </c>
      <c r="S311">
        <v>1.5686567303474601</v>
      </c>
      <c r="T311" t="s">
        <v>78</v>
      </c>
    </row>
    <row r="312" spans="1:20" x14ac:dyDescent="0.25">
      <c r="A312" s="11">
        <v>44990</v>
      </c>
      <c r="B312" t="s">
        <v>58</v>
      </c>
      <c r="C312" t="s">
        <v>59</v>
      </c>
      <c r="D312" t="s">
        <v>32</v>
      </c>
      <c r="E312" t="s">
        <v>20</v>
      </c>
      <c r="F312">
        <v>448</v>
      </c>
      <c r="G312">
        <v>6.81</v>
      </c>
      <c r="H312">
        <v>3050.88</v>
      </c>
      <c r="I312" t="s">
        <v>33</v>
      </c>
      <c r="J312" t="s">
        <v>56</v>
      </c>
      <c r="K312" t="s">
        <v>23</v>
      </c>
      <c r="L312">
        <v>1982.63</v>
      </c>
      <c r="M312">
        <v>35</v>
      </c>
      <c r="N312">
        <v>2023</v>
      </c>
      <c r="O312">
        <v>1</v>
      </c>
      <c r="P312" t="s">
        <v>61</v>
      </c>
      <c r="Q312">
        <v>1068.25</v>
      </c>
      <c r="R312" t="s">
        <v>25</v>
      </c>
      <c r="S312">
        <v>1.8559606833606366</v>
      </c>
      <c r="T312" t="s">
        <v>78</v>
      </c>
    </row>
    <row r="313" spans="1:20" x14ac:dyDescent="0.25">
      <c r="A313" s="11">
        <v>45120</v>
      </c>
      <c r="B313" t="s">
        <v>17</v>
      </c>
      <c r="C313" t="s">
        <v>18</v>
      </c>
      <c r="D313" t="s">
        <v>32</v>
      </c>
      <c r="E313" t="s">
        <v>20</v>
      </c>
      <c r="F313">
        <v>833</v>
      </c>
      <c r="G313">
        <v>5.44</v>
      </c>
      <c r="H313">
        <v>4531.5200000000004</v>
      </c>
      <c r="I313" t="s">
        <v>33</v>
      </c>
      <c r="J313" t="s">
        <v>56</v>
      </c>
      <c r="K313" t="s">
        <v>41</v>
      </c>
      <c r="L313">
        <v>3464.01</v>
      </c>
      <c r="M313">
        <v>23.6</v>
      </c>
      <c r="N313">
        <v>2024</v>
      </c>
      <c r="O313">
        <v>3</v>
      </c>
      <c r="P313" t="s">
        <v>65</v>
      </c>
      <c r="Q313">
        <v>1067.51</v>
      </c>
      <c r="R313" t="s">
        <v>29</v>
      </c>
      <c r="S313">
        <v>3.2449438412754916</v>
      </c>
      <c r="T313" t="s">
        <v>78</v>
      </c>
    </row>
    <row r="314" spans="1:20" x14ac:dyDescent="0.25">
      <c r="A314" s="11">
        <v>45007</v>
      </c>
      <c r="B314" t="s">
        <v>58</v>
      </c>
      <c r="C314" t="s">
        <v>59</v>
      </c>
      <c r="D314" t="s">
        <v>37</v>
      </c>
      <c r="E314" t="s">
        <v>38</v>
      </c>
      <c r="F314">
        <v>588</v>
      </c>
      <c r="G314">
        <v>10.24</v>
      </c>
      <c r="H314">
        <v>6021.12</v>
      </c>
      <c r="I314" t="s">
        <v>21</v>
      </c>
      <c r="J314" t="s">
        <v>27</v>
      </c>
      <c r="K314" t="s">
        <v>28</v>
      </c>
      <c r="L314">
        <v>4956.1499999999996</v>
      </c>
      <c r="M314">
        <v>17.7</v>
      </c>
      <c r="N314">
        <v>2023</v>
      </c>
      <c r="O314">
        <v>1</v>
      </c>
      <c r="P314" t="s">
        <v>62</v>
      </c>
      <c r="Q314">
        <v>1064.97</v>
      </c>
      <c r="R314" t="s">
        <v>29</v>
      </c>
      <c r="S314">
        <v>4.6537930645933683</v>
      </c>
      <c r="T314" t="s">
        <v>78</v>
      </c>
    </row>
    <row r="315" spans="1:20" x14ac:dyDescent="0.25">
      <c r="A315" s="11">
        <v>44956</v>
      </c>
      <c r="B315" t="s">
        <v>35</v>
      </c>
      <c r="C315" t="s">
        <v>36</v>
      </c>
      <c r="D315" t="s">
        <v>37</v>
      </c>
      <c r="E315" t="s">
        <v>38</v>
      </c>
      <c r="F315">
        <v>848</v>
      </c>
      <c r="G315">
        <v>11.73</v>
      </c>
      <c r="H315">
        <v>9947.0400000000009</v>
      </c>
      <c r="I315" t="s">
        <v>54</v>
      </c>
      <c r="J315" t="s">
        <v>27</v>
      </c>
      <c r="K315" t="s">
        <v>41</v>
      </c>
      <c r="L315">
        <v>8883.86</v>
      </c>
      <c r="M315">
        <v>10.7</v>
      </c>
      <c r="N315">
        <v>2023</v>
      </c>
      <c r="O315">
        <v>1</v>
      </c>
      <c r="P315" t="s">
        <v>60</v>
      </c>
      <c r="Q315">
        <v>1063.18</v>
      </c>
      <c r="R315" t="s">
        <v>29</v>
      </c>
      <c r="S315">
        <v>8.3559322033898304</v>
      </c>
      <c r="T315" t="s">
        <v>78</v>
      </c>
    </row>
    <row r="316" spans="1:20" x14ac:dyDescent="0.25">
      <c r="A316" s="11">
        <v>44977</v>
      </c>
      <c r="B316" t="s">
        <v>35</v>
      </c>
      <c r="C316" t="s">
        <v>36</v>
      </c>
      <c r="D316" t="s">
        <v>45</v>
      </c>
      <c r="E316" t="s">
        <v>20</v>
      </c>
      <c r="F316">
        <v>465</v>
      </c>
      <c r="G316">
        <v>9.57</v>
      </c>
      <c r="H316">
        <v>4450.05</v>
      </c>
      <c r="I316" t="s">
        <v>54</v>
      </c>
      <c r="J316" t="s">
        <v>56</v>
      </c>
      <c r="K316" t="s">
        <v>41</v>
      </c>
      <c r="L316">
        <v>3387.72</v>
      </c>
      <c r="M316">
        <v>23.9</v>
      </c>
      <c r="N316">
        <v>2023</v>
      </c>
      <c r="O316">
        <v>1</v>
      </c>
      <c r="P316" t="s">
        <v>60</v>
      </c>
      <c r="Q316">
        <v>1062.33</v>
      </c>
      <c r="R316" t="s">
        <v>29</v>
      </c>
      <c r="S316">
        <v>3.1889525853548331</v>
      </c>
      <c r="T316" t="s">
        <v>78</v>
      </c>
    </row>
    <row r="317" spans="1:20" x14ac:dyDescent="0.25">
      <c r="A317" s="11">
        <v>45097</v>
      </c>
      <c r="B317" t="s">
        <v>17</v>
      </c>
      <c r="C317" t="s">
        <v>18</v>
      </c>
      <c r="D317" t="s">
        <v>19</v>
      </c>
      <c r="E317" t="s">
        <v>20</v>
      </c>
      <c r="F317">
        <v>653</v>
      </c>
      <c r="G317">
        <v>7.08</v>
      </c>
      <c r="H317">
        <v>4623.24</v>
      </c>
      <c r="I317" t="s">
        <v>55</v>
      </c>
      <c r="J317" t="s">
        <v>34</v>
      </c>
      <c r="K317" t="s">
        <v>23</v>
      </c>
      <c r="L317">
        <v>3561.79</v>
      </c>
      <c r="M317">
        <v>23</v>
      </c>
      <c r="N317">
        <v>2024</v>
      </c>
      <c r="O317">
        <v>2</v>
      </c>
      <c r="P317" t="s">
        <v>24</v>
      </c>
      <c r="Q317">
        <v>1061.45</v>
      </c>
      <c r="R317" t="s">
        <v>29</v>
      </c>
      <c r="S317">
        <v>3.355589052710914</v>
      </c>
      <c r="T317" t="s">
        <v>78</v>
      </c>
    </row>
    <row r="318" spans="1:20" x14ac:dyDescent="0.25">
      <c r="A318" s="11">
        <v>45046</v>
      </c>
      <c r="B318" t="s">
        <v>30</v>
      </c>
      <c r="C318" t="s">
        <v>31</v>
      </c>
      <c r="D318" t="s">
        <v>48</v>
      </c>
      <c r="E318" t="s">
        <v>38</v>
      </c>
      <c r="F318">
        <v>528</v>
      </c>
      <c r="G318">
        <v>9.66</v>
      </c>
      <c r="H318">
        <v>5100.4799999999996</v>
      </c>
      <c r="I318" t="s">
        <v>54</v>
      </c>
      <c r="J318" t="s">
        <v>56</v>
      </c>
      <c r="K318" t="s">
        <v>23</v>
      </c>
      <c r="L318">
        <v>4039.08</v>
      </c>
      <c r="M318">
        <v>20.8</v>
      </c>
      <c r="N318">
        <v>2023</v>
      </c>
      <c r="O318">
        <v>2</v>
      </c>
      <c r="P318" t="s">
        <v>64</v>
      </c>
      <c r="Q318">
        <v>1061.4000000000001</v>
      </c>
      <c r="R318" t="s">
        <v>29</v>
      </c>
      <c r="S318">
        <v>3.8054267947993212</v>
      </c>
      <c r="T318" t="s">
        <v>78</v>
      </c>
    </row>
    <row r="319" spans="1:20" x14ac:dyDescent="0.25">
      <c r="A319" s="11">
        <v>45030</v>
      </c>
      <c r="B319" t="s">
        <v>17</v>
      </c>
      <c r="C319" t="s">
        <v>18</v>
      </c>
      <c r="D319" t="s">
        <v>48</v>
      </c>
      <c r="E319" t="s">
        <v>38</v>
      </c>
      <c r="F319">
        <v>733</v>
      </c>
      <c r="G319">
        <v>4.01</v>
      </c>
      <c r="H319">
        <v>2939.33</v>
      </c>
      <c r="I319" t="s">
        <v>26</v>
      </c>
      <c r="J319" t="s">
        <v>40</v>
      </c>
      <c r="K319" t="s">
        <v>41</v>
      </c>
      <c r="L319">
        <v>1878.74</v>
      </c>
      <c r="M319">
        <v>36.1</v>
      </c>
      <c r="N319">
        <v>2023</v>
      </c>
      <c r="O319">
        <v>2</v>
      </c>
      <c r="P319" t="s">
        <v>63</v>
      </c>
      <c r="Q319">
        <v>1060.5899999999999</v>
      </c>
      <c r="R319" t="s">
        <v>25</v>
      </c>
      <c r="S319">
        <v>1.771410252783828</v>
      </c>
      <c r="T319" t="s">
        <v>78</v>
      </c>
    </row>
    <row r="320" spans="1:20" x14ac:dyDescent="0.25">
      <c r="A320" s="11">
        <v>45061</v>
      </c>
      <c r="B320" t="s">
        <v>42</v>
      </c>
      <c r="C320" t="s">
        <v>43</v>
      </c>
      <c r="D320" t="s">
        <v>32</v>
      </c>
      <c r="E320" t="s">
        <v>20</v>
      </c>
      <c r="F320">
        <v>423</v>
      </c>
      <c r="G320">
        <v>7.59</v>
      </c>
      <c r="H320">
        <v>3210.57</v>
      </c>
      <c r="I320" t="s">
        <v>26</v>
      </c>
      <c r="J320" t="s">
        <v>22</v>
      </c>
      <c r="K320" t="s">
        <v>23</v>
      </c>
      <c r="L320">
        <v>2155.37</v>
      </c>
      <c r="M320">
        <v>32.9</v>
      </c>
      <c r="N320">
        <v>2023</v>
      </c>
      <c r="O320">
        <v>2</v>
      </c>
      <c r="P320" t="s">
        <v>65</v>
      </c>
      <c r="Q320">
        <v>1055.2</v>
      </c>
      <c r="R320" t="s">
        <v>25</v>
      </c>
      <c r="S320">
        <v>2.042617513267627</v>
      </c>
      <c r="T320" t="s">
        <v>78</v>
      </c>
    </row>
    <row r="321" spans="1:20" x14ac:dyDescent="0.25">
      <c r="A321" s="11">
        <v>45119</v>
      </c>
      <c r="B321" t="s">
        <v>17</v>
      </c>
      <c r="C321" t="s">
        <v>18</v>
      </c>
      <c r="D321" t="s">
        <v>37</v>
      </c>
      <c r="E321" t="s">
        <v>38</v>
      </c>
      <c r="F321">
        <v>383</v>
      </c>
      <c r="G321">
        <v>10.68</v>
      </c>
      <c r="H321">
        <v>4090.44</v>
      </c>
      <c r="I321" t="s">
        <v>26</v>
      </c>
      <c r="J321" t="s">
        <v>40</v>
      </c>
      <c r="K321" t="s">
        <v>41</v>
      </c>
      <c r="L321">
        <v>3035.26</v>
      </c>
      <c r="M321">
        <v>25.8</v>
      </c>
      <c r="N321">
        <v>2024</v>
      </c>
      <c r="O321">
        <v>3</v>
      </c>
      <c r="P321" t="s">
        <v>65</v>
      </c>
      <c r="Q321">
        <v>1055.18</v>
      </c>
      <c r="R321" t="s">
        <v>25</v>
      </c>
      <c r="S321">
        <v>2.8765329138156521</v>
      </c>
      <c r="T321" t="s">
        <v>78</v>
      </c>
    </row>
    <row r="322" spans="1:20" x14ac:dyDescent="0.25">
      <c r="A322" s="11">
        <v>45080</v>
      </c>
      <c r="B322" t="s">
        <v>42</v>
      </c>
      <c r="C322" t="s">
        <v>43</v>
      </c>
      <c r="D322" t="s">
        <v>49</v>
      </c>
      <c r="E322" t="s">
        <v>50</v>
      </c>
      <c r="F322">
        <v>374</v>
      </c>
      <c r="G322">
        <v>7.64</v>
      </c>
      <c r="H322">
        <v>2857.36</v>
      </c>
      <c r="I322" t="s">
        <v>54</v>
      </c>
      <c r="J322" t="s">
        <v>22</v>
      </c>
      <c r="K322" t="s">
        <v>28</v>
      </c>
      <c r="L322">
        <v>1803.74</v>
      </c>
      <c r="M322">
        <v>36.9</v>
      </c>
      <c r="N322">
        <v>2023</v>
      </c>
      <c r="O322">
        <v>2</v>
      </c>
      <c r="P322" t="s">
        <v>68</v>
      </c>
      <c r="Q322">
        <v>1053.6199999999999</v>
      </c>
      <c r="R322" t="s">
        <v>25</v>
      </c>
      <c r="S322">
        <v>1.7119454831912835</v>
      </c>
      <c r="T322" t="s">
        <v>78</v>
      </c>
    </row>
    <row r="323" spans="1:20" x14ac:dyDescent="0.25">
      <c r="A323" s="11">
        <v>44995</v>
      </c>
      <c r="B323" t="s">
        <v>17</v>
      </c>
      <c r="C323" t="s">
        <v>18</v>
      </c>
      <c r="D323" t="s">
        <v>19</v>
      </c>
      <c r="E323" t="s">
        <v>20</v>
      </c>
      <c r="F323">
        <v>980</v>
      </c>
      <c r="G323">
        <v>3.42</v>
      </c>
      <c r="H323">
        <v>3351.6</v>
      </c>
      <c r="I323" t="s">
        <v>26</v>
      </c>
      <c r="J323" t="s">
        <v>47</v>
      </c>
      <c r="K323" t="s">
        <v>41</v>
      </c>
      <c r="L323">
        <v>2301.19</v>
      </c>
      <c r="M323">
        <v>31.3</v>
      </c>
      <c r="N323">
        <v>2023</v>
      </c>
      <c r="O323">
        <v>1</v>
      </c>
      <c r="P323" t="s">
        <v>61</v>
      </c>
      <c r="Q323">
        <v>1050.4100000000001</v>
      </c>
      <c r="R323" t="s">
        <v>25</v>
      </c>
      <c r="S323">
        <v>2.1907540864995574</v>
      </c>
      <c r="T323" t="s">
        <v>78</v>
      </c>
    </row>
    <row r="324" spans="1:20" x14ac:dyDescent="0.25">
      <c r="A324" s="11">
        <v>45070</v>
      </c>
      <c r="B324" t="s">
        <v>30</v>
      </c>
      <c r="C324" t="s">
        <v>31</v>
      </c>
      <c r="D324" t="s">
        <v>45</v>
      </c>
      <c r="E324" t="s">
        <v>20</v>
      </c>
      <c r="F324">
        <v>956</v>
      </c>
      <c r="G324">
        <v>5.43</v>
      </c>
      <c r="H324">
        <v>5191.08</v>
      </c>
      <c r="I324" t="s">
        <v>21</v>
      </c>
      <c r="J324" t="s">
        <v>40</v>
      </c>
      <c r="K324" t="s">
        <v>41</v>
      </c>
      <c r="L324">
        <v>4143.6400000000003</v>
      </c>
      <c r="M324">
        <v>20.2</v>
      </c>
      <c r="N324">
        <v>2023</v>
      </c>
      <c r="O324">
        <v>2</v>
      </c>
      <c r="P324" t="s">
        <v>66</v>
      </c>
      <c r="Q324">
        <v>1047.44</v>
      </c>
      <c r="R324" t="s">
        <v>29</v>
      </c>
      <c r="S324">
        <v>3.9559688383105476</v>
      </c>
      <c r="T324" t="s">
        <v>78</v>
      </c>
    </row>
    <row r="325" spans="1:20" x14ac:dyDescent="0.25">
      <c r="A325" s="11">
        <v>45067</v>
      </c>
      <c r="B325" t="s">
        <v>51</v>
      </c>
      <c r="C325" t="s">
        <v>52</v>
      </c>
      <c r="D325" t="s">
        <v>45</v>
      </c>
      <c r="E325" t="s">
        <v>20</v>
      </c>
      <c r="F325">
        <v>946</v>
      </c>
      <c r="G325">
        <v>7.23</v>
      </c>
      <c r="H325">
        <v>6839.58</v>
      </c>
      <c r="I325" t="s">
        <v>26</v>
      </c>
      <c r="J325" t="s">
        <v>47</v>
      </c>
      <c r="K325" t="s">
        <v>41</v>
      </c>
      <c r="L325">
        <v>5792.84</v>
      </c>
      <c r="M325">
        <v>15.3</v>
      </c>
      <c r="N325">
        <v>2023</v>
      </c>
      <c r="O325">
        <v>2</v>
      </c>
      <c r="P325" t="s">
        <v>66</v>
      </c>
      <c r="Q325">
        <v>1046.74</v>
      </c>
      <c r="R325" t="s">
        <v>29</v>
      </c>
      <c r="S325">
        <v>5.5341727649655121</v>
      </c>
      <c r="T325" t="s">
        <v>78</v>
      </c>
    </row>
    <row r="326" spans="1:20" x14ac:dyDescent="0.25">
      <c r="A326" s="11">
        <v>45036</v>
      </c>
      <c r="B326" t="s">
        <v>35</v>
      </c>
      <c r="C326" t="s">
        <v>36</v>
      </c>
      <c r="D326" t="s">
        <v>44</v>
      </c>
      <c r="E326" t="s">
        <v>38</v>
      </c>
      <c r="F326">
        <v>886</v>
      </c>
      <c r="G326">
        <v>4.33</v>
      </c>
      <c r="H326">
        <v>3836.38</v>
      </c>
      <c r="I326" t="s">
        <v>33</v>
      </c>
      <c r="J326" t="s">
        <v>27</v>
      </c>
      <c r="K326" t="s">
        <v>41</v>
      </c>
      <c r="L326">
        <v>2789.85</v>
      </c>
      <c r="M326">
        <v>27.3</v>
      </c>
      <c r="N326">
        <v>2023</v>
      </c>
      <c r="O326">
        <v>2</v>
      </c>
      <c r="P326" t="s">
        <v>63</v>
      </c>
      <c r="Q326">
        <v>1046.53</v>
      </c>
      <c r="R326" t="s">
        <v>25</v>
      </c>
      <c r="S326">
        <v>2.665809866893448</v>
      </c>
      <c r="T326" t="s">
        <v>78</v>
      </c>
    </row>
    <row r="327" spans="1:20" x14ac:dyDescent="0.25">
      <c r="A327" s="11">
        <v>45049</v>
      </c>
      <c r="B327" t="s">
        <v>51</v>
      </c>
      <c r="C327" t="s">
        <v>52</v>
      </c>
      <c r="D327" t="s">
        <v>19</v>
      </c>
      <c r="E327" t="s">
        <v>20</v>
      </c>
      <c r="F327">
        <v>739</v>
      </c>
      <c r="G327">
        <v>4.8099999999999996</v>
      </c>
      <c r="H327">
        <v>3554.59</v>
      </c>
      <c r="I327" t="s">
        <v>54</v>
      </c>
      <c r="J327" t="s">
        <v>56</v>
      </c>
      <c r="K327" t="s">
        <v>23</v>
      </c>
      <c r="L327">
        <v>2510.17</v>
      </c>
      <c r="M327">
        <v>29.4</v>
      </c>
      <c r="N327">
        <v>2023</v>
      </c>
      <c r="O327">
        <v>2</v>
      </c>
      <c r="P327" t="s">
        <v>64</v>
      </c>
      <c r="Q327">
        <v>1044.42</v>
      </c>
      <c r="R327" t="s">
        <v>25</v>
      </c>
      <c r="S327">
        <v>2.403410505352253</v>
      </c>
      <c r="T327" t="s">
        <v>78</v>
      </c>
    </row>
    <row r="328" spans="1:20" x14ac:dyDescent="0.25">
      <c r="A328" s="11">
        <v>44979</v>
      </c>
      <c r="B328" t="s">
        <v>30</v>
      </c>
      <c r="C328" t="s">
        <v>31</v>
      </c>
      <c r="D328" t="s">
        <v>48</v>
      </c>
      <c r="E328" t="s">
        <v>38</v>
      </c>
      <c r="F328">
        <v>470</v>
      </c>
      <c r="G328">
        <v>8.5500000000000007</v>
      </c>
      <c r="H328">
        <v>4018.5</v>
      </c>
      <c r="I328" t="s">
        <v>57</v>
      </c>
      <c r="J328" t="s">
        <v>27</v>
      </c>
      <c r="K328" t="s">
        <v>41</v>
      </c>
      <c r="L328">
        <v>2975.53</v>
      </c>
      <c r="M328">
        <v>26</v>
      </c>
      <c r="N328">
        <v>2023</v>
      </c>
      <c r="O328">
        <v>1</v>
      </c>
      <c r="P328" t="s">
        <v>61</v>
      </c>
      <c r="Q328">
        <v>1042.97</v>
      </c>
      <c r="R328" t="s">
        <v>25</v>
      </c>
      <c r="S328">
        <v>2.8529392024698699</v>
      </c>
      <c r="T328" t="s">
        <v>78</v>
      </c>
    </row>
    <row r="329" spans="1:20" x14ac:dyDescent="0.25">
      <c r="A329" s="11">
        <v>45089</v>
      </c>
      <c r="B329" t="s">
        <v>17</v>
      </c>
      <c r="C329" t="s">
        <v>18</v>
      </c>
      <c r="D329" t="s">
        <v>19</v>
      </c>
      <c r="E329" t="s">
        <v>20</v>
      </c>
      <c r="F329">
        <v>446</v>
      </c>
      <c r="G329">
        <v>5.84</v>
      </c>
      <c r="H329">
        <v>2604.64</v>
      </c>
      <c r="I329" t="s">
        <v>33</v>
      </c>
      <c r="J329" t="s">
        <v>47</v>
      </c>
      <c r="K329" t="s">
        <v>23</v>
      </c>
      <c r="L329">
        <v>1564.3</v>
      </c>
      <c r="M329">
        <v>39.9</v>
      </c>
      <c r="N329">
        <v>2023</v>
      </c>
      <c r="O329">
        <v>2</v>
      </c>
      <c r="P329" t="s">
        <v>69</v>
      </c>
      <c r="Q329">
        <v>1040.3399999999999</v>
      </c>
      <c r="R329" t="s">
        <v>25</v>
      </c>
      <c r="S329">
        <v>1.5036430397754581</v>
      </c>
      <c r="T329" t="s">
        <v>78</v>
      </c>
    </row>
    <row r="330" spans="1:20" x14ac:dyDescent="0.25">
      <c r="A330" s="11">
        <v>45079</v>
      </c>
      <c r="B330" t="s">
        <v>51</v>
      </c>
      <c r="C330" t="s">
        <v>52</v>
      </c>
      <c r="D330" t="s">
        <v>37</v>
      </c>
      <c r="E330" t="s">
        <v>38</v>
      </c>
      <c r="F330">
        <v>849</v>
      </c>
      <c r="G330">
        <v>7.8</v>
      </c>
      <c r="H330">
        <v>6622.2</v>
      </c>
      <c r="I330" t="s">
        <v>39</v>
      </c>
      <c r="J330" t="s">
        <v>56</v>
      </c>
      <c r="K330" t="s">
        <v>28</v>
      </c>
      <c r="L330">
        <v>5584.73</v>
      </c>
      <c r="M330">
        <v>15.7</v>
      </c>
      <c r="N330">
        <v>2023</v>
      </c>
      <c r="O330">
        <v>2</v>
      </c>
      <c r="P330" t="s">
        <v>68</v>
      </c>
      <c r="Q330">
        <v>1037.47</v>
      </c>
      <c r="R330" t="s">
        <v>29</v>
      </c>
      <c r="S330">
        <v>5.3830279429766641</v>
      </c>
      <c r="T330" t="s">
        <v>78</v>
      </c>
    </row>
    <row r="331" spans="1:20" x14ac:dyDescent="0.25">
      <c r="A331" s="11">
        <v>45083</v>
      </c>
      <c r="B331" t="s">
        <v>42</v>
      </c>
      <c r="C331" t="s">
        <v>43</v>
      </c>
      <c r="D331" t="s">
        <v>48</v>
      </c>
      <c r="E331" t="s">
        <v>38</v>
      </c>
      <c r="F331">
        <v>707</v>
      </c>
      <c r="G331">
        <v>7.28</v>
      </c>
      <c r="H331">
        <v>5146.96</v>
      </c>
      <c r="I331" t="s">
        <v>55</v>
      </c>
      <c r="J331" t="s">
        <v>47</v>
      </c>
      <c r="K331" t="s">
        <v>41</v>
      </c>
      <c r="L331">
        <v>4110.75</v>
      </c>
      <c r="M331">
        <v>20.100000000000001</v>
      </c>
      <c r="N331">
        <v>2023</v>
      </c>
      <c r="O331">
        <v>2</v>
      </c>
      <c r="P331" t="s">
        <v>68</v>
      </c>
      <c r="Q331">
        <v>1036.21</v>
      </c>
      <c r="R331" t="s">
        <v>29</v>
      </c>
      <c r="S331">
        <v>3.9671012632574478</v>
      </c>
      <c r="T331" t="s">
        <v>78</v>
      </c>
    </row>
    <row r="332" spans="1:20" x14ac:dyDescent="0.25">
      <c r="A332" s="11">
        <v>44977</v>
      </c>
      <c r="B332" t="s">
        <v>42</v>
      </c>
      <c r="C332" t="s">
        <v>43</v>
      </c>
      <c r="D332" t="s">
        <v>32</v>
      </c>
      <c r="E332" t="s">
        <v>20</v>
      </c>
      <c r="F332">
        <v>801</v>
      </c>
      <c r="G332">
        <v>4.1100000000000003</v>
      </c>
      <c r="H332">
        <v>3292.11</v>
      </c>
      <c r="I332" t="s">
        <v>55</v>
      </c>
      <c r="J332" t="s">
        <v>40</v>
      </c>
      <c r="K332" t="s">
        <v>23</v>
      </c>
      <c r="L332">
        <v>2257.8000000000002</v>
      </c>
      <c r="M332">
        <v>31.4</v>
      </c>
      <c r="N332">
        <v>2023</v>
      </c>
      <c r="O332">
        <v>1</v>
      </c>
      <c r="P332" t="s">
        <v>61</v>
      </c>
      <c r="Q332">
        <v>1034.31</v>
      </c>
      <c r="R332" t="s">
        <v>25</v>
      </c>
      <c r="S332">
        <v>2.1829045450590252</v>
      </c>
      <c r="T332" t="s">
        <v>78</v>
      </c>
    </row>
    <row r="333" spans="1:20" x14ac:dyDescent="0.25">
      <c r="A333" s="11">
        <v>44978</v>
      </c>
      <c r="B333" t="s">
        <v>35</v>
      </c>
      <c r="C333" t="s">
        <v>36</v>
      </c>
      <c r="D333" t="s">
        <v>37</v>
      </c>
      <c r="E333" t="s">
        <v>38</v>
      </c>
      <c r="F333">
        <v>759</v>
      </c>
      <c r="G333">
        <v>6.39</v>
      </c>
      <c r="H333">
        <v>4850.01</v>
      </c>
      <c r="I333" t="s">
        <v>54</v>
      </c>
      <c r="J333" t="s">
        <v>40</v>
      </c>
      <c r="K333" t="s">
        <v>41</v>
      </c>
      <c r="L333">
        <v>3818.31</v>
      </c>
      <c r="M333">
        <v>21.3</v>
      </c>
      <c r="N333">
        <v>2023</v>
      </c>
      <c r="O333">
        <v>1</v>
      </c>
      <c r="P333" t="s">
        <v>61</v>
      </c>
      <c r="Q333">
        <v>1031.7</v>
      </c>
      <c r="R333" t="s">
        <v>29</v>
      </c>
      <c r="S333">
        <v>3.7009886594940387</v>
      </c>
      <c r="T333" t="s">
        <v>78</v>
      </c>
    </row>
    <row r="334" spans="1:20" x14ac:dyDescent="0.25">
      <c r="A334" s="11">
        <v>45075</v>
      </c>
      <c r="B334" t="s">
        <v>35</v>
      </c>
      <c r="C334" t="s">
        <v>36</v>
      </c>
      <c r="D334" t="s">
        <v>48</v>
      </c>
      <c r="E334" t="s">
        <v>38</v>
      </c>
      <c r="F334">
        <v>696</v>
      </c>
      <c r="G334">
        <v>7.79</v>
      </c>
      <c r="H334">
        <v>5421.84</v>
      </c>
      <c r="I334" t="s">
        <v>57</v>
      </c>
      <c r="J334" t="s">
        <v>56</v>
      </c>
      <c r="K334" t="s">
        <v>23</v>
      </c>
      <c r="L334">
        <v>4393.6099999999997</v>
      </c>
      <c r="M334">
        <v>19</v>
      </c>
      <c r="N334">
        <v>2023</v>
      </c>
      <c r="O334">
        <v>2</v>
      </c>
      <c r="P334" t="s">
        <v>67</v>
      </c>
      <c r="Q334">
        <v>1028.23</v>
      </c>
      <c r="R334" t="s">
        <v>29</v>
      </c>
      <c r="S334">
        <v>4.2729836709685571</v>
      </c>
      <c r="T334" t="s">
        <v>78</v>
      </c>
    </row>
    <row r="335" spans="1:20" x14ac:dyDescent="0.25">
      <c r="A335" s="11">
        <v>45070</v>
      </c>
      <c r="B335" t="s">
        <v>42</v>
      </c>
      <c r="C335" t="s">
        <v>43</v>
      </c>
      <c r="D335" t="s">
        <v>48</v>
      </c>
      <c r="E335" t="s">
        <v>38</v>
      </c>
      <c r="F335">
        <v>747</v>
      </c>
      <c r="G335">
        <v>5.0199999999999996</v>
      </c>
      <c r="H335">
        <v>3749.94</v>
      </c>
      <c r="I335" t="s">
        <v>39</v>
      </c>
      <c r="J335" t="s">
        <v>56</v>
      </c>
      <c r="K335" t="s">
        <v>23</v>
      </c>
      <c r="L335">
        <v>2721.8</v>
      </c>
      <c r="M335">
        <v>27.4</v>
      </c>
      <c r="N335">
        <v>2023</v>
      </c>
      <c r="O335">
        <v>2</v>
      </c>
      <c r="P335" t="s">
        <v>66</v>
      </c>
      <c r="Q335">
        <v>1028.1400000000001</v>
      </c>
      <c r="R335" t="s">
        <v>25</v>
      </c>
      <c r="S335">
        <v>2.6473048417530687</v>
      </c>
      <c r="T335" t="s">
        <v>78</v>
      </c>
    </row>
    <row r="336" spans="1:20" x14ac:dyDescent="0.25">
      <c r="A336" s="11">
        <v>45091</v>
      </c>
      <c r="B336" t="s">
        <v>51</v>
      </c>
      <c r="C336" t="s">
        <v>52</v>
      </c>
      <c r="D336" t="s">
        <v>53</v>
      </c>
      <c r="E336" t="s">
        <v>50</v>
      </c>
      <c r="F336">
        <v>313</v>
      </c>
      <c r="G336">
        <v>8.33</v>
      </c>
      <c r="H336">
        <v>2607.29</v>
      </c>
      <c r="I336" t="s">
        <v>26</v>
      </c>
      <c r="J336" t="s">
        <v>47</v>
      </c>
      <c r="K336" t="s">
        <v>23</v>
      </c>
      <c r="L336">
        <v>1579.36</v>
      </c>
      <c r="M336">
        <v>39.4</v>
      </c>
      <c r="N336">
        <v>2023</v>
      </c>
      <c r="O336">
        <v>2</v>
      </c>
      <c r="P336" t="s">
        <v>69</v>
      </c>
      <c r="Q336">
        <v>1027.93</v>
      </c>
      <c r="R336" t="s">
        <v>25</v>
      </c>
      <c r="S336">
        <v>1.5364470343311314</v>
      </c>
      <c r="T336" t="s">
        <v>78</v>
      </c>
    </row>
    <row r="337" spans="1:20" x14ac:dyDescent="0.25">
      <c r="A337" s="11">
        <v>45000</v>
      </c>
      <c r="B337" t="s">
        <v>42</v>
      </c>
      <c r="C337" t="s">
        <v>43</v>
      </c>
      <c r="D337" t="s">
        <v>44</v>
      </c>
      <c r="E337" t="s">
        <v>38</v>
      </c>
      <c r="F337">
        <v>834</v>
      </c>
      <c r="G337">
        <v>3.99</v>
      </c>
      <c r="H337">
        <v>3327.66</v>
      </c>
      <c r="I337" t="s">
        <v>39</v>
      </c>
      <c r="J337" t="s">
        <v>27</v>
      </c>
      <c r="K337" t="s">
        <v>41</v>
      </c>
      <c r="L337">
        <v>2308.02</v>
      </c>
      <c r="M337">
        <v>30.6</v>
      </c>
      <c r="N337">
        <v>2023</v>
      </c>
      <c r="O337">
        <v>1</v>
      </c>
      <c r="P337" t="s">
        <v>61</v>
      </c>
      <c r="Q337">
        <v>1019.64</v>
      </c>
      <c r="R337" t="s">
        <v>25</v>
      </c>
      <c r="S337">
        <v>2.2635636106861243</v>
      </c>
      <c r="T337" t="s">
        <v>78</v>
      </c>
    </row>
    <row r="338" spans="1:20" x14ac:dyDescent="0.25">
      <c r="A338" s="11">
        <v>45057</v>
      </c>
      <c r="B338" t="s">
        <v>30</v>
      </c>
      <c r="C338" t="s">
        <v>31</v>
      </c>
      <c r="D338" t="s">
        <v>37</v>
      </c>
      <c r="E338" t="s">
        <v>38</v>
      </c>
      <c r="F338">
        <v>628</v>
      </c>
      <c r="G338">
        <v>11.58</v>
      </c>
      <c r="H338">
        <v>7272.24</v>
      </c>
      <c r="I338" t="s">
        <v>55</v>
      </c>
      <c r="J338" t="s">
        <v>56</v>
      </c>
      <c r="K338" t="s">
        <v>41</v>
      </c>
      <c r="L338">
        <v>6254.21</v>
      </c>
      <c r="M338">
        <v>14</v>
      </c>
      <c r="N338">
        <v>2023</v>
      </c>
      <c r="O338">
        <v>2</v>
      </c>
      <c r="P338" t="s">
        <v>65</v>
      </c>
      <c r="Q338">
        <v>1018.03</v>
      </c>
      <c r="R338" t="s">
        <v>29</v>
      </c>
      <c r="S338">
        <v>6.1434437099103167</v>
      </c>
      <c r="T338" t="s">
        <v>78</v>
      </c>
    </row>
    <row r="339" spans="1:20" x14ac:dyDescent="0.25">
      <c r="A339" s="11">
        <v>45008</v>
      </c>
      <c r="B339" t="s">
        <v>35</v>
      </c>
      <c r="C339" t="s">
        <v>36</v>
      </c>
      <c r="D339" t="s">
        <v>45</v>
      </c>
      <c r="E339" t="s">
        <v>20</v>
      </c>
      <c r="F339">
        <v>975</v>
      </c>
      <c r="G339">
        <v>3.81</v>
      </c>
      <c r="H339">
        <v>3714.75</v>
      </c>
      <c r="I339" t="s">
        <v>21</v>
      </c>
      <c r="J339" t="s">
        <v>22</v>
      </c>
      <c r="K339" t="s">
        <v>28</v>
      </c>
      <c r="L339">
        <v>2701.66</v>
      </c>
      <c r="M339">
        <v>27.3</v>
      </c>
      <c r="N339">
        <v>2023</v>
      </c>
      <c r="O339">
        <v>1</v>
      </c>
      <c r="P339" t="s">
        <v>62</v>
      </c>
      <c r="Q339">
        <v>1013.09</v>
      </c>
      <c r="R339" t="s">
        <v>25</v>
      </c>
      <c r="S339">
        <v>2.6667522135249579</v>
      </c>
      <c r="T339" t="s">
        <v>78</v>
      </c>
    </row>
    <row r="340" spans="1:20" x14ac:dyDescent="0.25">
      <c r="A340" s="11">
        <v>45025</v>
      </c>
      <c r="B340" t="s">
        <v>51</v>
      </c>
      <c r="C340" t="s">
        <v>52</v>
      </c>
      <c r="D340" t="s">
        <v>45</v>
      </c>
      <c r="E340" t="s">
        <v>20</v>
      </c>
      <c r="F340">
        <v>421</v>
      </c>
      <c r="G340">
        <v>7.21</v>
      </c>
      <c r="H340">
        <v>3035.41</v>
      </c>
      <c r="I340" t="s">
        <v>39</v>
      </c>
      <c r="J340" t="s">
        <v>56</v>
      </c>
      <c r="K340" t="s">
        <v>23</v>
      </c>
      <c r="L340">
        <v>2028.45</v>
      </c>
      <c r="M340">
        <v>33.200000000000003</v>
      </c>
      <c r="N340">
        <v>2023</v>
      </c>
      <c r="O340">
        <v>2</v>
      </c>
      <c r="P340" t="s">
        <v>63</v>
      </c>
      <c r="Q340">
        <v>1006.96</v>
      </c>
      <c r="R340" t="s">
        <v>25</v>
      </c>
      <c r="S340">
        <v>2.0144295701914672</v>
      </c>
      <c r="T340" t="s">
        <v>78</v>
      </c>
    </row>
    <row r="341" spans="1:20" x14ac:dyDescent="0.25">
      <c r="A341" s="11">
        <v>45031</v>
      </c>
      <c r="B341" t="s">
        <v>35</v>
      </c>
      <c r="C341" t="s">
        <v>36</v>
      </c>
      <c r="D341" t="s">
        <v>32</v>
      </c>
      <c r="E341" t="s">
        <v>20</v>
      </c>
      <c r="F341">
        <v>558</v>
      </c>
      <c r="G341">
        <v>9.4700000000000006</v>
      </c>
      <c r="H341">
        <v>5284.26</v>
      </c>
      <c r="I341" t="s">
        <v>33</v>
      </c>
      <c r="J341" t="s">
        <v>40</v>
      </c>
      <c r="K341" t="s">
        <v>28</v>
      </c>
      <c r="L341">
        <v>4278</v>
      </c>
      <c r="M341">
        <v>19</v>
      </c>
      <c r="N341">
        <v>2023</v>
      </c>
      <c r="O341">
        <v>2</v>
      </c>
      <c r="P341" t="s">
        <v>63</v>
      </c>
      <c r="Q341">
        <v>1006.26</v>
      </c>
      <c r="R341" t="s">
        <v>29</v>
      </c>
      <c r="S341">
        <v>4.251386321626617</v>
      </c>
      <c r="T341" t="s">
        <v>78</v>
      </c>
    </row>
    <row r="342" spans="1:20" x14ac:dyDescent="0.25">
      <c r="A342" s="11">
        <v>45039</v>
      </c>
      <c r="B342" t="s">
        <v>17</v>
      </c>
      <c r="C342" t="s">
        <v>18</v>
      </c>
      <c r="D342" t="s">
        <v>37</v>
      </c>
      <c r="E342" t="s">
        <v>38</v>
      </c>
      <c r="F342">
        <v>571</v>
      </c>
      <c r="G342">
        <v>6.5</v>
      </c>
      <c r="H342">
        <v>3711.5</v>
      </c>
      <c r="I342" t="s">
        <v>46</v>
      </c>
      <c r="J342" t="s">
        <v>56</v>
      </c>
      <c r="K342" t="s">
        <v>23</v>
      </c>
      <c r="L342">
        <v>2706.17</v>
      </c>
      <c r="M342">
        <v>27.1</v>
      </c>
      <c r="N342">
        <v>2023</v>
      </c>
      <c r="O342">
        <v>2</v>
      </c>
      <c r="P342" t="s">
        <v>63</v>
      </c>
      <c r="Q342">
        <v>1005.33</v>
      </c>
      <c r="R342" t="s">
        <v>25</v>
      </c>
      <c r="S342">
        <v>2.6918225856186524</v>
      </c>
      <c r="T342" t="s">
        <v>78</v>
      </c>
    </row>
    <row r="343" spans="1:20" x14ac:dyDescent="0.25">
      <c r="A343" s="11">
        <v>45118</v>
      </c>
      <c r="B343" t="s">
        <v>51</v>
      </c>
      <c r="C343" t="s">
        <v>52</v>
      </c>
      <c r="D343" t="s">
        <v>37</v>
      </c>
      <c r="E343" t="s">
        <v>38</v>
      </c>
      <c r="F343">
        <v>949</v>
      </c>
      <c r="G343">
        <v>6.58</v>
      </c>
      <c r="H343">
        <v>6244.42</v>
      </c>
      <c r="I343" t="s">
        <v>21</v>
      </c>
      <c r="J343" t="s">
        <v>22</v>
      </c>
      <c r="K343" t="s">
        <v>23</v>
      </c>
      <c r="L343">
        <v>5241.4399999999996</v>
      </c>
      <c r="M343">
        <v>16.100000000000001</v>
      </c>
      <c r="N343">
        <v>2024</v>
      </c>
      <c r="O343">
        <v>3</v>
      </c>
      <c r="P343" t="s">
        <v>64</v>
      </c>
      <c r="Q343">
        <v>1002.98</v>
      </c>
      <c r="R343" t="s">
        <v>29</v>
      </c>
      <c r="S343">
        <v>5.2258669165885658</v>
      </c>
      <c r="T343" t="s">
        <v>78</v>
      </c>
    </row>
    <row r="344" spans="1:20" x14ac:dyDescent="0.25">
      <c r="A344" s="11">
        <v>45118</v>
      </c>
      <c r="B344" t="s">
        <v>30</v>
      </c>
      <c r="C344" t="s">
        <v>31</v>
      </c>
      <c r="D344" t="s">
        <v>49</v>
      </c>
      <c r="E344" t="s">
        <v>50</v>
      </c>
      <c r="F344">
        <v>382</v>
      </c>
      <c r="G344">
        <v>9.89</v>
      </c>
      <c r="H344">
        <v>3777.98</v>
      </c>
      <c r="I344" t="s">
        <v>55</v>
      </c>
      <c r="J344" t="s">
        <v>47</v>
      </c>
      <c r="K344" t="s">
        <v>23</v>
      </c>
      <c r="L344">
        <v>2777.31</v>
      </c>
      <c r="M344">
        <v>26.5</v>
      </c>
      <c r="N344">
        <v>2024</v>
      </c>
      <c r="O344">
        <v>3</v>
      </c>
      <c r="P344" t="s">
        <v>64</v>
      </c>
      <c r="Q344">
        <v>1000.67</v>
      </c>
      <c r="R344" t="s">
        <v>25</v>
      </c>
      <c r="S344">
        <v>2.7754504481997064</v>
      </c>
      <c r="T344" t="s">
        <v>78</v>
      </c>
    </row>
    <row r="345" spans="1:20" x14ac:dyDescent="0.25">
      <c r="A345" s="11">
        <v>45097</v>
      </c>
      <c r="B345" t="s">
        <v>35</v>
      </c>
      <c r="C345" t="s">
        <v>36</v>
      </c>
      <c r="D345" t="s">
        <v>45</v>
      </c>
      <c r="E345" t="s">
        <v>20</v>
      </c>
      <c r="F345">
        <v>753</v>
      </c>
      <c r="G345">
        <v>4.3499999999999996</v>
      </c>
      <c r="H345">
        <v>3275.55</v>
      </c>
      <c r="I345" t="s">
        <v>33</v>
      </c>
      <c r="J345" t="s">
        <v>27</v>
      </c>
      <c r="K345" t="s">
        <v>28</v>
      </c>
      <c r="L345">
        <v>2277.5700000000002</v>
      </c>
      <c r="M345">
        <v>30.5</v>
      </c>
      <c r="N345">
        <v>2023</v>
      </c>
      <c r="O345">
        <v>2</v>
      </c>
      <c r="P345" t="s">
        <v>70</v>
      </c>
      <c r="Q345">
        <v>997.98</v>
      </c>
      <c r="R345" t="s">
        <v>25</v>
      </c>
      <c r="S345">
        <v>2.2821800036072868</v>
      </c>
      <c r="T345" t="s">
        <v>78</v>
      </c>
    </row>
    <row r="346" spans="1:20" x14ac:dyDescent="0.25">
      <c r="A346" s="11">
        <v>44957</v>
      </c>
      <c r="B346" t="s">
        <v>58</v>
      </c>
      <c r="C346" t="s">
        <v>59</v>
      </c>
      <c r="D346" t="s">
        <v>32</v>
      </c>
      <c r="E346" t="s">
        <v>20</v>
      </c>
      <c r="F346">
        <v>504</v>
      </c>
      <c r="G346">
        <v>5.46</v>
      </c>
      <c r="H346">
        <v>2751.84</v>
      </c>
      <c r="I346" t="s">
        <v>57</v>
      </c>
      <c r="J346" t="s">
        <v>27</v>
      </c>
      <c r="K346" t="s">
        <v>23</v>
      </c>
      <c r="L346">
        <v>1755.51</v>
      </c>
      <c r="M346">
        <v>36.200000000000003</v>
      </c>
      <c r="N346">
        <v>2023</v>
      </c>
      <c r="O346">
        <v>1</v>
      </c>
      <c r="P346" t="s">
        <v>60</v>
      </c>
      <c r="Q346">
        <v>996.33</v>
      </c>
      <c r="R346" t="s">
        <v>25</v>
      </c>
      <c r="S346">
        <v>1.7619764535846556</v>
      </c>
      <c r="T346" t="s">
        <v>78</v>
      </c>
    </row>
    <row r="347" spans="1:20" x14ac:dyDescent="0.25">
      <c r="A347" s="11">
        <v>45107</v>
      </c>
      <c r="B347" t="s">
        <v>42</v>
      </c>
      <c r="C347" t="s">
        <v>43</v>
      </c>
      <c r="D347" t="s">
        <v>48</v>
      </c>
      <c r="E347" t="s">
        <v>38</v>
      </c>
      <c r="F347">
        <v>970</v>
      </c>
      <c r="G347">
        <v>9.4499999999999993</v>
      </c>
      <c r="H347">
        <v>9166.5</v>
      </c>
      <c r="I347" t="s">
        <v>26</v>
      </c>
      <c r="J347" t="s">
        <v>47</v>
      </c>
      <c r="K347" t="s">
        <v>41</v>
      </c>
      <c r="L347">
        <v>8172.3</v>
      </c>
      <c r="M347">
        <v>10.8</v>
      </c>
      <c r="N347">
        <v>2024</v>
      </c>
      <c r="O347">
        <v>2</v>
      </c>
      <c r="P347" t="s">
        <v>60</v>
      </c>
      <c r="Q347">
        <v>994.2</v>
      </c>
      <c r="R347" t="s">
        <v>29</v>
      </c>
      <c r="S347">
        <v>8.2199758599879296</v>
      </c>
      <c r="T347" t="s">
        <v>78</v>
      </c>
    </row>
    <row r="348" spans="1:20" x14ac:dyDescent="0.25">
      <c r="A348" s="11">
        <v>44931</v>
      </c>
      <c r="B348" t="s">
        <v>30</v>
      </c>
      <c r="C348" t="s">
        <v>31</v>
      </c>
      <c r="D348" t="s">
        <v>49</v>
      </c>
      <c r="E348" t="s">
        <v>50</v>
      </c>
      <c r="F348">
        <v>596</v>
      </c>
      <c r="G348">
        <v>6.25</v>
      </c>
      <c r="H348">
        <v>3725</v>
      </c>
      <c r="I348" t="s">
        <v>26</v>
      </c>
      <c r="J348" t="s">
        <v>27</v>
      </c>
      <c r="K348" t="s">
        <v>28</v>
      </c>
      <c r="L348">
        <v>2734.89</v>
      </c>
      <c r="M348">
        <v>26.6</v>
      </c>
      <c r="N348">
        <v>2023</v>
      </c>
      <c r="O348">
        <v>1</v>
      </c>
      <c r="P348" t="s">
        <v>24</v>
      </c>
      <c r="Q348">
        <v>990.11</v>
      </c>
      <c r="R348" t="s">
        <v>25</v>
      </c>
      <c r="S348">
        <v>2.7622082394885417</v>
      </c>
      <c r="T348" t="s">
        <v>78</v>
      </c>
    </row>
    <row r="349" spans="1:20" x14ac:dyDescent="0.25">
      <c r="A349" s="11">
        <v>45042</v>
      </c>
      <c r="B349" t="s">
        <v>58</v>
      </c>
      <c r="C349" t="s">
        <v>59</v>
      </c>
      <c r="D349" t="s">
        <v>19</v>
      </c>
      <c r="E349" t="s">
        <v>20</v>
      </c>
      <c r="F349">
        <v>328</v>
      </c>
      <c r="G349">
        <v>8.74</v>
      </c>
      <c r="H349">
        <v>2866.72</v>
      </c>
      <c r="I349" t="s">
        <v>55</v>
      </c>
      <c r="J349" t="s">
        <v>34</v>
      </c>
      <c r="K349" t="s">
        <v>41</v>
      </c>
      <c r="L349">
        <v>1878.03</v>
      </c>
      <c r="M349">
        <v>34.5</v>
      </c>
      <c r="N349">
        <v>2023</v>
      </c>
      <c r="O349">
        <v>2</v>
      </c>
      <c r="P349" t="s">
        <v>64</v>
      </c>
      <c r="Q349">
        <v>988.69</v>
      </c>
      <c r="R349" t="s">
        <v>25</v>
      </c>
      <c r="S349">
        <v>1.8995134976585177</v>
      </c>
      <c r="T349" t="s">
        <v>78</v>
      </c>
    </row>
    <row r="350" spans="1:20" x14ac:dyDescent="0.25">
      <c r="A350" s="11">
        <v>45052</v>
      </c>
      <c r="B350" t="s">
        <v>30</v>
      </c>
      <c r="C350" t="s">
        <v>31</v>
      </c>
      <c r="D350" t="s">
        <v>37</v>
      </c>
      <c r="E350" t="s">
        <v>38</v>
      </c>
      <c r="F350">
        <v>469</v>
      </c>
      <c r="G350">
        <v>10.28</v>
      </c>
      <c r="H350">
        <v>4821.32</v>
      </c>
      <c r="I350" t="s">
        <v>46</v>
      </c>
      <c r="J350" t="s">
        <v>34</v>
      </c>
      <c r="K350" t="s">
        <v>28</v>
      </c>
      <c r="L350">
        <v>3832.87</v>
      </c>
      <c r="M350">
        <v>20.5</v>
      </c>
      <c r="N350">
        <v>2023</v>
      </c>
      <c r="O350">
        <v>2</v>
      </c>
      <c r="P350" t="s">
        <v>64</v>
      </c>
      <c r="Q350">
        <v>988.45</v>
      </c>
      <c r="R350" t="s">
        <v>29</v>
      </c>
      <c r="S350">
        <v>3.8776569376296219</v>
      </c>
      <c r="T350" t="s">
        <v>78</v>
      </c>
    </row>
    <row r="351" spans="1:20" x14ac:dyDescent="0.25">
      <c r="A351" s="11">
        <v>45013</v>
      </c>
      <c r="B351" t="s">
        <v>42</v>
      </c>
      <c r="C351" t="s">
        <v>43</v>
      </c>
      <c r="D351" t="s">
        <v>49</v>
      </c>
      <c r="E351" t="s">
        <v>50</v>
      </c>
      <c r="F351">
        <v>463</v>
      </c>
      <c r="G351">
        <v>5.65</v>
      </c>
      <c r="H351">
        <v>2615.9499999999998</v>
      </c>
      <c r="I351" t="s">
        <v>39</v>
      </c>
      <c r="J351" t="s">
        <v>22</v>
      </c>
      <c r="K351" t="s">
        <v>41</v>
      </c>
      <c r="L351">
        <v>1628.08</v>
      </c>
      <c r="M351">
        <v>37.799999999999997</v>
      </c>
      <c r="N351">
        <v>2023</v>
      </c>
      <c r="O351">
        <v>1</v>
      </c>
      <c r="P351" t="s">
        <v>62</v>
      </c>
      <c r="Q351">
        <v>987.87</v>
      </c>
      <c r="R351" t="s">
        <v>25</v>
      </c>
      <c r="S351">
        <v>1.6480711024729975</v>
      </c>
      <c r="T351" t="s">
        <v>78</v>
      </c>
    </row>
    <row r="352" spans="1:20" x14ac:dyDescent="0.25">
      <c r="A352" s="11">
        <v>44989</v>
      </c>
      <c r="B352" t="s">
        <v>17</v>
      </c>
      <c r="C352" t="s">
        <v>18</v>
      </c>
      <c r="D352" t="s">
        <v>37</v>
      </c>
      <c r="E352" t="s">
        <v>38</v>
      </c>
      <c r="F352">
        <v>426</v>
      </c>
      <c r="G352">
        <v>5.98</v>
      </c>
      <c r="H352">
        <v>2547.48</v>
      </c>
      <c r="I352" t="s">
        <v>55</v>
      </c>
      <c r="J352" t="s">
        <v>22</v>
      </c>
      <c r="K352" t="s">
        <v>41</v>
      </c>
      <c r="L352">
        <v>1562.69</v>
      </c>
      <c r="M352">
        <v>38.700000000000003</v>
      </c>
      <c r="N352">
        <v>2023</v>
      </c>
      <c r="O352">
        <v>1</v>
      </c>
      <c r="P352" t="s">
        <v>61</v>
      </c>
      <c r="Q352">
        <v>984.79</v>
      </c>
      <c r="R352" t="s">
        <v>25</v>
      </c>
      <c r="S352">
        <v>1.5868256176443709</v>
      </c>
      <c r="T352" t="s">
        <v>78</v>
      </c>
    </row>
    <row r="353" spans="1:20" x14ac:dyDescent="0.25">
      <c r="A353" s="11">
        <v>45067</v>
      </c>
      <c r="B353" t="s">
        <v>30</v>
      </c>
      <c r="C353" t="s">
        <v>31</v>
      </c>
      <c r="D353" t="s">
        <v>19</v>
      </c>
      <c r="E353" t="s">
        <v>20</v>
      </c>
      <c r="F353">
        <v>491</v>
      </c>
      <c r="G353">
        <v>6.19</v>
      </c>
      <c r="H353">
        <v>3039.29</v>
      </c>
      <c r="I353" t="s">
        <v>33</v>
      </c>
      <c r="J353" t="s">
        <v>40</v>
      </c>
      <c r="K353" t="s">
        <v>41</v>
      </c>
      <c r="L353">
        <v>2055.62</v>
      </c>
      <c r="M353">
        <v>32.4</v>
      </c>
      <c r="N353">
        <v>2023</v>
      </c>
      <c r="O353">
        <v>2</v>
      </c>
      <c r="P353" t="s">
        <v>66</v>
      </c>
      <c r="Q353">
        <v>983.67</v>
      </c>
      <c r="R353" t="s">
        <v>25</v>
      </c>
      <c r="S353">
        <v>2.0897455447456972</v>
      </c>
      <c r="T353" t="s">
        <v>78</v>
      </c>
    </row>
    <row r="354" spans="1:20" x14ac:dyDescent="0.25">
      <c r="A354" s="11">
        <v>45085</v>
      </c>
      <c r="B354" t="s">
        <v>51</v>
      </c>
      <c r="C354" t="s">
        <v>52</v>
      </c>
      <c r="D354" t="s">
        <v>49</v>
      </c>
      <c r="E354" t="s">
        <v>50</v>
      </c>
      <c r="F354">
        <v>511</v>
      </c>
      <c r="G354">
        <v>11.38</v>
      </c>
      <c r="H354">
        <v>5815.18</v>
      </c>
      <c r="I354" t="s">
        <v>54</v>
      </c>
      <c r="J354" t="s">
        <v>34</v>
      </c>
      <c r="K354" t="s">
        <v>28</v>
      </c>
      <c r="L354">
        <v>4831.82</v>
      </c>
      <c r="M354">
        <v>16.899999999999999</v>
      </c>
      <c r="N354">
        <v>2023</v>
      </c>
      <c r="O354">
        <v>2</v>
      </c>
      <c r="P354" t="s">
        <v>68</v>
      </c>
      <c r="Q354">
        <v>983.36</v>
      </c>
      <c r="R354" t="s">
        <v>29</v>
      </c>
      <c r="S354">
        <v>4.9135820045558081</v>
      </c>
      <c r="T354" t="s">
        <v>78</v>
      </c>
    </row>
    <row r="355" spans="1:20" x14ac:dyDescent="0.25">
      <c r="A355" s="11">
        <v>45098</v>
      </c>
      <c r="B355" t="s">
        <v>42</v>
      </c>
      <c r="C355" t="s">
        <v>43</v>
      </c>
      <c r="D355" t="s">
        <v>37</v>
      </c>
      <c r="E355" t="s">
        <v>38</v>
      </c>
      <c r="F355">
        <v>348</v>
      </c>
      <c r="G355">
        <v>9.26</v>
      </c>
      <c r="H355">
        <v>3222.48</v>
      </c>
      <c r="I355" t="s">
        <v>46</v>
      </c>
      <c r="J355" t="s">
        <v>47</v>
      </c>
      <c r="K355" t="s">
        <v>28</v>
      </c>
      <c r="L355">
        <v>2244.12</v>
      </c>
      <c r="M355">
        <v>30.4</v>
      </c>
      <c r="N355">
        <v>2024</v>
      </c>
      <c r="O355">
        <v>2</v>
      </c>
      <c r="P355" t="s">
        <v>24</v>
      </c>
      <c r="Q355">
        <v>978.36</v>
      </c>
      <c r="R355" t="s">
        <v>25</v>
      </c>
      <c r="S355">
        <v>2.2937568993008708</v>
      </c>
      <c r="T355" t="s">
        <v>78</v>
      </c>
    </row>
    <row r="356" spans="1:20" x14ac:dyDescent="0.25">
      <c r="A356" s="11">
        <v>45067</v>
      </c>
      <c r="B356" t="s">
        <v>58</v>
      </c>
      <c r="C356" t="s">
        <v>59</v>
      </c>
      <c r="D356" t="s">
        <v>48</v>
      </c>
      <c r="E356" t="s">
        <v>38</v>
      </c>
      <c r="F356">
        <v>660</v>
      </c>
      <c r="G356">
        <v>5.28</v>
      </c>
      <c r="H356">
        <v>3484.8</v>
      </c>
      <c r="I356" t="s">
        <v>55</v>
      </c>
      <c r="J356" t="s">
        <v>40</v>
      </c>
      <c r="K356" t="s">
        <v>23</v>
      </c>
      <c r="L356">
        <v>2507.59</v>
      </c>
      <c r="M356">
        <v>28</v>
      </c>
      <c r="N356">
        <v>2023</v>
      </c>
      <c r="O356">
        <v>2</v>
      </c>
      <c r="P356" t="s">
        <v>66</v>
      </c>
      <c r="Q356">
        <v>977.21</v>
      </c>
      <c r="R356" t="s">
        <v>25</v>
      </c>
      <c r="S356">
        <v>2.5660707524482969</v>
      </c>
      <c r="T356" t="s">
        <v>78</v>
      </c>
    </row>
    <row r="357" spans="1:20" x14ac:dyDescent="0.25">
      <c r="A357" s="11">
        <v>45029</v>
      </c>
      <c r="B357" t="s">
        <v>17</v>
      </c>
      <c r="C357" t="s">
        <v>18</v>
      </c>
      <c r="D357" t="s">
        <v>53</v>
      </c>
      <c r="E357" t="s">
        <v>50</v>
      </c>
      <c r="F357">
        <v>372</v>
      </c>
      <c r="G357">
        <v>10.29</v>
      </c>
      <c r="H357">
        <v>3827.88</v>
      </c>
      <c r="I357" t="s">
        <v>55</v>
      </c>
      <c r="J357" t="s">
        <v>27</v>
      </c>
      <c r="K357" t="s">
        <v>41</v>
      </c>
      <c r="L357">
        <v>2851.42</v>
      </c>
      <c r="M357">
        <v>25.5</v>
      </c>
      <c r="N357">
        <v>2023</v>
      </c>
      <c r="O357">
        <v>2</v>
      </c>
      <c r="P357" t="s">
        <v>63</v>
      </c>
      <c r="Q357">
        <v>976.46</v>
      </c>
      <c r="R357" t="s">
        <v>25</v>
      </c>
      <c r="S357">
        <v>2.9201605800544823</v>
      </c>
      <c r="T357" t="s">
        <v>78</v>
      </c>
    </row>
    <row r="358" spans="1:20" x14ac:dyDescent="0.25">
      <c r="A358" s="11">
        <v>45035</v>
      </c>
      <c r="B358" t="s">
        <v>51</v>
      </c>
      <c r="C358" t="s">
        <v>52</v>
      </c>
      <c r="D358" t="s">
        <v>48</v>
      </c>
      <c r="E358" t="s">
        <v>38</v>
      </c>
      <c r="F358">
        <v>600</v>
      </c>
      <c r="G358">
        <v>10.11</v>
      </c>
      <c r="H358">
        <v>6066</v>
      </c>
      <c r="I358" t="s">
        <v>54</v>
      </c>
      <c r="J358" t="s">
        <v>40</v>
      </c>
      <c r="K358" t="s">
        <v>23</v>
      </c>
      <c r="L358">
        <v>5092.08</v>
      </c>
      <c r="M358">
        <v>16.100000000000001</v>
      </c>
      <c r="N358">
        <v>2023</v>
      </c>
      <c r="O358">
        <v>2</v>
      </c>
      <c r="P358" t="s">
        <v>63</v>
      </c>
      <c r="Q358">
        <v>973.92</v>
      </c>
      <c r="R358" t="s">
        <v>29</v>
      </c>
      <c r="S358">
        <v>5.2284376540167568</v>
      </c>
      <c r="T358" t="s">
        <v>78</v>
      </c>
    </row>
    <row r="359" spans="1:20" x14ac:dyDescent="0.25">
      <c r="A359" s="11">
        <v>44941</v>
      </c>
      <c r="B359" t="s">
        <v>30</v>
      </c>
      <c r="C359" t="s">
        <v>31</v>
      </c>
      <c r="D359" t="s">
        <v>48</v>
      </c>
      <c r="E359" t="s">
        <v>38</v>
      </c>
      <c r="F359">
        <v>700</v>
      </c>
      <c r="G359">
        <v>7.18</v>
      </c>
      <c r="H359">
        <v>5026</v>
      </c>
      <c r="I359" t="s">
        <v>33</v>
      </c>
      <c r="J359" t="s">
        <v>27</v>
      </c>
      <c r="K359" t="s">
        <v>41</v>
      </c>
      <c r="L359">
        <v>4053.1</v>
      </c>
      <c r="M359">
        <v>19.399999999999999</v>
      </c>
      <c r="N359">
        <v>2023</v>
      </c>
      <c r="O359">
        <v>1</v>
      </c>
      <c r="P359" t="s">
        <v>24</v>
      </c>
      <c r="Q359">
        <v>972.9</v>
      </c>
      <c r="R359" t="s">
        <v>29</v>
      </c>
      <c r="S359">
        <v>4.1659985610031862</v>
      </c>
      <c r="T359" t="s">
        <v>78</v>
      </c>
    </row>
    <row r="360" spans="1:20" x14ac:dyDescent="0.25">
      <c r="A360" s="11">
        <v>45016</v>
      </c>
      <c r="B360" t="s">
        <v>58</v>
      </c>
      <c r="C360" t="s">
        <v>59</v>
      </c>
      <c r="D360" t="s">
        <v>53</v>
      </c>
      <c r="E360" t="s">
        <v>50</v>
      </c>
      <c r="F360">
        <v>571</v>
      </c>
      <c r="G360">
        <v>4.95</v>
      </c>
      <c r="H360">
        <v>2826.45</v>
      </c>
      <c r="I360" t="s">
        <v>55</v>
      </c>
      <c r="J360" t="s">
        <v>56</v>
      </c>
      <c r="K360" t="s">
        <v>23</v>
      </c>
      <c r="L360">
        <v>1859.88</v>
      </c>
      <c r="M360">
        <v>34.200000000000003</v>
      </c>
      <c r="N360">
        <v>2023</v>
      </c>
      <c r="O360">
        <v>1</v>
      </c>
      <c r="P360" t="s">
        <v>62</v>
      </c>
      <c r="Q360">
        <v>966.57</v>
      </c>
      <c r="R360" t="s">
        <v>25</v>
      </c>
      <c r="S360">
        <v>1.9242062137248208</v>
      </c>
      <c r="T360" t="s">
        <v>78</v>
      </c>
    </row>
    <row r="361" spans="1:20" x14ac:dyDescent="0.25">
      <c r="A361" s="11">
        <v>45022</v>
      </c>
      <c r="B361" t="s">
        <v>42</v>
      </c>
      <c r="C361" t="s">
        <v>43</v>
      </c>
      <c r="D361" t="s">
        <v>49</v>
      </c>
      <c r="E361" t="s">
        <v>50</v>
      </c>
      <c r="F361">
        <v>702</v>
      </c>
      <c r="G361">
        <v>11.79</v>
      </c>
      <c r="H361">
        <v>8276.58</v>
      </c>
      <c r="I361" t="s">
        <v>39</v>
      </c>
      <c r="J361" t="s">
        <v>56</v>
      </c>
      <c r="K361" t="s">
        <v>28</v>
      </c>
      <c r="L361">
        <v>7310.19</v>
      </c>
      <c r="M361">
        <v>11.7</v>
      </c>
      <c r="N361">
        <v>2023</v>
      </c>
      <c r="O361">
        <v>2</v>
      </c>
      <c r="P361" t="s">
        <v>62</v>
      </c>
      <c r="Q361">
        <v>966.39</v>
      </c>
      <c r="R361" t="s">
        <v>29</v>
      </c>
      <c r="S361">
        <v>7.564430509421662</v>
      </c>
      <c r="T361" t="s">
        <v>78</v>
      </c>
    </row>
    <row r="362" spans="1:20" x14ac:dyDescent="0.25">
      <c r="A362" s="11">
        <v>44938</v>
      </c>
      <c r="B362" t="s">
        <v>51</v>
      </c>
      <c r="C362" t="s">
        <v>52</v>
      </c>
      <c r="D362" t="s">
        <v>19</v>
      </c>
      <c r="E362" t="s">
        <v>20</v>
      </c>
      <c r="F362">
        <v>379</v>
      </c>
      <c r="G362">
        <v>8.59</v>
      </c>
      <c r="H362">
        <v>3255.61</v>
      </c>
      <c r="I362" t="s">
        <v>55</v>
      </c>
      <c r="J362" t="s">
        <v>40</v>
      </c>
      <c r="K362" t="s">
        <v>41</v>
      </c>
      <c r="L362">
        <v>2291.33</v>
      </c>
      <c r="M362">
        <v>29.6</v>
      </c>
      <c r="N362">
        <v>2023</v>
      </c>
      <c r="O362">
        <v>1</v>
      </c>
      <c r="P362" t="s">
        <v>24</v>
      </c>
      <c r="Q362">
        <v>964.28</v>
      </c>
      <c r="R362" t="s">
        <v>25</v>
      </c>
      <c r="S362">
        <v>2.3762081553075869</v>
      </c>
      <c r="T362" t="s">
        <v>78</v>
      </c>
    </row>
    <row r="363" spans="1:20" x14ac:dyDescent="0.25">
      <c r="A363" s="11">
        <v>45030</v>
      </c>
      <c r="B363" t="s">
        <v>58</v>
      </c>
      <c r="C363" t="s">
        <v>59</v>
      </c>
      <c r="D363" t="s">
        <v>32</v>
      </c>
      <c r="E363" t="s">
        <v>20</v>
      </c>
      <c r="F363">
        <v>915</v>
      </c>
      <c r="G363">
        <v>5.38</v>
      </c>
      <c r="H363">
        <v>4922.7</v>
      </c>
      <c r="I363" t="s">
        <v>26</v>
      </c>
      <c r="J363" t="s">
        <v>27</v>
      </c>
      <c r="K363" t="s">
        <v>28</v>
      </c>
      <c r="L363">
        <v>3958.78</v>
      </c>
      <c r="M363">
        <v>19.600000000000001</v>
      </c>
      <c r="N363">
        <v>2023</v>
      </c>
      <c r="O363">
        <v>2</v>
      </c>
      <c r="P363" t="s">
        <v>63</v>
      </c>
      <c r="Q363">
        <v>963.92</v>
      </c>
      <c r="R363" t="s">
        <v>29</v>
      </c>
      <c r="S363">
        <v>4.1069590837413896</v>
      </c>
      <c r="T363" t="s">
        <v>78</v>
      </c>
    </row>
    <row r="364" spans="1:20" x14ac:dyDescent="0.25">
      <c r="A364" s="11">
        <v>45063</v>
      </c>
      <c r="B364" t="s">
        <v>35</v>
      </c>
      <c r="C364" t="s">
        <v>36</v>
      </c>
      <c r="D364" t="s">
        <v>53</v>
      </c>
      <c r="E364" t="s">
        <v>50</v>
      </c>
      <c r="F364">
        <v>730</v>
      </c>
      <c r="G364">
        <v>6.28</v>
      </c>
      <c r="H364">
        <v>4584.3999999999996</v>
      </c>
      <c r="I364" t="s">
        <v>33</v>
      </c>
      <c r="J364" t="s">
        <v>22</v>
      </c>
      <c r="K364" t="s">
        <v>28</v>
      </c>
      <c r="L364">
        <v>3622.66</v>
      </c>
      <c r="M364">
        <v>21</v>
      </c>
      <c r="N364">
        <v>2023</v>
      </c>
      <c r="O364">
        <v>2</v>
      </c>
      <c r="P364" t="s">
        <v>65</v>
      </c>
      <c r="Q364">
        <v>961.74</v>
      </c>
      <c r="R364" t="s">
        <v>29</v>
      </c>
      <c r="S364">
        <v>3.7667768835652047</v>
      </c>
      <c r="T364" t="s">
        <v>78</v>
      </c>
    </row>
    <row r="365" spans="1:20" x14ac:dyDescent="0.25">
      <c r="A365" s="11">
        <v>45088</v>
      </c>
      <c r="B365" t="s">
        <v>17</v>
      </c>
      <c r="C365" t="s">
        <v>18</v>
      </c>
      <c r="D365" t="s">
        <v>44</v>
      </c>
      <c r="E365" t="s">
        <v>38</v>
      </c>
      <c r="F365">
        <v>442</v>
      </c>
      <c r="G365">
        <v>8.7899999999999991</v>
      </c>
      <c r="H365">
        <v>3885.18</v>
      </c>
      <c r="I365" t="s">
        <v>54</v>
      </c>
      <c r="J365" t="s">
        <v>34</v>
      </c>
      <c r="K365" t="s">
        <v>23</v>
      </c>
      <c r="L365">
        <v>2928.21</v>
      </c>
      <c r="M365">
        <v>24.6</v>
      </c>
      <c r="N365">
        <v>2023</v>
      </c>
      <c r="O365">
        <v>2</v>
      </c>
      <c r="P365" t="s">
        <v>69</v>
      </c>
      <c r="Q365">
        <v>956.97</v>
      </c>
      <c r="R365" t="s">
        <v>29</v>
      </c>
      <c r="S365">
        <v>3.0598764851562743</v>
      </c>
      <c r="T365" t="s">
        <v>78</v>
      </c>
    </row>
    <row r="366" spans="1:20" x14ac:dyDescent="0.25">
      <c r="A366" s="11">
        <v>44951</v>
      </c>
      <c r="B366" t="s">
        <v>35</v>
      </c>
      <c r="C366" t="s">
        <v>36</v>
      </c>
      <c r="D366" t="s">
        <v>37</v>
      </c>
      <c r="E366" t="s">
        <v>38</v>
      </c>
      <c r="F366">
        <v>850</v>
      </c>
      <c r="G366">
        <v>5.83</v>
      </c>
      <c r="H366">
        <v>4955.5</v>
      </c>
      <c r="I366" t="s">
        <v>21</v>
      </c>
      <c r="J366" t="s">
        <v>40</v>
      </c>
      <c r="K366" t="s">
        <v>23</v>
      </c>
      <c r="L366">
        <v>3999.01</v>
      </c>
      <c r="M366">
        <v>19.3</v>
      </c>
      <c r="N366">
        <v>2023</v>
      </c>
      <c r="O366">
        <v>1</v>
      </c>
      <c r="P366" t="s">
        <v>24</v>
      </c>
      <c r="Q366">
        <v>956.49</v>
      </c>
      <c r="R366" t="s">
        <v>29</v>
      </c>
      <c r="S366">
        <v>4.1809219124089116</v>
      </c>
      <c r="T366" t="s">
        <v>78</v>
      </c>
    </row>
    <row r="367" spans="1:20" x14ac:dyDescent="0.25">
      <c r="A367" s="11">
        <v>44961</v>
      </c>
      <c r="B367" t="s">
        <v>51</v>
      </c>
      <c r="C367" t="s">
        <v>52</v>
      </c>
      <c r="D367" t="s">
        <v>48</v>
      </c>
      <c r="E367" t="s">
        <v>38</v>
      </c>
      <c r="F367">
        <v>671</v>
      </c>
      <c r="G367">
        <v>10.88</v>
      </c>
      <c r="H367">
        <v>7300.48</v>
      </c>
      <c r="I367" t="s">
        <v>57</v>
      </c>
      <c r="J367" t="s">
        <v>47</v>
      </c>
      <c r="K367" t="s">
        <v>23</v>
      </c>
      <c r="L367">
        <v>6347.37</v>
      </c>
      <c r="M367">
        <v>13.1</v>
      </c>
      <c r="N367">
        <v>2023</v>
      </c>
      <c r="O367">
        <v>1</v>
      </c>
      <c r="P367" t="s">
        <v>60</v>
      </c>
      <c r="Q367">
        <v>953.11</v>
      </c>
      <c r="R367" t="s">
        <v>29</v>
      </c>
      <c r="S367">
        <v>6.6596405451626781</v>
      </c>
      <c r="T367" t="s">
        <v>78</v>
      </c>
    </row>
    <row r="368" spans="1:20" x14ac:dyDescent="0.25">
      <c r="A368" s="11">
        <v>44929</v>
      </c>
      <c r="B368" t="s">
        <v>17</v>
      </c>
      <c r="C368" t="s">
        <v>18</v>
      </c>
      <c r="D368" t="s">
        <v>48</v>
      </c>
      <c r="E368" t="s">
        <v>38</v>
      </c>
      <c r="F368">
        <v>889</v>
      </c>
      <c r="G368">
        <v>6.26</v>
      </c>
      <c r="H368">
        <v>5565.14</v>
      </c>
      <c r="I368" t="s">
        <v>33</v>
      </c>
      <c r="J368" t="s">
        <v>22</v>
      </c>
      <c r="K368" t="s">
        <v>23</v>
      </c>
      <c r="L368">
        <v>4612.24</v>
      </c>
      <c r="M368">
        <v>17.100000000000001</v>
      </c>
      <c r="N368">
        <v>2023</v>
      </c>
      <c r="O368">
        <v>1</v>
      </c>
      <c r="P368" t="s">
        <v>24</v>
      </c>
      <c r="Q368">
        <v>952.9</v>
      </c>
      <c r="R368" t="s">
        <v>29</v>
      </c>
      <c r="S368">
        <v>4.8402140833245877</v>
      </c>
      <c r="T368" t="s">
        <v>78</v>
      </c>
    </row>
    <row r="369" spans="1:20" x14ac:dyDescent="0.25">
      <c r="A369" s="11">
        <v>45037</v>
      </c>
      <c r="B369" t="s">
        <v>30</v>
      </c>
      <c r="C369" t="s">
        <v>31</v>
      </c>
      <c r="D369" t="s">
        <v>44</v>
      </c>
      <c r="E369" t="s">
        <v>38</v>
      </c>
      <c r="F369">
        <v>847</v>
      </c>
      <c r="G369">
        <v>3.56</v>
      </c>
      <c r="H369">
        <v>3015.32</v>
      </c>
      <c r="I369" t="s">
        <v>21</v>
      </c>
      <c r="J369" t="s">
        <v>47</v>
      </c>
      <c r="K369" t="s">
        <v>28</v>
      </c>
      <c r="L369">
        <v>2062.65</v>
      </c>
      <c r="M369">
        <v>31.6</v>
      </c>
      <c r="N369">
        <v>2023</v>
      </c>
      <c r="O369">
        <v>2</v>
      </c>
      <c r="P369" t="s">
        <v>63</v>
      </c>
      <c r="Q369">
        <v>952.67</v>
      </c>
      <c r="R369" t="s">
        <v>25</v>
      </c>
      <c r="S369">
        <v>2.1651253844458207</v>
      </c>
      <c r="T369" t="s">
        <v>78</v>
      </c>
    </row>
    <row r="370" spans="1:20" x14ac:dyDescent="0.25">
      <c r="A370" s="11">
        <v>44941</v>
      </c>
      <c r="B370" t="s">
        <v>42</v>
      </c>
      <c r="C370" t="s">
        <v>43</v>
      </c>
      <c r="D370" t="s">
        <v>53</v>
      </c>
      <c r="E370" t="s">
        <v>50</v>
      </c>
      <c r="F370">
        <v>685</v>
      </c>
      <c r="G370">
        <v>6.56</v>
      </c>
      <c r="H370">
        <v>4493.6000000000004</v>
      </c>
      <c r="I370" t="s">
        <v>55</v>
      </c>
      <c r="J370" t="s">
        <v>27</v>
      </c>
      <c r="K370" t="s">
        <v>28</v>
      </c>
      <c r="L370">
        <v>3546.29</v>
      </c>
      <c r="M370">
        <v>21.1</v>
      </c>
      <c r="N370">
        <v>2023</v>
      </c>
      <c r="O370">
        <v>1</v>
      </c>
      <c r="P370" t="s">
        <v>24</v>
      </c>
      <c r="Q370">
        <v>947.31</v>
      </c>
      <c r="R370" t="s">
        <v>29</v>
      </c>
      <c r="S370">
        <v>3.7435369625571355</v>
      </c>
      <c r="T370" t="s">
        <v>78</v>
      </c>
    </row>
    <row r="371" spans="1:20" x14ac:dyDescent="0.25">
      <c r="A371" s="11">
        <v>45016</v>
      </c>
      <c r="B371" t="s">
        <v>51</v>
      </c>
      <c r="C371" t="s">
        <v>52</v>
      </c>
      <c r="D371" t="s">
        <v>32</v>
      </c>
      <c r="E371" t="s">
        <v>20</v>
      </c>
      <c r="F371">
        <v>346</v>
      </c>
      <c r="G371">
        <v>7.58</v>
      </c>
      <c r="H371">
        <v>2622.68</v>
      </c>
      <c r="I371" t="s">
        <v>26</v>
      </c>
      <c r="J371" t="s">
        <v>47</v>
      </c>
      <c r="K371" t="s">
        <v>23</v>
      </c>
      <c r="L371">
        <v>1676.57</v>
      </c>
      <c r="M371">
        <v>36.1</v>
      </c>
      <c r="N371">
        <v>2023</v>
      </c>
      <c r="O371">
        <v>1</v>
      </c>
      <c r="P371" t="s">
        <v>62</v>
      </c>
      <c r="Q371">
        <v>946.11</v>
      </c>
      <c r="R371" t="s">
        <v>25</v>
      </c>
      <c r="S371">
        <v>1.7720666730084238</v>
      </c>
      <c r="T371" t="s">
        <v>78</v>
      </c>
    </row>
    <row r="372" spans="1:20" x14ac:dyDescent="0.25">
      <c r="A372" s="11">
        <v>45090</v>
      </c>
      <c r="B372" t="s">
        <v>58</v>
      </c>
      <c r="C372" t="s">
        <v>59</v>
      </c>
      <c r="D372" t="s">
        <v>48</v>
      </c>
      <c r="E372" t="s">
        <v>38</v>
      </c>
      <c r="F372">
        <v>564</v>
      </c>
      <c r="G372">
        <v>9.3699999999999992</v>
      </c>
      <c r="H372">
        <v>5284.68</v>
      </c>
      <c r="I372" t="s">
        <v>39</v>
      </c>
      <c r="J372" t="s">
        <v>56</v>
      </c>
      <c r="K372" t="s">
        <v>41</v>
      </c>
      <c r="L372">
        <v>4341.97</v>
      </c>
      <c r="M372">
        <v>17.8</v>
      </c>
      <c r="N372">
        <v>2023</v>
      </c>
      <c r="O372">
        <v>2</v>
      </c>
      <c r="P372" t="s">
        <v>69</v>
      </c>
      <c r="Q372">
        <v>942.71</v>
      </c>
      <c r="R372" t="s">
        <v>29</v>
      </c>
      <c r="S372">
        <v>4.6058384869153821</v>
      </c>
      <c r="T372" t="s">
        <v>78</v>
      </c>
    </row>
    <row r="373" spans="1:20" x14ac:dyDescent="0.25">
      <c r="A373" s="11">
        <v>45128</v>
      </c>
      <c r="B373" t="s">
        <v>58</v>
      </c>
      <c r="C373" t="s">
        <v>59</v>
      </c>
      <c r="D373" t="s">
        <v>19</v>
      </c>
      <c r="E373" t="s">
        <v>20</v>
      </c>
      <c r="F373">
        <v>569</v>
      </c>
      <c r="G373">
        <v>6.67</v>
      </c>
      <c r="H373">
        <v>3795.23</v>
      </c>
      <c r="I373" t="s">
        <v>39</v>
      </c>
      <c r="J373" t="s">
        <v>27</v>
      </c>
      <c r="K373" t="s">
        <v>23</v>
      </c>
      <c r="L373">
        <v>2853.9</v>
      </c>
      <c r="M373">
        <v>24.8</v>
      </c>
      <c r="N373">
        <v>2025</v>
      </c>
      <c r="O373">
        <v>3</v>
      </c>
      <c r="P373" t="s">
        <v>60</v>
      </c>
      <c r="Q373">
        <v>941.33</v>
      </c>
      <c r="R373" t="s">
        <v>29</v>
      </c>
      <c r="S373">
        <v>3.0317741918349568</v>
      </c>
      <c r="T373" t="s">
        <v>78</v>
      </c>
    </row>
    <row r="374" spans="1:20" x14ac:dyDescent="0.25">
      <c r="A374" s="11">
        <v>44961</v>
      </c>
      <c r="B374" t="s">
        <v>51</v>
      </c>
      <c r="C374" t="s">
        <v>52</v>
      </c>
      <c r="D374" t="s">
        <v>53</v>
      </c>
      <c r="E374" t="s">
        <v>50</v>
      </c>
      <c r="F374">
        <v>633</v>
      </c>
      <c r="G374">
        <v>4.0999999999999996</v>
      </c>
      <c r="H374">
        <v>2595.3000000000002</v>
      </c>
      <c r="I374" t="s">
        <v>55</v>
      </c>
      <c r="J374" t="s">
        <v>22</v>
      </c>
      <c r="K374" t="s">
        <v>28</v>
      </c>
      <c r="L374">
        <v>1655.82</v>
      </c>
      <c r="M374">
        <v>36.200000000000003</v>
      </c>
      <c r="N374">
        <v>2023</v>
      </c>
      <c r="O374">
        <v>1</v>
      </c>
      <c r="P374" t="s">
        <v>60</v>
      </c>
      <c r="Q374">
        <v>939.48</v>
      </c>
      <c r="R374" t="s">
        <v>25</v>
      </c>
      <c r="S374">
        <v>1.7624856303487035</v>
      </c>
      <c r="T374" t="s">
        <v>78</v>
      </c>
    </row>
    <row r="375" spans="1:20" x14ac:dyDescent="0.25">
      <c r="A375" s="11">
        <v>44951</v>
      </c>
      <c r="B375" t="s">
        <v>17</v>
      </c>
      <c r="C375" t="s">
        <v>18</v>
      </c>
      <c r="D375" t="s">
        <v>32</v>
      </c>
      <c r="E375" t="s">
        <v>20</v>
      </c>
      <c r="F375">
        <v>431</v>
      </c>
      <c r="G375">
        <v>8.06</v>
      </c>
      <c r="H375">
        <v>3473.86</v>
      </c>
      <c r="I375" t="s">
        <v>55</v>
      </c>
      <c r="J375" t="s">
        <v>47</v>
      </c>
      <c r="K375" t="s">
        <v>23</v>
      </c>
      <c r="L375">
        <v>2535.63</v>
      </c>
      <c r="M375">
        <v>27</v>
      </c>
      <c r="N375">
        <v>2023</v>
      </c>
      <c r="O375">
        <v>1</v>
      </c>
      <c r="P375" t="s">
        <v>24</v>
      </c>
      <c r="Q375">
        <v>938.23</v>
      </c>
      <c r="R375" t="s">
        <v>25</v>
      </c>
      <c r="S375">
        <v>2.7025676006949255</v>
      </c>
      <c r="T375" t="s">
        <v>78</v>
      </c>
    </row>
    <row r="376" spans="1:20" x14ac:dyDescent="0.25">
      <c r="A376" s="11">
        <v>45005</v>
      </c>
      <c r="B376" t="s">
        <v>17</v>
      </c>
      <c r="C376" t="s">
        <v>18</v>
      </c>
      <c r="D376" t="s">
        <v>53</v>
      </c>
      <c r="E376" t="s">
        <v>50</v>
      </c>
      <c r="F376">
        <v>659</v>
      </c>
      <c r="G376">
        <v>9.0399999999999991</v>
      </c>
      <c r="H376">
        <v>5957.36</v>
      </c>
      <c r="I376" t="s">
        <v>46</v>
      </c>
      <c r="J376" t="s">
        <v>40</v>
      </c>
      <c r="K376" t="s">
        <v>28</v>
      </c>
      <c r="L376">
        <v>5020.5600000000004</v>
      </c>
      <c r="M376">
        <v>15.7</v>
      </c>
      <c r="N376">
        <v>2023</v>
      </c>
      <c r="O376">
        <v>1</v>
      </c>
      <c r="P376" t="s">
        <v>62</v>
      </c>
      <c r="Q376">
        <v>936.8</v>
      </c>
      <c r="R376" t="s">
        <v>29</v>
      </c>
      <c r="S376">
        <v>5.3592655849701121</v>
      </c>
      <c r="T376" t="s">
        <v>78</v>
      </c>
    </row>
    <row r="377" spans="1:20" x14ac:dyDescent="0.25">
      <c r="A377" s="11">
        <v>45122</v>
      </c>
      <c r="B377" t="s">
        <v>42</v>
      </c>
      <c r="C377" t="s">
        <v>43</v>
      </c>
      <c r="D377" t="s">
        <v>45</v>
      </c>
      <c r="E377" t="s">
        <v>20</v>
      </c>
      <c r="F377">
        <v>563</v>
      </c>
      <c r="G377">
        <v>11.91</v>
      </c>
      <c r="H377">
        <v>6705.33</v>
      </c>
      <c r="I377" t="s">
        <v>26</v>
      </c>
      <c r="J377" t="s">
        <v>34</v>
      </c>
      <c r="K377" t="s">
        <v>28</v>
      </c>
      <c r="L377">
        <v>5772.85</v>
      </c>
      <c r="M377">
        <v>13.9</v>
      </c>
      <c r="N377">
        <v>2024</v>
      </c>
      <c r="O377">
        <v>3</v>
      </c>
      <c r="P377" t="s">
        <v>66</v>
      </c>
      <c r="Q377">
        <v>932.48</v>
      </c>
      <c r="R377" t="s">
        <v>29</v>
      </c>
      <c r="S377">
        <v>6.1908566403568983</v>
      </c>
      <c r="T377" t="s">
        <v>78</v>
      </c>
    </row>
    <row r="378" spans="1:20" x14ac:dyDescent="0.25">
      <c r="A378" s="11">
        <v>45132</v>
      </c>
      <c r="B378" t="s">
        <v>42</v>
      </c>
      <c r="C378" t="s">
        <v>43</v>
      </c>
      <c r="D378" t="s">
        <v>45</v>
      </c>
      <c r="E378" t="s">
        <v>20</v>
      </c>
      <c r="F378">
        <v>278</v>
      </c>
      <c r="G378">
        <v>8.39</v>
      </c>
      <c r="H378">
        <v>2332.42</v>
      </c>
      <c r="I378" t="s">
        <v>57</v>
      </c>
      <c r="J378" t="s">
        <v>34</v>
      </c>
      <c r="K378" t="s">
        <v>41</v>
      </c>
      <c r="L378">
        <v>1400.05</v>
      </c>
      <c r="M378">
        <v>40</v>
      </c>
      <c r="N378">
        <v>2025</v>
      </c>
      <c r="O378">
        <v>3</v>
      </c>
      <c r="P378" t="s">
        <v>68</v>
      </c>
      <c r="Q378">
        <v>932.37</v>
      </c>
      <c r="R378" t="s">
        <v>25</v>
      </c>
      <c r="S378">
        <v>1.501603440694145</v>
      </c>
      <c r="T378" t="s">
        <v>78</v>
      </c>
    </row>
    <row r="379" spans="1:20" x14ac:dyDescent="0.25">
      <c r="A379" s="11">
        <v>45103</v>
      </c>
      <c r="B379" t="s">
        <v>35</v>
      </c>
      <c r="C379" t="s">
        <v>36</v>
      </c>
      <c r="D379" t="s">
        <v>19</v>
      </c>
      <c r="E379" t="s">
        <v>20</v>
      </c>
      <c r="F379">
        <v>390</v>
      </c>
      <c r="G379">
        <v>11.89</v>
      </c>
      <c r="H379">
        <v>4637.1000000000004</v>
      </c>
      <c r="I379" t="s">
        <v>57</v>
      </c>
      <c r="J379" t="s">
        <v>27</v>
      </c>
      <c r="K379" t="s">
        <v>23</v>
      </c>
      <c r="L379">
        <v>3705.14</v>
      </c>
      <c r="M379">
        <v>20.100000000000001</v>
      </c>
      <c r="N379">
        <v>2024</v>
      </c>
      <c r="O379">
        <v>2</v>
      </c>
      <c r="P379" t="s">
        <v>24</v>
      </c>
      <c r="Q379">
        <v>931.96</v>
      </c>
      <c r="R379" t="s">
        <v>29</v>
      </c>
      <c r="S379">
        <v>3.9756427314477012</v>
      </c>
      <c r="T379" t="s">
        <v>78</v>
      </c>
    </row>
    <row r="380" spans="1:20" x14ac:dyDescent="0.25">
      <c r="A380" s="11">
        <v>44976</v>
      </c>
      <c r="B380" t="s">
        <v>17</v>
      </c>
      <c r="C380" t="s">
        <v>18</v>
      </c>
      <c r="D380" t="s">
        <v>44</v>
      </c>
      <c r="E380" t="s">
        <v>38</v>
      </c>
      <c r="F380">
        <v>809</v>
      </c>
      <c r="G380">
        <v>3.62</v>
      </c>
      <c r="H380">
        <v>2928.58</v>
      </c>
      <c r="I380" t="s">
        <v>46</v>
      </c>
      <c r="J380" t="s">
        <v>47</v>
      </c>
      <c r="K380" t="s">
        <v>23</v>
      </c>
      <c r="L380">
        <v>1999.74</v>
      </c>
      <c r="M380">
        <v>31.7</v>
      </c>
      <c r="N380">
        <v>2023</v>
      </c>
      <c r="O380">
        <v>1</v>
      </c>
      <c r="P380" t="s">
        <v>60</v>
      </c>
      <c r="Q380">
        <v>928.84</v>
      </c>
      <c r="R380" t="s">
        <v>25</v>
      </c>
      <c r="S380">
        <v>2.1529434563541621</v>
      </c>
      <c r="T380" t="s">
        <v>78</v>
      </c>
    </row>
    <row r="381" spans="1:20" x14ac:dyDescent="0.25">
      <c r="A381" s="11">
        <v>44967</v>
      </c>
      <c r="B381" t="s">
        <v>17</v>
      </c>
      <c r="C381" t="s">
        <v>18</v>
      </c>
      <c r="D381" t="s">
        <v>37</v>
      </c>
      <c r="E381" t="s">
        <v>38</v>
      </c>
      <c r="F381">
        <v>882</v>
      </c>
      <c r="G381">
        <v>8.81</v>
      </c>
      <c r="H381">
        <v>7770.42</v>
      </c>
      <c r="I381" t="s">
        <v>21</v>
      </c>
      <c r="J381" t="s">
        <v>56</v>
      </c>
      <c r="K381" t="s">
        <v>23</v>
      </c>
      <c r="L381">
        <v>6843.18</v>
      </c>
      <c r="M381">
        <v>11.9</v>
      </c>
      <c r="N381">
        <v>2023</v>
      </c>
      <c r="O381">
        <v>1</v>
      </c>
      <c r="P381" t="s">
        <v>60</v>
      </c>
      <c r="Q381">
        <v>927.24</v>
      </c>
      <c r="R381" t="s">
        <v>29</v>
      </c>
      <c r="S381">
        <v>7.3801604762521036</v>
      </c>
      <c r="T381" t="s">
        <v>78</v>
      </c>
    </row>
    <row r="382" spans="1:20" x14ac:dyDescent="0.25">
      <c r="A382" s="11">
        <v>45052</v>
      </c>
      <c r="B382" t="s">
        <v>30</v>
      </c>
      <c r="C382" t="s">
        <v>31</v>
      </c>
      <c r="D382" t="s">
        <v>45</v>
      </c>
      <c r="E382" t="s">
        <v>20</v>
      </c>
      <c r="F382">
        <v>311</v>
      </c>
      <c r="G382">
        <v>7.94</v>
      </c>
      <c r="H382">
        <v>2469.34</v>
      </c>
      <c r="I382" t="s">
        <v>55</v>
      </c>
      <c r="J382" t="s">
        <v>56</v>
      </c>
      <c r="K382" t="s">
        <v>23</v>
      </c>
      <c r="L382">
        <v>1547.72</v>
      </c>
      <c r="M382">
        <v>37.299999999999997</v>
      </c>
      <c r="N382">
        <v>2023</v>
      </c>
      <c r="O382">
        <v>2</v>
      </c>
      <c r="P382" t="s">
        <v>64</v>
      </c>
      <c r="Q382">
        <v>921.62</v>
      </c>
      <c r="R382" t="s">
        <v>25</v>
      </c>
      <c r="S382">
        <v>1.6793472363880992</v>
      </c>
      <c r="T382" t="s">
        <v>78</v>
      </c>
    </row>
    <row r="383" spans="1:20" x14ac:dyDescent="0.25">
      <c r="A383" s="11">
        <v>45092</v>
      </c>
      <c r="B383" t="s">
        <v>30</v>
      </c>
      <c r="C383" t="s">
        <v>31</v>
      </c>
      <c r="D383" t="s">
        <v>53</v>
      </c>
      <c r="E383" t="s">
        <v>50</v>
      </c>
      <c r="F383">
        <v>474</v>
      </c>
      <c r="G383">
        <v>10.43</v>
      </c>
      <c r="H383">
        <v>4943.82</v>
      </c>
      <c r="I383" t="s">
        <v>26</v>
      </c>
      <c r="J383" t="s">
        <v>27</v>
      </c>
      <c r="K383" t="s">
        <v>41</v>
      </c>
      <c r="L383">
        <v>4023.22</v>
      </c>
      <c r="M383">
        <v>18.600000000000001</v>
      </c>
      <c r="N383">
        <v>2023</v>
      </c>
      <c r="O383">
        <v>2</v>
      </c>
      <c r="P383" t="s">
        <v>70</v>
      </c>
      <c r="Q383">
        <v>920.6</v>
      </c>
      <c r="R383" t="s">
        <v>29</v>
      </c>
      <c r="S383">
        <v>4.370215077123615</v>
      </c>
      <c r="T383" t="s">
        <v>78</v>
      </c>
    </row>
    <row r="384" spans="1:20" x14ac:dyDescent="0.25">
      <c r="A384" s="11">
        <v>44931</v>
      </c>
      <c r="B384" t="s">
        <v>51</v>
      </c>
      <c r="C384" t="s">
        <v>52</v>
      </c>
      <c r="D384" t="s">
        <v>48</v>
      </c>
      <c r="E384" t="s">
        <v>38</v>
      </c>
      <c r="F384">
        <v>942</v>
      </c>
      <c r="G384">
        <v>2.96</v>
      </c>
      <c r="H384">
        <v>2788.32</v>
      </c>
      <c r="I384" t="s">
        <v>57</v>
      </c>
      <c r="J384" t="s">
        <v>22</v>
      </c>
      <c r="K384" t="s">
        <v>28</v>
      </c>
      <c r="L384">
        <v>1872.65</v>
      </c>
      <c r="M384">
        <v>32.799999999999997</v>
      </c>
      <c r="N384">
        <v>2023</v>
      </c>
      <c r="O384">
        <v>1</v>
      </c>
      <c r="P384" t="s">
        <v>24</v>
      </c>
      <c r="Q384">
        <v>915.67</v>
      </c>
      <c r="R384" t="s">
        <v>25</v>
      </c>
      <c r="S384">
        <v>2.0451145063177782</v>
      </c>
      <c r="T384" t="s">
        <v>78</v>
      </c>
    </row>
    <row r="385" spans="1:20" x14ac:dyDescent="0.25">
      <c r="A385" s="11">
        <v>45067</v>
      </c>
      <c r="B385" t="s">
        <v>30</v>
      </c>
      <c r="C385" t="s">
        <v>31</v>
      </c>
      <c r="D385" t="s">
        <v>44</v>
      </c>
      <c r="E385" t="s">
        <v>38</v>
      </c>
      <c r="F385">
        <v>600</v>
      </c>
      <c r="G385">
        <v>7.05</v>
      </c>
      <c r="H385">
        <v>4230</v>
      </c>
      <c r="I385" t="s">
        <v>26</v>
      </c>
      <c r="J385" t="s">
        <v>22</v>
      </c>
      <c r="K385" t="s">
        <v>23</v>
      </c>
      <c r="L385">
        <v>3318.36</v>
      </c>
      <c r="M385">
        <v>21.6</v>
      </c>
      <c r="N385">
        <v>2023</v>
      </c>
      <c r="O385">
        <v>2</v>
      </c>
      <c r="P385" t="s">
        <v>66</v>
      </c>
      <c r="Q385">
        <v>911.64</v>
      </c>
      <c r="R385" t="s">
        <v>29</v>
      </c>
      <c r="S385">
        <v>3.6399894695274453</v>
      </c>
      <c r="T385" t="s">
        <v>78</v>
      </c>
    </row>
    <row r="386" spans="1:20" x14ac:dyDescent="0.25">
      <c r="A386" s="11">
        <v>44936</v>
      </c>
      <c r="B386" t="s">
        <v>58</v>
      </c>
      <c r="C386" t="s">
        <v>59</v>
      </c>
      <c r="D386" t="s">
        <v>45</v>
      </c>
      <c r="E386" t="s">
        <v>20</v>
      </c>
      <c r="F386">
        <v>829</v>
      </c>
      <c r="G386">
        <v>9.42</v>
      </c>
      <c r="H386">
        <v>7809.18</v>
      </c>
      <c r="I386" t="s">
        <v>39</v>
      </c>
      <c r="J386" t="s">
        <v>34</v>
      </c>
      <c r="K386" t="s">
        <v>23</v>
      </c>
      <c r="L386">
        <v>6898.98</v>
      </c>
      <c r="M386">
        <v>11.7</v>
      </c>
      <c r="N386">
        <v>2023</v>
      </c>
      <c r="O386">
        <v>1</v>
      </c>
      <c r="P386" t="s">
        <v>24</v>
      </c>
      <c r="Q386">
        <v>910.2</v>
      </c>
      <c r="R386" t="s">
        <v>29</v>
      </c>
      <c r="S386">
        <v>7.5796308503625571</v>
      </c>
      <c r="T386" t="s">
        <v>78</v>
      </c>
    </row>
    <row r="387" spans="1:20" x14ac:dyDescent="0.25">
      <c r="A387" s="11">
        <v>45003</v>
      </c>
      <c r="B387" t="s">
        <v>42</v>
      </c>
      <c r="C387" t="s">
        <v>43</v>
      </c>
      <c r="D387" t="s">
        <v>48</v>
      </c>
      <c r="E387" t="s">
        <v>38</v>
      </c>
      <c r="F387">
        <v>296</v>
      </c>
      <c r="G387">
        <v>11.71</v>
      </c>
      <c r="H387">
        <v>3466.16</v>
      </c>
      <c r="I387" t="s">
        <v>55</v>
      </c>
      <c r="J387" t="s">
        <v>47</v>
      </c>
      <c r="K387" t="s">
        <v>28</v>
      </c>
      <c r="L387">
        <v>2556.5300000000002</v>
      </c>
      <c r="M387">
        <v>26.2</v>
      </c>
      <c r="N387">
        <v>2023</v>
      </c>
      <c r="O387">
        <v>1</v>
      </c>
      <c r="P387" t="s">
        <v>62</v>
      </c>
      <c r="Q387">
        <v>909.63</v>
      </c>
      <c r="R387" t="s">
        <v>25</v>
      </c>
      <c r="S387">
        <v>2.8105163637962689</v>
      </c>
      <c r="T387" t="s">
        <v>78</v>
      </c>
    </row>
    <row r="388" spans="1:20" x14ac:dyDescent="0.25">
      <c r="A388" s="11">
        <v>44998</v>
      </c>
      <c r="B388" t="s">
        <v>58</v>
      </c>
      <c r="C388" t="s">
        <v>59</v>
      </c>
      <c r="D388" t="s">
        <v>19</v>
      </c>
      <c r="E388" t="s">
        <v>20</v>
      </c>
      <c r="F388">
        <v>256</v>
      </c>
      <c r="G388">
        <v>11.76</v>
      </c>
      <c r="H388">
        <v>3010.56</v>
      </c>
      <c r="I388" t="s">
        <v>54</v>
      </c>
      <c r="J388" t="s">
        <v>47</v>
      </c>
      <c r="K388" t="s">
        <v>41</v>
      </c>
      <c r="L388">
        <v>2102.31</v>
      </c>
      <c r="M388">
        <v>30.2</v>
      </c>
      <c r="N388">
        <v>2023</v>
      </c>
      <c r="O388">
        <v>1</v>
      </c>
      <c r="P388" t="s">
        <v>61</v>
      </c>
      <c r="Q388">
        <v>908.25</v>
      </c>
      <c r="R388" t="s">
        <v>25</v>
      </c>
      <c r="S388">
        <v>2.3146820809248556</v>
      </c>
      <c r="T388" t="s">
        <v>78</v>
      </c>
    </row>
    <row r="389" spans="1:20" x14ac:dyDescent="0.25">
      <c r="A389" s="11">
        <v>45083</v>
      </c>
      <c r="B389" t="s">
        <v>30</v>
      </c>
      <c r="C389" t="s">
        <v>31</v>
      </c>
      <c r="D389" t="s">
        <v>37</v>
      </c>
      <c r="E389" t="s">
        <v>38</v>
      </c>
      <c r="F389">
        <v>623</v>
      </c>
      <c r="G389">
        <v>6.61</v>
      </c>
      <c r="H389">
        <v>4118.03</v>
      </c>
      <c r="I389" t="s">
        <v>55</v>
      </c>
      <c r="J389" t="s">
        <v>34</v>
      </c>
      <c r="K389" t="s">
        <v>23</v>
      </c>
      <c r="L389">
        <v>3213.25</v>
      </c>
      <c r="M389">
        <v>22</v>
      </c>
      <c r="N389">
        <v>2023</v>
      </c>
      <c r="O389">
        <v>2</v>
      </c>
      <c r="P389" t="s">
        <v>68</v>
      </c>
      <c r="Q389">
        <v>904.78</v>
      </c>
      <c r="R389" t="s">
        <v>29</v>
      </c>
      <c r="S389">
        <v>3.5514158137889873</v>
      </c>
      <c r="T389" t="s">
        <v>78</v>
      </c>
    </row>
    <row r="390" spans="1:20" x14ac:dyDescent="0.25">
      <c r="A390" s="11">
        <v>45035</v>
      </c>
      <c r="B390" t="s">
        <v>30</v>
      </c>
      <c r="C390" t="s">
        <v>31</v>
      </c>
      <c r="D390" t="s">
        <v>53</v>
      </c>
      <c r="E390" t="s">
        <v>50</v>
      </c>
      <c r="F390">
        <v>777</v>
      </c>
      <c r="G390">
        <v>4.82</v>
      </c>
      <c r="H390">
        <v>3745.14</v>
      </c>
      <c r="I390" t="s">
        <v>55</v>
      </c>
      <c r="J390" t="s">
        <v>22</v>
      </c>
      <c r="K390" t="s">
        <v>23</v>
      </c>
      <c r="L390">
        <v>2845.24</v>
      </c>
      <c r="M390">
        <v>24</v>
      </c>
      <c r="N390">
        <v>2023</v>
      </c>
      <c r="O390">
        <v>2</v>
      </c>
      <c r="P390" t="s">
        <v>63</v>
      </c>
      <c r="Q390">
        <v>899.9</v>
      </c>
      <c r="R390" t="s">
        <v>29</v>
      </c>
      <c r="S390">
        <v>3.1617290810090006</v>
      </c>
      <c r="T390" t="s">
        <v>78</v>
      </c>
    </row>
    <row r="391" spans="1:20" x14ac:dyDescent="0.25">
      <c r="A391" s="11">
        <v>45047</v>
      </c>
      <c r="B391" t="s">
        <v>35</v>
      </c>
      <c r="C391" t="s">
        <v>36</v>
      </c>
      <c r="D391" t="s">
        <v>19</v>
      </c>
      <c r="E391" t="s">
        <v>20</v>
      </c>
      <c r="F391">
        <v>552</v>
      </c>
      <c r="G391">
        <v>7.14</v>
      </c>
      <c r="H391">
        <v>3941.28</v>
      </c>
      <c r="I391" t="s">
        <v>57</v>
      </c>
      <c r="J391" t="s">
        <v>47</v>
      </c>
      <c r="K391" t="s">
        <v>23</v>
      </c>
      <c r="L391">
        <v>3041.72</v>
      </c>
      <c r="M391">
        <v>22.8</v>
      </c>
      <c r="N391">
        <v>2023</v>
      </c>
      <c r="O391">
        <v>2</v>
      </c>
      <c r="P391" t="s">
        <v>64</v>
      </c>
      <c r="Q391">
        <v>899.56</v>
      </c>
      <c r="R391" t="s">
        <v>29</v>
      </c>
      <c r="S391">
        <v>3.3813419894170482</v>
      </c>
      <c r="T391" t="s">
        <v>78</v>
      </c>
    </row>
    <row r="392" spans="1:20" x14ac:dyDescent="0.25">
      <c r="A392" s="11">
        <v>45002</v>
      </c>
      <c r="B392" t="s">
        <v>42</v>
      </c>
      <c r="C392" t="s">
        <v>43</v>
      </c>
      <c r="D392" t="s">
        <v>19</v>
      </c>
      <c r="E392" t="s">
        <v>20</v>
      </c>
      <c r="F392">
        <v>968</v>
      </c>
      <c r="G392">
        <v>4.9000000000000004</v>
      </c>
      <c r="H392">
        <v>4743.2</v>
      </c>
      <c r="I392" t="s">
        <v>33</v>
      </c>
      <c r="J392" t="s">
        <v>47</v>
      </c>
      <c r="K392" t="s">
        <v>23</v>
      </c>
      <c r="L392">
        <v>3843.8</v>
      </c>
      <c r="M392">
        <v>19</v>
      </c>
      <c r="N392">
        <v>2023</v>
      </c>
      <c r="O392">
        <v>1</v>
      </c>
      <c r="P392" t="s">
        <v>62</v>
      </c>
      <c r="Q392">
        <v>899.4</v>
      </c>
      <c r="R392" t="s">
        <v>29</v>
      </c>
      <c r="S392">
        <v>4.2737380475872806</v>
      </c>
      <c r="T392" t="s">
        <v>78</v>
      </c>
    </row>
    <row r="393" spans="1:20" x14ac:dyDescent="0.25">
      <c r="A393" s="11">
        <v>45122</v>
      </c>
      <c r="B393" t="s">
        <v>51</v>
      </c>
      <c r="C393" t="s">
        <v>52</v>
      </c>
      <c r="D393" t="s">
        <v>44</v>
      </c>
      <c r="E393" t="s">
        <v>38</v>
      </c>
      <c r="F393">
        <v>515</v>
      </c>
      <c r="G393">
        <v>10.5</v>
      </c>
      <c r="H393">
        <v>5407.5</v>
      </c>
      <c r="I393" t="s">
        <v>26</v>
      </c>
      <c r="J393" t="s">
        <v>47</v>
      </c>
      <c r="K393" t="s">
        <v>28</v>
      </c>
      <c r="L393">
        <v>4512.71</v>
      </c>
      <c r="M393">
        <v>16.5</v>
      </c>
      <c r="N393">
        <v>2024</v>
      </c>
      <c r="O393">
        <v>3</v>
      </c>
      <c r="P393" t="s">
        <v>66</v>
      </c>
      <c r="Q393">
        <v>894.79</v>
      </c>
      <c r="R393" t="s">
        <v>29</v>
      </c>
      <c r="S393">
        <v>5.0433174264352534</v>
      </c>
      <c r="T393" t="s">
        <v>78</v>
      </c>
    </row>
    <row r="394" spans="1:20" x14ac:dyDescent="0.25">
      <c r="A394" s="11">
        <v>44984</v>
      </c>
      <c r="B394" t="s">
        <v>30</v>
      </c>
      <c r="C394" t="s">
        <v>31</v>
      </c>
      <c r="D394" t="s">
        <v>32</v>
      </c>
      <c r="E394" t="s">
        <v>20</v>
      </c>
      <c r="F394">
        <v>927</v>
      </c>
      <c r="G394">
        <v>8.42</v>
      </c>
      <c r="H394">
        <v>7805.34</v>
      </c>
      <c r="I394" t="s">
        <v>57</v>
      </c>
      <c r="J394" t="s">
        <v>47</v>
      </c>
      <c r="K394" t="s">
        <v>23</v>
      </c>
      <c r="L394">
        <v>6917.14</v>
      </c>
      <c r="M394">
        <v>11.4</v>
      </c>
      <c r="N394">
        <v>2023</v>
      </c>
      <c r="O394">
        <v>1</v>
      </c>
      <c r="P394" t="s">
        <v>61</v>
      </c>
      <c r="Q394">
        <v>888.2</v>
      </c>
      <c r="R394" t="s">
        <v>29</v>
      </c>
      <c r="S394">
        <v>7.7878180589957218</v>
      </c>
      <c r="T394" t="s">
        <v>78</v>
      </c>
    </row>
    <row r="395" spans="1:20" x14ac:dyDescent="0.25">
      <c r="A395" s="11">
        <v>44932</v>
      </c>
      <c r="B395" t="s">
        <v>17</v>
      </c>
      <c r="C395" t="s">
        <v>18</v>
      </c>
      <c r="D395" t="s">
        <v>37</v>
      </c>
      <c r="E395" t="s">
        <v>38</v>
      </c>
      <c r="F395">
        <v>680</v>
      </c>
      <c r="G395">
        <v>11.34</v>
      </c>
      <c r="H395">
        <v>7711.2</v>
      </c>
      <c r="I395" t="s">
        <v>46</v>
      </c>
      <c r="J395" t="s">
        <v>27</v>
      </c>
      <c r="K395" t="s">
        <v>41</v>
      </c>
      <c r="L395">
        <v>6825.4</v>
      </c>
      <c r="M395">
        <v>11.5</v>
      </c>
      <c r="N395">
        <v>2023</v>
      </c>
      <c r="O395">
        <v>1</v>
      </c>
      <c r="P395" t="s">
        <v>24</v>
      </c>
      <c r="Q395">
        <v>885.8</v>
      </c>
      <c r="R395" t="s">
        <v>29</v>
      </c>
      <c r="S395">
        <v>7.7053510950553168</v>
      </c>
      <c r="T395" t="s">
        <v>78</v>
      </c>
    </row>
    <row r="396" spans="1:20" x14ac:dyDescent="0.25">
      <c r="A396" s="11">
        <v>45074</v>
      </c>
      <c r="B396" t="s">
        <v>35</v>
      </c>
      <c r="C396" t="s">
        <v>36</v>
      </c>
      <c r="D396" t="s">
        <v>49</v>
      </c>
      <c r="E396" t="s">
        <v>50</v>
      </c>
      <c r="F396">
        <v>663</v>
      </c>
      <c r="G396">
        <v>8.7200000000000006</v>
      </c>
      <c r="H396">
        <v>5781.36</v>
      </c>
      <c r="I396" t="s">
        <v>57</v>
      </c>
      <c r="J396" t="s">
        <v>56</v>
      </c>
      <c r="K396" t="s">
        <v>23</v>
      </c>
      <c r="L396">
        <v>4897.1899999999996</v>
      </c>
      <c r="M396">
        <v>15.3</v>
      </c>
      <c r="N396">
        <v>2023</v>
      </c>
      <c r="O396">
        <v>2</v>
      </c>
      <c r="P396" t="s">
        <v>67</v>
      </c>
      <c r="Q396">
        <v>884.17</v>
      </c>
      <c r="R396" t="s">
        <v>29</v>
      </c>
      <c r="S396">
        <v>5.5387425495097098</v>
      </c>
      <c r="T396" t="s">
        <v>78</v>
      </c>
    </row>
    <row r="397" spans="1:20" x14ac:dyDescent="0.25">
      <c r="A397" s="11">
        <v>45114</v>
      </c>
      <c r="B397" t="s">
        <v>35</v>
      </c>
      <c r="C397" t="s">
        <v>36</v>
      </c>
      <c r="D397" t="s">
        <v>37</v>
      </c>
      <c r="E397" t="s">
        <v>38</v>
      </c>
      <c r="F397">
        <v>639</v>
      </c>
      <c r="G397">
        <v>4.17</v>
      </c>
      <c r="H397">
        <v>2664.63</v>
      </c>
      <c r="I397" t="s">
        <v>55</v>
      </c>
      <c r="J397" t="s">
        <v>22</v>
      </c>
      <c r="K397" t="s">
        <v>41</v>
      </c>
      <c r="L397">
        <v>1782.03</v>
      </c>
      <c r="M397">
        <v>33.1</v>
      </c>
      <c r="N397">
        <v>2024</v>
      </c>
      <c r="O397">
        <v>3</v>
      </c>
      <c r="P397" t="s">
        <v>63</v>
      </c>
      <c r="Q397">
        <v>882.6</v>
      </c>
      <c r="R397" t="s">
        <v>25</v>
      </c>
      <c r="S397">
        <v>2.019068660774983</v>
      </c>
      <c r="T397" t="s">
        <v>78</v>
      </c>
    </row>
    <row r="398" spans="1:20" x14ac:dyDescent="0.25">
      <c r="A398" s="11">
        <v>45123</v>
      </c>
      <c r="B398" t="s">
        <v>17</v>
      </c>
      <c r="C398" t="s">
        <v>18</v>
      </c>
      <c r="D398" t="s">
        <v>32</v>
      </c>
      <c r="E398" t="s">
        <v>20</v>
      </c>
      <c r="F398">
        <v>390</v>
      </c>
      <c r="G398">
        <v>7.69</v>
      </c>
      <c r="H398">
        <v>2999.1</v>
      </c>
      <c r="I398" t="s">
        <v>46</v>
      </c>
      <c r="J398" t="s">
        <v>22</v>
      </c>
      <c r="K398" t="s">
        <v>41</v>
      </c>
      <c r="L398">
        <v>2116.5300000000002</v>
      </c>
      <c r="M398">
        <v>29.4</v>
      </c>
      <c r="N398">
        <v>2024</v>
      </c>
      <c r="O398">
        <v>3</v>
      </c>
      <c r="P398" t="s">
        <v>67</v>
      </c>
      <c r="Q398">
        <v>882.57</v>
      </c>
      <c r="R398" t="s">
        <v>25</v>
      </c>
      <c r="S398">
        <v>2.398144056562086</v>
      </c>
      <c r="T398" t="s">
        <v>78</v>
      </c>
    </row>
    <row r="399" spans="1:20" x14ac:dyDescent="0.25">
      <c r="A399" s="11">
        <v>45099</v>
      </c>
      <c r="B399" t="s">
        <v>42</v>
      </c>
      <c r="C399" t="s">
        <v>43</v>
      </c>
      <c r="D399" t="s">
        <v>37</v>
      </c>
      <c r="E399" t="s">
        <v>38</v>
      </c>
      <c r="F399">
        <v>551</v>
      </c>
      <c r="G399">
        <v>6.87</v>
      </c>
      <c r="H399">
        <v>3785.37</v>
      </c>
      <c r="I399" t="s">
        <v>26</v>
      </c>
      <c r="J399" t="s">
        <v>27</v>
      </c>
      <c r="K399" t="s">
        <v>41</v>
      </c>
      <c r="L399">
        <v>2911.45</v>
      </c>
      <c r="M399">
        <v>23.1</v>
      </c>
      <c r="N399">
        <v>2024</v>
      </c>
      <c r="O399">
        <v>2</v>
      </c>
      <c r="P399" t="s">
        <v>24</v>
      </c>
      <c r="Q399">
        <v>873.92</v>
      </c>
      <c r="R399" t="s">
        <v>29</v>
      </c>
      <c r="S399">
        <v>3.3314834309776638</v>
      </c>
      <c r="T399" t="s">
        <v>78</v>
      </c>
    </row>
    <row r="400" spans="1:20" x14ac:dyDescent="0.25">
      <c r="A400" s="11">
        <v>45058</v>
      </c>
      <c r="B400" t="s">
        <v>51</v>
      </c>
      <c r="C400" t="s">
        <v>52</v>
      </c>
      <c r="D400" t="s">
        <v>53</v>
      </c>
      <c r="E400" t="s">
        <v>50</v>
      </c>
      <c r="F400">
        <v>970</v>
      </c>
      <c r="G400">
        <v>2.35</v>
      </c>
      <c r="H400">
        <v>2279.5</v>
      </c>
      <c r="I400" t="s">
        <v>26</v>
      </c>
      <c r="J400" t="s">
        <v>22</v>
      </c>
      <c r="K400" t="s">
        <v>41</v>
      </c>
      <c r="L400">
        <v>1407.46</v>
      </c>
      <c r="M400">
        <v>38.299999999999997</v>
      </c>
      <c r="N400">
        <v>2023</v>
      </c>
      <c r="O400">
        <v>2</v>
      </c>
      <c r="P400" t="s">
        <v>65</v>
      </c>
      <c r="Q400">
        <v>872.04</v>
      </c>
      <c r="R400" t="s">
        <v>25</v>
      </c>
      <c r="S400">
        <v>1.6139855969909638</v>
      </c>
      <c r="T400" t="s">
        <v>78</v>
      </c>
    </row>
    <row r="401" spans="1:20" x14ac:dyDescent="0.25">
      <c r="A401" s="11">
        <v>44936</v>
      </c>
      <c r="B401" t="s">
        <v>17</v>
      </c>
      <c r="C401" t="s">
        <v>18</v>
      </c>
      <c r="D401" t="s">
        <v>48</v>
      </c>
      <c r="E401" t="s">
        <v>38</v>
      </c>
      <c r="F401">
        <v>932</v>
      </c>
      <c r="G401">
        <v>7.99</v>
      </c>
      <c r="H401">
        <v>7446.68</v>
      </c>
      <c r="I401" t="s">
        <v>33</v>
      </c>
      <c r="J401" t="s">
        <v>40</v>
      </c>
      <c r="K401" t="s">
        <v>41</v>
      </c>
      <c r="L401">
        <v>6575.09</v>
      </c>
      <c r="M401">
        <v>11.7</v>
      </c>
      <c r="N401">
        <v>2023</v>
      </c>
      <c r="O401">
        <v>1</v>
      </c>
      <c r="P401" t="s">
        <v>24</v>
      </c>
      <c r="Q401">
        <v>871.59</v>
      </c>
      <c r="R401" t="s">
        <v>29</v>
      </c>
      <c r="S401">
        <v>7.5437877901306809</v>
      </c>
      <c r="T401" t="s">
        <v>78</v>
      </c>
    </row>
    <row r="402" spans="1:20" x14ac:dyDescent="0.25">
      <c r="A402" s="11">
        <v>45095</v>
      </c>
      <c r="B402" t="s">
        <v>58</v>
      </c>
      <c r="C402" t="s">
        <v>59</v>
      </c>
      <c r="D402" t="s">
        <v>45</v>
      </c>
      <c r="E402" t="s">
        <v>20</v>
      </c>
      <c r="F402">
        <v>701</v>
      </c>
      <c r="G402">
        <v>10.35</v>
      </c>
      <c r="H402">
        <v>7255.35</v>
      </c>
      <c r="I402" t="s">
        <v>21</v>
      </c>
      <c r="J402" t="s">
        <v>22</v>
      </c>
      <c r="K402" t="s">
        <v>41</v>
      </c>
      <c r="L402">
        <v>6383.78</v>
      </c>
      <c r="M402">
        <v>12</v>
      </c>
      <c r="N402">
        <v>2023</v>
      </c>
      <c r="O402">
        <v>2</v>
      </c>
      <c r="P402" t="s">
        <v>70</v>
      </c>
      <c r="Q402">
        <v>871.57</v>
      </c>
      <c r="R402" t="s">
        <v>29</v>
      </c>
      <c r="S402">
        <v>7.3244604564177278</v>
      </c>
      <c r="T402" t="s">
        <v>78</v>
      </c>
    </row>
    <row r="403" spans="1:20" x14ac:dyDescent="0.25">
      <c r="A403" s="11">
        <v>45009</v>
      </c>
      <c r="B403" t="s">
        <v>17</v>
      </c>
      <c r="C403" t="s">
        <v>18</v>
      </c>
      <c r="D403" t="s">
        <v>48</v>
      </c>
      <c r="E403" t="s">
        <v>38</v>
      </c>
      <c r="F403">
        <v>747</v>
      </c>
      <c r="G403">
        <v>8.3800000000000008</v>
      </c>
      <c r="H403">
        <v>6259.86</v>
      </c>
      <c r="I403" t="s">
        <v>54</v>
      </c>
      <c r="J403" t="s">
        <v>34</v>
      </c>
      <c r="K403" t="s">
        <v>23</v>
      </c>
      <c r="L403">
        <v>5388.39</v>
      </c>
      <c r="M403">
        <v>13.9</v>
      </c>
      <c r="N403">
        <v>2023</v>
      </c>
      <c r="O403">
        <v>1</v>
      </c>
      <c r="P403" t="s">
        <v>62</v>
      </c>
      <c r="Q403">
        <v>871.47</v>
      </c>
      <c r="R403" t="s">
        <v>29</v>
      </c>
      <c r="S403">
        <v>6.1831044097903547</v>
      </c>
      <c r="T403" t="s">
        <v>78</v>
      </c>
    </row>
    <row r="404" spans="1:20" x14ac:dyDescent="0.25">
      <c r="A404" s="11">
        <v>45119</v>
      </c>
      <c r="B404" t="s">
        <v>35</v>
      </c>
      <c r="C404" t="s">
        <v>36</v>
      </c>
      <c r="D404" t="s">
        <v>48</v>
      </c>
      <c r="E404" t="s">
        <v>38</v>
      </c>
      <c r="F404">
        <v>716</v>
      </c>
      <c r="G404">
        <v>6.8</v>
      </c>
      <c r="H404">
        <v>4868.8</v>
      </c>
      <c r="I404" t="s">
        <v>46</v>
      </c>
      <c r="J404" t="s">
        <v>40</v>
      </c>
      <c r="K404" t="s">
        <v>28</v>
      </c>
      <c r="L404">
        <v>3998.77</v>
      </c>
      <c r="M404">
        <v>17.899999999999999</v>
      </c>
      <c r="N404">
        <v>2024</v>
      </c>
      <c r="O404">
        <v>3</v>
      </c>
      <c r="P404" t="s">
        <v>64</v>
      </c>
      <c r="Q404">
        <v>870.03</v>
      </c>
      <c r="R404" t="s">
        <v>29</v>
      </c>
      <c r="S404">
        <v>4.5961288691194557</v>
      </c>
      <c r="T404" t="s">
        <v>78</v>
      </c>
    </row>
    <row r="405" spans="1:20" x14ac:dyDescent="0.25">
      <c r="A405" s="11">
        <v>44947</v>
      </c>
      <c r="B405" t="s">
        <v>51</v>
      </c>
      <c r="C405" t="s">
        <v>52</v>
      </c>
      <c r="D405" t="s">
        <v>32</v>
      </c>
      <c r="E405" t="s">
        <v>20</v>
      </c>
      <c r="F405">
        <v>605</v>
      </c>
      <c r="G405">
        <v>4.53</v>
      </c>
      <c r="H405">
        <v>2740.65</v>
      </c>
      <c r="I405" t="s">
        <v>26</v>
      </c>
      <c r="J405" t="s">
        <v>27</v>
      </c>
      <c r="K405" t="s">
        <v>23</v>
      </c>
      <c r="L405">
        <v>1871.49</v>
      </c>
      <c r="M405">
        <v>31.7</v>
      </c>
      <c r="N405">
        <v>2023</v>
      </c>
      <c r="O405">
        <v>1</v>
      </c>
      <c r="P405" t="s">
        <v>24</v>
      </c>
      <c r="Q405">
        <v>869.16</v>
      </c>
      <c r="R405" t="s">
        <v>25</v>
      </c>
      <c r="S405">
        <v>2.1532168990749692</v>
      </c>
      <c r="T405" t="s">
        <v>78</v>
      </c>
    </row>
    <row r="406" spans="1:20" x14ac:dyDescent="0.25">
      <c r="A406" s="11">
        <v>45127</v>
      </c>
      <c r="B406" t="s">
        <v>17</v>
      </c>
      <c r="C406" t="s">
        <v>18</v>
      </c>
      <c r="D406" t="s">
        <v>53</v>
      </c>
      <c r="E406" t="s">
        <v>50</v>
      </c>
      <c r="F406">
        <v>911</v>
      </c>
      <c r="G406">
        <v>3.11</v>
      </c>
      <c r="H406">
        <v>2833.21</v>
      </c>
      <c r="I406" t="s">
        <v>57</v>
      </c>
      <c r="J406" t="s">
        <v>56</v>
      </c>
      <c r="K406" t="s">
        <v>28</v>
      </c>
      <c r="L406">
        <v>1965.56</v>
      </c>
      <c r="M406">
        <v>30.6</v>
      </c>
      <c r="N406">
        <v>2025</v>
      </c>
      <c r="O406">
        <v>3</v>
      </c>
      <c r="P406" t="s">
        <v>24</v>
      </c>
      <c r="Q406">
        <v>867.65</v>
      </c>
      <c r="R406" t="s">
        <v>25</v>
      </c>
      <c r="S406">
        <v>2.2653835071745521</v>
      </c>
      <c r="T406" t="s">
        <v>78</v>
      </c>
    </row>
    <row r="407" spans="1:20" x14ac:dyDescent="0.25">
      <c r="A407" s="11">
        <v>45080</v>
      </c>
      <c r="B407" t="s">
        <v>35</v>
      </c>
      <c r="C407" t="s">
        <v>36</v>
      </c>
      <c r="D407" t="s">
        <v>45</v>
      </c>
      <c r="E407" t="s">
        <v>20</v>
      </c>
      <c r="F407">
        <v>433</v>
      </c>
      <c r="G407">
        <v>7.47</v>
      </c>
      <c r="H407">
        <v>3234.51</v>
      </c>
      <c r="I407" t="s">
        <v>39</v>
      </c>
      <c r="J407" t="s">
        <v>34</v>
      </c>
      <c r="K407" t="s">
        <v>28</v>
      </c>
      <c r="L407">
        <v>2367.29</v>
      </c>
      <c r="M407">
        <v>26.8</v>
      </c>
      <c r="N407">
        <v>2023</v>
      </c>
      <c r="O407">
        <v>2</v>
      </c>
      <c r="P407" t="s">
        <v>68</v>
      </c>
      <c r="Q407">
        <v>867.22</v>
      </c>
      <c r="R407" t="s">
        <v>25</v>
      </c>
      <c r="S407">
        <v>2.7297456239477871</v>
      </c>
      <c r="T407" t="s">
        <v>78</v>
      </c>
    </row>
    <row r="408" spans="1:20" x14ac:dyDescent="0.25">
      <c r="A408" s="11">
        <v>45082</v>
      </c>
      <c r="B408" t="s">
        <v>35</v>
      </c>
      <c r="C408" t="s">
        <v>36</v>
      </c>
      <c r="D408" t="s">
        <v>37</v>
      </c>
      <c r="E408" t="s">
        <v>38</v>
      </c>
      <c r="F408">
        <v>590</v>
      </c>
      <c r="G408">
        <v>6.33</v>
      </c>
      <c r="H408">
        <v>3734.7</v>
      </c>
      <c r="I408" t="s">
        <v>39</v>
      </c>
      <c r="J408" t="s">
        <v>34</v>
      </c>
      <c r="K408" t="s">
        <v>23</v>
      </c>
      <c r="L408">
        <v>2868.98</v>
      </c>
      <c r="M408">
        <v>23.2</v>
      </c>
      <c r="N408">
        <v>2023</v>
      </c>
      <c r="O408">
        <v>2</v>
      </c>
      <c r="P408" t="s">
        <v>68</v>
      </c>
      <c r="Q408">
        <v>865.72</v>
      </c>
      <c r="R408" t="s">
        <v>29</v>
      </c>
      <c r="S408">
        <v>3.3139814258651756</v>
      </c>
      <c r="T408" t="s">
        <v>78</v>
      </c>
    </row>
    <row r="409" spans="1:20" x14ac:dyDescent="0.25">
      <c r="A409" s="11">
        <v>45088</v>
      </c>
      <c r="B409" t="s">
        <v>51</v>
      </c>
      <c r="C409" t="s">
        <v>52</v>
      </c>
      <c r="D409" t="s">
        <v>53</v>
      </c>
      <c r="E409" t="s">
        <v>50</v>
      </c>
      <c r="F409">
        <v>360</v>
      </c>
      <c r="G409">
        <v>9.39</v>
      </c>
      <c r="H409">
        <v>3380.4</v>
      </c>
      <c r="I409" t="s">
        <v>26</v>
      </c>
      <c r="J409" t="s">
        <v>56</v>
      </c>
      <c r="K409" t="s">
        <v>28</v>
      </c>
      <c r="L409">
        <v>2518.5300000000002</v>
      </c>
      <c r="M409">
        <v>25.5</v>
      </c>
      <c r="N409">
        <v>2023</v>
      </c>
      <c r="O409">
        <v>2</v>
      </c>
      <c r="P409" t="s">
        <v>69</v>
      </c>
      <c r="Q409">
        <v>861.87</v>
      </c>
      <c r="R409" t="s">
        <v>25</v>
      </c>
      <c r="S409">
        <v>2.9221692366598213</v>
      </c>
      <c r="T409" t="s">
        <v>78</v>
      </c>
    </row>
    <row r="410" spans="1:20" x14ac:dyDescent="0.25">
      <c r="A410" s="11">
        <v>45001</v>
      </c>
      <c r="B410" t="s">
        <v>58</v>
      </c>
      <c r="C410" t="s">
        <v>59</v>
      </c>
      <c r="D410" t="s">
        <v>53</v>
      </c>
      <c r="E410" t="s">
        <v>50</v>
      </c>
      <c r="F410">
        <v>980</v>
      </c>
      <c r="G410">
        <v>5.05</v>
      </c>
      <c r="H410">
        <v>4949</v>
      </c>
      <c r="I410" t="s">
        <v>33</v>
      </c>
      <c r="J410" t="s">
        <v>22</v>
      </c>
      <c r="K410" t="s">
        <v>23</v>
      </c>
      <c r="L410">
        <v>4088.8</v>
      </c>
      <c r="M410">
        <v>17.399999999999999</v>
      </c>
      <c r="N410">
        <v>2023</v>
      </c>
      <c r="O410">
        <v>1</v>
      </c>
      <c r="P410" t="s">
        <v>61</v>
      </c>
      <c r="Q410">
        <v>860.2</v>
      </c>
      <c r="R410" t="s">
        <v>29</v>
      </c>
      <c r="S410">
        <v>4.753313182980702</v>
      </c>
      <c r="T410" t="s">
        <v>78</v>
      </c>
    </row>
    <row r="411" spans="1:20" x14ac:dyDescent="0.25">
      <c r="A411" s="11">
        <v>45059</v>
      </c>
      <c r="B411" t="s">
        <v>42</v>
      </c>
      <c r="C411" t="s">
        <v>43</v>
      </c>
      <c r="D411" t="s">
        <v>49</v>
      </c>
      <c r="E411" t="s">
        <v>50</v>
      </c>
      <c r="F411">
        <v>799</v>
      </c>
      <c r="G411">
        <v>4.6500000000000004</v>
      </c>
      <c r="H411">
        <v>3715.35</v>
      </c>
      <c r="I411" t="s">
        <v>21</v>
      </c>
      <c r="J411" t="s">
        <v>40</v>
      </c>
      <c r="K411" t="s">
        <v>41</v>
      </c>
      <c r="L411">
        <v>2857.91</v>
      </c>
      <c r="M411">
        <v>23.1</v>
      </c>
      <c r="N411">
        <v>2023</v>
      </c>
      <c r="O411">
        <v>2</v>
      </c>
      <c r="P411" t="s">
        <v>65</v>
      </c>
      <c r="Q411">
        <v>857.44</v>
      </c>
      <c r="R411" t="s">
        <v>29</v>
      </c>
      <c r="S411">
        <v>3.3330728680724011</v>
      </c>
      <c r="T411" t="s">
        <v>78</v>
      </c>
    </row>
    <row r="412" spans="1:20" x14ac:dyDescent="0.25">
      <c r="A412" s="11">
        <v>45117</v>
      </c>
      <c r="B412" t="s">
        <v>17</v>
      </c>
      <c r="C412" t="s">
        <v>18</v>
      </c>
      <c r="D412" t="s">
        <v>45</v>
      </c>
      <c r="E412" t="s">
        <v>20</v>
      </c>
      <c r="F412">
        <v>213</v>
      </c>
      <c r="G412">
        <v>10.34</v>
      </c>
      <c r="H412">
        <v>2202.42</v>
      </c>
      <c r="I412" t="s">
        <v>26</v>
      </c>
      <c r="J412" t="s">
        <v>40</v>
      </c>
      <c r="K412" t="s">
        <v>23</v>
      </c>
      <c r="L412">
        <v>1345.27</v>
      </c>
      <c r="M412">
        <v>38.9</v>
      </c>
      <c r="N412">
        <v>2024</v>
      </c>
      <c r="O412">
        <v>3</v>
      </c>
      <c r="P412" t="s">
        <v>64</v>
      </c>
      <c r="Q412">
        <v>857.15</v>
      </c>
      <c r="R412" t="s">
        <v>25</v>
      </c>
      <c r="S412">
        <v>1.5694685877617687</v>
      </c>
      <c r="T412" t="s">
        <v>78</v>
      </c>
    </row>
    <row r="413" spans="1:20" x14ac:dyDescent="0.25">
      <c r="A413" s="11">
        <v>44933</v>
      </c>
      <c r="B413" t="s">
        <v>42</v>
      </c>
      <c r="C413" t="s">
        <v>43</v>
      </c>
      <c r="D413" t="s">
        <v>45</v>
      </c>
      <c r="E413" t="s">
        <v>20</v>
      </c>
      <c r="F413">
        <v>701</v>
      </c>
      <c r="G413">
        <v>10.1</v>
      </c>
      <c r="H413">
        <v>7080.1</v>
      </c>
      <c r="I413" t="s">
        <v>39</v>
      </c>
      <c r="J413" t="s">
        <v>47</v>
      </c>
      <c r="K413" t="s">
        <v>23</v>
      </c>
      <c r="L413">
        <v>6224.04</v>
      </c>
      <c r="M413">
        <v>12.1</v>
      </c>
      <c r="N413">
        <v>2023</v>
      </c>
      <c r="O413">
        <v>1</v>
      </c>
      <c r="P413" t="s">
        <v>24</v>
      </c>
      <c r="Q413">
        <v>856.06</v>
      </c>
      <c r="R413" t="s">
        <v>29</v>
      </c>
      <c r="S413">
        <v>7.2705651473027597</v>
      </c>
      <c r="T413" t="s">
        <v>78</v>
      </c>
    </row>
    <row r="414" spans="1:20" x14ac:dyDescent="0.25">
      <c r="A414" s="11">
        <v>45004</v>
      </c>
      <c r="B414" t="s">
        <v>58</v>
      </c>
      <c r="C414" t="s">
        <v>59</v>
      </c>
      <c r="D414" t="s">
        <v>45</v>
      </c>
      <c r="E414" t="s">
        <v>20</v>
      </c>
      <c r="F414">
        <v>976</v>
      </c>
      <c r="G414">
        <v>2.64</v>
      </c>
      <c r="H414">
        <v>2576.64</v>
      </c>
      <c r="I414" t="s">
        <v>46</v>
      </c>
      <c r="J414" t="s">
        <v>47</v>
      </c>
      <c r="K414" t="s">
        <v>28</v>
      </c>
      <c r="L414">
        <v>1724.63</v>
      </c>
      <c r="M414">
        <v>33.1</v>
      </c>
      <c r="N414">
        <v>2023</v>
      </c>
      <c r="O414">
        <v>1</v>
      </c>
      <c r="P414" t="s">
        <v>62</v>
      </c>
      <c r="Q414">
        <v>852.01</v>
      </c>
      <c r="R414" t="s">
        <v>25</v>
      </c>
      <c r="S414">
        <v>2.0241898569265619</v>
      </c>
      <c r="T414" t="s">
        <v>78</v>
      </c>
    </row>
    <row r="415" spans="1:20" x14ac:dyDescent="0.25">
      <c r="A415" s="11">
        <v>44988</v>
      </c>
      <c r="B415" t="s">
        <v>17</v>
      </c>
      <c r="C415" t="s">
        <v>18</v>
      </c>
      <c r="D415" t="s">
        <v>45</v>
      </c>
      <c r="E415" t="s">
        <v>20</v>
      </c>
      <c r="F415">
        <v>817</v>
      </c>
      <c r="G415">
        <v>3.76</v>
      </c>
      <c r="H415">
        <v>3071.92</v>
      </c>
      <c r="I415" t="s">
        <v>39</v>
      </c>
      <c r="J415" t="s">
        <v>40</v>
      </c>
      <c r="K415" t="s">
        <v>28</v>
      </c>
      <c r="L415">
        <v>2223.79</v>
      </c>
      <c r="M415">
        <v>27.6</v>
      </c>
      <c r="N415">
        <v>2023</v>
      </c>
      <c r="O415">
        <v>1</v>
      </c>
      <c r="P415" t="s">
        <v>61</v>
      </c>
      <c r="Q415">
        <v>848.13</v>
      </c>
      <c r="R415" t="s">
        <v>25</v>
      </c>
      <c r="S415">
        <v>2.6219919116173229</v>
      </c>
      <c r="T415" t="s">
        <v>78</v>
      </c>
    </row>
    <row r="416" spans="1:20" x14ac:dyDescent="0.25">
      <c r="A416" s="11">
        <v>45019</v>
      </c>
      <c r="B416" t="s">
        <v>17</v>
      </c>
      <c r="C416" t="s">
        <v>18</v>
      </c>
      <c r="D416" t="s">
        <v>49</v>
      </c>
      <c r="E416" t="s">
        <v>50</v>
      </c>
      <c r="F416">
        <v>774</v>
      </c>
      <c r="G416">
        <v>9.9700000000000006</v>
      </c>
      <c r="H416">
        <v>7716.78</v>
      </c>
      <c r="I416" t="s">
        <v>55</v>
      </c>
      <c r="J416" t="s">
        <v>22</v>
      </c>
      <c r="K416" t="s">
        <v>41</v>
      </c>
      <c r="L416">
        <v>6869.19</v>
      </c>
      <c r="M416">
        <v>11</v>
      </c>
      <c r="N416">
        <v>2023</v>
      </c>
      <c r="O416">
        <v>2</v>
      </c>
      <c r="P416" t="s">
        <v>62</v>
      </c>
      <c r="Q416">
        <v>847.59</v>
      </c>
      <c r="R416" t="s">
        <v>29</v>
      </c>
      <c r="S416">
        <v>8.1043782961101467</v>
      </c>
      <c r="T416" t="s">
        <v>78</v>
      </c>
    </row>
    <row r="417" spans="1:20" x14ac:dyDescent="0.25">
      <c r="A417" s="11">
        <v>45042</v>
      </c>
      <c r="B417" t="s">
        <v>17</v>
      </c>
      <c r="C417" t="s">
        <v>18</v>
      </c>
      <c r="D417" t="s">
        <v>53</v>
      </c>
      <c r="E417" t="s">
        <v>50</v>
      </c>
      <c r="F417">
        <v>243</v>
      </c>
      <c r="G417">
        <v>8.89</v>
      </c>
      <c r="H417">
        <v>2160.27</v>
      </c>
      <c r="I417" t="s">
        <v>54</v>
      </c>
      <c r="J417" t="s">
        <v>34</v>
      </c>
      <c r="K417" t="s">
        <v>28</v>
      </c>
      <c r="L417">
        <v>1314.4</v>
      </c>
      <c r="M417">
        <v>39.200000000000003</v>
      </c>
      <c r="N417">
        <v>2023</v>
      </c>
      <c r="O417">
        <v>2</v>
      </c>
      <c r="P417" t="s">
        <v>64</v>
      </c>
      <c r="Q417">
        <v>845.87</v>
      </c>
      <c r="R417" t="s">
        <v>25</v>
      </c>
      <c r="S417">
        <v>1.5539030820338824</v>
      </c>
      <c r="T417" t="s">
        <v>78</v>
      </c>
    </row>
    <row r="418" spans="1:20" x14ac:dyDescent="0.25">
      <c r="A418" s="11">
        <v>44991</v>
      </c>
      <c r="B418" t="s">
        <v>42</v>
      </c>
      <c r="C418" t="s">
        <v>43</v>
      </c>
      <c r="D418" t="s">
        <v>32</v>
      </c>
      <c r="E418" t="s">
        <v>20</v>
      </c>
      <c r="F418">
        <v>231</v>
      </c>
      <c r="G418">
        <v>11.49</v>
      </c>
      <c r="H418">
        <v>2654.19</v>
      </c>
      <c r="I418" t="s">
        <v>46</v>
      </c>
      <c r="J418" t="s">
        <v>56</v>
      </c>
      <c r="K418" t="s">
        <v>28</v>
      </c>
      <c r="L418">
        <v>1809.1</v>
      </c>
      <c r="M418">
        <v>31.8</v>
      </c>
      <c r="N418">
        <v>2023</v>
      </c>
      <c r="O418">
        <v>1</v>
      </c>
      <c r="P418" t="s">
        <v>61</v>
      </c>
      <c r="Q418">
        <v>845.09</v>
      </c>
      <c r="R418" t="s">
        <v>25</v>
      </c>
      <c r="S418">
        <v>2.1407187400158563</v>
      </c>
      <c r="T418" t="s">
        <v>78</v>
      </c>
    </row>
    <row r="419" spans="1:20" x14ac:dyDescent="0.25">
      <c r="A419" s="11">
        <v>45058</v>
      </c>
      <c r="B419" t="s">
        <v>35</v>
      </c>
      <c r="C419" t="s">
        <v>36</v>
      </c>
      <c r="D419" t="s">
        <v>19</v>
      </c>
      <c r="E419" t="s">
        <v>20</v>
      </c>
      <c r="F419">
        <v>706</v>
      </c>
      <c r="G419">
        <v>10</v>
      </c>
      <c r="H419">
        <v>7060</v>
      </c>
      <c r="I419" t="s">
        <v>26</v>
      </c>
      <c r="J419" t="s">
        <v>22</v>
      </c>
      <c r="K419" t="s">
        <v>23</v>
      </c>
      <c r="L419">
        <v>6215.9</v>
      </c>
      <c r="M419">
        <v>12</v>
      </c>
      <c r="N419">
        <v>2023</v>
      </c>
      <c r="O419">
        <v>2</v>
      </c>
      <c r="P419" t="s">
        <v>65</v>
      </c>
      <c r="Q419">
        <v>844.1</v>
      </c>
      <c r="R419" t="s">
        <v>29</v>
      </c>
      <c r="S419">
        <v>7.3639379220471506</v>
      </c>
      <c r="T419" t="s">
        <v>78</v>
      </c>
    </row>
    <row r="420" spans="1:20" x14ac:dyDescent="0.25">
      <c r="A420" s="11">
        <v>44929</v>
      </c>
      <c r="B420" t="s">
        <v>51</v>
      </c>
      <c r="C420" t="s">
        <v>52</v>
      </c>
      <c r="D420" t="s">
        <v>44</v>
      </c>
      <c r="E420" t="s">
        <v>38</v>
      </c>
      <c r="F420">
        <v>198</v>
      </c>
      <c r="G420">
        <v>11.86</v>
      </c>
      <c r="H420">
        <v>2348.2800000000002</v>
      </c>
      <c r="I420" t="s">
        <v>46</v>
      </c>
      <c r="J420" t="s">
        <v>34</v>
      </c>
      <c r="K420" t="s">
        <v>41</v>
      </c>
      <c r="L420">
        <v>1504.58</v>
      </c>
      <c r="M420">
        <v>35.9</v>
      </c>
      <c r="N420">
        <v>2023</v>
      </c>
      <c r="O420">
        <v>1</v>
      </c>
      <c r="P420" t="s">
        <v>24</v>
      </c>
      <c r="Q420">
        <v>843.7</v>
      </c>
      <c r="R420" t="s">
        <v>25</v>
      </c>
      <c r="S420">
        <v>1.7833116036505865</v>
      </c>
      <c r="T420" t="s">
        <v>78</v>
      </c>
    </row>
    <row r="421" spans="1:20" x14ac:dyDescent="0.25">
      <c r="A421" s="11">
        <v>44955</v>
      </c>
      <c r="B421" t="s">
        <v>58</v>
      </c>
      <c r="C421" t="s">
        <v>59</v>
      </c>
      <c r="D421" t="s">
        <v>53</v>
      </c>
      <c r="E421" t="s">
        <v>50</v>
      </c>
      <c r="F421">
        <v>840</v>
      </c>
      <c r="G421">
        <v>4.3099999999999996</v>
      </c>
      <c r="H421">
        <v>3620.4</v>
      </c>
      <c r="I421" t="s">
        <v>57</v>
      </c>
      <c r="J421" t="s">
        <v>47</v>
      </c>
      <c r="K421" t="s">
        <v>23</v>
      </c>
      <c r="L421">
        <v>2776.99</v>
      </c>
      <c r="M421">
        <v>23.3</v>
      </c>
      <c r="N421">
        <v>2023</v>
      </c>
      <c r="O421">
        <v>1</v>
      </c>
      <c r="P421" t="s">
        <v>60</v>
      </c>
      <c r="Q421">
        <v>843.41</v>
      </c>
      <c r="R421" t="s">
        <v>29</v>
      </c>
      <c r="S421">
        <v>3.2925741928599375</v>
      </c>
      <c r="T421" t="s">
        <v>78</v>
      </c>
    </row>
    <row r="422" spans="1:20" x14ac:dyDescent="0.25">
      <c r="A422" s="11">
        <v>45018</v>
      </c>
      <c r="B422" t="s">
        <v>30</v>
      </c>
      <c r="C422" t="s">
        <v>31</v>
      </c>
      <c r="D422" t="s">
        <v>53</v>
      </c>
      <c r="E422" t="s">
        <v>50</v>
      </c>
      <c r="F422">
        <v>930</v>
      </c>
      <c r="G422">
        <v>3.26</v>
      </c>
      <c r="H422">
        <v>3031.8</v>
      </c>
      <c r="I422" t="s">
        <v>46</v>
      </c>
      <c r="J422" t="s">
        <v>34</v>
      </c>
      <c r="K422" t="s">
        <v>41</v>
      </c>
      <c r="L422">
        <v>2188.61</v>
      </c>
      <c r="M422">
        <v>27.8</v>
      </c>
      <c r="N422">
        <v>2023</v>
      </c>
      <c r="O422">
        <v>2</v>
      </c>
      <c r="P422" t="s">
        <v>62</v>
      </c>
      <c r="Q422">
        <v>843.19</v>
      </c>
      <c r="R422" t="s">
        <v>25</v>
      </c>
      <c r="S422">
        <v>2.5956308779753079</v>
      </c>
      <c r="T422" t="s">
        <v>78</v>
      </c>
    </row>
    <row r="423" spans="1:20" x14ac:dyDescent="0.25">
      <c r="A423" s="11">
        <v>45005</v>
      </c>
      <c r="B423" t="s">
        <v>58</v>
      </c>
      <c r="C423" t="s">
        <v>59</v>
      </c>
      <c r="D423" t="s">
        <v>48</v>
      </c>
      <c r="E423" t="s">
        <v>38</v>
      </c>
      <c r="F423">
        <v>510</v>
      </c>
      <c r="G423">
        <v>4.5199999999999996</v>
      </c>
      <c r="H423">
        <v>2305.1999999999998</v>
      </c>
      <c r="I423" t="s">
        <v>54</v>
      </c>
      <c r="J423" t="s">
        <v>56</v>
      </c>
      <c r="K423" t="s">
        <v>23</v>
      </c>
      <c r="L423">
        <v>1462.44</v>
      </c>
      <c r="M423">
        <v>36.6</v>
      </c>
      <c r="N423">
        <v>2023</v>
      </c>
      <c r="O423">
        <v>1</v>
      </c>
      <c r="P423" t="s">
        <v>62</v>
      </c>
      <c r="Q423">
        <v>842.76</v>
      </c>
      <c r="R423" t="s">
        <v>25</v>
      </c>
      <c r="S423">
        <v>1.7352983055674214</v>
      </c>
      <c r="T423" t="s">
        <v>78</v>
      </c>
    </row>
    <row r="424" spans="1:20" x14ac:dyDescent="0.25">
      <c r="A424" s="11">
        <v>45072</v>
      </c>
      <c r="B424" t="s">
        <v>35</v>
      </c>
      <c r="C424" t="s">
        <v>36</v>
      </c>
      <c r="D424" t="s">
        <v>49</v>
      </c>
      <c r="E424" t="s">
        <v>50</v>
      </c>
      <c r="F424">
        <v>655</v>
      </c>
      <c r="G424">
        <v>6.82</v>
      </c>
      <c r="H424">
        <v>4467.1000000000004</v>
      </c>
      <c r="I424" t="s">
        <v>54</v>
      </c>
      <c r="J424" t="s">
        <v>40</v>
      </c>
      <c r="K424" t="s">
        <v>23</v>
      </c>
      <c r="L424">
        <v>3629.67</v>
      </c>
      <c r="M424">
        <v>18.7</v>
      </c>
      <c r="N424">
        <v>2023</v>
      </c>
      <c r="O424">
        <v>2</v>
      </c>
      <c r="P424" t="s">
        <v>66</v>
      </c>
      <c r="Q424">
        <v>837.43</v>
      </c>
      <c r="R424" t="s">
        <v>29</v>
      </c>
      <c r="S424">
        <v>4.3342965979246033</v>
      </c>
      <c r="T424" t="s">
        <v>78</v>
      </c>
    </row>
    <row r="425" spans="1:20" x14ac:dyDescent="0.25">
      <c r="A425" s="11">
        <v>45022</v>
      </c>
      <c r="B425" t="s">
        <v>58</v>
      </c>
      <c r="C425" t="s">
        <v>59</v>
      </c>
      <c r="D425" t="s">
        <v>45</v>
      </c>
      <c r="E425" t="s">
        <v>20</v>
      </c>
      <c r="F425">
        <v>270</v>
      </c>
      <c r="G425">
        <v>10.6</v>
      </c>
      <c r="H425">
        <v>2862</v>
      </c>
      <c r="I425" t="s">
        <v>21</v>
      </c>
      <c r="J425" t="s">
        <v>40</v>
      </c>
      <c r="K425" t="s">
        <v>23</v>
      </c>
      <c r="L425">
        <v>2026.53</v>
      </c>
      <c r="M425">
        <v>29.2</v>
      </c>
      <c r="N425">
        <v>2023</v>
      </c>
      <c r="O425">
        <v>2</v>
      </c>
      <c r="P425" t="s">
        <v>63</v>
      </c>
      <c r="Q425">
        <v>835.47</v>
      </c>
      <c r="R425" t="s">
        <v>25</v>
      </c>
      <c r="S425">
        <v>2.4256167187331679</v>
      </c>
      <c r="T425" t="s">
        <v>78</v>
      </c>
    </row>
    <row r="426" spans="1:20" x14ac:dyDescent="0.25">
      <c r="A426" s="11">
        <v>45074</v>
      </c>
      <c r="B426" t="s">
        <v>42</v>
      </c>
      <c r="C426" t="s">
        <v>43</v>
      </c>
      <c r="D426" t="s">
        <v>53</v>
      </c>
      <c r="E426" t="s">
        <v>50</v>
      </c>
      <c r="F426">
        <v>651</v>
      </c>
      <c r="G426">
        <v>9.25</v>
      </c>
      <c r="H426">
        <v>6021.75</v>
      </c>
      <c r="I426" t="s">
        <v>46</v>
      </c>
      <c r="J426" t="s">
        <v>40</v>
      </c>
      <c r="K426" t="s">
        <v>28</v>
      </c>
      <c r="L426">
        <v>5186.8599999999997</v>
      </c>
      <c r="M426">
        <v>13.9</v>
      </c>
      <c r="N426">
        <v>2023</v>
      </c>
      <c r="O426">
        <v>2</v>
      </c>
      <c r="P426" t="s">
        <v>67</v>
      </c>
      <c r="Q426">
        <v>834.89</v>
      </c>
      <c r="R426" t="s">
        <v>29</v>
      </c>
      <c r="S426">
        <v>6.2126268131131042</v>
      </c>
      <c r="T426" t="s">
        <v>78</v>
      </c>
    </row>
    <row r="427" spans="1:20" x14ac:dyDescent="0.25">
      <c r="A427" s="11">
        <v>44984</v>
      </c>
      <c r="B427" t="s">
        <v>51</v>
      </c>
      <c r="C427" t="s">
        <v>52</v>
      </c>
      <c r="D427" t="s">
        <v>48</v>
      </c>
      <c r="E427" t="s">
        <v>38</v>
      </c>
      <c r="F427">
        <v>333</v>
      </c>
      <c r="G427">
        <v>10.26</v>
      </c>
      <c r="H427">
        <v>3416.58</v>
      </c>
      <c r="I427" t="s">
        <v>21</v>
      </c>
      <c r="J427" t="s">
        <v>27</v>
      </c>
      <c r="K427" t="s">
        <v>28</v>
      </c>
      <c r="L427">
        <v>2582.0100000000002</v>
      </c>
      <c r="M427">
        <v>24.4</v>
      </c>
      <c r="N427">
        <v>2023</v>
      </c>
      <c r="O427">
        <v>1</v>
      </c>
      <c r="P427" t="s">
        <v>61</v>
      </c>
      <c r="Q427">
        <v>834.57</v>
      </c>
      <c r="R427" t="s">
        <v>29</v>
      </c>
      <c r="S427">
        <v>3.0938207699773539</v>
      </c>
      <c r="T427" t="s">
        <v>78</v>
      </c>
    </row>
    <row r="428" spans="1:20" x14ac:dyDescent="0.25">
      <c r="A428" s="11">
        <v>45080</v>
      </c>
      <c r="B428" t="s">
        <v>17</v>
      </c>
      <c r="C428" t="s">
        <v>18</v>
      </c>
      <c r="D428" t="s">
        <v>45</v>
      </c>
      <c r="E428" t="s">
        <v>20</v>
      </c>
      <c r="F428">
        <v>741</v>
      </c>
      <c r="G428">
        <v>3.45</v>
      </c>
      <c r="H428">
        <v>2556.4499999999998</v>
      </c>
      <c r="I428" t="s">
        <v>26</v>
      </c>
      <c r="J428" t="s">
        <v>56</v>
      </c>
      <c r="K428" t="s">
        <v>41</v>
      </c>
      <c r="L428">
        <v>1723.56</v>
      </c>
      <c r="M428">
        <v>32.6</v>
      </c>
      <c r="N428">
        <v>2023</v>
      </c>
      <c r="O428">
        <v>2</v>
      </c>
      <c r="P428" t="s">
        <v>68</v>
      </c>
      <c r="Q428">
        <v>832.89</v>
      </c>
      <c r="R428" t="s">
        <v>25</v>
      </c>
      <c r="S428">
        <v>2.0693729063861976</v>
      </c>
      <c r="T428" t="s">
        <v>78</v>
      </c>
    </row>
    <row r="429" spans="1:20" x14ac:dyDescent="0.25">
      <c r="A429" s="11">
        <v>45052</v>
      </c>
      <c r="B429" t="s">
        <v>42</v>
      </c>
      <c r="C429" t="s">
        <v>43</v>
      </c>
      <c r="D429" t="s">
        <v>37</v>
      </c>
      <c r="E429" t="s">
        <v>38</v>
      </c>
      <c r="F429">
        <v>397</v>
      </c>
      <c r="G429">
        <v>5.93</v>
      </c>
      <c r="H429">
        <v>2354.21</v>
      </c>
      <c r="I429" t="s">
        <v>54</v>
      </c>
      <c r="J429" t="s">
        <v>22</v>
      </c>
      <c r="K429" t="s">
        <v>23</v>
      </c>
      <c r="L429">
        <v>1522.74</v>
      </c>
      <c r="M429">
        <v>35.299999999999997</v>
      </c>
      <c r="N429">
        <v>2023</v>
      </c>
      <c r="O429">
        <v>2</v>
      </c>
      <c r="P429" t="s">
        <v>65</v>
      </c>
      <c r="Q429">
        <v>831.47</v>
      </c>
      <c r="R429" t="s">
        <v>25</v>
      </c>
      <c r="S429">
        <v>1.8313829723261212</v>
      </c>
      <c r="T429" t="s">
        <v>78</v>
      </c>
    </row>
    <row r="430" spans="1:20" x14ac:dyDescent="0.25">
      <c r="A430" s="11">
        <v>45083</v>
      </c>
      <c r="B430" t="s">
        <v>17</v>
      </c>
      <c r="C430" t="s">
        <v>18</v>
      </c>
      <c r="D430" t="s">
        <v>53</v>
      </c>
      <c r="E430" t="s">
        <v>50</v>
      </c>
      <c r="F430">
        <v>808</v>
      </c>
      <c r="G430">
        <v>9.02</v>
      </c>
      <c r="H430">
        <v>7288.16</v>
      </c>
      <c r="I430" t="s">
        <v>26</v>
      </c>
      <c r="J430" t="s">
        <v>22</v>
      </c>
      <c r="K430" t="s">
        <v>23</v>
      </c>
      <c r="L430">
        <v>6458.92</v>
      </c>
      <c r="M430">
        <v>11.4</v>
      </c>
      <c r="N430">
        <v>2023</v>
      </c>
      <c r="O430">
        <v>2</v>
      </c>
      <c r="P430" t="s">
        <v>68</v>
      </c>
      <c r="Q430">
        <v>829.24</v>
      </c>
      <c r="R430" t="s">
        <v>29</v>
      </c>
      <c r="S430">
        <v>7.7889633881626548</v>
      </c>
      <c r="T430" t="s">
        <v>78</v>
      </c>
    </row>
    <row r="431" spans="1:20" x14ac:dyDescent="0.25">
      <c r="A431" s="11">
        <v>45100</v>
      </c>
      <c r="B431" t="s">
        <v>17</v>
      </c>
      <c r="C431" t="s">
        <v>18</v>
      </c>
      <c r="D431" t="s">
        <v>32</v>
      </c>
      <c r="E431" t="s">
        <v>20</v>
      </c>
      <c r="F431">
        <v>428</v>
      </c>
      <c r="G431">
        <v>10.15</v>
      </c>
      <c r="H431">
        <v>4344.2</v>
      </c>
      <c r="I431" t="s">
        <v>21</v>
      </c>
      <c r="J431" t="s">
        <v>27</v>
      </c>
      <c r="K431" t="s">
        <v>41</v>
      </c>
      <c r="L431">
        <v>3515.17</v>
      </c>
      <c r="M431">
        <v>19.100000000000001</v>
      </c>
      <c r="N431">
        <v>2024</v>
      </c>
      <c r="O431">
        <v>2</v>
      </c>
      <c r="P431" t="s">
        <v>24</v>
      </c>
      <c r="Q431">
        <v>829.03</v>
      </c>
      <c r="R431" t="s">
        <v>29</v>
      </c>
      <c r="S431">
        <v>4.2400998757584167</v>
      </c>
      <c r="T431" t="s">
        <v>78</v>
      </c>
    </row>
    <row r="432" spans="1:20" x14ac:dyDescent="0.25">
      <c r="A432" s="11">
        <v>45078</v>
      </c>
      <c r="B432" t="s">
        <v>58</v>
      </c>
      <c r="C432" t="s">
        <v>59</v>
      </c>
      <c r="D432" t="s">
        <v>44</v>
      </c>
      <c r="E432" t="s">
        <v>38</v>
      </c>
      <c r="F432">
        <v>765</v>
      </c>
      <c r="G432">
        <v>5.4</v>
      </c>
      <c r="H432">
        <v>4131</v>
      </c>
      <c r="I432" t="s">
        <v>26</v>
      </c>
      <c r="J432" t="s">
        <v>27</v>
      </c>
      <c r="K432" t="s">
        <v>28</v>
      </c>
      <c r="L432">
        <v>3312.61</v>
      </c>
      <c r="M432">
        <v>19.8</v>
      </c>
      <c r="N432">
        <v>2023</v>
      </c>
      <c r="O432">
        <v>2</v>
      </c>
      <c r="P432" t="s">
        <v>67</v>
      </c>
      <c r="Q432">
        <v>818.39</v>
      </c>
      <c r="R432" t="s">
        <v>29</v>
      </c>
      <c r="S432">
        <v>4.0477156367990812</v>
      </c>
      <c r="T432" t="s">
        <v>78</v>
      </c>
    </row>
    <row r="433" spans="1:20" x14ac:dyDescent="0.25">
      <c r="A433" s="11">
        <v>45120</v>
      </c>
      <c r="B433" t="s">
        <v>58</v>
      </c>
      <c r="C433" t="s">
        <v>59</v>
      </c>
      <c r="D433" t="s">
        <v>32</v>
      </c>
      <c r="E433" t="s">
        <v>20</v>
      </c>
      <c r="F433">
        <v>380</v>
      </c>
      <c r="G433">
        <v>8.02</v>
      </c>
      <c r="H433">
        <v>3047.6</v>
      </c>
      <c r="I433" t="s">
        <v>39</v>
      </c>
      <c r="J433" t="s">
        <v>34</v>
      </c>
      <c r="K433" t="s">
        <v>41</v>
      </c>
      <c r="L433">
        <v>2231.7600000000002</v>
      </c>
      <c r="M433">
        <v>26.8</v>
      </c>
      <c r="N433">
        <v>2024</v>
      </c>
      <c r="O433">
        <v>3</v>
      </c>
      <c r="P433" t="s">
        <v>65</v>
      </c>
      <c r="Q433">
        <v>815.84</v>
      </c>
      <c r="R433" t="s">
        <v>25</v>
      </c>
      <c r="S433">
        <v>2.7355363796822907</v>
      </c>
      <c r="T433" t="s">
        <v>78</v>
      </c>
    </row>
    <row r="434" spans="1:20" x14ac:dyDescent="0.25">
      <c r="A434" s="11">
        <v>44953</v>
      </c>
      <c r="B434" t="s">
        <v>30</v>
      </c>
      <c r="C434" t="s">
        <v>31</v>
      </c>
      <c r="D434" t="s">
        <v>44</v>
      </c>
      <c r="E434" t="s">
        <v>38</v>
      </c>
      <c r="F434">
        <v>347</v>
      </c>
      <c r="G434">
        <v>10.32</v>
      </c>
      <c r="H434">
        <v>3581.04</v>
      </c>
      <c r="I434" t="s">
        <v>46</v>
      </c>
      <c r="J434" t="s">
        <v>22</v>
      </c>
      <c r="K434" t="s">
        <v>41</v>
      </c>
      <c r="L434">
        <v>2766.11</v>
      </c>
      <c r="M434">
        <v>22.8</v>
      </c>
      <c r="N434">
        <v>2023</v>
      </c>
      <c r="O434">
        <v>1</v>
      </c>
      <c r="P434" t="s">
        <v>24</v>
      </c>
      <c r="Q434">
        <v>814.93</v>
      </c>
      <c r="R434" t="s">
        <v>29</v>
      </c>
      <c r="S434">
        <v>3.3942915342422051</v>
      </c>
      <c r="T434" t="s">
        <v>78</v>
      </c>
    </row>
    <row r="435" spans="1:20" x14ac:dyDescent="0.25">
      <c r="A435" s="11">
        <v>45005</v>
      </c>
      <c r="B435" t="s">
        <v>30</v>
      </c>
      <c r="C435" t="s">
        <v>31</v>
      </c>
      <c r="D435" t="s">
        <v>53</v>
      </c>
      <c r="E435" t="s">
        <v>50</v>
      </c>
      <c r="F435">
        <v>416</v>
      </c>
      <c r="G435">
        <v>5.21</v>
      </c>
      <c r="H435">
        <v>2167.36</v>
      </c>
      <c r="I435" t="s">
        <v>54</v>
      </c>
      <c r="J435" t="s">
        <v>34</v>
      </c>
      <c r="K435" t="s">
        <v>28</v>
      </c>
      <c r="L435">
        <v>1353.34</v>
      </c>
      <c r="M435">
        <v>37.6</v>
      </c>
      <c r="N435">
        <v>2023</v>
      </c>
      <c r="O435">
        <v>1</v>
      </c>
      <c r="P435" t="s">
        <v>62</v>
      </c>
      <c r="Q435">
        <v>814.02</v>
      </c>
      <c r="R435" t="s">
        <v>25</v>
      </c>
      <c r="S435">
        <v>1.6625390039556767</v>
      </c>
      <c r="T435" t="s">
        <v>78</v>
      </c>
    </row>
    <row r="436" spans="1:20" x14ac:dyDescent="0.25">
      <c r="A436" s="11">
        <v>45009</v>
      </c>
      <c r="B436" t="s">
        <v>17</v>
      </c>
      <c r="C436" t="s">
        <v>18</v>
      </c>
      <c r="D436" t="s">
        <v>48</v>
      </c>
      <c r="E436" t="s">
        <v>38</v>
      </c>
      <c r="F436">
        <v>685</v>
      </c>
      <c r="G436">
        <v>5.76</v>
      </c>
      <c r="H436">
        <v>3945.6</v>
      </c>
      <c r="I436" t="s">
        <v>54</v>
      </c>
      <c r="J436" t="s">
        <v>22</v>
      </c>
      <c r="K436" t="s">
        <v>23</v>
      </c>
      <c r="L436">
        <v>3132.67</v>
      </c>
      <c r="M436">
        <v>20.6</v>
      </c>
      <c r="N436">
        <v>2023</v>
      </c>
      <c r="O436">
        <v>1</v>
      </c>
      <c r="P436" t="s">
        <v>62</v>
      </c>
      <c r="Q436">
        <v>812.93</v>
      </c>
      <c r="R436" t="s">
        <v>29</v>
      </c>
      <c r="S436">
        <v>3.8535544265803945</v>
      </c>
      <c r="T436" t="s">
        <v>78</v>
      </c>
    </row>
    <row r="437" spans="1:20" x14ac:dyDescent="0.25">
      <c r="A437" s="11">
        <v>44962</v>
      </c>
      <c r="B437" t="s">
        <v>35</v>
      </c>
      <c r="C437" t="s">
        <v>36</v>
      </c>
      <c r="D437" t="s">
        <v>32</v>
      </c>
      <c r="E437" t="s">
        <v>20</v>
      </c>
      <c r="F437">
        <v>392</v>
      </c>
      <c r="G437">
        <v>10.02</v>
      </c>
      <c r="H437">
        <v>3927.84</v>
      </c>
      <c r="I437" t="s">
        <v>57</v>
      </c>
      <c r="J437" t="s">
        <v>47</v>
      </c>
      <c r="K437" t="s">
        <v>28</v>
      </c>
      <c r="L437">
        <v>3114.93</v>
      </c>
      <c r="M437">
        <v>20.7</v>
      </c>
      <c r="N437">
        <v>2023</v>
      </c>
      <c r="O437">
        <v>1</v>
      </c>
      <c r="P437" t="s">
        <v>60</v>
      </c>
      <c r="Q437">
        <v>812.91</v>
      </c>
      <c r="R437" t="s">
        <v>29</v>
      </c>
      <c r="S437">
        <v>3.8318264014466545</v>
      </c>
      <c r="T437" t="s">
        <v>78</v>
      </c>
    </row>
    <row r="438" spans="1:20" x14ac:dyDescent="0.25">
      <c r="A438" s="11">
        <v>44936</v>
      </c>
      <c r="B438" t="s">
        <v>17</v>
      </c>
      <c r="C438" t="s">
        <v>18</v>
      </c>
      <c r="D438" t="s">
        <v>45</v>
      </c>
      <c r="E438" t="s">
        <v>20</v>
      </c>
      <c r="F438">
        <v>565</v>
      </c>
      <c r="G438">
        <v>8.6199999999999992</v>
      </c>
      <c r="H438">
        <v>4870.3</v>
      </c>
      <c r="I438" t="s">
        <v>21</v>
      </c>
      <c r="J438" t="s">
        <v>27</v>
      </c>
      <c r="K438" t="s">
        <v>28</v>
      </c>
      <c r="L438">
        <v>4058.41</v>
      </c>
      <c r="M438">
        <v>16.7</v>
      </c>
      <c r="N438">
        <v>2023</v>
      </c>
      <c r="O438">
        <v>1</v>
      </c>
      <c r="P438" t="s">
        <v>24</v>
      </c>
      <c r="Q438">
        <v>811.89</v>
      </c>
      <c r="R438" t="s">
        <v>29</v>
      </c>
      <c r="S438">
        <v>4.9987190382933644</v>
      </c>
      <c r="T438" t="s">
        <v>78</v>
      </c>
    </row>
    <row r="439" spans="1:20" x14ac:dyDescent="0.25">
      <c r="A439" s="11">
        <v>45063</v>
      </c>
      <c r="B439" t="s">
        <v>17</v>
      </c>
      <c r="C439" t="s">
        <v>18</v>
      </c>
      <c r="D439" t="s">
        <v>48</v>
      </c>
      <c r="E439" t="s">
        <v>38</v>
      </c>
      <c r="F439">
        <v>876</v>
      </c>
      <c r="G439">
        <v>4.6399999999999997</v>
      </c>
      <c r="H439">
        <v>4064.64</v>
      </c>
      <c r="I439" t="s">
        <v>55</v>
      </c>
      <c r="J439" t="s">
        <v>56</v>
      </c>
      <c r="K439" t="s">
        <v>23</v>
      </c>
      <c r="L439">
        <v>3253.23</v>
      </c>
      <c r="M439">
        <v>20</v>
      </c>
      <c r="N439">
        <v>2023</v>
      </c>
      <c r="O439">
        <v>2</v>
      </c>
      <c r="P439" t="s">
        <v>65</v>
      </c>
      <c r="Q439">
        <v>811.41</v>
      </c>
      <c r="R439" t="s">
        <v>29</v>
      </c>
      <c r="S439">
        <v>4.0093540873294637</v>
      </c>
      <c r="T439" t="s">
        <v>78</v>
      </c>
    </row>
    <row r="440" spans="1:20" x14ac:dyDescent="0.25">
      <c r="A440" s="11">
        <v>45002</v>
      </c>
      <c r="B440" t="s">
        <v>17</v>
      </c>
      <c r="C440" t="s">
        <v>18</v>
      </c>
      <c r="D440" t="s">
        <v>48</v>
      </c>
      <c r="E440" t="s">
        <v>38</v>
      </c>
      <c r="F440">
        <v>521</v>
      </c>
      <c r="G440">
        <v>9.7799999999999994</v>
      </c>
      <c r="H440">
        <v>5095.38</v>
      </c>
      <c r="I440" t="s">
        <v>21</v>
      </c>
      <c r="J440" t="s">
        <v>34</v>
      </c>
      <c r="K440" t="s">
        <v>41</v>
      </c>
      <c r="L440">
        <v>4285.18</v>
      </c>
      <c r="M440">
        <v>15.9</v>
      </c>
      <c r="N440">
        <v>2023</v>
      </c>
      <c r="O440">
        <v>1</v>
      </c>
      <c r="P440" t="s">
        <v>62</v>
      </c>
      <c r="Q440">
        <v>810.2</v>
      </c>
      <c r="R440" t="s">
        <v>29</v>
      </c>
      <c r="S440">
        <v>5.2890397432732659</v>
      </c>
      <c r="T440" t="s">
        <v>78</v>
      </c>
    </row>
    <row r="441" spans="1:20" x14ac:dyDescent="0.25">
      <c r="A441" s="11">
        <v>45042</v>
      </c>
      <c r="B441" t="s">
        <v>58</v>
      </c>
      <c r="C441" t="s">
        <v>59</v>
      </c>
      <c r="D441" t="s">
        <v>37</v>
      </c>
      <c r="E441" t="s">
        <v>38</v>
      </c>
      <c r="F441">
        <v>284</v>
      </c>
      <c r="G441">
        <v>7.65</v>
      </c>
      <c r="H441">
        <v>2172.6</v>
      </c>
      <c r="I441" t="s">
        <v>26</v>
      </c>
      <c r="J441" t="s">
        <v>56</v>
      </c>
      <c r="K441" t="s">
        <v>41</v>
      </c>
      <c r="L441">
        <v>1364.91</v>
      </c>
      <c r="M441">
        <v>37.200000000000003</v>
      </c>
      <c r="N441">
        <v>2023</v>
      </c>
      <c r="O441">
        <v>2</v>
      </c>
      <c r="P441" t="s">
        <v>64</v>
      </c>
      <c r="Q441">
        <v>807.69</v>
      </c>
      <c r="R441" t="s">
        <v>25</v>
      </c>
      <c r="S441">
        <v>1.6898933996954277</v>
      </c>
      <c r="T441" t="s">
        <v>78</v>
      </c>
    </row>
    <row r="442" spans="1:20" x14ac:dyDescent="0.25">
      <c r="A442" s="11">
        <v>44927</v>
      </c>
      <c r="B442" t="s">
        <v>17</v>
      </c>
      <c r="C442" t="s">
        <v>18</v>
      </c>
      <c r="D442" t="s">
        <v>45</v>
      </c>
      <c r="E442" t="s">
        <v>20</v>
      </c>
      <c r="F442">
        <v>427</v>
      </c>
      <c r="G442">
        <v>7.54</v>
      </c>
      <c r="H442">
        <v>3219.58</v>
      </c>
      <c r="I442" t="s">
        <v>46</v>
      </c>
      <c r="J442" t="s">
        <v>22</v>
      </c>
      <c r="K442" t="s">
        <v>41</v>
      </c>
      <c r="L442">
        <v>2412.17</v>
      </c>
      <c r="M442">
        <v>25.1</v>
      </c>
      <c r="N442">
        <v>2023</v>
      </c>
      <c r="O442">
        <v>1</v>
      </c>
      <c r="P442" t="s">
        <v>24</v>
      </c>
      <c r="Q442">
        <v>807.41</v>
      </c>
      <c r="R442" t="s">
        <v>25</v>
      </c>
      <c r="S442">
        <v>2.9875404069803446</v>
      </c>
      <c r="T442" t="s">
        <v>78</v>
      </c>
    </row>
    <row r="443" spans="1:20" x14ac:dyDescent="0.25">
      <c r="A443" s="11">
        <v>45068</v>
      </c>
      <c r="B443" t="s">
        <v>42</v>
      </c>
      <c r="C443" t="s">
        <v>43</v>
      </c>
      <c r="D443" t="s">
        <v>45</v>
      </c>
      <c r="E443" t="s">
        <v>20</v>
      </c>
      <c r="F443">
        <v>630</v>
      </c>
      <c r="G443">
        <v>11.48</v>
      </c>
      <c r="H443">
        <v>7232.4</v>
      </c>
      <c r="I443" t="s">
        <v>54</v>
      </c>
      <c r="J443" t="s">
        <v>40</v>
      </c>
      <c r="K443" t="s">
        <v>41</v>
      </c>
      <c r="L443">
        <v>6425.25</v>
      </c>
      <c r="M443">
        <v>11.2</v>
      </c>
      <c r="N443">
        <v>2023</v>
      </c>
      <c r="O443">
        <v>2</v>
      </c>
      <c r="P443" t="s">
        <v>66</v>
      </c>
      <c r="Q443">
        <v>807.15</v>
      </c>
      <c r="R443" t="s">
        <v>29</v>
      </c>
      <c r="S443">
        <v>7.9604162795019517</v>
      </c>
      <c r="T443" t="s">
        <v>78</v>
      </c>
    </row>
    <row r="444" spans="1:20" x14ac:dyDescent="0.25">
      <c r="A444" s="11">
        <v>44976</v>
      </c>
      <c r="B444" t="s">
        <v>17</v>
      </c>
      <c r="C444" t="s">
        <v>18</v>
      </c>
      <c r="D444" t="s">
        <v>53</v>
      </c>
      <c r="E444" t="s">
        <v>50</v>
      </c>
      <c r="F444">
        <v>411</v>
      </c>
      <c r="G444">
        <v>8.3699999999999992</v>
      </c>
      <c r="H444">
        <v>3440.07</v>
      </c>
      <c r="I444" t="s">
        <v>21</v>
      </c>
      <c r="J444" t="s">
        <v>47</v>
      </c>
      <c r="K444" t="s">
        <v>23</v>
      </c>
      <c r="L444">
        <v>2638.16</v>
      </c>
      <c r="M444">
        <v>23.3</v>
      </c>
      <c r="N444">
        <v>2023</v>
      </c>
      <c r="O444">
        <v>1</v>
      </c>
      <c r="P444" t="s">
        <v>60</v>
      </c>
      <c r="Q444">
        <v>801.91</v>
      </c>
      <c r="R444" t="s">
        <v>29</v>
      </c>
      <c r="S444">
        <v>3.2898454938833535</v>
      </c>
      <c r="T444" t="s">
        <v>78</v>
      </c>
    </row>
    <row r="445" spans="1:20" x14ac:dyDescent="0.25">
      <c r="A445" s="11">
        <v>44939</v>
      </c>
      <c r="B445" t="s">
        <v>17</v>
      </c>
      <c r="C445" t="s">
        <v>18</v>
      </c>
      <c r="D445" t="s">
        <v>48</v>
      </c>
      <c r="E445" t="s">
        <v>38</v>
      </c>
      <c r="F445">
        <v>316</v>
      </c>
      <c r="G445">
        <v>7.04</v>
      </c>
      <c r="H445">
        <v>2224.64</v>
      </c>
      <c r="I445" t="s">
        <v>21</v>
      </c>
      <c r="J445" t="s">
        <v>22</v>
      </c>
      <c r="K445" t="s">
        <v>23</v>
      </c>
      <c r="L445">
        <v>1426.99</v>
      </c>
      <c r="M445">
        <v>35.9</v>
      </c>
      <c r="N445">
        <v>2023</v>
      </c>
      <c r="O445">
        <v>1</v>
      </c>
      <c r="P445" t="s">
        <v>24</v>
      </c>
      <c r="Q445">
        <v>797.65</v>
      </c>
      <c r="R445" t="s">
        <v>25</v>
      </c>
      <c r="S445">
        <v>1.7889926659562465</v>
      </c>
      <c r="T445" t="s">
        <v>78</v>
      </c>
    </row>
    <row r="446" spans="1:20" x14ac:dyDescent="0.25">
      <c r="A446" s="11">
        <v>45103</v>
      </c>
      <c r="B446" t="s">
        <v>51</v>
      </c>
      <c r="C446" t="s">
        <v>52</v>
      </c>
      <c r="D446" t="s">
        <v>37</v>
      </c>
      <c r="E446" t="s">
        <v>38</v>
      </c>
      <c r="F446">
        <v>682</v>
      </c>
      <c r="G446">
        <v>9.74</v>
      </c>
      <c r="H446">
        <v>6642.68</v>
      </c>
      <c r="I446" t="s">
        <v>46</v>
      </c>
      <c r="J446" t="s">
        <v>34</v>
      </c>
      <c r="K446" t="s">
        <v>41</v>
      </c>
      <c r="L446">
        <v>5845.22</v>
      </c>
      <c r="M446">
        <v>12</v>
      </c>
      <c r="N446">
        <v>2024</v>
      </c>
      <c r="O446">
        <v>2</v>
      </c>
      <c r="P446" t="s">
        <v>24</v>
      </c>
      <c r="Q446">
        <v>797.46</v>
      </c>
      <c r="R446" t="s">
        <v>29</v>
      </c>
      <c r="S446">
        <v>7.3297971058109495</v>
      </c>
      <c r="T446" t="s">
        <v>78</v>
      </c>
    </row>
    <row r="447" spans="1:20" x14ac:dyDescent="0.25">
      <c r="A447" s="11">
        <v>45078</v>
      </c>
      <c r="B447" t="s">
        <v>51</v>
      </c>
      <c r="C447" t="s">
        <v>52</v>
      </c>
      <c r="D447" t="s">
        <v>49</v>
      </c>
      <c r="E447" t="s">
        <v>50</v>
      </c>
      <c r="F447">
        <v>264</v>
      </c>
      <c r="G447">
        <v>10.18</v>
      </c>
      <c r="H447">
        <v>2687.52</v>
      </c>
      <c r="I447" t="s">
        <v>33</v>
      </c>
      <c r="J447" t="s">
        <v>22</v>
      </c>
      <c r="K447" t="s">
        <v>23</v>
      </c>
      <c r="L447">
        <v>1890.3</v>
      </c>
      <c r="M447">
        <v>29.7</v>
      </c>
      <c r="N447">
        <v>2023</v>
      </c>
      <c r="O447">
        <v>2</v>
      </c>
      <c r="P447" t="s">
        <v>67</v>
      </c>
      <c r="Q447">
        <v>797.22</v>
      </c>
      <c r="R447" t="s">
        <v>25</v>
      </c>
      <c r="S447">
        <v>2.3711146233160232</v>
      </c>
      <c r="T447" t="s">
        <v>78</v>
      </c>
    </row>
    <row r="448" spans="1:20" x14ac:dyDescent="0.25">
      <c r="A448" s="11">
        <v>44992</v>
      </c>
      <c r="B448" t="s">
        <v>58</v>
      </c>
      <c r="C448" t="s">
        <v>59</v>
      </c>
      <c r="D448" t="s">
        <v>48</v>
      </c>
      <c r="E448" t="s">
        <v>38</v>
      </c>
      <c r="F448">
        <v>963</v>
      </c>
      <c r="G448">
        <v>6.49</v>
      </c>
      <c r="H448">
        <v>6249.87</v>
      </c>
      <c r="I448" t="s">
        <v>39</v>
      </c>
      <c r="J448" t="s">
        <v>27</v>
      </c>
      <c r="K448" t="s">
        <v>28</v>
      </c>
      <c r="L448">
        <v>5457.48</v>
      </c>
      <c r="M448">
        <v>12.7</v>
      </c>
      <c r="N448">
        <v>2023</v>
      </c>
      <c r="O448">
        <v>1</v>
      </c>
      <c r="P448" t="s">
        <v>61</v>
      </c>
      <c r="Q448">
        <v>792.39</v>
      </c>
      <c r="R448" t="s">
        <v>29</v>
      </c>
      <c r="S448">
        <v>6.8873660697383858</v>
      </c>
      <c r="T448" t="s">
        <v>78</v>
      </c>
    </row>
    <row r="449" spans="1:20" x14ac:dyDescent="0.25">
      <c r="A449" s="11">
        <v>45058</v>
      </c>
      <c r="B449" t="s">
        <v>42</v>
      </c>
      <c r="C449" t="s">
        <v>43</v>
      </c>
      <c r="D449" t="s">
        <v>37</v>
      </c>
      <c r="E449" t="s">
        <v>38</v>
      </c>
      <c r="F449">
        <v>445</v>
      </c>
      <c r="G449">
        <v>6.09</v>
      </c>
      <c r="H449">
        <v>2710.05</v>
      </c>
      <c r="I449" t="s">
        <v>55</v>
      </c>
      <c r="J449" t="s">
        <v>40</v>
      </c>
      <c r="K449" t="s">
        <v>23</v>
      </c>
      <c r="L449">
        <v>1917.84</v>
      </c>
      <c r="M449">
        <v>29.2</v>
      </c>
      <c r="N449">
        <v>2023</v>
      </c>
      <c r="O449">
        <v>2</v>
      </c>
      <c r="P449" t="s">
        <v>65</v>
      </c>
      <c r="Q449">
        <v>792.21</v>
      </c>
      <c r="R449" t="s">
        <v>25</v>
      </c>
      <c r="S449">
        <v>2.4208732533040478</v>
      </c>
      <c r="T449" t="s">
        <v>78</v>
      </c>
    </row>
    <row r="450" spans="1:20" x14ac:dyDescent="0.25">
      <c r="A450" s="11">
        <v>45025</v>
      </c>
      <c r="B450" t="s">
        <v>17</v>
      </c>
      <c r="C450" t="s">
        <v>18</v>
      </c>
      <c r="D450" t="s">
        <v>37</v>
      </c>
      <c r="E450" t="s">
        <v>38</v>
      </c>
      <c r="F450">
        <v>873</v>
      </c>
      <c r="G450">
        <v>2.7</v>
      </c>
      <c r="H450">
        <v>2357.1</v>
      </c>
      <c r="I450" t="s">
        <v>26</v>
      </c>
      <c r="J450" t="s">
        <v>47</v>
      </c>
      <c r="K450" t="s">
        <v>28</v>
      </c>
      <c r="L450">
        <v>1568.41</v>
      </c>
      <c r="M450">
        <v>33.5</v>
      </c>
      <c r="N450">
        <v>2023</v>
      </c>
      <c r="O450">
        <v>2</v>
      </c>
      <c r="P450" t="s">
        <v>63</v>
      </c>
      <c r="Q450">
        <v>788.69</v>
      </c>
      <c r="R450" t="s">
        <v>25</v>
      </c>
      <c r="S450">
        <v>1.9886267101142401</v>
      </c>
      <c r="T450" t="s">
        <v>78</v>
      </c>
    </row>
    <row r="451" spans="1:20" x14ac:dyDescent="0.25">
      <c r="A451" s="11">
        <v>44958</v>
      </c>
      <c r="B451" t="s">
        <v>17</v>
      </c>
      <c r="C451" t="s">
        <v>18</v>
      </c>
      <c r="D451" t="s">
        <v>44</v>
      </c>
      <c r="E451" t="s">
        <v>38</v>
      </c>
      <c r="F451">
        <v>262</v>
      </c>
      <c r="G451">
        <v>10.39</v>
      </c>
      <c r="H451">
        <v>2722.18</v>
      </c>
      <c r="I451" t="s">
        <v>39</v>
      </c>
      <c r="J451" t="s">
        <v>34</v>
      </c>
      <c r="K451" t="s">
        <v>23</v>
      </c>
      <c r="L451">
        <v>1934.44</v>
      </c>
      <c r="M451">
        <v>28.9</v>
      </c>
      <c r="N451">
        <v>2023</v>
      </c>
      <c r="O451">
        <v>1</v>
      </c>
      <c r="P451" t="s">
        <v>60</v>
      </c>
      <c r="Q451">
        <v>787.74</v>
      </c>
      <c r="R451" t="s">
        <v>25</v>
      </c>
      <c r="S451">
        <v>2.4556833472973318</v>
      </c>
      <c r="T451" t="s">
        <v>78</v>
      </c>
    </row>
    <row r="452" spans="1:20" x14ac:dyDescent="0.25">
      <c r="A452" s="11">
        <v>45070</v>
      </c>
      <c r="B452" t="s">
        <v>17</v>
      </c>
      <c r="C452" t="s">
        <v>18</v>
      </c>
      <c r="D452" t="s">
        <v>19</v>
      </c>
      <c r="E452" t="s">
        <v>20</v>
      </c>
      <c r="F452">
        <v>438</v>
      </c>
      <c r="G452">
        <v>9.17</v>
      </c>
      <c r="H452">
        <v>4016.46</v>
      </c>
      <c r="I452" t="s">
        <v>33</v>
      </c>
      <c r="J452" t="s">
        <v>40</v>
      </c>
      <c r="K452" t="s">
        <v>23</v>
      </c>
      <c r="L452">
        <v>3228.75</v>
      </c>
      <c r="M452">
        <v>19.600000000000001</v>
      </c>
      <c r="N452">
        <v>2023</v>
      </c>
      <c r="O452">
        <v>2</v>
      </c>
      <c r="P452" t="s">
        <v>66</v>
      </c>
      <c r="Q452">
        <v>787.71</v>
      </c>
      <c r="R452" t="s">
        <v>29</v>
      </c>
      <c r="S452">
        <v>4.0989069581444948</v>
      </c>
      <c r="T452" t="s">
        <v>78</v>
      </c>
    </row>
    <row r="453" spans="1:20" x14ac:dyDescent="0.25">
      <c r="A453" s="11">
        <v>45017</v>
      </c>
      <c r="B453" t="s">
        <v>30</v>
      </c>
      <c r="C453" t="s">
        <v>31</v>
      </c>
      <c r="D453" t="s">
        <v>32</v>
      </c>
      <c r="E453" t="s">
        <v>20</v>
      </c>
      <c r="F453">
        <v>740</v>
      </c>
      <c r="G453">
        <v>2.98</v>
      </c>
      <c r="H453">
        <v>2205.1999999999998</v>
      </c>
      <c r="I453" t="s">
        <v>33</v>
      </c>
      <c r="J453" t="s">
        <v>47</v>
      </c>
      <c r="K453" t="s">
        <v>41</v>
      </c>
      <c r="L453">
        <v>1420.06</v>
      </c>
      <c r="M453">
        <v>35.6</v>
      </c>
      <c r="N453">
        <v>2023</v>
      </c>
      <c r="O453">
        <v>2</v>
      </c>
      <c r="P453" t="s">
        <v>62</v>
      </c>
      <c r="Q453">
        <v>785.14</v>
      </c>
      <c r="R453" t="s">
        <v>25</v>
      </c>
      <c r="S453">
        <v>1.8086710650329878</v>
      </c>
      <c r="T453" t="s">
        <v>78</v>
      </c>
    </row>
    <row r="454" spans="1:20" x14ac:dyDescent="0.25">
      <c r="A454" s="11">
        <v>45056</v>
      </c>
      <c r="B454" t="s">
        <v>35</v>
      </c>
      <c r="C454" t="s">
        <v>36</v>
      </c>
      <c r="D454" t="s">
        <v>37</v>
      </c>
      <c r="E454" t="s">
        <v>38</v>
      </c>
      <c r="F454">
        <v>233</v>
      </c>
      <c r="G454">
        <v>11.11</v>
      </c>
      <c r="H454">
        <v>2588.63</v>
      </c>
      <c r="I454" t="s">
        <v>26</v>
      </c>
      <c r="J454" t="s">
        <v>22</v>
      </c>
      <c r="K454" t="s">
        <v>23</v>
      </c>
      <c r="L454">
        <v>1804.97</v>
      </c>
      <c r="M454">
        <v>30.3</v>
      </c>
      <c r="N454">
        <v>2023</v>
      </c>
      <c r="O454">
        <v>2</v>
      </c>
      <c r="P454" t="s">
        <v>65</v>
      </c>
      <c r="Q454">
        <v>783.66</v>
      </c>
      <c r="R454" t="s">
        <v>25</v>
      </c>
      <c r="S454">
        <v>2.3032565143046733</v>
      </c>
      <c r="T454" t="s">
        <v>78</v>
      </c>
    </row>
    <row r="455" spans="1:20" x14ac:dyDescent="0.25">
      <c r="A455" s="11">
        <v>44984</v>
      </c>
      <c r="B455" t="s">
        <v>35</v>
      </c>
      <c r="C455" t="s">
        <v>36</v>
      </c>
      <c r="D455" t="s">
        <v>19</v>
      </c>
      <c r="E455" t="s">
        <v>20</v>
      </c>
      <c r="F455">
        <v>531</v>
      </c>
      <c r="G455">
        <v>5.53</v>
      </c>
      <c r="H455">
        <v>2936.43</v>
      </c>
      <c r="I455" t="s">
        <v>33</v>
      </c>
      <c r="J455" t="s">
        <v>34</v>
      </c>
      <c r="K455" t="s">
        <v>41</v>
      </c>
      <c r="L455">
        <v>2159.34</v>
      </c>
      <c r="M455">
        <v>26.5</v>
      </c>
      <c r="N455">
        <v>2023</v>
      </c>
      <c r="O455">
        <v>1</v>
      </c>
      <c r="P455" t="s">
        <v>61</v>
      </c>
      <c r="Q455">
        <v>777.09</v>
      </c>
      <c r="R455" t="s">
        <v>25</v>
      </c>
      <c r="S455">
        <v>2.7787514959657185</v>
      </c>
      <c r="T455" t="s">
        <v>78</v>
      </c>
    </row>
    <row r="456" spans="1:20" x14ac:dyDescent="0.25">
      <c r="A456" s="11">
        <v>44982</v>
      </c>
      <c r="B456" t="s">
        <v>51</v>
      </c>
      <c r="C456" t="s">
        <v>52</v>
      </c>
      <c r="D456" t="s">
        <v>37</v>
      </c>
      <c r="E456" t="s">
        <v>38</v>
      </c>
      <c r="F456">
        <v>406</v>
      </c>
      <c r="G456">
        <v>6.73</v>
      </c>
      <c r="H456">
        <v>2732.38</v>
      </c>
      <c r="I456" t="s">
        <v>39</v>
      </c>
      <c r="J456" t="s">
        <v>47</v>
      </c>
      <c r="K456" t="s">
        <v>41</v>
      </c>
      <c r="L456">
        <v>1958.75</v>
      </c>
      <c r="M456">
        <v>28.3</v>
      </c>
      <c r="N456">
        <v>2023</v>
      </c>
      <c r="O456">
        <v>1</v>
      </c>
      <c r="P456" t="s">
        <v>61</v>
      </c>
      <c r="Q456">
        <v>773.63</v>
      </c>
      <c r="R456" t="s">
        <v>25</v>
      </c>
      <c r="S456">
        <v>2.5318950919690293</v>
      </c>
      <c r="T456" t="s">
        <v>78</v>
      </c>
    </row>
    <row r="457" spans="1:20" x14ac:dyDescent="0.25">
      <c r="A457" s="11">
        <v>45088</v>
      </c>
      <c r="B457" t="s">
        <v>30</v>
      </c>
      <c r="C457" t="s">
        <v>31</v>
      </c>
      <c r="D457" t="s">
        <v>53</v>
      </c>
      <c r="E457" t="s">
        <v>50</v>
      </c>
      <c r="F457">
        <v>724</v>
      </c>
      <c r="G457">
        <v>2.93</v>
      </c>
      <c r="H457">
        <v>2121.3200000000002</v>
      </c>
      <c r="I457" t="s">
        <v>26</v>
      </c>
      <c r="J457" t="s">
        <v>47</v>
      </c>
      <c r="K457" t="s">
        <v>28</v>
      </c>
      <c r="L457">
        <v>1350.14</v>
      </c>
      <c r="M457">
        <v>36.4</v>
      </c>
      <c r="N457">
        <v>2023</v>
      </c>
      <c r="O457">
        <v>2</v>
      </c>
      <c r="P457" t="s">
        <v>69</v>
      </c>
      <c r="Q457">
        <v>771.18</v>
      </c>
      <c r="R457" t="s">
        <v>25</v>
      </c>
      <c r="S457">
        <v>1.7507456106226824</v>
      </c>
      <c r="T457" t="s">
        <v>78</v>
      </c>
    </row>
    <row r="458" spans="1:20" x14ac:dyDescent="0.25">
      <c r="A458" s="11">
        <v>44981</v>
      </c>
      <c r="B458" t="s">
        <v>42</v>
      </c>
      <c r="C458" t="s">
        <v>43</v>
      </c>
      <c r="D458" t="s">
        <v>32</v>
      </c>
      <c r="E458" t="s">
        <v>20</v>
      </c>
      <c r="F458">
        <v>712</v>
      </c>
      <c r="G458">
        <v>8.8699999999999992</v>
      </c>
      <c r="H458">
        <v>6315.44</v>
      </c>
      <c r="I458" t="s">
        <v>55</v>
      </c>
      <c r="J458" t="s">
        <v>34</v>
      </c>
      <c r="K458" t="s">
        <v>23</v>
      </c>
      <c r="L458">
        <v>5551.24</v>
      </c>
      <c r="M458">
        <v>12.1</v>
      </c>
      <c r="N458">
        <v>2023</v>
      </c>
      <c r="O458">
        <v>1</v>
      </c>
      <c r="P458" t="s">
        <v>61</v>
      </c>
      <c r="Q458">
        <v>764.2</v>
      </c>
      <c r="R458" t="s">
        <v>29</v>
      </c>
      <c r="S458">
        <v>7.2641193404867828</v>
      </c>
      <c r="T458" t="s">
        <v>78</v>
      </c>
    </row>
    <row r="459" spans="1:20" x14ac:dyDescent="0.25">
      <c r="A459" s="11">
        <v>44998</v>
      </c>
      <c r="B459" t="s">
        <v>35</v>
      </c>
      <c r="C459" t="s">
        <v>36</v>
      </c>
      <c r="D459" t="s">
        <v>49</v>
      </c>
      <c r="E459" t="s">
        <v>50</v>
      </c>
      <c r="F459">
        <v>483</v>
      </c>
      <c r="G459">
        <v>7.86</v>
      </c>
      <c r="H459">
        <v>3796.38</v>
      </c>
      <c r="I459" t="s">
        <v>39</v>
      </c>
      <c r="J459" t="s">
        <v>22</v>
      </c>
      <c r="K459" t="s">
        <v>28</v>
      </c>
      <c r="L459">
        <v>3032.34</v>
      </c>
      <c r="M459">
        <v>20.100000000000001</v>
      </c>
      <c r="N459">
        <v>2023</v>
      </c>
      <c r="O459">
        <v>1</v>
      </c>
      <c r="P459" t="s">
        <v>61</v>
      </c>
      <c r="Q459">
        <v>764.04</v>
      </c>
      <c r="R459" t="s">
        <v>29</v>
      </c>
      <c r="S459">
        <v>3.9688236217999062</v>
      </c>
      <c r="T459" t="s">
        <v>78</v>
      </c>
    </row>
    <row r="460" spans="1:20" x14ac:dyDescent="0.25">
      <c r="A460" s="11">
        <v>44980</v>
      </c>
      <c r="B460" t="s">
        <v>58</v>
      </c>
      <c r="C460" t="s">
        <v>59</v>
      </c>
      <c r="D460" t="s">
        <v>44</v>
      </c>
      <c r="E460" t="s">
        <v>38</v>
      </c>
      <c r="F460">
        <v>985</v>
      </c>
      <c r="G460">
        <v>3.04</v>
      </c>
      <c r="H460">
        <v>2994.4</v>
      </c>
      <c r="I460" t="s">
        <v>39</v>
      </c>
      <c r="J460" t="s">
        <v>34</v>
      </c>
      <c r="K460" t="s">
        <v>23</v>
      </c>
      <c r="L460">
        <v>2232.35</v>
      </c>
      <c r="M460">
        <v>25.4</v>
      </c>
      <c r="N460">
        <v>2023</v>
      </c>
      <c r="O460">
        <v>1</v>
      </c>
      <c r="P460" t="s">
        <v>61</v>
      </c>
      <c r="Q460">
        <v>762.05</v>
      </c>
      <c r="R460" t="s">
        <v>25</v>
      </c>
      <c r="S460">
        <v>2.9294009579423923</v>
      </c>
      <c r="T460" t="s">
        <v>78</v>
      </c>
    </row>
    <row r="461" spans="1:20" x14ac:dyDescent="0.25">
      <c r="A461" s="11">
        <v>45018</v>
      </c>
      <c r="B461" t="s">
        <v>30</v>
      </c>
      <c r="C461" t="s">
        <v>31</v>
      </c>
      <c r="D461" t="s">
        <v>37</v>
      </c>
      <c r="E461" t="s">
        <v>38</v>
      </c>
      <c r="F461">
        <v>441</v>
      </c>
      <c r="G461">
        <v>5.5</v>
      </c>
      <c r="H461">
        <v>2425.5</v>
      </c>
      <c r="I461" t="s">
        <v>57</v>
      </c>
      <c r="J461" t="s">
        <v>47</v>
      </c>
      <c r="K461" t="s">
        <v>23</v>
      </c>
      <c r="L461">
        <v>1663.55</v>
      </c>
      <c r="M461">
        <v>31.4</v>
      </c>
      <c r="N461">
        <v>2023</v>
      </c>
      <c r="O461">
        <v>2</v>
      </c>
      <c r="P461" t="s">
        <v>62</v>
      </c>
      <c r="Q461">
        <v>761.95</v>
      </c>
      <c r="R461" t="s">
        <v>25</v>
      </c>
      <c r="S461">
        <v>2.183279742765273</v>
      </c>
      <c r="T461" t="s">
        <v>78</v>
      </c>
    </row>
    <row r="462" spans="1:20" x14ac:dyDescent="0.25">
      <c r="A462" s="11">
        <v>44990</v>
      </c>
      <c r="B462" t="s">
        <v>58</v>
      </c>
      <c r="C462" t="s">
        <v>59</v>
      </c>
      <c r="D462" t="s">
        <v>45</v>
      </c>
      <c r="E462" t="s">
        <v>20</v>
      </c>
      <c r="F462">
        <v>270</v>
      </c>
      <c r="G462">
        <v>8.32</v>
      </c>
      <c r="H462">
        <v>2246.4</v>
      </c>
      <c r="I462" t="s">
        <v>33</v>
      </c>
      <c r="J462" t="s">
        <v>56</v>
      </c>
      <c r="K462" t="s">
        <v>28</v>
      </c>
      <c r="L462">
        <v>1485.17</v>
      </c>
      <c r="M462">
        <v>33.9</v>
      </c>
      <c r="N462">
        <v>2023</v>
      </c>
      <c r="O462">
        <v>1</v>
      </c>
      <c r="P462" t="s">
        <v>61</v>
      </c>
      <c r="Q462">
        <v>761.23</v>
      </c>
      <c r="R462" t="s">
        <v>25</v>
      </c>
      <c r="S462">
        <v>1.9510134913232533</v>
      </c>
      <c r="T462" t="s">
        <v>78</v>
      </c>
    </row>
    <row r="463" spans="1:20" x14ac:dyDescent="0.25">
      <c r="A463" s="11">
        <v>44949</v>
      </c>
      <c r="B463" t="s">
        <v>42</v>
      </c>
      <c r="C463" t="s">
        <v>43</v>
      </c>
      <c r="D463" t="s">
        <v>45</v>
      </c>
      <c r="E463" t="s">
        <v>20</v>
      </c>
      <c r="F463">
        <v>761</v>
      </c>
      <c r="G463">
        <v>4</v>
      </c>
      <c r="H463">
        <v>3044</v>
      </c>
      <c r="I463" t="s">
        <v>21</v>
      </c>
      <c r="J463" t="s">
        <v>40</v>
      </c>
      <c r="K463" t="s">
        <v>28</v>
      </c>
      <c r="L463">
        <v>2283.06</v>
      </c>
      <c r="M463">
        <v>25</v>
      </c>
      <c r="N463">
        <v>2023</v>
      </c>
      <c r="O463">
        <v>1</v>
      </c>
      <c r="P463" t="s">
        <v>24</v>
      </c>
      <c r="Q463">
        <v>760.94</v>
      </c>
      <c r="R463" t="s">
        <v>29</v>
      </c>
      <c r="S463">
        <v>3.0003153993744576</v>
      </c>
      <c r="T463" t="s">
        <v>78</v>
      </c>
    </row>
    <row r="464" spans="1:20" x14ac:dyDescent="0.25">
      <c r="A464" s="11">
        <v>44995</v>
      </c>
      <c r="B464" t="s">
        <v>17</v>
      </c>
      <c r="C464" t="s">
        <v>18</v>
      </c>
      <c r="D464" t="s">
        <v>19</v>
      </c>
      <c r="E464" t="s">
        <v>20</v>
      </c>
      <c r="F464">
        <v>358</v>
      </c>
      <c r="G464">
        <v>5.7</v>
      </c>
      <c r="H464">
        <v>2040.6</v>
      </c>
      <c r="I464" t="s">
        <v>39</v>
      </c>
      <c r="J464" t="s">
        <v>47</v>
      </c>
      <c r="K464" t="s">
        <v>23</v>
      </c>
      <c r="L464">
        <v>1280.71</v>
      </c>
      <c r="M464">
        <v>37.200000000000003</v>
      </c>
      <c r="N464">
        <v>2023</v>
      </c>
      <c r="O464">
        <v>1</v>
      </c>
      <c r="P464" t="s">
        <v>61</v>
      </c>
      <c r="Q464">
        <v>759.89</v>
      </c>
      <c r="R464" t="s">
        <v>25</v>
      </c>
      <c r="S464">
        <v>1.685388674676598</v>
      </c>
      <c r="T464" t="s">
        <v>78</v>
      </c>
    </row>
    <row r="465" spans="1:20" x14ac:dyDescent="0.25">
      <c r="A465" s="11">
        <v>45060</v>
      </c>
      <c r="B465" t="s">
        <v>51</v>
      </c>
      <c r="C465" t="s">
        <v>52</v>
      </c>
      <c r="D465" t="s">
        <v>37</v>
      </c>
      <c r="E465" t="s">
        <v>38</v>
      </c>
      <c r="F465">
        <v>633</v>
      </c>
      <c r="G465">
        <v>5.71</v>
      </c>
      <c r="H465">
        <v>3614.43</v>
      </c>
      <c r="I465" t="s">
        <v>55</v>
      </c>
      <c r="J465" t="s">
        <v>40</v>
      </c>
      <c r="K465" t="s">
        <v>41</v>
      </c>
      <c r="L465">
        <v>2856.06</v>
      </c>
      <c r="M465">
        <v>21</v>
      </c>
      <c r="N465">
        <v>2023</v>
      </c>
      <c r="O465">
        <v>2</v>
      </c>
      <c r="P465" t="s">
        <v>65</v>
      </c>
      <c r="Q465">
        <v>758.37</v>
      </c>
      <c r="R465" t="s">
        <v>29</v>
      </c>
      <c r="S465">
        <v>3.7660508722655166</v>
      </c>
      <c r="T465" t="s">
        <v>78</v>
      </c>
    </row>
    <row r="466" spans="1:20" x14ac:dyDescent="0.25">
      <c r="A466" s="11">
        <v>45065</v>
      </c>
      <c r="B466" t="s">
        <v>35</v>
      </c>
      <c r="C466" t="s">
        <v>36</v>
      </c>
      <c r="D466" t="s">
        <v>53</v>
      </c>
      <c r="E466" t="s">
        <v>50</v>
      </c>
      <c r="F466">
        <v>614</v>
      </c>
      <c r="G466">
        <v>10.83</v>
      </c>
      <c r="H466">
        <v>6649.62</v>
      </c>
      <c r="I466" t="s">
        <v>54</v>
      </c>
      <c r="J466" t="s">
        <v>34</v>
      </c>
      <c r="K466" t="s">
        <v>41</v>
      </c>
      <c r="L466">
        <v>5891.42</v>
      </c>
      <c r="M466">
        <v>11.4</v>
      </c>
      <c r="N466">
        <v>2023</v>
      </c>
      <c r="O466">
        <v>2</v>
      </c>
      <c r="P466" t="s">
        <v>65</v>
      </c>
      <c r="Q466">
        <v>758.2</v>
      </c>
      <c r="R466" t="s">
        <v>29</v>
      </c>
      <c r="S466">
        <v>7.7702716961223945</v>
      </c>
      <c r="T466" t="s">
        <v>78</v>
      </c>
    </row>
    <row r="467" spans="1:20" x14ac:dyDescent="0.25">
      <c r="A467" s="11">
        <v>45103</v>
      </c>
      <c r="B467" t="s">
        <v>35</v>
      </c>
      <c r="C467" t="s">
        <v>36</v>
      </c>
      <c r="D467" t="s">
        <v>44</v>
      </c>
      <c r="E467" t="s">
        <v>38</v>
      </c>
      <c r="F467">
        <v>736</v>
      </c>
      <c r="G467">
        <v>8.91</v>
      </c>
      <c r="H467">
        <v>6557.76</v>
      </c>
      <c r="I467" t="s">
        <v>46</v>
      </c>
      <c r="J467" t="s">
        <v>22</v>
      </c>
      <c r="K467" t="s">
        <v>41</v>
      </c>
      <c r="L467">
        <v>5803.75</v>
      </c>
      <c r="M467">
        <v>11.5</v>
      </c>
      <c r="N467">
        <v>2024</v>
      </c>
      <c r="O467">
        <v>2</v>
      </c>
      <c r="P467" t="s">
        <v>60</v>
      </c>
      <c r="Q467">
        <v>754.01</v>
      </c>
      <c r="R467" t="s">
        <v>29</v>
      </c>
      <c r="S467">
        <v>7.6971790825055368</v>
      </c>
      <c r="T467" t="s">
        <v>78</v>
      </c>
    </row>
    <row r="468" spans="1:20" x14ac:dyDescent="0.25">
      <c r="A468" s="11">
        <v>45052</v>
      </c>
      <c r="B468" t="s">
        <v>35</v>
      </c>
      <c r="C468" t="s">
        <v>36</v>
      </c>
      <c r="D468" t="s">
        <v>45</v>
      </c>
      <c r="E468" t="s">
        <v>20</v>
      </c>
      <c r="F468">
        <v>229</v>
      </c>
      <c r="G468">
        <v>11</v>
      </c>
      <c r="H468">
        <v>2519</v>
      </c>
      <c r="I468" t="s">
        <v>55</v>
      </c>
      <c r="J468" t="s">
        <v>27</v>
      </c>
      <c r="K468" t="s">
        <v>28</v>
      </c>
      <c r="L468">
        <v>1766.3</v>
      </c>
      <c r="M468">
        <v>29.9</v>
      </c>
      <c r="N468">
        <v>2023</v>
      </c>
      <c r="O468">
        <v>2</v>
      </c>
      <c r="P468" t="s">
        <v>65</v>
      </c>
      <c r="Q468">
        <v>752.7</v>
      </c>
      <c r="R468" t="s">
        <v>25</v>
      </c>
      <c r="S468">
        <v>2.3466188388468181</v>
      </c>
      <c r="T468" t="s">
        <v>78</v>
      </c>
    </row>
    <row r="469" spans="1:20" x14ac:dyDescent="0.25">
      <c r="A469" s="11">
        <v>45114</v>
      </c>
      <c r="B469" t="s">
        <v>17</v>
      </c>
      <c r="C469" t="s">
        <v>18</v>
      </c>
      <c r="D469" t="s">
        <v>45</v>
      </c>
      <c r="E469" t="s">
        <v>20</v>
      </c>
      <c r="F469">
        <v>865</v>
      </c>
      <c r="G469">
        <v>3.25</v>
      </c>
      <c r="H469">
        <v>2811.25</v>
      </c>
      <c r="I469" t="s">
        <v>33</v>
      </c>
      <c r="J469" t="s">
        <v>56</v>
      </c>
      <c r="K469" t="s">
        <v>23</v>
      </c>
      <c r="L469">
        <v>2058.91</v>
      </c>
      <c r="M469">
        <v>26.8</v>
      </c>
      <c r="N469">
        <v>2024</v>
      </c>
      <c r="O469">
        <v>3</v>
      </c>
      <c r="P469" t="s">
        <v>63</v>
      </c>
      <c r="Q469">
        <v>752.34</v>
      </c>
      <c r="R469" t="s">
        <v>25</v>
      </c>
      <c r="S469">
        <v>2.7366749076215537</v>
      </c>
      <c r="T469" t="s">
        <v>78</v>
      </c>
    </row>
    <row r="470" spans="1:20" x14ac:dyDescent="0.25">
      <c r="A470" s="11">
        <v>45063</v>
      </c>
      <c r="B470" t="s">
        <v>58</v>
      </c>
      <c r="C470" t="s">
        <v>59</v>
      </c>
      <c r="D470" t="s">
        <v>37</v>
      </c>
      <c r="E470" t="s">
        <v>38</v>
      </c>
      <c r="F470">
        <v>737</v>
      </c>
      <c r="G470">
        <v>3.44</v>
      </c>
      <c r="H470">
        <v>2535.2800000000002</v>
      </c>
      <c r="I470" t="s">
        <v>46</v>
      </c>
      <c r="J470" t="s">
        <v>27</v>
      </c>
      <c r="K470" t="s">
        <v>28</v>
      </c>
      <c r="L470">
        <v>1784.1</v>
      </c>
      <c r="M470">
        <v>29.6</v>
      </c>
      <c r="N470">
        <v>2023</v>
      </c>
      <c r="O470">
        <v>2</v>
      </c>
      <c r="P470" t="s">
        <v>65</v>
      </c>
      <c r="Q470">
        <v>751.18</v>
      </c>
      <c r="R470" t="s">
        <v>25</v>
      </c>
      <c r="S470">
        <v>2.3750632338454167</v>
      </c>
      <c r="T470" t="s">
        <v>78</v>
      </c>
    </row>
    <row r="471" spans="1:20" x14ac:dyDescent="0.25">
      <c r="A471" s="11">
        <v>44936</v>
      </c>
      <c r="B471" t="s">
        <v>51</v>
      </c>
      <c r="C471" t="s">
        <v>52</v>
      </c>
      <c r="D471" t="s">
        <v>37</v>
      </c>
      <c r="E471" t="s">
        <v>38</v>
      </c>
      <c r="F471">
        <v>920</v>
      </c>
      <c r="G471">
        <v>5.03</v>
      </c>
      <c r="H471">
        <v>4627.6000000000004</v>
      </c>
      <c r="I471" t="s">
        <v>55</v>
      </c>
      <c r="J471" t="s">
        <v>22</v>
      </c>
      <c r="K471" t="s">
        <v>28</v>
      </c>
      <c r="L471">
        <v>3881.28</v>
      </c>
      <c r="M471">
        <v>16.100000000000001</v>
      </c>
      <c r="N471">
        <v>2023</v>
      </c>
      <c r="O471">
        <v>1</v>
      </c>
      <c r="P471" t="s">
        <v>24</v>
      </c>
      <c r="Q471">
        <v>746.32</v>
      </c>
      <c r="R471" t="s">
        <v>29</v>
      </c>
      <c r="S471">
        <v>5.2005574016507667</v>
      </c>
      <c r="T471" t="s">
        <v>78</v>
      </c>
    </row>
    <row r="472" spans="1:20" x14ac:dyDescent="0.25">
      <c r="A472" s="11">
        <v>45116</v>
      </c>
      <c r="B472" t="s">
        <v>35</v>
      </c>
      <c r="C472" t="s">
        <v>36</v>
      </c>
      <c r="D472" t="s">
        <v>45</v>
      </c>
      <c r="E472" t="s">
        <v>20</v>
      </c>
      <c r="F472">
        <v>493</v>
      </c>
      <c r="G472">
        <v>6.1</v>
      </c>
      <c r="H472">
        <v>3007.3</v>
      </c>
      <c r="I472" t="s">
        <v>26</v>
      </c>
      <c r="J472" t="s">
        <v>34</v>
      </c>
      <c r="K472" t="s">
        <v>41</v>
      </c>
      <c r="L472">
        <v>2261.0700000000002</v>
      </c>
      <c r="M472">
        <v>24.8</v>
      </c>
      <c r="N472">
        <v>2024</v>
      </c>
      <c r="O472">
        <v>3</v>
      </c>
      <c r="P472" t="s">
        <v>63</v>
      </c>
      <c r="Q472">
        <v>746.23</v>
      </c>
      <c r="R472" t="s">
        <v>29</v>
      </c>
      <c r="S472">
        <v>3.0299907535210324</v>
      </c>
      <c r="T472" t="s">
        <v>78</v>
      </c>
    </row>
    <row r="473" spans="1:20" x14ac:dyDescent="0.25">
      <c r="A473" s="11">
        <v>45077</v>
      </c>
      <c r="B473" t="s">
        <v>42</v>
      </c>
      <c r="C473" t="s">
        <v>43</v>
      </c>
      <c r="D473" t="s">
        <v>48</v>
      </c>
      <c r="E473" t="s">
        <v>38</v>
      </c>
      <c r="F473">
        <v>585</v>
      </c>
      <c r="G473">
        <v>10.51</v>
      </c>
      <c r="H473">
        <v>6148.35</v>
      </c>
      <c r="I473" t="s">
        <v>46</v>
      </c>
      <c r="J473" t="s">
        <v>22</v>
      </c>
      <c r="K473" t="s">
        <v>41</v>
      </c>
      <c r="L473">
        <v>5402.17</v>
      </c>
      <c r="M473">
        <v>12.1</v>
      </c>
      <c r="N473">
        <v>2023</v>
      </c>
      <c r="O473">
        <v>2</v>
      </c>
      <c r="P473" t="s">
        <v>67</v>
      </c>
      <c r="Q473">
        <v>746.18</v>
      </c>
      <c r="R473" t="s">
        <v>29</v>
      </c>
      <c r="S473">
        <v>7.23976788442467</v>
      </c>
      <c r="T473" t="s">
        <v>78</v>
      </c>
    </row>
    <row r="474" spans="1:20" x14ac:dyDescent="0.25">
      <c r="A474" s="11">
        <v>45096</v>
      </c>
      <c r="B474" t="s">
        <v>51</v>
      </c>
      <c r="C474" t="s">
        <v>52</v>
      </c>
      <c r="D474" t="s">
        <v>32</v>
      </c>
      <c r="E474" t="s">
        <v>20</v>
      </c>
      <c r="F474">
        <v>550</v>
      </c>
      <c r="G474">
        <v>3.92</v>
      </c>
      <c r="H474">
        <v>2156</v>
      </c>
      <c r="I474" t="s">
        <v>26</v>
      </c>
      <c r="J474" t="s">
        <v>34</v>
      </c>
      <c r="K474" t="s">
        <v>28</v>
      </c>
      <c r="L474">
        <v>1412.37</v>
      </c>
      <c r="M474">
        <v>34.5</v>
      </c>
      <c r="N474">
        <v>2023</v>
      </c>
      <c r="O474">
        <v>2</v>
      </c>
      <c r="P474" t="s">
        <v>70</v>
      </c>
      <c r="Q474">
        <v>743.63</v>
      </c>
      <c r="R474" t="s">
        <v>25</v>
      </c>
      <c r="S474">
        <v>1.8992913142288503</v>
      </c>
      <c r="T474" t="s">
        <v>78</v>
      </c>
    </row>
    <row r="475" spans="1:20" x14ac:dyDescent="0.25">
      <c r="A475" s="11">
        <v>44974</v>
      </c>
      <c r="B475" t="s">
        <v>51</v>
      </c>
      <c r="C475" t="s">
        <v>52</v>
      </c>
      <c r="D475" t="s">
        <v>19</v>
      </c>
      <c r="E475" t="s">
        <v>20</v>
      </c>
      <c r="F475">
        <v>237</v>
      </c>
      <c r="G475">
        <v>8.69</v>
      </c>
      <c r="H475">
        <v>2059.5300000000002</v>
      </c>
      <c r="I475" t="s">
        <v>54</v>
      </c>
      <c r="J475" t="s">
        <v>40</v>
      </c>
      <c r="K475" t="s">
        <v>23</v>
      </c>
      <c r="L475">
        <v>1317.05</v>
      </c>
      <c r="M475">
        <v>36.1</v>
      </c>
      <c r="N475">
        <v>2023</v>
      </c>
      <c r="O475">
        <v>1</v>
      </c>
      <c r="P475" t="s">
        <v>60</v>
      </c>
      <c r="Q475">
        <v>742.48</v>
      </c>
      <c r="R475" t="s">
        <v>25</v>
      </c>
      <c r="S475">
        <v>1.7738524943432818</v>
      </c>
      <c r="T475" t="s">
        <v>78</v>
      </c>
    </row>
    <row r="476" spans="1:20" x14ac:dyDescent="0.25">
      <c r="A476" s="11">
        <v>45005</v>
      </c>
      <c r="B476" t="s">
        <v>35</v>
      </c>
      <c r="C476" t="s">
        <v>36</v>
      </c>
      <c r="D476" t="s">
        <v>19</v>
      </c>
      <c r="E476" t="s">
        <v>20</v>
      </c>
      <c r="F476">
        <v>860</v>
      </c>
      <c r="G476">
        <v>3.2</v>
      </c>
      <c r="H476">
        <v>2752</v>
      </c>
      <c r="I476" t="s">
        <v>57</v>
      </c>
      <c r="J476" t="s">
        <v>40</v>
      </c>
      <c r="K476" t="s">
        <v>23</v>
      </c>
      <c r="L476">
        <v>2011.84</v>
      </c>
      <c r="M476">
        <v>26.9</v>
      </c>
      <c r="N476">
        <v>2023</v>
      </c>
      <c r="O476">
        <v>1</v>
      </c>
      <c r="P476" t="s">
        <v>62</v>
      </c>
      <c r="Q476">
        <v>740.16</v>
      </c>
      <c r="R476" t="s">
        <v>25</v>
      </c>
      <c r="S476">
        <v>2.7181150021616949</v>
      </c>
      <c r="T476" t="s">
        <v>78</v>
      </c>
    </row>
    <row r="477" spans="1:20" x14ac:dyDescent="0.25">
      <c r="A477" s="11">
        <v>45066</v>
      </c>
      <c r="B477" t="s">
        <v>58</v>
      </c>
      <c r="C477" t="s">
        <v>59</v>
      </c>
      <c r="D477" t="s">
        <v>45</v>
      </c>
      <c r="E477" t="s">
        <v>20</v>
      </c>
      <c r="F477">
        <v>686</v>
      </c>
      <c r="G477">
        <v>4.84</v>
      </c>
      <c r="H477">
        <v>3320.24</v>
      </c>
      <c r="I477" t="s">
        <v>26</v>
      </c>
      <c r="J477" t="s">
        <v>27</v>
      </c>
      <c r="K477" t="s">
        <v>41</v>
      </c>
      <c r="L477">
        <v>2581.7600000000002</v>
      </c>
      <c r="M477">
        <v>22.2</v>
      </c>
      <c r="N477">
        <v>2023</v>
      </c>
      <c r="O477">
        <v>2</v>
      </c>
      <c r="P477" t="s">
        <v>66</v>
      </c>
      <c r="Q477">
        <v>738.48</v>
      </c>
      <c r="R477" t="s">
        <v>29</v>
      </c>
      <c r="S477">
        <v>3.4960459321850288</v>
      </c>
      <c r="T477" t="s">
        <v>78</v>
      </c>
    </row>
    <row r="478" spans="1:20" x14ac:dyDescent="0.25">
      <c r="A478" s="11">
        <v>45119</v>
      </c>
      <c r="B478" t="s">
        <v>42</v>
      </c>
      <c r="C478" t="s">
        <v>43</v>
      </c>
      <c r="D478" t="s">
        <v>45</v>
      </c>
      <c r="E478" t="s">
        <v>20</v>
      </c>
      <c r="F478">
        <v>550</v>
      </c>
      <c r="G478">
        <v>6.35</v>
      </c>
      <c r="H478">
        <v>3492.5</v>
      </c>
      <c r="I478" t="s">
        <v>21</v>
      </c>
      <c r="J478" t="s">
        <v>34</v>
      </c>
      <c r="K478" t="s">
        <v>41</v>
      </c>
      <c r="L478">
        <v>2754.1</v>
      </c>
      <c r="M478">
        <v>21.1</v>
      </c>
      <c r="N478">
        <v>2024</v>
      </c>
      <c r="O478">
        <v>3</v>
      </c>
      <c r="P478" t="s">
        <v>65</v>
      </c>
      <c r="Q478">
        <v>738.4</v>
      </c>
      <c r="R478" t="s">
        <v>29</v>
      </c>
      <c r="S478">
        <v>3.7298212351029254</v>
      </c>
      <c r="T478" t="s">
        <v>78</v>
      </c>
    </row>
    <row r="479" spans="1:20" x14ac:dyDescent="0.25">
      <c r="A479" s="11">
        <v>45050</v>
      </c>
      <c r="B479" t="s">
        <v>17</v>
      </c>
      <c r="C479" t="s">
        <v>18</v>
      </c>
      <c r="D479" t="s">
        <v>32</v>
      </c>
      <c r="E479" t="s">
        <v>20</v>
      </c>
      <c r="F479">
        <v>374</v>
      </c>
      <c r="G479">
        <v>8.8000000000000007</v>
      </c>
      <c r="H479">
        <v>3291.2</v>
      </c>
      <c r="I479" t="s">
        <v>26</v>
      </c>
      <c r="J479" t="s">
        <v>47</v>
      </c>
      <c r="K479" t="s">
        <v>23</v>
      </c>
      <c r="L479">
        <v>2560.04</v>
      </c>
      <c r="M479">
        <v>22.2</v>
      </c>
      <c r="N479">
        <v>2023</v>
      </c>
      <c r="O479">
        <v>2</v>
      </c>
      <c r="P479" t="s">
        <v>64</v>
      </c>
      <c r="Q479">
        <v>731.16</v>
      </c>
      <c r="R479" t="s">
        <v>29</v>
      </c>
      <c r="S479">
        <v>3.5013403359045903</v>
      </c>
      <c r="T479" t="s">
        <v>78</v>
      </c>
    </row>
    <row r="480" spans="1:20" x14ac:dyDescent="0.25">
      <c r="A480" s="11">
        <v>45035</v>
      </c>
      <c r="B480" t="s">
        <v>51</v>
      </c>
      <c r="C480" t="s">
        <v>52</v>
      </c>
      <c r="D480" t="s">
        <v>44</v>
      </c>
      <c r="E480" t="s">
        <v>38</v>
      </c>
      <c r="F480">
        <v>713</v>
      </c>
      <c r="G480">
        <v>10.130000000000001</v>
      </c>
      <c r="H480">
        <v>7222.69</v>
      </c>
      <c r="I480" t="s">
        <v>57</v>
      </c>
      <c r="J480" t="s">
        <v>56</v>
      </c>
      <c r="K480" t="s">
        <v>28</v>
      </c>
      <c r="L480">
        <v>6491.57</v>
      </c>
      <c r="M480">
        <v>10.1</v>
      </c>
      <c r="N480">
        <v>2023</v>
      </c>
      <c r="O480">
        <v>2</v>
      </c>
      <c r="P480" t="s">
        <v>63</v>
      </c>
      <c r="Q480">
        <v>731.12</v>
      </c>
      <c r="R480" t="s">
        <v>29</v>
      </c>
      <c r="S480">
        <v>8.8789391618338982</v>
      </c>
      <c r="T480" t="s">
        <v>78</v>
      </c>
    </row>
    <row r="481" spans="1:20" x14ac:dyDescent="0.25">
      <c r="A481" s="11">
        <v>44967</v>
      </c>
      <c r="B481" t="s">
        <v>17</v>
      </c>
      <c r="C481" t="s">
        <v>18</v>
      </c>
      <c r="D481" t="s">
        <v>32</v>
      </c>
      <c r="E481" t="s">
        <v>20</v>
      </c>
      <c r="F481">
        <v>841</v>
      </c>
      <c r="G481">
        <v>3.14</v>
      </c>
      <c r="H481">
        <v>2640.74</v>
      </c>
      <c r="I481" t="s">
        <v>57</v>
      </c>
      <c r="J481" t="s">
        <v>22</v>
      </c>
      <c r="K481" t="s">
        <v>23</v>
      </c>
      <c r="L481">
        <v>1912.05</v>
      </c>
      <c r="M481">
        <v>27.6</v>
      </c>
      <c r="N481">
        <v>2023</v>
      </c>
      <c r="O481">
        <v>1</v>
      </c>
      <c r="P481" t="s">
        <v>60</v>
      </c>
      <c r="Q481">
        <v>728.69</v>
      </c>
      <c r="R481" t="s">
        <v>25</v>
      </c>
      <c r="S481">
        <v>2.6239553170758483</v>
      </c>
      <c r="T481" t="s">
        <v>78</v>
      </c>
    </row>
    <row r="482" spans="1:20" x14ac:dyDescent="0.25">
      <c r="A482" s="11">
        <v>44999</v>
      </c>
      <c r="B482" t="s">
        <v>51</v>
      </c>
      <c r="C482" t="s">
        <v>52</v>
      </c>
      <c r="D482" t="s">
        <v>44</v>
      </c>
      <c r="E482" t="s">
        <v>38</v>
      </c>
      <c r="F482">
        <v>637</v>
      </c>
      <c r="G482">
        <v>3.91</v>
      </c>
      <c r="H482">
        <v>2490.67</v>
      </c>
      <c r="I482" t="s">
        <v>26</v>
      </c>
      <c r="J482" t="s">
        <v>47</v>
      </c>
      <c r="K482" t="s">
        <v>23</v>
      </c>
      <c r="L482">
        <v>1766.14</v>
      </c>
      <c r="M482">
        <v>29.1</v>
      </c>
      <c r="N482">
        <v>2023</v>
      </c>
      <c r="O482">
        <v>1</v>
      </c>
      <c r="P482" t="s">
        <v>61</v>
      </c>
      <c r="Q482">
        <v>724.53</v>
      </c>
      <c r="R482" t="s">
        <v>25</v>
      </c>
      <c r="S482">
        <v>2.4376354326252883</v>
      </c>
      <c r="T482" t="s">
        <v>78</v>
      </c>
    </row>
    <row r="483" spans="1:20" x14ac:dyDescent="0.25">
      <c r="A483" s="11">
        <v>45028</v>
      </c>
      <c r="B483" t="s">
        <v>42</v>
      </c>
      <c r="C483" t="s">
        <v>43</v>
      </c>
      <c r="D483" t="s">
        <v>49</v>
      </c>
      <c r="E483" t="s">
        <v>50</v>
      </c>
      <c r="F483">
        <v>794</v>
      </c>
      <c r="G483">
        <v>8.44</v>
      </c>
      <c r="H483">
        <v>6701.36</v>
      </c>
      <c r="I483" t="s">
        <v>33</v>
      </c>
      <c r="J483" t="s">
        <v>34</v>
      </c>
      <c r="K483" t="s">
        <v>28</v>
      </c>
      <c r="L483">
        <v>5979.2</v>
      </c>
      <c r="M483">
        <v>10.8</v>
      </c>
      <c r="N483">
        <v>2023</v>
      </c>
      <c r="O483">
        <v>2</v>
      </c>
      <c r="P483" t="s">
        <v>63</v>
      </c>
      <c r="Q483">
        <v>722.16</v>
      </c>
      <c r="R483" t="s">
        <v>29</v>
      </c>
      <c r="S483">
        <v>8.2796056275617591</v>
      </c>
      <c r="T483" t="s">
        <v>78</v>
      </c>
    </row>
    <row r="484" spans="1:20" x14ac:dyDescent="0.25">
      <c r="A484" s="11">
        <v>45020</v>
      </c>
      <c r="B484" t="s">
        <v>17</v>
      </c>
      <c r="C484" t="s">
        <v>18</v>
      </c>
      <c r="D484" t="s">
        <v>19</v>
      </c>
      <c r="E484" t="s">
        <v>20</v>
      </c>
      <c r="F484">
        <v>528</v>
      </c>
      <c r="G484">
        <v>9.1</v>
      </c>
      <c r="H484">
        <v>4804.8</v>
      </c>
      <c r="I484" t="s">
        <v>39</v>
      </c>
      <c r="J484" t="s">
        <v>47</v>
      </c>
      <c r="K484" t="s">
        <v>28</v>
      </c>
      <c r="L484">
        <v>4084.35</v>
      </c>
      <c r="M484">
        <v>15</v>
      </c>
      <c r="N484">
        <v>2023</v>
      </c>
      <c r="O484">
        <v>2</v>
      </c>
      <c r="P484" t="s">
        <v>62</v>
      </c>
      <c r="Q484">
        <v>720.45</v>
      </c>
      <c r="R484" t="s">
        <v>29</v>
      </c>
      <c r="S484">
        <v>5.6691651051426186</v>
      </c>
      <c r="T484" t="s">
        <v>78</v>
      </c>
    </row>
    <row r="485" spans="1:20" x14ac:dyDescent="0.25">
      <c r="A485" s="11">
        <v>45071</v>
      </c>
      <c r="B485" t="s">
        <v>30</v>
      </c>
      <c r="C485" t="s">
        <v>31</v>
      </c>
      <c r="D485" t="s">
        <v>44</v>
      </c>
      <c r="E485" t="s">
        <v>38</v>
      </c>
      <c r="F485">
        <v>582</v>
      </c>
      <c r="G485">
        <v>11.2</v>
      </c>
      <c r="H485">
        <v>6518.4</v>
      </c>
      <c r="I485" t="s">
        <v>46</v>
      </c>
      <c r="J485" t="s">
        <v>27</v>
      </c>
      <c r="K485" t="s">
        <v>41</v>
      </c>
      <c r="L485">
        <v>5804.33</v>
      </c>
      <c r="M485">
        <v>11</v>
      </c>
      <c r="N485">
        <v>2023</v>
      </c>
      <c r="O485">
        <v>2</v>
      </c>
      <c r="P485" t="s">
        <v>66</v>
      </c>
      <c r="Q485">
        <v>714.07</v>
      </c>
      <c r="R485" t="s">
        <v>29</v>
      </c>
      <c r="S485">
        <v>8.1285168120772475</v>
      </c>
      <c r="T485" t="s">
        <v>78</v>
      </c>
    </row>
    <row r="486" spans="1:20" x14ac:dyDescent="0.25">
      <c r="A486" s="11">
        <v>45100</v>
      </c>
      <c r="B486" t="s">
        <v>42</v>
      </c>
      <c r="C486" t="s">
        <v>43</v>
      </c>
      <c r="D486" t="s">
        <v>49</v>
      </c>
      <c r="E486" t="s">
        <v>50</v>
      </c>
      <c r="F486">
        <v>411</v>
      </c>
      <c r="G486">
        <v>11.18</v>
      </c>
      <c r="H486">
        <v>4594.9799999999996</v>
      </c>
      <c r="I486" t="s">
        <v>33</v>
      </c>
      <c r="J486" t="s">
        <v>40</v>
      </c>
      <c r="K486" t="s">
        <v>23</v>
      </c>
      <c r="L486">
        <v>3883.36</v>
      </c>
      <c r="M486">
        <v>15.5</v>
      </c>
      <c r="N486">
        <v>2024</v>
      </c>
      <c r="O486">
        <v>2</v>
      </c>
      <c r="P486" t="s">
        <v>24</v>
      </c>
      <c r="Q486">
        <v>711.62</v>
      </c>
      <c r="R486" t="s">
        <v>29</v>
      </c>
      <c r="S486">
        <v>5.4570697844355136</v>
      </c>
      <c r="T486" t="s">
        <v>78</v>
      </c>
    </row>
    <row r="487" spans="1:20" x14ac:dyDescent="0.25">
      <c r="A487" s="11">
        <v>45039</v>
      </c>
      <c r="B487" t="s">
        <v>51</v>
      </c>
      <c r="C487" t="s">
        <v>52</v>
      </c>
      <c r="D487" t="s">
        <v>37</v>
      </c>
      <c r="E487" t="s">
        <v>38</v>
      </c>
      <c r="F487">
        <v>876</v>
      </c>
      <c r="G487">
        <v>6.99</v>
      </c>
      <c r="H487">
        <v>6123.24</v>
      </c>
      <c r="I487" t="s">
        <v>57</v>
      </c>
      <c r="J487" t="s">
        <v>22</v>
      </c>
      <c r="K487" t="s">
        <v>28</v>
      </c>
      <c r="L487">
        <v>5412.74</v>
      </c>
      <c r="M487">
        <v>11.6</v>
      </c>
      <c r="N487">
        <v>2023</v>
      </c>
      <c r="O487">
        <v>2</v>
      </c>
      <c r="P487" t="s">
        <v>63</v>
      </c>
      <c r="Q487">
        <v>710.5</v>
      </c>
      <c r="R487" t="s">
        <v>29</v>
      </c>
      <c r="S487">
        <v>7.6182125263898657</v>
      </c>
      <c r="T487" t="s">
        <v>78</v>
      </c>
    </row>
    <row r="488" spans="1:20" x14ac:dyDescent="0.25">
      <c r="A488" s="11">
        <v>45026</v>
      </c>
      <c r="B488" t="s">
        <v>35</v>
      </c>
      <c r="C488" t="s">
        <v>36</v>
      </c>
      <c r="D488" t="s">
        <v>49</v>
      </c>
      <c r="E488" t="s">
        <v>50</v>
      </c>
      <c r="F488">
        <v>579</v>
      </c>
      <c r="G488">
        <v>5.29</v>
      </c>
      <c r="H488">
        <v>3062.91</v>
      </c>
      <c r="I488" t="s">
        <v>46</v>
      </c>
      <c r="J488" t="s">
        <v>34</v>
      </c>
      <c r="K488" t="s">
        <v>28</v>
      </c>
      <c r="L488">
        <v>2354.59</v>
      </c>
      <c r="M488">
        <v>23.1</v>
      </c>
      <c r="N488">
        <v>2023</v>
      </c>
      <c r="O488">
        <v>2</v>
      </c>
      <c r="P488" t="s">
        <v>63</v>
      </c>
      <c r="Q488">
        <v>708.32</v>
      </c>
      <c r="R488" t="s">
        <v>29</v>
      </c>
      <c r="S488">
        <v>3.3241896318048338</v>
      </c>
      <c r="T488" t="s">
        <v>78</v>
      </c>
    </row>
    <row r="489" spans="1:20" x14ac:dyDescent="0.25">
      <c r="A489" s="11">
        <v>45055</v>
      </c>
      <c r="B489" t="s">
        <v>17</v>
      </c>
      <c r="C489" t="s">
        <v>18</v>
      </c>
      <c r="D489" t="s">
        <v>32</v>
      </c>
      <c r="E489" t="s">
        <v>20</v>
      </c>
      <c r="F489">
        <v>574</v>
      </c>
      <c r="G489">
        <v>11.07</v>
      </c>
      <c r="H489">
        <v>6354.18</v>
      </c>
      <c r="I489" t="s">
        <v>39</v>
      </c>
      <c r="J489" t="s">
        <v>27</v>
      </c>
      <c r="K489" t="s">
        <v>23</v>
      </c>
      <c r="L489">
        <v>5645.93</v>
      </c>
      <c r="M489">
        <v>11.1</v>
      </c>
      <c r="N489">
        <v>2023</v>
      </c>
      <c r="O489">
        <v>2</v>
      </c>
      <c r="P489" t="s">
        <v>65</v>
      </c>
      <c r="Q489">
        <v>708.25</v>
      </c>
      <c r="R489" t="s">
        <v>29</v>
      </c>
      <c r="S489">
        <v>7.9716625485351225</v>
      </c>
      <c r="T489" t="s">
        <v>78</v>
      </c>
    </row>
    <row r="490" spans="1:20" x14ac:dyDescent="0.25">
      <c r="A490" s="11">
        <v>45090</v>
      </c>
      <c r="B490" t="s">
        <v>51</v>
      </c>
      <c r="C490" t="s">
        <v>52</v>
      </c>
      <c r="D490" t="s">
        <v>45</v>
      </c>
      <c r="E490" t="s">
        <v>20</v>
      </c>
      <c r="F490">
        <v>572</v>
      </c>
      <c r="G490">
        <v>6.93</v>
      </c>
      <c r="H490">
        <v>3963.96</v>
      </c>
      <c r="I490" t="s">
        <v>39</v>
      </c>
      <c r="J490" t="s">
        <v>56</v>
      </c>
      <c r="K490" t="s">
        <v>41</v>
      </c>
      <c r="L490">
        <v>3255.8</v>
      </c>
      <c r="M490">
        <v>17.899999999999999</v>
      </c>
      <c r="N490">
        <v>2023</v>
      </c>
      <c r="O490">
        <v>2</v>
      </c>
      <c r="P490" t="s">
        <v>69</v>
      </c>
      <c r="Q490">
        <v>708.16</v>
      </c>
      <c r="R490" t="s">
        <v>29</v>
      </c>
      <c r="S490">
        <v>4.5975485765928612</v>
      </c>
      <c r="T490" t="s">
        <v>78</v>
      </c>
    </row>
    <row r="491" spans="1:20" x14ac:dyDescent="0.25">
      <c r="A491" s="11">
        <v>44982</v>
      </c>
      <c r="B491" t="s">
        <v>58</v>
      </c>
      <c r="C491" t="s">
        <v>59</v>
      </c>
      <c r="D491" t="s">
        <v>37</v>
      </c>
      <c r="E491" t="s">
        <v>38</v>
      </c>
      <c r="F491">
        <v>305</v>
      </c>
      <c r="G491">
        <v>8.18</v>
      </c>
      <c r="H491">
        <v>2494.9</v>
      </c>
      <c r="I491" t="s">
        <v>55</v>
      </c>
      <c r="J491" t="s">
        <v>27</v>
      </c>
      <c r="K491" t="s">
        <v>23</v>
      </c>
      <c r="L491">
        <v>1788.34</v>
      </c>
      <c r="M491">
        <v>28.3</v>
      </c>
      <c r="N491">
        <v>2023</v>
      </c>
      <c r="O491">
        <v>1</v>
      </c>
      <c r="P491" t="s">
        <v>61</v>
      </c>
      <c r="Q491">
        <v>706.56</v>
      </c>
      <c r="R491" t="s">
        <v>25</v>
      </c>
      <c r="S491">
        <v>2.5310518568840581</v>
      </c>
      <c r="T491" t="s">
        <v>78</v>
      </c>
    </row>
    <row r="492" spans="1:20" x14ac:dyDescent="0.25">
      <c r="A492" s="11">
        <v>44999</v>
      </c>
      <c r="B492" t="s">
        <v>35</v>
      </c>
      <c r="C492" t="s">
        <v>36</v>
      </c>
      <c r="D492" t="s">
        <v>44</v>
      </c>
      <c r="E492" t="s">
        <v>38</v>
      </c>
      <c r="F492">
        <v>677</v>
      </c>
      <c r="G492">
        <v>6.41</v>
      </c>
      <c r="H492">
        <v>4339.57</v>
      </c>
      <c r="I492" t="s">
        <v>57</v>
      </c>
      <c r="J492" t="s">
        <v>47</v>
      </c>
      <c r="K492" t="s">
        <v>41</v>
      </c>
      <c r="L492">
        <v>3634.69</v>
      </c>
      <c r="M492">
        <v>16.2</v>
      </c>
      <c r="N492">
        <v>2023</v>
      </c>
      <c r="O492">
        <v>1</v>
      </c>
      <c r="P492" t="s">
        <v>61</v>
      </c>
      <c r="Q492">
        <v>704.88</v>
      </c>
      <c r="R492" t="s">
        <v>29</v>
      </c>
      <c r="S492">
        <v>5.1564663488820797</v>
      </c>
      <c r="T492" t="s">
        <v>78</v>
      </c>
    </row>
    <row r="493" spans="1:20" x14ac:dyDescent="0.25">
      <c r="A493" s="11">
        <v>45065</v>
      </c>
      <c r="B493" t="s">
        <v>42</v>
      </c>
      <c r="C493" t="s">
        <v>43</v>
      </c>
      <c r="D493" t="s">
        <v>49</v>
      </c>
      <c r="E493" t="s">
        <v>50</v>
      </c>
      <c r="F493">
        <v>203</v>
      </c>
      <c r="G493">
        <v>9.5399999999999991</v>
      </c>
      <c r="H493">
        <v>1936.62</v>
      </c>
      <c r="I493" t="s">
        <v>39</v>
      </c>
      <c r="J493" t="s">
        <v>47</v>
      </c>
      <c r="K493" t="s">
        <v>23</v>
      </c>
      <c r="L493">
        <v>1231.81</v>
      </c>
      <c r="M493">
        <v>36.4</v>
      </c>
      <c r="N493">
        <v>2023</v>
      </c>
      <c r="O493">
        <v>2</v>
      </c>
      <c r="P493" t="s">
        <v>65</v>
      </c>
      <c r="Q493">
        <v>704.81</v>
      </c>
      <c r="R493" t="s">
        <v>25</v>
      </c>
      <c r="S493">
        <v>1.7477192434840596</v>
      </c>
      <c r="T493" t="s">
        <v>78</v>
      </c>
    </row>
    <row r="494" spans="1:20" x14ac:dyDescent="0.25">
      <c r="A494" s="11">
        <v>44945</v>
      </c>
      <c r="B494" t="s">
        <v>35</v>
      </c>
      <c r="C494" t="s">
        <v>36</v>
      </c>
      <c r="D494" t="s">
        <v>48</v>
      </c>
      <c r="E494" t="s">
        <v>38</v>
      </c>
      <c r="F494">
        <v>904</v>
      </c>
      <c r="G494">
        <v>3.07</v>
      </c>
      <c r="H494">
        <v>2775.28</v>
      </c>
      <c r="I494" t="s">
        <v>55</v>
      </c>
      <c r="J494" t="s">
        <v>27</v>
      </c>
      <c r="K494" t="s">
        <v>41</v>
      </c>
      <c r="L494">
        <v>2071.0300000000002</v>
      </c>
      <c r="M494">
        <v>25.4</v>
      </c>
      <c r="N494">
        <v>2023</v>
      </c>
      <c r="O494">
        <v>1</v>
      </c>
      <c r="P494" t="s">
        <v>24</v>
      </c>
      <c r="Q494">
        <v>704.25</v>
      </c>
      <c r="R494" t="s">
        <v>25</v>
      </c>
      <c r="S494">
        <v>2.940759673411431</v>
      </c>
      <c r="T494" t="s">
        <v>78</v>
      </c>
    </row>
    <row r="495" spans="1:20" x14ac:dyDescent="0.25">
      <c r="A495" s="11">
        <v>45080</v>
      </c>
      <c r="B495" t="s">
        <v>51</v>
      </c>
      <c r="C495" t="s">
        <v>52</v>
      </c>
      <c r="D495" t="s">
        <v>32</v>
      </c>
      <c r="E495" t="s">
        <v>20</v>
      </c>
      <c r="F495">
        <v>563</v>
      </c>
      <c r="G495">
        <v>3.32</v>
      </c>
      <c r="H495">
        <v>1869.16</v>
      </c>
      <c r="I495" t="s">
        <v>21</v>
      </c>
      <c r="J495" t="s">
        <v>34</v>
      </c>
      <c r="K495" t="s">
        <v>28</v>
      </c>
      <c r="L495">
        <v>1166.83</v>
      </c>
      <c r="M495">
        <v>37.6</v>
      </c>
      <c r="N495">
        <v>2023</v>
      </c>
      <c r="O495">
        <v>2</v>
      </c>
      <c r="P495" t="s">
        <v>68</v>
      </c>
      <c r="Q495">
        <v>702.33</v>
      </c>
      <c r="R495" t="s">
        <v>25</v>
      </c>
      <c r="S495">
        <v>1.6613700112482734</v>
      </c>
      <c r="T495" t="s">
        <v>78</v>
      </c>
    </row>
    <row r="496" spans="1:20" x14ac:dyDescent="0.25">
      <c r="A496" s="11">
        <v>45131</v>
      </c>
      <c r="B496" t="s">
        <v>17</v>
      </c>
      <c r="C496" t="s">
        <v>18</v>
      </c>
      <c r="D496" t="s">
        <v>19</v>
      </c>
      <c r="E496" t="s">
        <v>20</v>
      </c>
      <c r="F496">
        <v>459</v>
      </c>
      <c r="G496">
        <v>6.66</v>
      </c>
      <c r="H496">
        <v>3056.94</v>
      </c>
      <c r="I496" t="s">
        <v>57</v>
      </c>
      <c r="J496" t="s">
        <v>56</v>
      </c>
      <c r="K496" t="s">
        <v>41</v>
      </c>
      <c r="L496">
        <v>2355.52</v>
      </c>
      <c r="M496">
        <v>22.9</v>
      </c>
      <c r="N496">
        <v>2025</v>
      </c>
      <c r="O496">
        <v>3</v>
      </c>
      <c r="P496" t="s">
        <v>64</v>
      </c>
      <c r="Q496">
        <v>701.42</v>
      </c>
      <c r="R496" t="s">
        <v>29</v>
      </c>
      <c r="S496">
        <v>3.358216190014542</v>
      </c>
      <c r="T496" t="s">
        <v>78</v>
      </c>
    </row>
    <row r="497" spans="1:20" x14ac:dyDescent="0.25">
      <c r="A497" s="11">
        <v>45062</v>
      </c>
      <c r="B497" t="s">
        <v>17</v>
      </c>
      <c r="C497" t="s">
        <v>18</v>
      </c>
      <c r="D497" t="s">
        <v>45</v>
      </c>
      <c r="E497" t="s">
        <v>20</v>
      </c>
      <c r="F497">
        <v>731</v>
      </c>
      <c r="G497">
        <v>2.6</v>
      </c>
      <c r="H497">
        <v>1900.6</v>
      </c>
      <c r="I497" t="s">
        <v>54</v>
      </c>
      <c r="J497" t="s">
        <v>27</v>
      </c>
      <c r="K497" t="s">
        <v>23</v>
      </c>
      <c r="L497">
        <v>1199.3900000000001</v>
      </c>
      <c r="M497">
        <v>36.9</v>
      </c>
      <c r="N497">
        <v>2023</v>
      </c>
      <c r="O497">
        <v>2</v>
      </c>
      <c r="P497" t="s">
        <v>65</v>
      </c>
      <c r="Q497">
        <v>701.21</v>
      </c>
      <c r="R497" t="s">
        <v>25</v>
      </c>
      <c r="S497">
        <v>1.7104576375123002</v>
      </c>
      <c r="T497" t="s">
        <v>78</v>
      </c>
    </row>
    <row r="498" spans="1:20" x14ac:dyDescent="0.25">
      <c r="A498" s="11">
        <v>45127</v>
      </c>
      <c r="B498" t="s">
        <v>42</v>
      </c>
      <c r="C498" t="s">
        <v>43</v>
      </c>
      <c r="D498" t="s">
        <v>48</v>
      </c>
      <c r="E498" t="s">
        <v>38</v>
      </c>
      <c r="F498">
        <v>187</v>
      </c>
      <c r="G498">
        <v>11.9</v>
      </c>
      <c r="H498">
        <v>2225.3000000000002</v>
      </c>
      <c r="I498" t="s">
        <v>46</v>
      </c>
      <c r="J498" t="s">
        <v>56</v>
      </c>
      <c r="K498" t="s">
        <v>23</v>
      </c>
      <c r="L498">
        <v>1524.5</v>
      </c>
      <c r="M498">
        <v>31.5</v>
      </c>
      <c r="N498">
        <v>2024</v>
      </c>
      <c r="O498">
        <v>3</v>
      </c>
      <c r="P498" t="s">
        <v>70</v>
      </c>
      <c r="Q498">
        <v>700.8</v>
      </c>
      <c r="R498" t="s">
        <v>25</v>
      </c>
      <c r="S498">
        <v>2.1753710045662102</v>
      </c>
      <c r="T498" t="s">
        <v>78</v>
      </c>
    </row>
    <row r="499" spans="1:20" x14ac:dyDescent="0.25">
      <c r="A499" s="11">
        <v>44959</v>
      </c>
      <c r="B499" t="s">
        <v>51</v>
      </c>
      <c r="C499" t="s">
        <v>52</v>
      </c>
      <c r="D499" t="s">
        <v>45</v>
      </c>
      <c r="E499" t="s">
        <v>20</v>
      </c>
      <c r="F499">
        <v>275</v>
      </c>
      <c r="G499">
        <v>8.5399999999999991</v>
      </c>
      <c r="H499">
        <v>2348.5</v>
      </c>
      <c r="I499" t="s">
        <v>26</v>
      </c>
      <c r="J499" t="s">
        <v>47</v>
      </c>
      <c r="K499" t="s">
        <v>23</v>
      </c>
      <c r="L499">
        <v>1648.96</v>
      </c>
      <c r="M499">
        <v>29.8</v>
      </c>
      <c r="N499">
        <v>2023</v>
      </c>
      <c r="O499">
        <v>1</v>
      </c>
      <c r="P499" t="s">
        <v>60</v>
      </c>
      <c r="Q499">
        <v>699.54</v>
      </c>
      <c r="R499" t="s">
        <v>25</v>
      </c>
      <c r="S499">
        <v>2.3572061640506621</v>
      </c>
      <c r="T499" t="s">
        <v>78</v>
      </c>
    </row>
    <row r="500" spans="1:20" x14ac:dyDescent="0.25">
      <c r="A500" s="11">
        <v>44943</v>
      </c>
      <c r="B500" t="s">
        <v>30</v>
      </c>
      <c r="C500" t="s">
        <v>31</v>
      </c>
      <c r="D500" t="s">
        <v>53</v>
      </c>
      <c r="E500" t="s">
        <v>50</v>
      </c>
      <c r="F500">
        <v>853</v>
      </c>
      <c r="G500">
        <v>2.2400000000000002</v>
      </c>
      <c r="H500">
        <v>1910.72</v>
      </c>
      <c r="I500" t="s">
        <v>46</v>
      </c>
      <c r="J500" t="s">
        <v>40</v>
      </c>
      <c r="K500" t="s">
        <v>23</v>
      </c>
      <c r="L500">
        <v>1213.22</v>
      </c>
      <c r="M500">
        <v>36.5</v>
      </c>
      <c r="N500">
        <v>2023</v>
      </c>
      <c r="O500">
        <v>1</v>
      </c>
      <c r="P500" t="s">
        <v>24</v>
      </c>
      <c r="Q500">
        <v>697.5</v>
      </c>
      <c r="R500" t="s">
        <v>25</v>
      </c>
      <c r="S500">
        <v>1.7393835125448029</v>
      </c>
      <c r="T500" t="s">
        <v>78</v>
      </c>
    </row>
    <row r="501" spans="1:20" x14ac:dyDescent="0.25">
      <c r="A501" s="11">
        <v>45032</v>
      </c>
      <c r="B501" t="s">
        <v>51</v>
      </c>
      <c r="C501" t="s">
        <v>52</v>
      </c>
      <c r="D501" t="s">
        <v>53</v>
      </c>
      <c r="E501" t="s">
        <v>50</v>
      </c>
      <c r="F501">
        <v>752</v>
      </c>
      <c r="G501">
        <v>2.65</v>
      </c>
      <c r="H501">
        <v>1992.8</v>
      </c>
      <c r="I501" t="s">
        <v>46</v>
      </c>
      <c r="J501" t="s">
        <v>40</v>
      </c>
      <c r="K501" t="s">
        <v>23</v>
      </c>
      <c r="L501">
        <v>1295.5999999999999</v>
      </c>
      <c r="M501">
        <v>35</v>
      </c>
      <c r="N501">
        <v>2023</v>
      </c>
      <c r="O501">
        <v>2</v>
      </c>
      <c r="P501" t="s">
        <v>63</v>
      </c>
      <c r="Q501">
        <v>697.2</v>
      </c>
      <c r="R501" t="s">
        <v>25</v>
      </c>
      <c r="S501">
        <v>1.8582903040734364</v>
      </c>
      <c r="T501" t="s">
        <v>78</v>
      </c>
    </row>
    <row r="502" spans="1:20" x14ac:dyDescent="0.25">
      <c r="A502" s="11">
        <v>45021</v>
      </c>
      <c r="B502" t="s">
        <v>51</v>
      </c>
      <c r="C502" t="s">
        <v>52</v>
      </c>
      <c r="D502" t="s">
        <v>49</v>
      </c>
      <c r="E502" t="s">
        <v>50</v>
      </c>
      <c r="F502">
        <v>355</v>
      </c>
      <c r="G502">
        <v>9.98</v>
      </c>
      <c r="H502">
        <v>3542.9</v>
      </c>
      <c r="I502" t="s">
        <v>46</v>
      </c>
      <c r="J502" t="s">
        <v>56</v>
      </c>
      <c r="K502" t="s">
        <v>28</v>
      </c>
      <c r="L502">
        <v>2846.29</v>
      </c>
      <c r="M502">
        <v>19.7</v>
      </c>
      <c r="N502">
        <v>2023</v>
      </c>
      <c r="O502">
        <v>2</v>
      </c>
      <c r="P502" t="s">
        <v>62</v>
      </c>
      <c r="Q502">
        <v>696.61</v>
      </c>
      <c r="R502" t="s">
        <v>29</v>
      </c>
      <c r="S502">
        <v>4.0859160792983156</v>
      </c>
      <c r="T502" t="s">
        <v>78</v>
      </c>
    </row>
    <row r="503" spans="1:20" x14ac:dyDescent="0.25">
      <c r="A503" s="11">
        <v>44947</v>
      </c>
      <c r="B503" t="s">
        <v>35</v>
      </c>
      <c r="C503" t="s">
        <v>36</v>
      </c>
      <c r="D503" t="s">
        <v>49</v>
      </c>
      <c r="E503" t="s">
        <v>50</v>
      </c>
      <c r="F503">
        <v>424</v>
      </c>
      <c r="G503">
        <v>11.06</v>
      </c>
      <c r="H503">
        <v>4689.4399999999996</v>
      </c>
      <c r="I503" t="s">
        <v>39</v>
      </c>
      <c r="J503" t="s">
        <v>47</v>
      </c>
      <c r="K503" t="s">
        <v>23</v>
      </c>
      <c r="L503">
        <v>3993.34</v>
      </c>
      <c r="M503">
        <v>14.8</v>
      </c>
      <c r="N503">
        <v>2023</v>
      </c>
      <c r="O503">
        <v>1</v>
      </c>
      <c r="P503" t="s">
        <v>24</v>
      </c>
      <c r="Q503">
        <v>696.1</v>
      </c>
      <c r="R503" t="s">
        <v>29</v>
      </c>
      <c r="S503">
        <v>5.7367332279844847</v>
      </c>
      <c r="T503" t="s">
        <v>78</v>
      </c>
    </row>
    <row r="504" spans="1:20" x14ac:dyDescent="0.25">
      <c r="A504" s="11">
        <v>44928</v>
      </c>
      <c r="B504" t="s">
        <v>51</v>
      </c>
      <c r="C504" t="s">
        <v>52</v>
      </c>
      <c r="D504" t="s">
        <v>19</v>
      </c>
      <c r="E504" t="s">
        <v>20</v>
      </c>
      <c r="F504">
        <v>436</v>
      </c>
      <c r="G504">
        <v>6.47</v>
      </c>
      <c r="H504">
        <v>2820.92</v>
      </c>
      <c r="I504" t="s">
        <v>33</v>
      </c>
      <c r="J504" t="s">
        <v>47</v>
      </c>
      <c r="K504" t="s">
        <v>23</v>
      </c>
      <c r="L504">
        <v>2126.98</v>
      </c>
      <c r="M504">
        <v>24.6</v>
      </c>
      <c r="N504">
        <v>2023</v>
      </c>
      <c r="O504">
        <v>1</v>
      </c>
      <c r="P504" t="s">
        <v>24</v>
      </c>
      <c r="Q504">
        <v>693.94</v>
      </c>
      <c r="R504" t="s">
        <v>29</v>
      </c>
      <c r="S504">
        <v>3.0650776724212467</v>
      </c>
      <c r="T504" t="s">
        <v>78</v>
      </c>
    </row>
    <row r="505" spans="1:20" x14ac:dyDescent="0.25">
      <c r="A505" s="11">
        <v>45103</v>
      </c>
      <c r="B505" t="s">
        <v>42</v>
      </c>
      <c r="C505" t="s">
        <v>43</v>
      </c>
      <c r="D505" t="s">
        <v>19</v>
      </c>
      <c r="E505" t="s">
        <v>20</v>
      </c>
      <c r="F505">
        <v>503</v>
      </c>
      <c r="G505">
        <v>3.87</v>
      </c>
      <c r="H505">
        <v>1946.61</v>
      </c>
      <c r="I505" t="s">
        <v>39</v>
      </c>
      <c r="J505" t="s">
        <v>27</v>
      </c>
      <c r="K505" t="s">
        <v>41</v>
      </c>
      <c r="L505">
        <v>1255.74</v>
      </c>
      <c r="M505">
        <v>35.5</v>
      </c>
      <c r="N505">
        <v>2024</v>
      </c>
      <c r="O505">
        <v>2</v>
      </c>
      <c r="P505" t="s">
        <v>24</v>
      </c>
      <c r="Q505">
        <v>690.87</v>
      </c>
      <c r="R505" t="s">
        <v>25</v>
      </c>
      <c r="S505">
        <v>1.8176212601502453</v>
      </c>
      <c r="T505" t="s">
        <v>78</v>
      </c>
    </row>
    <row r="506" spans="1:20" x14ac:dyDescent="0.25">
      <c r="A506" s="11">
        <v>45129</v>
      </c>
      <c r="B506" t="s">
        <v>35</v>
      </c>
      <c r="C506" t="s">
        <v>36</v>
      </c>
      <c r="D506" t="s">
        <v>49</v>
      </c>
      <c r="E506" t="s">
        <v>50</v>
      </c>
      <c r="F506">
        <v>827</v>
      </c>
      <c r="G506">
        <v>4.76</v>
      </c>
      <c r="H506">
        <v>3936.52</v>
      </c>
      <c r="I506" t="s">
        <v>57</v>
      </c>
      <c r="J506" t="s">
        <v>47</v>
      </c>
      <c r="K506" t="s">
        <v>23</v>
      </c>
      <c r="L506">
        <v>3247.26</v>
      </c>
      <c r="M506">
        <v>17.5</v>
      </c>
      <c r="N506">
        <v>2025</v>
      </c>
      <c r="O506">
        <v>3</v>
      </c>
      <c r="P506" t="s">
        <v>61</v>
      </c>
      <c r="Q506">
        <v>689.26</v>
      </c>
      <c r="R506" t="s">
        <v>29</v>
      </c>
      <c r="S506">
        <v>4.7112265328032965</v>
      </c>
      <c r="T506" t="s">
        <v>78</v>
      </c>
    </row>
    <row r="507" spans="1:20" x14ac:dyDescent="0.25">
      <c r="A507" s="11">
        <v>44969</v>
      </c>
      <c r="B507" t="s">
        <v>51</v>
      </c>
      <c r="C507" t="s">
        <v>52</v>
      </c>
      <c r="D507" t="s">
        <v>49</v>
      </c>
      <c r="E507" t="s">
        <v>50</v>
      </c>
      <c r="F507">
        <v>231</v>
      </c>
      <c r="G507">
        <v>9.73</v>
      </c>
      <c r="H507">
        <v>2247.63</v>
      </c>
      <c r="I507" t="s">
        <v>21</v>
      </c>
      <c r="J507" t="s">
        <v>27</v>
      </c>
      <c r="K507" t="s">
        <v>28</v>
      </c>
      <c r="L507">
        <v>1561.5</v>
      </c>
      <c r="M507">
        <v>30.5</v>
      </c>
      <c r="N507">
        <v>2023</v>
      </c>
      <c r="O507">
        <v>1</v>
      </c>
      <c r="P507" t="s">
        <v>60</v>
      </c>
      <c r="Q507">
        <v>686.13</v>
      </c>
      <c r="R507" t="s">
        <v>25</v>
      </c>
      <c r="S507">
        <v>2.275807791526387</v>
      </c>
      <c r="T507" t="s">
        <v>78</v>
      </c>
    </row>
    <row r="508" spans="1:20" x14ac:dyDescent="0.25">
      <c r="A508" s="11">
        <v>45098</v>
      </c>
      <c r="B508" t="s">
        <v>58</v>
      </c>
      <c r="C508" t="s">
        <v>59</v>
      </c>
      <c r="D508" t="s">
        <v>48</v>
      </c>
      <c r="E508" t="s">
        <v>38</v>
      </c>
      <c r="F508">
        <v>400</v>
      </c>
      <c r="G508">
        <v>4.97</v>
      </c>
      <c r="H508">
        <v>1988</v>
      </c>
      <c r="I508" t="s">
        <v>33</v>
      </c>
      <c r="J508" t="s">
        <v>47</v>
      </c>
      <c r="K508" t="s">
        <v>28</v>
      </c>
      <c r="L508">
        <v>1303.0899999999999</v>
      </c>
      <c r="M508">
        <v>34.5</v>
      </c>
      <c r="N508">
        <v>2024</v>
      </c>
      <c r="O508">
        <v>2</v>
      </c>
      <c r="P508" t="s">
        <v>24</v>
      </c>
      <c r="Q508">
        <v>684.91</v>
      </c>
      <c r="R508" t="s">
        <v>25</v>
      </c>
      <c r="S508">
        <v>1.9025711407338191</v>
      </c>
      <c r="T508" t="s">
        <v>78</v>
      </c>
    </row>
    <row r="509" spans="1:20" x14ac:dyDescent="0.25">
      <c r="A509" s="11">
        <v>44948</v>
      </c>
      <c r="B509" t="s">
        <v>58</v>
      </c>
      <c r="C509" t="s">
        <v>59</v>
      </c>
      <c r="D509" t="s">
        <v>19</v>
      </c>
      <c r="E509" t="s">
        <v>20</v>
      </c>
      <c r="F509">
        <v>439</v>
      </c>
      <c r="G509">
        <v>5.81</v>
      </c>
      <c r="H509">
        <v>2550.59</v>
      </c>
      <c r="I509" t="s">
        <v>21</v>
      </c>
      <c r="J509" t="s">
        <v>27</v>
      </c>
      <c r="K509" t="s">
        <v>28</v>
      </c>
      <c r="L509">
        <v>1866.21</v>
      </c>
      <c r="M509">
        <v>26.8</v>
      </c>
      <c r="N509">
        <v>2023</v>
      </c>
      <c r="O509">
        <v>1</v>
      </c>
      <c r="P509" t="s">
        <v>24</v>
      </c>
      <c r="Q509">
        <v>684.38</v>
      </c>
      <c r="R509" t="s">
        <v>25</v>
      </c>
      <c r="S509">
        <v>2.7268622694994011</v>
      </c>
      <c r="T509" t="s">
        <v>78</v>
      </c>
    </row>
    <row r="510" spans="1:20" x14ac:dyDescent="0.25">
      <c r="A510" s="11">
        <v>45120</v>
      </c>
      <c r="B510" t="s">
        <v>35</v>
      </c>
      <c r="C510" t="s">
        <v>36</v>
      </c>
      <c r="D510" t="s">
        <v>19</v>
      </c>
      <c r="E510" t="s">
        <v>20</v>
      </c>
      <c r="F510">
        <v>289</v>
      </c>
      <c r="G510">
        <v>9.6</v>
      </c>
      <c r="H510">
        <v>2774.4</v>
      </c>
      <c r="I510" t="s">
        <v>54</v>
      </c>
      <c r="J510" t="s">
        <v>27</v>
      </c>
      <c r="K510" t="s">
        <v>41</v>
      </c>
      <c r="L510">
        <v>2092.89</v>
      </c>
      <c r="M510">
        <v>24.6</v>
      </c>
      <c r="N510">
        <v>2024</v>
      </c>
      <c r="O510">
        <v>3</v>
      </c>
      <c r="P510" t="s">
        <v>65</v>
      </c>
      <c r="Q510">
        <v>681.51</v>
      </c>
      <c r="R510" t="s">
        <v>29</v>
      </c>
      <c r="S510">
        <v>3.0709600739534268</v>
      </c>
      <c r="T510" t="s">
        <v>78</v>
      </c>
    </row>
    <row r="511" spans="1:20" x14ac:dyDescent="0.25">
      <c r="A511" s="11">
        <v>44944</v>
      </c>
      <c r="B511" t="s">
        <v>58</v>
      </c>
      <c r="C511" t="s">
        <v>59</v>
      </c>
      <c r="D511" t="s">
        <v>44</v>
      </c>
      <c r="E511" t="s">
        <v>38</v>
      </c>
      <c r="F511">
        <v>302</v>
      </c>
      <c r="G511">
        <v>6.29</v>
      </c>
      <c r="H511">
        <v>1899.58</v>
      </c>
      <c r="I511" t="s">
        <v>33</v>
      </c>
      <c r="J511" t="s">
        <v>40</v>
      </c>
      <c r="K511" t="s">
        <v>41</v>
      </c>
      <c r="L511">
        <v>1220.92</v>
      </c>
      <c r="M511">
        <v>35.700000000000003</v>
      </c>
      <c r="N511">
        <v>2023</v>
      </c>
      <c r="O511">
        <v>1</v>
      </c>
      <c r="P511" t="s">
        <v>24</v>
      </c>
      <c r="Q511">
        <v>678.66</v>
      </c>
      <c r="R511" t="s">
        <v>25</v>
      </c>
      <c r="S511">
        <v>1.7990157074234523</v>
      </c>
      <c r="T511" t="s">
        <v>78</v>
      </c>
    </row>
    <row r="512" spans="1:20" x14ac:dyDescent="0.25">
      <c r="A512" s="11">
        <v>44984</v>
      </c>
      <c r="B512" t="s">
        <v>42</v>
      </c>
      <c r="C512" t="s">
        <v>43</v>
      </c>
      <c r="D512" t="s">
        <v>37</v>
      </c>
      <c r="E512" t="s">
        <v>38</v>
      </c>
      <c r="F512">
        <v>246</v>
      </c>
      <c r="G512">
        <v>10.06</v>
      </c>
      <c r="H512">
        <v>2474.7600000000002</v>
      </c>
      <c r="I512" t="s">
        <v>54</v>
      </c>
      <c r="J512" t="s">
        <v>56</v>
      </c>
      <c r="K512" t="s">
        <v>41</v>
      </c>
      <c r="L512">
        <v>1798.61</v>
      </c>
      <c r="M512">
        <v>27.3</v>
      </c>
      <c r="N512">
        <v>2023</v>
      </c>
      <c r="O512">
        <v>1</v>
      </c>
      <c r="P512" t="s">
        <v>61</v>
      </c>
      <c r="Q512">
        <v>676.15</v>
      </c>
      <c r="R512" t="s">
        <v>25</v>
      </c>
      <c r="S512">
        <v>2.6600754270502107</v>
      </c>
      <c r="T512" t="s">
        <v>78</v>
      </c>
    </row>
    <row r="513" spans="1:20" x14ac:dyDescent="0.25">
      <c r="A513" s="11">
        <v>45010</v>
      </c>
      <c r="B513" t="s">
        <v>30</v>
      </c>
      <c r="C513" t="s">
        <v>31</v>
      </c>
      <c r="D513" t="s">
        <v>45</v>
      </c>
      <c r="E513" t="s">
        <v>20</v>
      </c>
      <c r="F513">
        <v>717</v>
      </c>
      <c r="G513">
        <v>3.53</v>
      </c>
      <c r="H513">
        <v>2531.0100000000002</v>
      </c>
      <c r="I513" t="s">
        <v>55</v>
      </c>
      <c r="J513" t="s">
        <v>56</v>
      </c>
      <c r="K513" t="s">
        <v>23</v>
      </c>
      <c r="L513">
        <v>1860.84</v>
      </c>
      <c r="M513">
        <v>26.5</v>
      </c>
      <c r="N513">
        <v>2023</v>
      </c>
      <c r="O513">
        <v>1</v>
      </c>
      <c r="P513" t="s">
        <v>62</v>
      </c>
      <c r="Q513">
        <v>670.17</v>
      </c>
      <c r="R513" t="s">
        <v>25</v>
      </c>
      <c r="S513">
        <v>2.7766686064729846</v>
      </c>
      <c r="T513" t="s">
        <v>78</v>
      </c>
    </row>
    <row r="514" spans="1:20" x14ac:dyDescent="0.25">
      <c r="A514" s="11">
        <v>45115</v>
      </c>
      <c r="B514" t="s">
        <v>51</v>
      </c>
      <c r="C514" t="s">
        <v>52</v>
      </c>
      <c r="D514" t="s">
        <v>45</v>
      </c>
      <c r="E514" t="s">
        <v>20</v>
      </c>
      <c r="F514">
        <v>918</v>
      </c>
      <c r="G514">
        <v>3.52</v>
      </c>
      <c r="H514">
        <v>3231.36</v>
      </c>
      <c r="I514" t="s">
        <v>33</v>
      </c>
      <c r="J514" t="s">
        <v>22</v>
      </c>
      <c r="K514" t="s">
        <v>41</v>
      </c>
      <c r="L514">
        <v>2564.34</v>
      </c>
      <c r="M514">
        <v>20.6</v>
      </c>
      <c r="N514">
        <v>2024</v>
      </c>
      <c r="O514">
        <v>3</v>
      </c>
      <c r="P514" t="s">
        <v>63</v>
      </c>
      <c r="Q514">
        <v>667.02</v>
      </c>
      <c r="R514" t="s">
        <v>29</v>
      </c>
      <c r="S514">
        <v>3.8444724296123058</v>
      </c>
      <c r="T514" t="s">
        <v>78</v>
      </c>
    </row>
    <row r="515" spans="1:20" x14ac:dyDescent="0.25">
      <c r="A515" s="11">
        <v>45113</v>
      </c>
      <c r="B515" t="s">
        <v>58</v>
      </c>
      <c r="C515" t="s">
        <v>59</v>
      </c>
      <c r="D515" t="s">
        <v>48</v>
      </c>
      <c r="E515" t="s">
        <v>38</v>
      </c>
      <c r="F515">
        <v>286</v>
      </c>
      <c r="G515">
        <v>12</v>
      </c>
      <c r="H515">
        <v>3432</v>
      </c>
      <c r="I515" t="s">
        <v>33</v>
      </c>
      <c r="J515" t="s">
        <v>56</v>
      </c>
      <c r="K515" t="s">
        <v>28</v>
      </c>
      <c r="L515">
        <v>2765.1</v>
      </c>
      <c r="M515">
        <v>19.399999999999999</v>
      </c>
      <c r="N515">
        <v>2024</v>
      </c>
      <c r="O515">
        <v>3</v>
      </c>
      <c r="P515" t="s">
        <v>62</v>
      </c>
      <c r="Q515">
        <v>666.9</v>
      </c>
      <c r="R515" t="s">
        <v>29</v>
      </c>
      <c r="S515">
        <v>4.1461988304093564</v>
      </c>
      <c r="T515" t="s">
        <v>78</v>
      </c>
    </row>
    <row r="516" spans="1:20" x14ac:dyDescent="0.25">
      <c r="A516" s="11">
        <v>44958</v>
      </c>
      <c r="B516" t="s">
        <v>35</v>
      </c>
      <c r="C516" t="s">
        <v>36</v>
      </c>
      <c r="D516" t="s">
        <v>19</v>
      </c>
      <c r="E516" t="s">
        <v>20</v>
      </c>
      <c r="F516">
        <v>278</v>
      </c>
      <c r="G516">
        <v>7.44</v>
      </c>
      <c r="H516">
        <v>2068.3200000000002</v>
      </c>
      <c r="I516" t="s">
        <v>21</v>
      </c>
      <c r="J516" t="s">
        <v>22</v>
      </c>
      <c r="K516" t="s">
        <v>28</v>
      </c>
      <c r="L516">
        <v>1404.03</v>
      </c>
      <c r="M516">
        <v>32.1</v>
      </c>
      <c r="N516">
        <v>2023</v>
      </c>
      <c r="O516">
        <v>1</v>
      </c>
      <c r="P516" t="s">
        <v>60</v>
      </c>
      <c r="Q516">
        <v>664.29</v>
      </c>
      <c r="R516" t="s">
        <v>25</v>
      </c>
      <c r="S516">
        <v>2.113579912387662</v>
      </c>
      <c r="T516" t="s">
        <v>78</v>
      </c>
    </row>
    <row r="517" spans="1:20" x14ac:dyDescent="0.25">
      <c r="A517" s="11">
        <v>44975</v>
      </c>
      <c r="B517" t="s">
        <v>30</v>
      </c>
      <c r="C517" t="s">
        <v>31</v>
      </c>
      <c r="D517" t="s">
        <v>45</v>
      </c>
      <c r="E517" t="s">
        <v>20</v>
      </c>
      <c r="F517">
        <v>508</v>
      </c>
      <c r="G517">
        <v>3.29</v>
      </c>
      <c r="H517">
        <v>1671.32</v>
      </c>
      <c r="I517" t="s">
        <v>21</v>
      </c>
      <c r="J517" t="s">
        <v>47</v>
      </c>
      <c r="K517" t="s">
        <v>23</v>
      </c>
      <c r="L517">
        <v>1007.94</v>
      </c>
      <c r="M517">
        <v>39.700000000000003</v>
      </c>
      <c r="N517">
        <v>2023</v>
      </c>
      <c r="O517">
        <v>1</v>
      </c>
      <c r="P517" t="s">
        <v>60</v>
      </c>
      <c r="Q517">
        <v>663.38</v>
      </c>
      <c r="R517" t="s">
        <v>25</v>
      </c>
      <c r="S517">
        <v>1.5194006451807411</v>
      </c>
      <c r="T517" t="s">
        <v>78</v>
      </c>
    </row>
    <row r="518" spans="1:20" x14ac:dyDescent="0.25">
      <c r="A518" s="11">
        <v>44965</v>
      </c>
      <c r="B518" t="s">
        <v>51</v>
      </c>
      <c r="C518" t="s">
        <v>52</v>
      </c>
      <c r="D518" t="s">
        <v>53</v>
      </c>
      <c r="E518" t="s">
        <v>50</v>
      </c>
      <c r="F518">
        <v>213</v>
      </c>
      <c r="G518">
        <v>10.85</v>
      </c>
      <c r="H518">
        <v>2311.0500000000002</v>
      </c>
      <c r="I518" t="s">
        <v>39</v>
      </c>
      <c r="J518" t="s">
        <v>27</v>
      </c>
      <c r="K518" t="s">
        <v>28</v>
      </c>
      <c r="L518">
        <v>1649.21</v>
      </c>
      <c r="M518">
        <v>28.6</v>
      </c>
      <c r="N518">
        <v>2023</v>
      </c>
      <c r="O518">
        <v>1</v>
      </c>
      <c r="P518" t="s">
        <v>60</v>
      </c>
      <c r="Q518">
        <v>661.84</v>
      </c>
      <c r="R518" t="s">
        <v>25</v>
      </c>
      <c r="S518">
        <v>2.4918560377130423</v>
      </c>
      <c r="T518" t="s">
        <v>78</v>
      </c>
    </row>
    <row r="519" spans="1:20" x14ac:dyDescent="0.25">
      <c r="A519" s="11">
        <v>44949</v>
      </c>
      <c r="B519" t="s">
        <v>51</v>
      </c>
      <c r="C519" t="s">
        <v>52</v>
      </c>
      <c r="D519" t="s">
        <v>37</v>
      </c>
      <c r="E519" t="s">
        <v>38</v>
      </c>
      <c r="F519">
        <v>966</v>
      </c>
      <c r="G519">
        <v>6.13</v>
      </c>
      <c r="H519">
        <v>5921.58</v>
      </c>
      <c r="I519" t="s">
        <v>54</v>
      </c>
      <c r="J519" t="s">
        <v>56</v>
      </c>
      <c r="K519" t="s">
        <v>41</v>
      </c>
      <c r="L519">
        <v>5260.66</v>
      </c>
      <c r="M519">
        <v>11.2</v>
      </c>
      <c r="N519">
        <v>2023</v>
      </c>
      <c r="O519">
        <v>1</v>
      </c>
      <c r="P519" t="s">
        <v>24</v>
      </c>
      <c r="Q519">
        <v>660.92</v>
      </c>
      <c r="R519" t="s">
        <v>29</v>
      </c>
      <c r="S519">
        <v>7.9596017672335533</v>
      </c>
      <c r="T519" t="s">
        <v>78</v>
      </c>
    </row>
    <row r="520" spans="1:20" x14ac:dyDescent="0.25">
      <c r="A520" s="11">
        <v>44997</v>
      </c>
      <c r="B520" t="s">
        <v>42</v>
      </c>
      <c r="C520" t="s">
        <v>43</v>
      </c>
      <c r="D520" t="s">
        <v>19</v>
      </c>
      <c r="E520" t="s">
        <v>20</v>
      </c>
      <c r="F520">
        <v>154</v>
      </c>
      <c r="G520">
        <v>11.51</v>
      </c>
      <c r="H520">
        <v>1772.54</v>
      </c>
      <c r="I520" t="s">
        <v>33</v>
      </c>
      <c r="J520" t="s">
        <v>27</v>
      </c>
      <c r="K520" t="s">
        <v>23</v>
      </c>
      <c r="L520">
        <v>1115.67</v>
      </c>
      <c r="M520">
        <v>37.1</v>
      </c>
      <c r="N520">
        <v>2023</v>
      </c>
      <c r="O520">
        <v>1</v>
      </c>
      <c r="P520" t="s">
        <v>61</v>
      </c>
      <c r="Q520">
        <v>656.87</v>
      </c>
      <c r="R520" t="s">
        <v>25</v>
      </c>
      <c r="S520">
        <v>1.6984639274133391</v>
      </c>
      <c r="T520" t="s">
        <v>78</v>
      </c>
    </row>
    <row r="521" spans="1:20" x14ac:dyDescent="0.25">
      <c r="A521" s="11">
        <v>45114</v>
      </c>
      <c r="B521" t="s">
        <v>58</v>
      </c>
      <c r="C521" t="s">
        <v>59</v>
      </c>
      <c r="D521" t="s">
        <v>32</v>
      </c>
      <c r="E521" t="s">
        <v>20</v>
      </c>
      <c r="F521">
        <v>923</v>
      </c>
      <c r="G521">
        <v>5.25</v>
      </c>
      <c r="H521">
        <v>4845.75</v>
      </c>
      <c r="I521" t="s">
        <v>55</v>
      </c>
      <c r="J521" t="s">
        <v>27</v>
      </c>
      <c r="K521" t="s">
        <v>28</v>
      </c>
      <c r="L521">
        <v>4191.05</v>
      </c>
      <c r="M521">
        <v>13.5</v>
      </c>
      <c r="N521">
        <v>2024</v>
      </c>
      <c r="O521">
        <v>3</v>
      </c>
      <c r="P521" t="s">
        <v>62</v>
      </c>
      <c r="Q521">
        <v>654.70000000000005</v>
      </c>
      <c r="R521" t="s">
        <v>29</v>
      </c>
      <c r="S521">
        <v>6.4014815946234913</v>
      </c>
      <c r="T521" t="s">
        <v>78</v>
      </c>
    </row>
    <row r="522" spans="1:20" x14ac:dyDescent="0.25">
      <c r="A522" s="11">
        <v>45072</v>
      </c>
      <c r="B522" t="s">
        <v>42</v>
      </c>
      <c r="C522" t="s">
        <v>43</v>
      </c>
      <c r="D522" t="s">
        <v>37</v>
      </c>
      <c r="E522" t="s">
        <v>38</v>
      </c>
      <c r="F522">
        <v>320</v>
      </c>
      <c r="G522">
        <v>8.9</v>
      </c>
      <c r="H522">
        <v>2848</v>
      </c>
      <c r="I522" t="s">
        <v>54</v>
      </c>
      <c r="J522" t="s">
        <v>40</v>
      </c>
      <c r="K522" t="s">
        <v>23</v>
      </c>
      <c r="L522">
        <v>2197.7800000000002</v>
      </c>
      <c r="M522">
        <v>22.8</v>
      </c>
      <c r="N522">
        <v>2023</v>
      </c>
      <c r="O522">
        <v>2</v>
      </c>
      <c r="P522" t="s">
        <v>66</v>
      </c>
      <c r="Q522">
        <v>650.22</v>
      </c>
      <c r="R522" t="s">
        <v>29</v>
      </c>
      <c r="S522">
        <v>3.3800559810525668</v>
      </c>
      <c r="T522" t="s">
        <v>78</v>
      </c>
    </row>
    <row r="523" spans="1:20" x14ac:dyDescent="0.25">
      <c r="A523" s="11">
        <v>45023</v>
      </c>
      <c r="B523" t="s">
        <v>42</v>
      </c>
      <c r="C523" t="s">
        <v>43</v>
      </c>
      <c r="D523" t="s">
        <v>37</v>
      </c>
      <c r="E523" t="s">
        <v>38</v>
      </c>
      <c r="F523">
        <v>669</v>
      </c>
      <c r="G523">
        <v>2.86</v>
      </c>
      <c r="H523">
        <v>1913.34</v>
      </c>
      <c r="I523" t="s">
        <v>21</v>
      </c>
      <c r="J523" t="s">
        <v>47</v>
      </c>
      <c r="K523" t="s">
        <v>28</v>
      </c>
      <c r="L523">
        <v>1263.95</v>
      </c>
      <c r="M523">
        <v>33.9</v>
      </c>
      <c r="N523">
        <v>2023</v>
      </c>
      <c r="O523">
        <v>2</v>
      </c>
      <c r="P523" t="s">
        <v>63</v>
      </c>
      <c r="Q523">
        <v>649.39</v>
      </c>
      <c r="R523" t="s">
        <v>25</v>
      </c>
      <c r="S523">
        <v>1.9463650502779533</v>
      </c>
      <c r="T523" t="s">
        <v>78</v>
      </c>
    </row>
    <row r="524" spans="1:20" x14ac:dyDescent="0.25">
      <c r="A524" s="11">
        <v>45082</v>
      </c>
      <c r="B524" t="s">
        <v>17</v>
      </c>
      <c r="C524" t="s">
        <v>18</v>
      </c>
      <c r="D524" t="s">
        <v>53</v>
      </c>
      <c r="E524" t="s">
        <v>50</v>
      </c>
      <c r="F524">
        <v>346</v>
      </c>
      <c r="G524">
        <v>5.31</v>
      </c>
      <c r="H524">
        <v>1837.26</v>
      </c>
      <c r="I524" t="s">
        <v>55</v>
      </c>
      <c r="J524" t="s">
        <v>40</v>
      </c>
      <c r="K524" t="s">
        <v>23</v>
      </c>
      <c r="L524">
        <v>1188.2</v>
      </c>
      <c r="M524">
        <v>35.299999999999997</v>
      </c>
      <c r="N524">
        <v>2023</v>
      </c>
      <c r="O524">
        <v>2</v>
      </c>
      <c r="P524" t="s">
        <v>68</v>
      </c>
      <c r="Q524">
        <v>649.05999999999995</v>
      </c>
      <c r="R524" t="s">
        <v>25</v>
      </c>
      <c r="S524">
        <v>1.8306473977752444</v>
      </c>
      <c r="T524" t="s">
        <v>78</v>
      </c>
    </row>
    <row r="525" spans="1:20" x14ac:dyDescent="0.25">
      <c r="A525" s="11">
        <v>45044</v>
      </c>
      <c r="B525" t="s">
        <v>51</v>
      </c>
      <c r="C525" t="s">
        <v>52</v>
      </c>
      <c r="D525" t="s">
        <v>45</v>
      </c>
      <c r="E525" t="s">
        <v>20</v>
      </c>
      <c r="F525">
        <v>957</v>
      </c>
      <c r="G525">
        <v>6.44</v>
      </c>
      <c r="H525">
        <v>6163.08</v>
      </c>
      <c r="I525" t="s">
        <v>26</v>
      </c>
      <c r="J525" t="s">
        <v>40</v>
      </c>
      <c r="K525" t="s">
        <v>28</v>
      </c>
      <c r="L525">
        <v>5515.04</v>
      </c>
      <c r="M525">
        <v>10.5</v>
      </c>
      <c r="N525">
        <v>2023</v>
      </c>
      <c r="O525">
        <v>2</v>
      </c>
      <c r="P525" t="s">
        <v>64</v>
      </c>
      <c r="Q525">
        <v>648.04</v>
      </c>
      <c r="R525" t="s">
        <v>29</v>
      </c>
      <c r="S525">
        <v>8.5103388679711127</v>
      </c>
      <c r="T525" t="s">
        <v>78</v>
      </c>
    </row>
    <row r="526" spans="1:20" x14ac:dyDescent="0.25">
      <c r="A526" s="11">
        <v>44961</v>
      </c>
      <c r="B526" t="s">
        <v>35</v>
      </c>
      <c r="C526" t="s">
        <v>36</v>
      </c>
      <c r="D526" t="s">
        <v>19</v>
      </c>
      <c r="E526" t="s">
        <v>20</v>
      </c>
      <c r="F526">
        <v>815</v>
      </c>
      <c r="G526">
        <v>3.05</v>
      </c>
      <c r="H526">
        <v>2485.75</v>
      </c>
      <c r="I526" t="s">
        <v>46</v>
      </c>
      <c r="J526" t="s">
        <v>22</v>
      </c>
      <c r="K526" t="s">
        <v>28</v>
      </c>
      <c r="L526">
        <v>1838.29</v>
      </c>
      <c r="M526">
        <v>26</v>
      </c>
      <c r="N526">
        <v>2023</v>
      </c>
      <c r="O526">
        <v>1</v>
      </c>
      <c r="P526" t="s">
        <v>60</v>
      </c>
      <c r="Q526">
        <v>647.46</v>
      </c>
      <c r="R526" t="s">
        <v>25</v>
      </c>
      <c r="S526">
        <v>2.8392333117103759</v>
      </c>
      <c r="T526" t="s">
        <v>78</v>
      </c>
    </row>
    <row r="527" spans="1:20" x14ac:dyDescent="0.25">
      <c r="A527" s="11">
        <v>44997</v>
      </c>
      <c r="B527" t="s">
        <v>30</v>
      </c>
      <c r="C527" t="s">
        <v>31</v>
      </c>
      <c r="D527" t="s">
        <v>19</v>
      </c>
      <c r="E527" t="s">
        <v>20</v>
      </c>
      <c r="F527">
        <v>682</v>
      </c>
      <c r="G527">
        <v>8.83</v>
      </c>
      <c r="H527">
        <v>6022.06</v>
      </c>
      <c r="I527" t="s">
        <v>54</v>
      </c>
      <c r="J527" t="s">
        <v>47</v>
      </c>
      <c r="K527" t="s">
        <v>28</v>
      </c>
      <c r="L527">
        <v>5376.82</v>
      </c>
      <c r="M527">
        <v>10.7</v>
      </c>
      <c r="N527">
        <v>2023</v>
      </c>
      <c r="O527">
        <v>1</v>
      </c>
      <c r="P527" t="s">
        <v>61</v>
      </c>
      <c r="Q527">
        <v>645.24</v>
      </c>
      <c r="R527" t="s">
        <v>29</v>
      </c>
      <c r="S527">
        <v>8.3330543673671809</v>
      </c>
      <c r="T527" t="s">
        <v>78</v>
      </c>
    </row>
    <row r="528" spans="1:20" x14ac:dyDescent="0.25">
      <c r="A528" s="11">
        <v>45111</v>
      </c>
      <c r="B528" t="s">
        <v>30</v>
      </c>
      <c r="C528" t="s">
        <v>31</v>
      </c>
      <c r="D528" t="s">
        <v>19</v>
      </c>
      <c r="E528" t="s">
        <v>20</v>
      </c>
      <c r="F528">
        <v>332</v>
      </c>
      <c r="G528">
        <v>8.73</v>
      </c>
      <c r="H528">
        <v>2898.36</v>
      </c>
      <c r="I528" t="s">
        <v>26</v>
      </c>
      <c r="J528" t="s">
        <v>47</v>
      </c>
      <c r="K528" t="s">
        <v>28</v>
      </c>
      <c r="L528">
        <v>2255.4699999999998</v>
      </c>
      <c r="M528">
        <v>22.2</v>
      </c>
      <c r="N528">
        <v>2024</v>
      </c>
      <c r="O528">
        <v>3</v>
      </c>
      <c r="P528" t="s">
        <v>62</v>
      </c>
      <c r="Q528">
        <v>642.89</v>
      </c>
      <c r="R528" t="s">
        <v>29</v>
      </c>
      <c r="S528">
        <v>3.5083295742662037</v>
      </c>
      <c r="T528" t="s">
        <v>78</v>
      </c>
    </row>
    <row r="529" spans="1:20" x14ac:dyDescent="0.25">
      <c r="A529" s="11">
        <v>45054</v>
      </c>
      <c r="B529" t="s">
        <v>42</v>
      </c>
      <c r="C529" t="s">
        <v>43</v>
      </c>
      <c r="D529" t="s">
        <v>37</v>
      </c>
      <c r="E529" t="s">
        <v>38</v>
      </c>
      <c r="F529">
        <v>630</v>
      </c>
      <c r="G529">
        <v>4.22</v>
      </c>
      <c r="H529">
        <v>2658.6</v>
      </c>
      <c r="I529" t="s">
        <v>55</v>
      </c>
      <c r="J529" t="s">
        <v>34</v>
      </c>
      <c r="K529" t="s">
        <v>28</v>
      </c>
      <c r="L529">
        <v>2015.79</v>
      </c>
      <c r="M529">
        <v>24.2</v>
      </c>
      <c r="N529">
        <v>2023</v>
      </c>
      <c r="O529">
        <v>2</v>
      </c>
      <c r="P529" t="s">
        <v>65</v>
      </c>
      <c r="Q529">
        <v>642.80999999999995</v>
      </c>
      <c r="R529" t="s">
        <v>29</v>
      </c>
      <c r="S529">
        <v>3.1359032995753022</v>
      </c>
      <c r="T529" t="s">
        <v>78</v>
      </c>
    </row>
    <row r="530" spans="1:20" x14ac:dyDescent="0.25">
      <c r="A530" s="11">
        <v>45055</v>
      </c>
      <c r="B530" t="s">
        <v>58</v>
      </c>
      <c r="C530" t="s">
        <v>59</v>
      </c>
      <c r="D530" t="s">
        <v>44</v>
      </c>
      <c r="E530" t="s">
        <v>38</v>
      </c>
      <c r="F530">
        <v>664</v>
      </c>
      <c r="G530">
        <v>6.7</v>
      </c>
      <c r="H530">
        <v>4448.8</v>
      </c>
      <c r="I530" t="s">
        <v>46</v>
      </c>
      <c r="J530" t="s">
        <v>27</v>
      </c>
      <c r="K530" t="s">
        <v>41</v>
      </c>
      <c r="L530">
        <v>3806.69</v>
      </c>
      <c r="M530">
        <v>14.4</v>
      </c>
      <c r="N530">
        <v>2023</v>
      </c>
      <c r="O530">
        <v>2</v>
      </c>
      <c r="P530" t="s">
        <v>65</v>
      </c>
      <c r="Q530">
        <v>642.11</v>
      </c>
      <c r="R530" t="s">
        <v>29</v>
      </c>
      <c r="S530">
        <v>5.9284079051875844</v>
      </c>
      <c r="T530" t="s">
        <v>78</v>
      </c>
    </row>
    <row r="531" spans="1:20" x14ac:dyDescent="0.25">
      <c r="A531" s="11">
        <v>44960</v>
      </c>
      <c r="B531" t="s">
        <v>17</v>
      </c>
      <c r="C531" t="s">
        <v>18</v>
      </c>
      <c r="D531" t="s">
        <v>45</v>
      </c>
      <c r="E531" t="s">
        <v>20</v>
      </c>
      <c r="F531">
        <v>931</v>
      </c>
      <c r="G531">
        <v>2.54</v>
      </c>
      <c r="H531">
        <v>2364.7399999999998</v>
      </c>
      <c r="I531" t="s">
        <v>57</v>
      </c>
      <c r="J531" t="s">
        <v>47</v>
      </c>
      <c r="K531" t="s">
        <v>23</v>
      </c>
      <c r="L531">
        <v>1733.38</v>
      </c>
      <c r="M531">
        <v>26.7</v>
      </c>
      <c r="N531">
        <v>2023</v>
      </c>
      <c r="O531">
        <v>1</v>
      </c>
      <c r="P531" t="s">
        <v>60</v>
      </c>
      <c r="Q531">
        <v>631.36</v>
      </c>
      <c r="R531" t="s">
        <v>25</v>
      </c>
      <c r="S531">
        <v>2.7454700963000507</v>
      </c>
      <c r="T531" t="s">
        <v>78</v>
      </c>
    </row>
    <row r="532" spans="1:20" x14ac:dyDescent="0.25">
      <c r="A532" s="11">
        <v>45063</v>
      </c>
      <c r="B532" t="s">
        <v>30</v>
      </c>
      <c r="C532" t="s">
        <v>31</v>
      </c>
      <c r="D532" t="s">
        <v>45</v>
      </c>
      <c r="E532" t="s">
        <v>20</v>
      </c>
      <c r="F532">
        <v>563</v>
      </c>
      <c r="G532">
        <v>2.87</v>
      </c>
      <c r="H532">
        <v>1615.81</v>
      </c>
      <c r="I532" t="s">
        <v>46</v>
      </c>
      <c r="J532" t="s">
        <v>22</v>
      </c>
      <c r="K532" t="s">
        <v>41</v>
      </c>
      <c r="L532">
        <v>987.47</v>
      </c>
      <c r="M532">
        <v>38.9</v>
      </c>
      <c r="N532">
        <v>2023</v>
      </c>
      <c r="O532">
        <v>2</v>
      </c>
      <c r="P532" t="s">
        <v>65</v>
      </c>
      <c r="Q532">
        <v>628.34</v>
      </c>
      <c r="R532" t="s">
        <v>25</v>
      </c>
      <c r="S532">
        <v>1.5715536174682496</v>
      </c>
      <c r="T532" t="s">
        <v>78</v>
      </c>
    </row>
    <row r="533" spans="1:20" x14ac:dyDescent="0.25">
      <c r="A533" s="11">
        <v>45092</v>
      </c>
      <c r="B533" t="s">
        <v>51</v>
      </c>
      <c r="C533" t="s">
        <v>52</v>
      </c>
      <c r="D533" t="s">
        <v>48</v>
      </c>
      <c r="E533" t="s">
        <v>38</v>
      </c>
      <c r="F533">
        <v>978</v>
      </c>
      <c r="G533">
        <v>4.08</v>
      </c>
      <c r="H533">
        <v>3990.24</v>
      </c>
      <c r="I533" t="s">
        <v>46</v>
      </c>
      <c r="J533" t="s">
        <v>40</v>
      </c>
      <c r="K533" t="s">
        <v>41</v>
      </c>
      <c r="L533">
        <v>3363.78</v>
      </c>
      <c r="M533">
        <v>15.7</v>
      </c>
      <c r="N533">
        <v>2023</v>
      </c>
      <c r="O533">
        <v>2</v>
      </c>
      <c r="P533" t="s">
        <v>70</v>
      </c>
      <c r="Q533">
        <v>626.46</v>
      </c>
      <c r="R533" t="s">
        <v>29</v>
      </c>
      <c r="S533">
        <v>5.3695048367014655</v>
      </c>
      <c r="T533" t="s">
        <v>78</v>
      </c>
    </row>
    <row r="534" spans="1:20" x14ac:dyDescent="0.25">
      <c r="A534" s="11">
        <v>44965</v>
      </c>
      <c r="B534" t="s">
        <v>30</v>
      </c>
      <c r="C534" t="s">
        <v>31</v>
      </c>
      <c r="D534" t="s">
        <v>44</v>
      </c>
      <c r="E534" t="s">
        <v>38</v>
      </c>
      <c r="F534">
        <v>650</v>
      </c>
      <c r="G534">
        <v>2.44</v>
      </c>
      <c r="H534">
        <v>1586</v>
      </c>
      <c r="I534" t="s">
        <v>46</v>
      </c>
      <c r="J534" t="s">
        <v>47</v>
      </c>
      <c r="K534" t="s">
        <v>28</v>
      </c>
      <c r="L534">
        <v>961</v>
      </c>
      <c r="M534">
        <v>39.4</v>
      </c>
      <c r="N534">
        <v>2023</v>
      </c>
      <c r="O534">
        <v>1</v>
      </c>
      <c r="P534" t="s">
        <v>60</v>
      </c>
      <c r="Q534">
        <v>625</v>
      </c>
      <c r="R534" t="s">
        <v>25</v>
      </c>
      <c r="S534">
        <v>1.5376000000000001</v>
      </c>
      <c r="T534" t="s">
        <v>78</v>
      </c>
    </row>
    <row r="535" spans="1:20" x14ac:dyDescent="0.25">
      <c r="A535" s="11">
        <v>45030</v>
      </c>
      <c r="B535" t="s">
        <v>51</v>
      </c>
      <c r="C535" t="s">
        <v>52</v>
      </c>
      <c r="D535" t="s">
        <v>44</v>
      </c>
      <c r="E535" t="s">
        <v>38</v>
      </c>
      <c r="F535">
        <v>417</v>
      </c>
      <c r="G535">
        <v>7.09</v>
      </c>
      <c r="H535">
        <v>2956.53</v>
      </c>
      <c r="I535" t="s">
        <v>26</v>
      </c>
      <c r="J535" t="s">
        <v>47</v>
      </c>
      <c r="K535" t="s">
        <v>28</v>
      </c>
      <c r="L535">
        <v>2331.65</v>
      </c>
      <c r="M535">
        <v>21.1</v>
      </c>
      <c r="N535">
        <v>2023</v>
      </c>
      <c r="O535">
        <v>2</v>
      </c>
      <c r="P535" t="s">
        <v>63</v>
      </c>
      <c r="Q535">
        <v>624.88</v>
      </c>
      <c r="R535" t="s">
        <v>29</v>
      </c>
      <c r="S535">
        <v>3.7313564204327232</v>
      </c>
      <c r="T535" t="s">
        <v>78</v>
      </c>
    </row>
    <row r="536" spans="1:20" x14ac:dyDescent="0.25">
      <c r="A536" s="11">
        <v>45072</v>
      </c>
      <c r="B536" t="s">
        <v>30</v>
      </c>
      <c r="C536" t="s">
        <v>31</v>
      </c>
      <c r="D536" t="s">
        <v>37</v>
      </c>
      <c r="E536" t="s">
        <v>38</v>
      </c>
      <c r="F536">
        <v>837</v>
      </c>
      <c r="G536">
        <v>2.19</v>
      </c>
      <c r="H536">
        <v>1833.03</v>
      </c>
      <c r="I536" t="s">
        <v>55</v>
      </c>
      <c r="J536" t="s">
        <v>22</v>
      </c>
      <c r="K536" t="s">
        <v>23</v>
      </c>
      <c r="L536">
        <v>1209.6400000000001</v>
      </c>
      <c r="M536">
        <v>34</v>
      </c>
      <c r="N536">
        <v>2023</v>
      </c>
      <c r="O536">
        <v>2</v>
      </c>
      <c r="P536" t="s">
        <v>66</v>
      </c>
      <c r="Q536">
        <v>623.39</v>
      </c>
      <c r="R536" t="s">
        <v>25</v>
      </c>
      <c r="S536">
        <v>1.9404225284332441</v>
      </c>
      <c r="T536" t="s">
        <v>78</v>
      </c>
    </row>
    <row r="537" spans="1:20" x14ac:dyDescent="0.25">
      <c r="A537" s="11">
        <v>44970</v>
      </c>
      <c r="B537" t="s">
        <v>17</v>
      </c>
      <c r="C537" t="s">
        <v>18</v>
      </c>
      <c r="D537" t="s">
        <v>45</v>
      </c>
      <c r="E537" t="s">
        <v>20</v>
      </c>
      <c r="F537">
        <v>299</v>
      </c>
      <c r="G537">
        <v>7.85</v>
      </c>
      <c r="H537">
        <v>2347.15</v>
      </c>
      <c r="I537" t="s">
        <v>21</v>
      </c>
      <c r="J537" t="s">
        <v>47</v>
      </c>
      <c r="K537" t="s">
        <v>28</v>
      </c>
      <c r="L537">
        <v>1724.48</v>
      </c>
      <c r="M537">
        <v>26.5</v>
      </c>
      <c r="N537">
        <v>2023</v>
      </c>
      <c r="O537">
        <v>1</v>
      </c>
      <c r="P537" t="s">
        <v>60</v>
      </c>
      <c r="Q537">
        <v>622.66999999999996</v>
      </c>
      <c r="R537" t="s">
        <v>25</v>
      </c>
      <c r="S537">
        <v>2.7694926686687973</v>
      </c>
      <c r="T537" t="s">
        <v>78</v>
      </c>
    </row>
    <row r="538" spans="1:20" x14ac:dyDescent="0.25">
      <c r="A538" s="11">
        <v>45011</v>
      </c>
      <c r="B538" t="s">
        <v>42</v>
      </c>
      <c r="C538" t="s">
        <v>43</v>
      </c>
      <c r="D538" t="s">
        <v>32</v>
      </c>
      <c r="E538" t="s">
        <v>20</v>
      </c>
      <c r="F538">
        <v>214</v>
      </c>
      <c r="G538">
        <v>11.96</v>
      </c>
      <c r="H538">
        <v>2559.44</v>
      </c>
      <c r="I538" t="s">
        <v>39</v>
      </c>
      <c r="J538" t="s">
        <v>47</v>
      </c>
      <c r="K538" t="s">
        <v>41</v>
      </c>
      <c r="L538">
        <v>1938.98</v>
      </c>
      <c r="M538">
        <v>24.2</v>
      </c>
      <c r="N538">
        <v>2023</v>
      </c>
      <c r="O538">
        <v>1</v>
      </c>
      <c r="P538" t="s">
        <v>62</v>
      </c>
      <c r="Q538">
        <v>620.46</v>
      </c>
      <c r="R538" t="s">
        <v>29</v>
      </c>
      <c r="S538">
        <v>3.1250684975663217</v>
      </c>
      <c r="T538" t="s">
        <v>78</v>
      </c>
    </row>
    <row r="539" spans="1:20" x14ac:dyDescent="0.25">
      <c r="A539" s="11">
        <v>44956</v>
      </c>
      <c r="B539" t="s">
        <v>58</v>
      </c>
      <c r="C539" t="s">
        <v>59</v>
      </c>
      <c r="D539" t="s">
        <v>19</v>
      </c>
      <c r="E539" t="s">
        <v>20</v>
      </c>
      <c r="F539">
        <v>526</v>
      </c>
      <c r="G539">
        <v>5.16</v>
      </c>
      <c r="H539">
        <v>2714.16</v>
      </c>
      <c r="I539" t="s">
        <v>55</v>
      </c>
      <c r="J539" t="s">
        <v>27</v>
      </c>
      <c r="K539" t="s">
        <v>23</v>
      </c>
      <c r="L539">
        <v>2097.3200000000002</v>
      </c>
      <c r="M539">
        <v>22.7</v>
      </c>
      <c r="N539">
        <v>2023</v>
      </c>
      <c r="O539">
        <v>1</v>
      </c>
      <c r="P539" t="s">
        <v>60</v>
      </c>
      <c r="Q539">
        <v>616.84</v>
      </c>
      <c r="R539" t="s">
        <v>29</v>
      </c>
      <c r="S539">
        <v>3.4001037546203232</v>
      </c>
      <c r="T539" t="s">
        <v>78</v>
      </c>
    </row>
    <row r="540" spans="1:20" x14ac:dyDescent="0.25">
      <c r="A540" s="11">
        <v>44995</v>
      </c>
      <c r="B540" t="s">
        <v>58</v>
      </c>
      <c r="C540" t="s">
        <v>59</v>
      </c>
      <c r="D540" t="s">
        <v>32</v>
      </c>
      <c r="E540" t="s">
        <v>20</v>
      </c>
      <c r="F540">
        <v>559</v>
      </c>
      <c r="G540">
        <v>4.1399999999999997</v>
      </c>
      <c r="H540">
        <v>2314.2600000000002</v>
      </c>
      <c r="I540" t="s">
        <v>26</v>
      </c>
      <c r="J540" t="s">
        <v>56</v>
      </c>
      <c r="K540" t="s">
        <v>41</v>
      </c>
      <c r="L540">
        <v>1698.18</v>
      </c>
      <c r="M540">
        <v>26.6</v>
      </c>
      <c r="N540">
        <v>2023</v>
      </c>
      <c r="O540">
        <v>1</v>
      </c>
      <c r="P540" t="s">
        <v>61</v>
      </c>
      <c r="Q540">
        <v>616.08000000000004</v>
      </c>
      <c r="R540" t="s">
        <v>25</v>
      </c>
      <c r="S540">
        <v>2.7564277366575767</v>
      </c>
      <c r="T540" t="s">
        <v>78</v>
      </c>
    </row>
    <row r="541" spans="1:20" x14ac:dyDescent="0.25">
      <c r="A541" s="11">
        <v>44969</v>
      </c>
      <c r="B541" t="s">
        <v>35</v>
      </c>
      <c r="C541" t="s">
        <v>36</v>
      </c>
      <c r="D541" t="s">
        <v>53</v>
      </c>
      <c r="E541" t="s">
        <v>50</v>
      </c>
      <c r="F541">
        <v>308</v>
      </c>
      <c r="G541">
        <v>7.97</v>
      </c>
      <c r="H541">
        <v>2454.7600000000002</v>
      </c>
      <c r="I541" t="s">
        <v>46</v>
      </c>
      <c r="J541" t="s">
        <v>27</v>
      </c>
      <c r="K541" t="s">
        <v>28</v>
      </c>
      <c r="L541">
        <v>1839.79</v>
      </c>
      <c r="M541">
        <v>25.1</v>
      </c>
      <c r="N541">
        <v>2023</v>
      </c>
      <c r="O541">
        <v>1</v>
      </c>
      <c r="P541" t="s">
        <v>60</v>
      </c>
      <c r="Q541">
        <v>614.97</v>
      </c>
      <c r="R541" t="s">
        <v>25</v>
      </c>
      <c r="S541">
        <v>2.9916743906206804</v>
      </c>
      <c r="T541" t="s">
        <v>78</v>
      </c>
    </row>
    <row r="542" spans="1:20" x14ac:dyDescent="0.25">
      <c r="A542" s="11">
        <v>45052</v>
      </c>
      <c r="B542" t="s">
        <v>58</v>
      </c>
      <c r="C542" t="s">
        <v>59</v>
      </c>
      <c r="D542" t="s">
        <v>53</v>
      </c>
      <c r="E542" t="s">
        <v>50</v>
      </c>
      <c r="F542">
        <v>819</v>
      </c>
      <c r="G542">
        <v>6.85</v>
      </c>
      <c r="H542">
        <v>5610.15</v>
      </c>
      <c r="I542" t="s">
        <v>26</v>
      </c>
      <c r="J542" t="s">
        <v>40</v>
      </c>
      <c r="K542" t="s">
        <v>41</v>
      </c>
      <c r="L542">
        <v>4997.42</v>
      </c>
      <c r="M542">
        <v>10.9</v>
      </c>
      <c r="N542">
        <v>2023</v>
      </c>
      <c r="O542">
        <v>2</v>
      </c>
      <c r="P542" t="s">
        <v>65</v>
      </c>
      <c r="Q542">
        <v>612.73</v>
      </c>
      <c r="R542" t="s">
        <v>29</v>
      </c>
      <c r="S542">
        <v>8.1559904036035444</v>
      </c>
      <c r="T542" t="s">
        <v>78</v>
      </c>
    </row>
    <row r="543" spans="1:20" x14ac:dyDescent="0.25">
      <c r="A543" s="11">
        <v>44965</v>
      </c>
      <c r="B543" t="s">
        <v>30</v>
      </c>
      <c r="C543" t="s">
        <v>31</v>
      </c>
      <c r="D543" t="s">
        <v>44</v>
      </c>
      <c r="E543" t="s">
        <v>38</v>
      </c>
      <c r="F543">
        <v>210</v>
      </c>
      <c r="G543">
        <v>7.77</v>
      </c>
      <c r="H543">
        <v>1631.7</v>
      </c>
      <c r="I543" t="s">
        <v>39</v>
      </c>
      <c r="J543" t="s">
        <v>27</v>
      </c>
      <c r="K543" t="s">
        <v>23</v>
      </c>
      <c r="L543">
        <v>1021.01</v>
      </c>
      <c r="M543">
        <v>37.4</v>
      </c>
      <c r="N543">
        <v>2023</v>
      </c>
      <c r="O543">
        <v>1</v>
      </c>
      <c r="P543" t="s">
        <v>60</v>
      </c>
      <c r="Q543">
        <v>610.69000000000005</v>
      </c>
      <c r="R543" t="s">
        <v>25</v>
      </c>
      <c r="S543">
        <v>1.6718957245083428</v>
      </c>
      <c r="T543" t="s">
        <v>78</v>
      </c>
    </row>
    <row r="544" spans="1:20" x14ac:dyDescent="0.25">
      <c r="A544" s="11">
        <v>45074</v>
      </c>
      <c r="B544" t="s">
        <v>42</v>
      </c>
      <c r="C544" t="s">
        <v>43</v>
      </c>
      <c r="D544" t="s">
        <v>44</v>
      </c>
      <c r="E544" t="s">
        <v>38</v>
      </c>
      <c r="F544">
        <v>560</v>
      </c>
      <c r="G544">
        <v>5.2</v>
      </c>
      <c r="H544">
        <v>2912</v>
      </c>
      <c r="I544" t="s">
        <v>33</v>
      </c>
      <c r="J544" t="s">
        <v>40</v>
      </c>
      <c r="K544" t="s">
        <v>28</v>
      </c>
      <c r="L544">
        <v>2303.2399999999998</v>
      </c>
      <c r="M544">
        <v>20.9</v>
      </c>
      <c r="N544">
        <v>2023</v>
      </c>
      <c r="O544">
        <v>2</v>
      </c>
      <c r="P544" t="s">
        <v>67</v>
      </c>
      <c r="Q544">
        <v>608.76</v>
      </c>
      <c r="R544" t="s">
        <v>29</v>
      </c>
      <c r="S544">
        <v>3.783494316315132</v>
      </c>
      <c r="T544" t="s">
        <v>78</v>
      </c>
    </row>
    <row r="545" spans="1:20" x14ac:dyDescent="0.25">
      <c r="A545" s="11">
        <v>45013</v>
      </c>
      <c r="B545" t="s">
        <v>42</v>
      </c>
      <c r="C545" t="s">
        <v>43</v>
      </c>
      <c r="D545" t="s">
        <v>32</v>
      </c>
      <c r="E545" t="s">
        <v>20</v>
      </c>
      <c r="F545">
        <v>452</v>
      </c>
      <c r="G545">
        <v>7.2</v>
      </c>
      <c r="H545">
        <v>3254.4</v>
      </c>
      <c r="I545" t="s">
        <v>54</v>
      </c>
      <c r="J545" t="s">
        <v>34</v>
      </c>
      <c r="K545" t="s">
        <v>41</v>
      </c>
      <c r="L545">
        <v>2649.17</v>
      </c>
      <c r="M545">
        <v>18.600000000000001</v>
      </c>
      <c r="N545">
        <v>2023</v>
      </c>
      <c r="O545">
        <v>1</v>
      </c>
      <c r="P545" t="s">
        <v>62</v>
      </c>
      <c r="Q545">
        <v>605.23</v>
      </c>
      <c r="R545" t="s">
        <v>29</v>
      </c>
      <c r="S545">
        <v>4.3771293557820989</v>
      </c>
      <c r="T545" t="s">
        <v>78</v>
      </c>
    </row>
    <row r="546" spans="1:20" x14ac:dyDescent="0.25">
      <c r="A546" s="11">
        <v>45048</v>
      </c>
      <c r="B546" t="s">
        <v>58</v>
      </c>
      <c r="C546" t="s">
        <v>59</v>
      </c>
      <c r="D546" t="s">
        <v>45</v>
      </c>
      <c r="E546" t="s">
        <v>20</v>
      </c>
      <c r="F546">
        <v>535</v>
      </c>
      <c r="G546">
        <v>6.69</v>
      </c>
      <c r="H546">
        <v>3579.15</v>
      </c>
      <c r="I546" t="s">
        <v>57</v>
      </c>
      <c r="J546" t="s">
        <v>22</v>
      </c>
      <c r="K546" t="s">
        <v>41</v>
      </c>
      <c r="L546">
        <v>2974.37</v>
      </c>
      <c r="M546">
        <v>16.899999999999999</v>
      </c>
      <c r="N546">
        <v>2023</v>
      </c>
      <c r="O546">
        <v>2</v>
      </c>
      <c r="P546" t="s">
        <v>64</v>
      </c>
      <c r="Q546">
        <v>604.78</v>
      </c>
      <c r="R546" t="s">
        <v>29</v>
      </c>
      <c r="S546">
        <v>4.9181024504778597</v>
      </c>
      <c r="T546" t="s">
        <v>78</v>
      </c>
    </row>
    <row r="547" spans="1:20" x14ac:dyDescent="0.25">
      <c r="A547" s="11">
        <v>44939</v>
      </c>
      <c r="B547" t="s">
        <v>17</v>
      </c>
      <c r="C547" t="s">
        <v>18</v>
      </c>
      <c r="D547" t="s">
        <v>48</v>
      </c>
      <c r="E547" t="s">
        <v>38</v>
      </c>
      <c r="F547">
        <v>686</v>
      </c>
      <c r="G547">
        <v>3.03</v>
      </c>
      <c r="H547">
        <v>2078.58</v>
      </c>
      <c r="I547" t="s">
        <v>26</v>
      </c>
      <c r="J547" t="s">
        <v>47</v>
      </c>
      <c r="K547" t="s">
        <v>41</v>
      </c>
      <c r="L547">
        <v>1477.79</v>
      </c>
      <c r="M547">
        <v>28.9</v>
      </c>
      <c r="N547">
        <v>2023</v>
      </c>
      <c r="O547">
        <v>1</v>
      </c>
      <c r="P547" t="s">
        <v>24</v>
      </c>
      <c r="Q547">
        <v>600.79</v>
      </c>
      <c r="R547" t="s">
        <v>25</v>
      </c>
      <c r="S547">
        <v>2.4597446695184675</v>
      </c>
      <c r="T547" t="s">
        <v>78</v>
      </c>
    </row>
    <row r="548" spans="1:20" x14ac:dyDescent="0.25">
      <c r="A548" s="11">
        <v>45040</v>
      </c>
      <c r="B548" t="s">
        <v>17</v>
      </c>
      <c r="C548" t="s">
        <v>18</v>
      </c>
      <c r="D548" t="s">
        <v>45</v>
      </c>
      <c r="E548" t="s">
        <v>20</v>
      </c>
      <c r="F548">
        <v>211</v>
      </c>
      <c r="G548">
        <v>7.72</v>
      </c>
      <c r="H548">
        <v>1628.92</v>
      </c>
      <c r="I548" t="s">
        <v>26</v>
      </c>
      <c r="J548" t="s">
        <v>56</v>
      </c>
      <c r="K548" t="s">
        <v>23</v>
      </c>
      <c r="L548">
        <v>1031.04</v>
      </c>
      <c r="M548">
        <v>36.700000000000003</v>
      </c>
      <c r="N548">
        <v>2023</v>
      </c>
      <c r="O548">
        <v>2</v>
      </c>
      <c r="P548" t="s">
        <v>64</v>
      </c>
      <c r="Q548">
        <v>597.88</v>
      </c>
      <c r="R548" t="s">
        <v>25</v>
      </c>
      <c r="S548">
        <v>1.7244932093396668</v>
      </c>
      <c r="T548" t="s">
        <v>78</v>
      </c>
    </row>
    <row r="549" spans="1:20" x14ac:dyDescent="0.25">
      <c r="A549" s="11">
        <v>45109</v>
      </c>
      <c r="B549" t="s">
        <v>51</v>
      </c>
      <c r="C549" t="s">
        <v>52</v>
      </c>
      <c r="D549" t="s">
        <v>44</v>
      </c>
      <c r="E549" t="s">
        <v>38</v>
      </c>
      <c r="F549">
        <v>320</v>
      </c>
      <c r="G549">
        <v>7.02</v>
      </c>
      <c r="H549">
        <v>2246.4</v>
      </c>
      <c r="I549" t="s">
        <v>55</v>
      </c>
      <c r="J549" t="s">
        <v>40</v>
      </c>
      <c r="K549" t="s">
        <v>41</v>
      </c>
      <c r="L549">
        <v>1648.8</v>
      </c>
      <c r="M549">
        <v>26.6</v>
      </c>
      <c r="N549">
        <v>2024</v>
      </c>
      <c r="O549">
        <v>3</v>
      </c>
      <c r="P549" t="s">
        <v>61</v>
      </c>
      <c r="Q549">
        <v>597.6</v>
      </c>
      <c r="R549" t="s">
        <v>25</v>
      </c>
      <c r="S549">
        <v>2.7590361445783129</v>
      </c>
      <c r="T549" t="s">
        <v>78</v>
      </c>
    </row>
    <row r="550" spans="1:20" x14ac:dyDescent="0.25">
      <c r="A550" s="11">
        <v>44952</v>
      </c>
      <c r="B550" t="s">
        <v>35</v>
      </c>
      <c r="C550" t="s">
        <v>36</v>
      </c>
      <c r="D550" t="s">
        <v>45</v>
      </c>
      <c r="E550" t="s">
        <v>20</v>
      </c>
      <c r="F550">
        <v>805</v>
      </c>
      <c r="G550">
        <v>6.65</v>
      </c>
      <c r="H550">
        <v>5353.25</v>
      </c>
      <c r="I550" t="s">
        <v>57</v>
      </c>
      <c r="J550" t="s">
        <v>34</v>
      </c>
      <c r="K550" t="s">
        <v>28</v>
      </c>
      <c r="L550">
        <v>4756.49</v>
      </c>
      <c r="M550">
        <v>11.1</v>
      </c>
      <c r="N550">
        <v>2023</v>
      </c>
      <c r="O550">
        <v>1</v>
      </c>
      <c r="P550" t="s">
        <v>24</v>
      </c>
      <c r="Q550">
        <v>596.76</v>
      </c>
      <c r="R550" t="s">
        <v>29</v>
      </c>
      <c r="S550">
        <v>7.9705241638179496</v>
      </c>
      <c r="T550" t="s">
        <v>78</v>
      </c>
    </row>
    <row r="551" spans="1:20" x14ac:dyDescent="0.25">
      <c r="A551" s="11">
        <v>45113</v>
      </c>
      <c r="B551" t="s">
        <v>17</v>
      </c>
      <c r="C551" t="s">
        <v>18</v>
      </c>
      <c r="D551" t="s">
        <v>48</v>
      </c>
      <c r="E551" t="s">
        <v>38</v>
      </c>
      <c r="F551">
        <v>511</v>
      </c>
      <c r="G551">
        <v>3.66</v>
      </c>
      <c r="H551">
        <v>1870.26</v>
      </c>
      <c r="I551" t="s">
        <v>21</v>
      </c>
      <c r="J551" t="s">
        <v>27</v>
      </c>
      <c r="K551" t="s">
        <v>28</v>
      </c>
      <c r="L551">
        <v>1276.3</v>
      </c>
      <c r="M551">
        <v>31.8</v>
      </c>
      <c r="N551">
        <v>2024</v>
      </c>
      <c r="O551">
        <v>3</v>
      </c>
      <c r="P551" t="s">
        <v>62</v>
      </c>
      <c r="Q551">
        <v>593.96</v>
      </c>
      <c r="R551" t="s">
        <v>25</v>
      </c>
      <c r="S551">
        <v>2.1487978988484069</v>
      </c>
      <c r="T551" t="s">
        <v>78</v>
      </c>
    </row>
    <row r="552" spans="1:20" x14ac:dyDescent="0.25">
      <c r="A552" s="11">
        <v>45077</v>
      </c>
      <c r="B552" t="s">
        <v>17</v>
      </c>
      <c r="C552" t="s">
        <v>18</v>
      </c>
      <c r="D552" t="s">
        <v>48</v>
      </c>
      <c r="E552" t="s">
        <v>38</v>
      </c>
      <c r="F552">
        <v>292</v>
      </c>
      <c r="G552">
        <v>7.92</v>
      </c>
      <c r="H552">
        <v>2312.64</v>
      </c>
      <c r="I552" t="s">
        <v>39</v>
      </c>
      <c r="J552" t="s">
        <v>22</v>
      </c>
      <c r="K552" t="s">
        <v>23</v>
      </c>
      <c r="L552">
        <v>1720.86</v>
      </c>
      <c r="M552">
        <v>25.6</v>
      </c>
      <c r="N552">
        <v>2023</v>
      </c>
      <c r="O552">
        <v>2</v>
      </c>
      <c r="P552" t="s">
        <v>67</v>
      </c>
      <c r="Q552">
        <v>591.78</v>
      </c>
      <c r="R552" t="s">
        <v>25</v>
      </c>
      <c r="S552">
        <v>2.907938761026057</v>
      </c>
      <c r="T552" t="s">
        <v>78</v>
      </c>
    </row>
    <row r="553" spans="1:20" x14ac:dyDescent="0.25">
      <c r="A553" s="11">
        <v>44965</v>
      </c>
      <c r="B553" t="s">
        <v>17</v>
      </c>
      <c r="C553" t="s">
        <v>18</v>
      </c>
      <c r="D553" t="s">
        <v>37</v>
      </c>
      <c r="E553" t="s">
        <v>38</v>
      </c>
      <c r="F553">
        <v>992</v>
      </c>
      <c r="G553">
        <v>4.21</v>
      </c>
      <c r="H553">
        <v>4176.32</v>
      </c>
      <c r="I553" t="s">
        <v>33</v>
      </c>
      <c r="J553" t="s">
        <v>47</v>
      </c>
      <c r="K553" t="s">
        <v>23</v>
      </c>
      <c r="L553">
        <v>3584.93</v>
      </c>
      <c r="M553">
        <v>14.2</v>
      </c>
      <c r="N553">
        <v>2023</v>
      </c>
      <c r="O553">
        <v>1</v>
      </c>
      <c r="P553" t="s">
        <v>60</v>
      </c>
      <c r="Q553">
        <v>591.39</v>
      </c>
      <c r="R553" t="s">
        <v>29</v>
      </c>
      <c r="S553">
        <v>6.0618711848357263</v>
      </c>
      <c r="T553" t="s">
        <v>78</v>
      </c>
    </row>
    <row r="554" spans="1:20" x14ac:dyDescent="0.25">
      <c r="A554" s="11">
        <v>44986</v>
      </c>
      <c r="B554" t="s">
        <v>42</v>
      </c>
      <c r="C554" t="s">
        <v>43</v>
      </c>
      <c r="D554" t="s">
        <v>19</v>
      </c>
      <c r="E554" t="s">
        <v>20</v>
      </c>
      <c r="F554">
        <v>414</v>
      </c>
      <c r="G554">
        <v>4.71</v>
      </c>
      <c r="H554">
        <v>1949.94</v>
      </c>
      <c r="I554" t="s">
        <v>55</v>
      </c>
      <c r="J554" t="s">
        <v>22</v>
      </c>
      <c r="K554" t="s">
        <v>41</v>
      </c>
      <c r="L554">
        <v>1358.72</v>
      </c>
      <c r="M554">
        <v>30.3</v>
      </c>
      <c r="N554">
        <v>2023</v>
      </c>
      <c r="O554">
        <v>1</v>
      </c>
      <c r="P554" t="s">
        <v>61</v>
      </c>
      <c r="Q554">
        <v>591.22</v>
      </c>
      <c r="R554" t="s">
        <v>25</v>
      </c>
      <c r="S554">
        <v>2.2981631203274584</v>
      </c>
      <c r="T554" t="s">
        <v>78</v>
      </c>
    </row>
    <row r="555" spans="1:20" x14ac:dyDescent="0.25">
      <c r="A555" s="11">
        <v>44935</v>
      </c>
      <c r="B555" t="s">
        <v>42</v>
      </c>
      <c r="C555" t="s">
        <v>43</v>
      </c>
      <c r="D555" t="s">
        <v>45</v>
      </c>
      <c r="E555" t="s">
        <v>20</v>
      </c>
      <c r="F555">
        <v>784</v>
      </c>
      <c r="G555">
        <v>6.63</v>
      </c>
      <c r="H555">
        <v>5197.92</v>
      </c>
      <c r="I555" t="s">
        <v>54</v>
      </c>
      <c r="J555" t="s">
        <v>34</v>
      </c>
      <c r="K555" t="s">
        <v>28</v>
      </c>
      <c r="L555">
        <v>4609.59</v>
      </c>
      <c r="M555">
        <v>11.3</v>
      </c>
      <c r="N555">
        <v>2023</v>
      </c>
      <c r="O555">
        <v>1</v>
      </c>
      <c r="P555" t="s">
        <v>24</v>
      </c>
      <c r="Q555">
        <v>588.33000000000004</v>
      </c>
      <c r="R555" t="s">
        <v>29</v>
      </c>
      <c r="S555">
        <v>7.8350415583091122</v>
      </c>
      <c r="T555" t="s">
        <v>78</v>
      </c>
    </row>
    <row r="556" spans="1:20" x14ac:dyDescent="0.25">
      <c r="A556" s="11">
        <v>45131</v>
      </c>
      <c r="B556" t="s">
        <v>35</v>
      </c>
      <c r="C556" t="s">
        <v>36</v>
      </c>
      <c r="D556" t="s">
        <v>45</v>
      </c>
      <c r="E556" t="s">
        <v>20</v>
      </c>
      <c r="F556">
        <v>188</v>
      </c>
      <c r="G556">
        <v>8.75</v>
      </c>
      <c r="H556">
        <v>1645</v>
      </c>
      <c r="I556" t="s">
        <v>57</v>
      </c>
      <c r="J556" t="s">
        <v>34</v>
      </c>
      <c r="K556" t="s">
        <v>23</v>
      </c>
      <c r="L556">
        <v>1059.5</v>
      </c>
      <c r="M556">
        <v>35.6</v>
      </c>
      <c r="N556">
        <v>2025</v>
      </c>
      <c r="O556">
        <v>3</v>
      </c>
      <c r="P556" t="s">
        <v>63</v>
      </c>
      <c r="Q556">
        <v>585.5</v>
      </c>
      <c r="R556" t="s">
        <v>25</v>
      </c>
      <c r="S556">
        <v>1.8095644748078565</v>
      </c>
      <c r="T556" t="s">
        <v>78</v>
      </c>
    </row>
    <row r="557" spans="1:20" x14ac:dyDescent="0.25">
      <c r="A557" s="11">
        <v>45044</v>
      </c>
      <c r="B557" t="s">
        <v>17</v>
      </c>
      <c r="C557" t="s">
        <v>18</v>
      </c>
      <c r="D557" t="s">
        <v>49</v>
      </c>
      <c r="E557" t="s">
        <v>50</v>
      </c>
      <c r="F557">
        <v>635</v>
      </c>
      <c r="G557">
        <v>2.85</v>
      </c>
      <c r="H557">
        <v>1809.75</v>
      </c>
      <c r="I557" t="s">
        <v>46</v>
      </c>
      <c r="J557" t="s">
        <v>27</v>
      </c>
      <c r="K557" t="s">
        <v>28</v>
      </c>
      <c r="L557">
        <v>1224.3800000000001</v>
      </c>
      <c r="M557">
        <v>32.299999999999997</v>
      </c>
      <c r="N557">
        <v>2023</v>
      </c>
      <c r="O557">
        <v>2</v>
      </c>
      <c r="P557" t="s">
        <v>64</v>
      </c>
      <c r="Q557">
        <v>585.37</v>
      </c>
      <c r="R557" t="s">
        <v>25</v>
      </c>
      <c r="S557">
        <v>2.0916343509233477</v>
      </c>
      <c r="T557" t="s">
        <v>78</v>
      </c>
    </row>
    <row r="558" spans="1:20" x14ac:dyDescent="0.25">
      <c r="A558" s="11">
        <v>45088</v>
      </c>
      <c r="B558" t="s">
        <v>58</v>
      </c>
      <c r="C558" t="s">
        <v>59</v>
      </c>
      <c r="D558" t="s">
        <v>37</v>
      </c>
      <c r="E558" t="s">
        <v>38</v>
      </c>
      <c r="F558">
        <v>494</v>
      </c>
      <c r="G558">
        <v>11.46</v>
      </c>
      <c r="H558">
        <v>5661.24</v>
      </c>
      <c r="I558" t="s">
        <v>55</v>
      </c>
      <c r="J558" t="s">
        <v>22</v>
      </c>
      <c r="K558" t="s">
        <v>28</v>
      </c>
      <c r="L558">
        <v>5076.58</v>
      </c>
      <c r="M558">
        <v>10.3</v>
      </c>
      <c r="N558">
        <v>2023</v>
      </c>
      <c r="O558">
        <v>2</v>
      </c>
      <c r="P558" t="s">
        <v>69</v>
      </c>
      <c r="Q558">
        <v>584.66</v>
      </c>
      <c r="R558" t="s">
        <v>29</v>
      </c>
      <c r="S558">
        <v>8.682961037184004</v>
      </c>
      <c r="T558" t="s">
        <v>78</v>
      </c>
    </row>
    <row r="559" spans="1:20" x14ac:dyDescent="0.25">
      <c r="A559" s="11">
        <v>44954</v>
      </c>
      <c r="B559" t="s">
        <v>35</v>
      </c>
      <c r="C559" t="s">
        <v>36</v>
      </c>
      <c r="D559" t="s">
        <v>48</v>
      </c>
      <c r="E559" t="s">
        <v>38</v>
      </c>
      <c r="F559">
        <v>795</v>
      </c>
      <c r="G559">
        <v>4.96</v>
      </c>
      <c r="H559">
        <v>3943.2</v>
      </c>
      <c r="I559" t="s">
        <v>57</v>
      </c>
      <c r="J559" t="s">
        <v>47</v>
      </c>
      <c r="K559" t="s">
        <v>23</v>
      </c>
      <c r="L559">
        <v>3358.7</v>
      </c>
      <c r="M559">
        <v>14.8</v>
      </c>
      <c r="N559">
        <v>2023</v>
      </c>
      <c r="O559">
        <v>1</v>
      </c>
      <c r="P559" t="s">
        <v>24</v>
      </c>
      <c r="Q559">
        <v>584.5</v>
      </c>
      <c r="R559" t="s">
        <v>29</v>
      </c>
      <c r="S559">
        <v>5.7462788708297685</v>
      </c>
      <c r="T559" t="s">
        <v>78</v>
      </c>
    </row>
    <row r="560" spans="1:20" x14ac:dyDescent="0.25">
      <c r="A560" s="11">
        <v>45118</v>
      </c>
      <c r="B560" t="s">
        <v>30</v>
      </c>
      <c r="C560" t="s">
        <v>31</v>
      </c>
      <c r="D560" t="s">
        <v>48</v>
      </c>
      <c r="E560" t="s">
        <v>38</v>
      </c>
      <c r="F560">
        <v>412</v>
      </c>
      <c r="G560">
        <v>4.67</v>
      </c>
      <c r="H560">
        <v>1924.04</v>
      </c>
      <c r="I560" t="s">
        <v>55</v>
      </c>
      <c r="J560" t="s">
        <v>40</v>
      </c>
      <c r="K560" t="s">
        <v>23</v>
      </c>
      <c r="L560">
        <v>1339.79</v>
      </c>
      <c r="M560">
        <v>30.4</v>
      </c>
      <c r="N560">
        <v>2024</v>
      </c>
      <c r="O560">
        <v>3</v>
      </c>
      <c r="P560" t="s">
        <v>64</v>
      </c>
      <c r="Q560">
        <v>584.25</v>
      </c>
      <c r="R560" t="s">
        <v>25</v>
      </c>
      <c r="S560">
        <v>2.2931792896876337</v>
      </c>
      <c r="T560" t="s">
        <v>78</v>
      </c>
    </row>
    <row r="561" spans="1:20" x14ac:dyDescent="0.25">
      <c r="A561" s="11">
        <v>45109</v>
      </c>
      <c r="B561" t="s">
        <v>51</v>
      </c>
      <c r="C561" t="s">
        <v>52</v>
      </c>
      <c r="D561" t="s">
        <v>37</v>
      </c>
      <c r="E561" t="s">
        <v>38</v>
      </c>
      <c r="F561">
        <v>516</v>
      </c>
      <c r="G561">
        <v>3.47</v>
      </c>
      <c r="H561">
        <v>1790.52</v>
      </c>
      <c r="I561" t="s">
        <v>57</v>
      </c>
      <c r="J561" t="s">
        <v>56</v>
      </c>
      <c r="K561" t="s">
        <v>23</v>
      </c>
      <c r="L561">
        <v>1211.3800000000001</v>
      </c>
      <c r="M561">
        <v>32.299999999999997</v>
      </c>
      <c r="N561">
        <v>2024</v>
      </c>
      <c r="O561">
        <v>3</v>
      </c>
      <c r="P561" t="s">
        <v>61</v>
      </c>
      <c r="Q561">
        <v>579.14</v>
      </c>
      <c r="R561" t="s">
        <v>25</v>
      </c>
      <c r="S561">
        <v>2.0916876748281936</v>
      </c>
      <c r="T561" t="s">
        <v>78</v>
      </c>
    </row>
    <row r="562" spans="1:20" x14ac:dyDescent="0.25">
      <c r="A562" s="11">
        <v>45127</v>
      </c>
      <c r="B562" t="s">
        <v>58</v>
      </c>
      <c r="C562" t="s">
        <v>59</v>
      </c>
      <c r="D562" t="s">
        <v>37</v>
      </c>
      <c r="E562" t="s">
        <v>38</v>
      </c>
      <c r="F562">
        <v>445</v>
      </c>
      <c r="G562">
        <v>8.08</v>
      </c>
      <c r="H562">
        <v>3595.6</v>
      </c>
      <c r="I562" t="s">
        <v>21</v>
      </c>
      <c r="J562" t="s">
        <v>27</v>
      </c>
      <c r="K562" t="s">
        <v>23</v>
      </c>
      <c r="L562">
        <v>3017.63</v>
      </c>
      <c r="M562">
        <v>16.100000000000001</v>
      </c>
      <c r="N562">
        <v>2024</v>
      </c>
      <c r="O562">
        <v>3</v>
      </c>
      <c r="P562" t="s">
        <v>70</v>
      </c>
      <c r="Q562">
        <v>577.97</v>
      </c>
      <c r="R562" t="s">
        <v>29</v>
      </c>
      <c r="S562">
        <v>5.221084139315189</v>
      </c>
      <c r="T562" t="s">
        <v>78</v>
      </c>
    </row>
    <row r="563" spans="1:20" x14ac:dyDescent="0.25">
      <c r="A563" s="11">
        <v>45113</v>
      </c>
      <c r="B563" t="s">
        <v>35</v>
      </c>
      <c r="C563" t="s">
        <v>36</v>
      </c>
      <c r="D563" t="s">
        <v>45</v>
      </c>
      <c r="E563" t="s">
        <v>20</v>
      </c>
      <c r="F563">
        <v>667</v>
      </c>
      <c r="G563">
        <v>2.92</v>
      </c>
      <c r="H563">
        <v>1947.64</v>
      </c>
      <c r="I563" t="s">
        <v>46</v>
      </c>
      <c r="J563" t="s">
        <v>47</v>
      </c>
      <c r="K563" t="s">
        <v>41</v>
      </c>
      <c r="L563">
        <v>1370.58</v>
      </c>
      <c r="M563">
        <v>29.6</v>
      </c>
      <c r="N563">
        <v>2024</v>
      </c>
      <c r="O563">
        <v>3</v>
      </c>
      <c r="P563" t="s">
        <v>62</v>
      </c>
      <c r="Q563">
        <v>577.05999999999995</v>
      </c>
      <c r="R563" t="s">
        <v>25</v>
      </c>
      <c r="S563">
        <v>2.3751083076283228</v>
      </c>
      <c r="T563" t="s">
        <v>78</v>
      </c>
    </row>
    <row r="564" spans="1:20" x14ac:dyDescent="0.25">
      <c r="A564" s="11">
        <v>45051</v>
      </c>
      <c r="B564" t="s">
        <v>35</v>
      </c>
      <c r="C564" t="s">
        <v>36</v>
      </c>
      <c r="D564" t="s">
        <v>19</v>
      </c>
      <c r="E564" t="s">
        <v>20</v>
      </c>
      <c r="F564">
        <v>532</v>
      </c>
      <c r="G564">
        <v>6.71</v>
      </c>
      <c r="H564">
        <v>3569.72</v>
      </c>
      <c r="I564" t="s">
        <v>55</v>
      </c>
      <c r="J564" t="s">
        <v>47</v>
      </c>
      <c r="K564" t="s">
        <v>41</v>
      </c>
      <c r="L564">
        <v>2994.51</v>
      </c>
      <c r="M564">
        <v>16.100000000000001</v>
      </c>
      <c r="N564">
        <v>2023</v>
      </c>
      <c r="O564">
        <v>2</v>
      </c>
      <c r="P564" t="s">
        <v>64</v>
      </c>
      <c r="Q564">
        <v>575.21</v>
      </c>
      <c r="R564" t="s">
        <v>29</v>
      </c>
      <c r="S564">
        <v>5.2059421776394705</v>
      </c>
      <c r="T564" t="s">
        <v>78</v>
      </c>
    </row>
    <row r="565" spans="1:20" x14ac:dyDescent="0.25">
      <c r="A565" s="11">
        <v>44965</v>
      </c>
      <c r="B565" t="s">
        <v>30</v>
      </c>
      <c r="C565" t="s">
        <v>31</v>
      </c>
      <c r="D565" t="s">
        <v>32</v>
      </c>
      <c r="E565" t="s">
        <v>20</v>
      </c>
      <c r="F565">
        <v>574</v>
      </c>
      <c r="G565">
        <v>4.6900000000000004</v>
      </c>
      <c r="H565">
        <v>2692.06</v>
      </c>
      <c r="I565" t="s">
        <v>39</v>
      </c>
      <c r="J565" t="s">
        <v>47</v>
      </c>
      <c r="K565" t="s">
        <v>41</v>
      </c>
      <c r="L565">
        <v>2117.3000000000002</v>
      </c>
      <c r="M565">
        <v>21.4</v>
      </c>
      <c r="N565">
        <v>2023</v>
      </c>
      <c r="O565">
        <v>1</v>
      </c>
      <c r="P565" t="s">
        <v>60</v>
      </c>
      <c r="Q565">
        <v>574.76</v>
      </c>
      <c r="R565" t="s">
        <v>29</v>
      </c>
      <c r="S565">
        <v>3.6837984550073077</v>
      </c>
      <c r="T565" t="s">
        <v>78</v>
      </c>
    </row>
    <row r="566" spans="1:20" x14ac:dyDescent="0.25">
      <c r="A566" s="11">
        <v>44976</v>
      </c>
      <c r="B566" t="s">
        <v>51</v>
      </c>
      <c r="C566" t="s">
        <v>52</v>
      </c>
      <c r="D566" t="s">
        <v>53</v>
      </c>
      <c r="E566" t="s">
        <v>50</v>
      </c>
      <c r="F566">
        <v>415</v>
      </c>
      <c r="G566">
        <v>6.2</v>
      </c>
      <c r="H566">
        <v>2573</v>
      </c>
      <c r="I566" t="s">
        <v>54</v>
      </c>
      <c r="J566" t="s">
        <v>22</v>
      </c>
      <c r="K566" t="s">
        <v>23</v>
      </c>
      <c r="L566">
        <v>1999.13</v>
      </c>
      <c r="M566">
        <v>22.3</v>
      </c>
      <c r="N566">
        <v>2023</v>
      </c>
      <c r="O566">
        <v>1</v>
      </c>
      <c r="P566" t="s">
        <v>60</v>
      </c>
      <c r="Q566">
        <v>573.87</v>
      </c>
      <c r="R566" t="s">
        <v>29</v>
      </c>
      <c r="S566">
        <v>3.4835938452959732</v>
      </c>
      <c r="T566" t="s">
        <v>78</v>
      </c>
    </row>
    <row r="567" spans="1:20" x14ac:dyDescent="0.25">
      <c r="A567" s="11">
        <v>45117</v>
      </c>
      <c r="B567" t="s">
        <v>51</v>
      </c>
      <c r="C567" t="s">
        <v>52</v>
      </c>
      <c r="D567" t="s">
        <v>45</v>
      </c>
      <c r="E567" t="s">
        <v>20</v>
      </c>
      <c r="F567">
        <v>738</v>
      </c>
      <c r="G567">
        <v>2.5299999999999998</v>
      </c>
      <c r="H567">
        <v>1867.14</v>
      </c>
      <c r="I567" t="s">
        <v>57</v>
      </c>
      <c r="J567" t="s">
        <v>56</v>
      </c>
      <c r="K567" t="s">
        <v>28</v>
      </c>
      <c r="L567">
        <v>1293.73</v>
      </c>
      <c r="M567">
        <v>30.7</v>
      </c>
      <c r="N567">
        <v>2024</v>
      </c>
      <c r="O567">
        <v>3</v>
      </c>
      <c r="P567" t="s">
        <v>64</v>
      </c>
      <c r="Q567">
        <v>573.41</v>
      </c>
      <c r="R567" t="s">
        <v>25</v>
      </c>
      <c r="S567">
        <v>2.256204112240805</v>
      </c>
      <c r="T567" t="s">
        <v>78</v>
      </c>
    </row>
    <row r="568" spans="1:20" x14ac:dyDescent="0.25">
      <c r="A568" s="11">
        <v>45039</v>
      </c>
      <c r="B568" t="s">
        <v>35</v>
      </c>
      <c r="C568" t="s">
        <v>36</v>
      </c>
      <c r="D568" t="s">
        <v>53</v>
      </c>
      <c r="E568" t="s">
        <v>50</v>
      </c>
      <c r="F568">
        <v>929</v>
      </c>
      <c r="G568">
        <v>2.04</v>
      </c>
      <c r="H568">
        <v>1895.16</v>
      </c>
      <c r="I568" t="s">
        <v>46</v>
      </c>
      <c r="J568" t="s">
        <v>34</v>
      </c>
      <c r="K568" t="s">
        <v>23</v>
      </c>
      <c r="L568">
        <v>1322.03</v>
      </c>
      <c r="M568">
        <v>30.2</v>
      </c>
      <c r="N568">
        <v>2023</v>
      </c>
      <c r="O568">
        <v>2</v>
      </c>
      <c r="P568" t="s">
        <v>63</v>
      </c>
      <c r="Q568">
        <v>573.13</v>
      </c>
      <c r="R568" t="s">
        <v>25</v>
      </c>
      <c r="S568">
        <v>2.3066843473557483</v>
      </c>
      <c r="T568" t="s">
        <v>78</v>
      </c>
    </row>
    <row r="569" spans="1:20" x14ac:dyDescent="0.25">
      <c r="A569" s="11">
        <v>45039</v>
      </c>
      <c r="B569" t="s">
        <v>30</v>
      </c>
      <c r="C569" t="s">
        <v>31</v>
      </c>
      <c r="D569" t="s">
        <v>48</v>
      </c>
      <c r="E569" t="s">
        <v>38</v>
      </c>
      <c r="F569">
        <v>428</v>
      </c>
      <c r="G569">
        <v>11.57</v>
      </c>
      <c r="H569">
        <v>4951.96</v>
      </c>
      <c r="I569" t="s">
        <v>26</v>
      </c>
      <c r="J569" t="s">
        <v>47</v>
      </c>
      <c r="K569" t="s">
        <v>41</v>
      </c>
      <c r="L569">
        <v>4379.59</v>
      </c>
      <c r="M569">
        <v>11.6</v>
      </c>
      <c r="N569">
        <v>2023</v>
      </c>
      <c r="O569">
        <v>2</v>
      </c>
      <c r="P569" t="s">
        <v>63</v>
      </c>
      <c r="Q569">
        <v>572.37</v>
      </c>
      <c r="R569" t="s">
        <v>29</v>
      </c>
      <c r="S569">
        <v>7.6516763631916422</v>
      </c>
      <c r="T569" t="s">
        <v>78</v>
      </c>
    </row>
    <row r="570" spans="1:20" x14ac:dyDescent="0.25">
      <c r="A570" s="11">
        <v>44952</v>
      </c>
      <c r="B570" t="s">
        <v>51</v>
      </c>
      <c r="C570" t="s">
        <v>52</v>
      </c>
      <c r="D570" t="s">
        <v>48</v>
      </c>
      <c r="E570" t="s">
        <v>38</v>
      </c>
      <c r="F570">
        <v>874</v>
      </c>
      <c r="G570">
        <v>2.67</v>
      </c>
      <c r="H570">
        <v>2333.58</v>
      </c>
      <c r="I570" t="s">
        <v>21</v>
      </c>
      <c r="J570" t="s">
        <v>47</v>
      </c>
      <c r="K570" t="s">
        <v>23</v>
      </c>
      <c r="L570">
        <v>1764.71</v>
      </c>
      <c r="M570">
        <v>24.4</v>
      </c>
      <c r="N570">
        <v>2023</v>
      </c>
      <c r="O570">
        <v>1</v>
      </c>
      <c r="P570" t="s">
        <v>24</v>
      </c>
      <c r="Q570">
        <v>568.87</v>
      </c>
      <c r="R570" t="s">
        <v>29</v>
      </c>
      <c r="S570">
        <v>3.102132297361436</v>
      </c>
      <c r="T570" t="s">
        <v>78</v>
      </c>
    </row>
    <row r="571" spans="1:20" x14ac:dyDescent="0.25">
      <c r="A571" s="11">
        <v>45124</v>
      </c>
      <c r="B571" t="s">
        <v>35</v>
      </c>
      <c r="C571" t="s">
        <v>36</v>
      </c>
      <c r="D571" t="s">
        <v>48</v>
      </c>
      <c r="E571" t="s">
        <v>38</v>
      </c>
      <c r="F571">
        <v>425</v>
      </c>
      <c r="G571">
        <v>8.31</v>
      </c>
      <c r="H571">
        <v>3531.75</v>
      </c>
      <c r="I571" t="s">
        <v>26</v>
      </c>
      <c r="J571" t="s">
        <v>56</v>
      </c>
      <c r="K571" t="s">
        <v>41</v>
      </c>
      <c r="L571">
        <v>2964.57</v>
      </c>
      <c r="M571">
        <v>16.100000000000001</v>
      </c>
      <c r="N571">
        <v>2024</v>
      </c>
      <c r="O571">
        <v>3</v>
      </c>
      <c r="P571" t="s">
        <v>68</v>
      </c>
      <c r="Q571">
        <v>567.17999999999995</v>
      </c>
      <c r="R571" t="s">
        <v>29</v>
      </c>
      <c r="S571">
        <v>5.2268591981381576</v>
      </c>
      <c r="T571" t="s">
        <v>78</v>
      </c>
    </row>
    <row r="572" spans="1:20" x14ac:dyDescent="0.25">
      <c r="A572" s="11">
        <v>45109</v>
      </c>
      <c r="B572" t="s">
        <v>35</v>
      </c>
      <c r="C572" t="s">
        <v>36</v>
      </c>
      <c r="D572" t="s">
        <v>49</v>
      </c>
      <c r="E572" t="s">
        <v>50</v>
      </c>
      <c r="F572">
        <v>889</v>
      </c>
      <c r="G572">
        <v>4.43</v>
      </c>
      <c r="H572">
        <v>3938.27</v>
      </c>
      <c r="I572" t="s">
        <v>46</v>
      </c>
      <c r="J572" t="s">
        <v>40</v>
      </c>
      <c r="K572" t="s">
        <v>41</v>
      </c>
      <c r="L572">
        <v>3373.24</v>
      </c>
      <c r="M572">
        <v>14.3</v>
      </c>
      <c r="N572">
        <v>2024</v>
      </c>
      <c r="O572">
        <v>3</v>
      </c>
      <c r="P572" t="s">
        <v>61</v>
      </c>
      <c r="Q572">
        <v>565.03</v>
      </c>
      <c r="R572" t="s">
        <v>29</v>
      </c>
      <c r="S572">
        <v>5.9700192910110967</v>
      </c>
      <c r="T572" t="s">
        <v>78</v>
      </c>
    </row>
    <row r="573" spans="1:20" x14ac:dyDescent="0.25">
      <c r="A573" s="11">
        <v>45027</v>
      </c>
      <c r="B573" t="s">
        <v>58</v>
      </c>
      <c r="C573" t="s">
        <v>59</v>
      </c>
      <c r="D573" t="s">
        <v>19</v>
      </c>
      <c r="E573" t="s">
        <v>20</v>
      </c>
      <c r="F573">
        <v>654</v>
      </c>
      <c r="G573">
        <v>2.1800000000000002</v>
      </c>
      <c r="H573">
        <v>1425.72</v>
      </c>
      <c r="I573" t="s">
        <v>54</v>
      </c>
      <c r="J573" t="s">
        <v>47</v>
      </c>
      <c r="K573" t="s">
        <v>23</v>
      </c>
      <c r="L573">
        <v>862.11</v>
      </c>
      <c r="M573">
        <v>39.5</v>
      </c>
      <c r="N573">
        <v>2023</v>
      </c>
      <c r="O573">
        <v>2</v>
      </c>
      <c r="P573" t="s">
        <v>63</v>
      </c>
      <c r="Q573">
        <v>563.61</v>
      </c>
      <c r="R573" t="s">
        <v>25</v>
      </c>
      <c r="S573">
        <v>1.5296215468142864</v>
      </c>
      <c r="T573" t="s">
        <v>78</v>
      </c>
    </row>
    <row r="574" spans="1:20" x14ac:dyDescent="0.25">
      <c r="A574" s="11">
        <v>44986</v>
      </c>
      <c r="B574" t="s">
        <v>51</v>
      </c>
      <c r="C574" t="s">
        <v>52</v>
      </c>
      <c r="D574" t="s">
        <v>19</v>
      </c>
      <c r="E574" t="s">
        <v>20</v>
      </c>
      <c r="F574">
        <v>124</v>
      </c>
      <c r="G574">
        <v>11.8</v>
      </c>
      <c r="H574">
        <v>1463.2</v>
      </c>
      <c r="I574" t="s">
        <v>21</v>
      </c>
      <c r="J574" t="s">
        <v>22</v>
      </c>
      <c r="K574" t="s">
        <v>28</v>
      </c>
      <c r="L574">
        <v>901.38</v>
      </c>
      <c r="M574">
        <v>38.4</v>
      </c>
      <c r="N574">
        <v>2023</v>
      </c>
      <c r="O574">
        <v>1</v>
      </c>
      <c r="P574" t="s">
        <v>61</v>
      </c>
      <c r="Q574">
        <v>561.82000000000005</v>
      </c>
      <c r="R574" t="s">
        <v>25</v>
      </c>
      <c r="S574">
        <v>1.6043928660425046</v>
      </c>
      <c r="T574" t="s">
        <v>78</v>
      </c>
    </row>
    <row r="575" spans="1:20" x14ac:dyDescent="0.25">
      <c r="A575" s="11">
        <v>44933</v>
      </c>
      <c r="B575" t="s">
        <v>51</v>
      </c>
      <c r="C575" t="s">
        <v>52</v>
      </c>
      <c r="D575" t="s">
        <v>45</v>
      </c>
      <c r="E575" t="s">
        <v>20</v>
      </c>
      <c r="F575">
        <v>855</v>
      </c>
      <c r="G575">
        <v>2.88</v>
      </c>
      <c r="H575">
        <v>2462.4</v>
      </c>
      <c r="I575" t="s">
        <v>54</v>
      </c>
      <c r="J575" t="s">
        <v>47</v>
      </c>
      <c r="K575" t="s">
        <v>28</v>
      </c>
      <c r="L575">
        <v>1901.38</v>
      </c>
      <c r="M575">
        <v>22.8</v>
      </c>
      <c r="N575">
        <v>2023</v>
      </c>
      <c r="O575">
        <v>1</v>
      </c>
      <c r="P575" t="s">
        <v>24</v>
      </c>
      <c r="Q575">
        <v>561.02</v>
      </c>
      <c r="R575" t="s">
        <v>29</v>
      </c>
      <c r="S575">
        <v>3.3891483369576845</v>
      </c>
      <c r="T575" t="s">
        <v>78</v>
      </c>
    </row>
    <row r="576" spans="1:20" x14ac:dyDescent="0.25">
      <c r="A576" s="11">
        <v>44981</v>
      </c>
      <c r="B576" t="s">
        <v>51</v>
      </c>
      <c r="C576" t="s">
        <v>52</v>
      </c>
      <c r="D576" t="s">
        <v>53</v>
      </c>
      <c r="E576" t="s">
        <v>50</v>
      </c>
      <c r="F576">
        <v>720</v>
      </c>
      <c r="G576">
        <v>2.4</v>
      </c>
      <c r="H576">
        <v>1728</v>
      </c>
      <c r="I576" t="s">
        <v>55</v>
      </c>
      <c r="J576" t="s">
        <v>47</v>
      </c>
      <c r="K576" t="s">
        <v>41</v>
      </c>
      <c r="L576">
        <v>1167.08</v>
      </c>
      <c r="M576">
        <v>32.5</v>
      </c>
      <c r="N576">
        <v>2023</v>
      </c>
      <c r="O576">
        <v>1</v>
      </c>
      <c r="P576" t="s">
        <v>61</v>
      </c>
      <c r="Q576">
        <v>560.91999999999996</v>
      </c>
      <c r="R576" t="s">
        <v>25</v>
      </c>
      <c r="S576">
        <v>2.080653212579334</v>
      </c>
      <c r="T576" t="s">
        <v>78</v>
      </c>
    </row>
    <row r="577" spans="1:20" x14ac:dyDescent="0.25">
      <c r="A577" s="11">
        <v>44987</v>
      </c>
      <c r="B577" t="s">
        <v>42</v>
      </c>
      <c r="C577" t="s">
        <v>43</v>
      </c>
      <c r="D577" t="s">
        <v>44</v>
      </c>
      <c r="E577" t="s">
        <v>38</v>
      </c>
      <c r="F577">
        <v>594</v>
      </c>
      <c r="G577">
        <v>3.01</v>
      </c>
      <c r="H577">
        <v>1787.94</v>
      </c>
      <c r="I577" t="s">
        <v>26</v>
      </c>
      <c r="J577" t="s">
        <v>47</v>
      </c>
      <c r="K577" t="s">
        <v>23</v>
      </c>
      <c r="L577">
        <v>1227.8900000000001</v>
      </c>
      <c r="M577">
        <v>31.3</v>
      </c>
      <c r="N577">
        <v>2023</v>
      </c>
      <c r="O577">
        <v>1</v>
      </c>
      <c r="P577" t="s">
        <v>61</v>
      </c>
      <c r="Q577">
        <v>560.04999999999995</v>
      </c>
      <c r="R577" t="s">
        <v>25</v>
      </c>
      <c r="S577">
        <v>2.19246495848585</v>
      </c>
      <c r="T577" t="s">
        <v>78</v>
      </c>
    </row>
    <row r="578" spans="1:20" x14ac:dyDescent="0.25">
      <c r="A578" s="11">
        <v>45079</v>
      </c>
      <c r="B578" t="s">
        <v>30</v>
      </c>
      <c r="C578" t="s">
        <v>31</v>
      </c>
      <c r="D578" t="s">
        <v>49</v>
      </c>
      <c r="E578" t="s">
        <v>50</v>
      </c>
      <c r="F578">
        <v>678</v>
      </c>
      <c r="G578">
        <v>7.78</v>
      </c>
      <c r="H578">
        <v>5274.84</v>
      </c>
      <c r="I578" t="s">
        <v>55</v>
      </c>
      <c r="J578" t="s">
        <v>56</v>
      </c>
      <c r="K578" t="s">
        <v>28</v>
      </c>
      <c r="L578">
        <v>4716.5600000000004</v>
      </c>
      <c r="M578">
        <v>10.6</v>
      </c>
      <c r="N578">
        <v>2023</v>
      </c>
      <c r="O578">
        <v>2</v>
      </c>
      <c r="P578" t="s">
        <v>68</v>
      </c>
      <c r="Q578">
        <v>558.28</v>
      </c>
      <c r="R578" t="s">
        <v>29</v>
      </c>
      <c r="S578">
        <v>8.4483771584151341</v>
      </c>
      <c r="T578" t="s">
        <v>78</v>
      </c>
    </row>
    <row r="579" spans="1:20" x14ac:dyDescent="0.25">
      <c r="A579" s="11">
        <v>45052</v>
      </c>
      <c r="B579" t="s">
        <v>51</v>
      </c>
      <c r="C579" t="s">
        <v>52</v>
      </c>
      <c r="D579" t="s">
        <v>53</v>
      </c>
      <c r="E579" t="s">
        <v>50</v>
      </c>
      <c r="F579">
        <v>404</v>
      </c>
      <c r="G579">
        <v>8.56</v>
      </c>
      <c r="H579">
        <v>3458.24</v>
      </c>
      <c r="I579" t="s">
        <v>33</v>
      </c>
      <c r="J579" t="s">
        <v>56</v>
      </c>
      <c r="K579" t="s">
        <v>28</v>
      </c>
      <c r="L579">
        <v>2900.35</v>
      </c>
      <c r="M579">
        <v>16.100000000000001</v>
      </c>
      <c r="N579">
        <v>2023</v>
      </c>
      <c r="O579">
        <v>2</v>
      </c>
      <c r="P579" t="s">
        <v>65</v>
      </c>
      <c r="Q579">
        <v>557.89</v>
      </c>
      <c r="R579" t="s">
        <v>29</v>
      </c>
      <c r="S579">
        <v>5.1987847066626038</v>
      </c>
      <c r="T579" t="s">
        <v>78</v>
      </c>
    </row>
    <row r="580" spans="1:20" x14ac:dyDescent="0.25">
      <c r="A580" s="11">
        <v>44973</v>
      </c>
      <c r="B580" t="s">
        <v>42</v>
      </c>
      <c r="C580" t="s">
        <v>43</v>
      </c>
      <c r="D580" t="s">
        <v>49</v>
      </c>
      <c r="E580" t="s">
        <v>50</v>
      </c>
      <c r="F580">
        <v>331</v>
      </c>
      <c r="G580">
        <v>4.79</v>
      </c>
      <c r="H580">
        <v>1585.49</v>
      </c>
      <c r="I580" t="s">
        <v>54</v>
      </c>
      <c r="J580" t="s">
        <v>47</v>
      </c>
      <c r="K580" t="s">
        <v>23</v>
      </c>
      <c r="L580">
        <v>1027.9000000000001</v>
      </c>
      <c r="M580">
        <v>35.200000000000003</v>
      </c>
      <c r="N580">
        <v>2023</v>
      </c>
      <c r="O580">
        <v>1</v>
      </c>
      <c r="P580" t="s">
        <v>60</v>
      </c>
      <c r="Q580">
        <v>557.59</v>
      </c>
      <c r="R580" t="s">
        <v>25</v>
      </c>
      <c r="S580">
        <v>1.8434692157319894</v>
      </c>
      <c r="T580" t="s">
        <v>78</v>
      </c>
    </row>
    <row r="581" spans="1:20" x14ac:dyDescent="0.25">
      <c r="A581" s="11">
        <v>44955</v>
      </c>
      <c r="B581" t="s">
        <v>42</v>
      </c>
      <c r="C581" t="s">
        <v>43</v>
      </c>
      <c r="D581" t="s">
        <v>49</v>
      </c>
      <c r="E581" t="s">
        <v>50</v>
      </c>
      <c r="F581">
        <v>943</v>
      </c>
      <c r="G581">
        <v>2.09</v>
      </c>
      <c r="H581">
        <v>1970.87</v>
      </c>
      <c r="I581" t="s">
        <v>57</v>
      </c>
      <c r="J581" t="s">
        <v>22</v>
      </c>
      <c r="K581" t="s">
        <v>41</v>
      </c>
      <c r="L581">
        <v>1413.35</v>
      </c>
      <c r="M581">
        <v>28.3</v>
      </c>
      <c r="N581">
        <v>2023</v>
      </c>
      <c r="O581">
        <v>1</v>
      </c>
      <c r="P581" t="s">
        <v>60</v>
      </c>
      <c r="Q581">
        <v>557.52</v>
      </c>
      <c r="R581" t="s">
        <v>25</v>
      </c>
      <c r="S581">
        <v>2.5350660066006601</v>
      </c>
      <c r="T581" t="s">
        <v>78</v>
      </c>
    </row>
    <row r="582" spans="1:20" x14ac:dyDescent="0.25">
      <c r="A582" s="11">
        <v>45053</v>
      </c>
      <c r="B582" t="s">
        <v>51</v>
      </c>
      <c r="C582" t="s">
        <v>52</v>
      </c>
      <c r="D582" t="s">
        <v>45</v>
      </c>
      <c r="E582" t="s">
        <v>20</v>
      </c>
      <c r="F582">
        <v>488</v>
      </c>
      <c r="G582">
        <v>8.7799999999999994</v>
      </c>
      <c r="H582">
        <v>4284.6400000000003</v>
      </c>
      <c r="I582" t="s">
        <v>21</v>
      </c>
      <c r="J582" t="s">
        <v>27</v>
      </c>
      <c r="K582" t="s">
        <v>28</v>
      </c>
      <c r="L582">
        <v>3728.79</v>
      </c>
      <c r="M582">
        <v>13</v>
      </c>
      <c r="N582">
        <v>2023</v>
      </c>
      <c r="O582">
        <v>2</v>
      </c>
      <c r="P582" t="s">
        <v>65</v>
      </c>
      <c r="Q582">
        <v>555.85</v>
      </c>
      <c r="R582" t="s">
        <v>29</v>
      </c>
      <c r="S582">
        <v>6.7082666186920932</v>
      </c>
      <c r="T582" t="s">
        <v>78</v>
      </c>
    </row>
    <row r="583" spans="1:20" x14ac:dyDescent="0.25">
      <c r="A583" s="11">
        <v>44953</v>
      </c>
      <c r="B583" t="s">
        <v>35</v>
      </c>
      <c r="C583" t="s">
        <v>36</v>
      </c>
      <c r="D583" t="s">
        <v>53</v>
      </c>
      <c r="E583" t="s">
        <v>50</v>
      </c>
      <c r="F583">
        <v>635</v>
      </c>
      <c r="G583">
        <v>3.18</v>
      </c>
      <c r="H583">
        <v>2019.3</v>
      </c>
      <c r="I583" t="s">
        <v>57</v>
      </c>
      <c r="J583" t="s">
        <v>22</v>
      </c>
      <c r="K583" t="s">
        <v>41</v>
      </c>
      <c r="L583">
        <v>1464.69</v>
      </c>
      <c r="M583">
        <v>27.5</v>
      </c>
      <c r="N583">
        <v>2023</v>
      </c>
      <c r="O583">
        <v>1</v>
      </c>
      <c r="P583" t="s">
        <v>24</v>
      </c>
      <c r="Q583">
        <v>554.61</v>
      </c>
      <c r="R583" t="s">
        <v>25</v>
      </c>
      <c r="S583">
        <v>2.6409368745605022</v>
      </c>
      <c r="T583" t="s">
        <v>78</v>
      </c>
    </row>
    <row r="584" spans="1:20" x14ac:dyDescent="0.25">
      <c r="A584" s="11">
        <v>44940</v>
      </c>
      <c r="B584" t="s">
        <v>17</v>
      </c>
      <c r="C584" t="s">
        <v>18</v>
      </c>
      <c r="D584" t="s">
        <v>19</v>
      </c>
      <c r="E584" t="s">
        <v>20</v>
      </c>
      <c r="F584">
        <v>890</v>
      </c>
      <c r="G584">
        <v>2.2599999999999998</v>
      </c>
      <c r="H584">
        <v>2011.4</v>
      </c>
      <c r="I584" t="s">
        <v>21</v>
      </c>
      <c r="J584" t="s">
        <v>47</v>
      </c>
      <c r="K584" t="s">
        <v>41</v>
      </c>
      <c r="L584">
        <v>1459.07</v>
      </c>
      <c r="M584">
        <v>27.5</v>
      </c>
      <c r="N584">
        <v>2023</v>
      </c>
      <c r="O584">
        <v>1</v>
      </c>
      <c r="P584" t="s">
        <v>24</v>
      </c>
      <c r="Q584">
        <v>552.33000000000004</v>
      </c>
      <c r="R584" t="s">
        <v>25</v>
      </c>
      <c r="S584">
        <v>2.6416634982709608</v>
      </c>
      <c r="T584" t="s">
        <v>78</v>
      </c>
    </row>
    <row r="585" spans="1:20" x14ac:dyDescent="0.25">
      <c r="A585" s="11">
        <v>44947</v>
      </c>
      <c r="B585" t="s">
        <v>30</v>
      </c>
      <c r="C585" t="s">
        <v>31</v>
      </c>
      <c r="D585" t="s">
        <v>45</v>
      </c>
      <c r="E585" t="s">
        <v>20</v>
      </c>
      <c r="F585">
        <v>750</v>
      </c>
      <c r="G585">
        <v>6.32</v>
      </c>
      <c r="H585">
        <v>4740</v>
      </c>
      <c r="I585" t="s">
        <v>26</v>
      </c>
      <c r="J585" t="s">
        <v>56</v>
      </c>
      <c r="K585" t="s">
        <v>23</v>
      </c>
      <c r="L585">
        <v>4190.1400000000003</v>
      </c>
      <c r="M585">
        <v>11.6</v>
      </c>
      <c r="N585">
        <v>2023</v>
      </c>
      <c r="O585">
        <v>1</v>
      </c>
      <c r="P585" t="s">
        <v>24</v>
      </c>
      <c r="Q585">
        <v>549.86</v>
      </c>
      <c r="R585" t="s">
        <v>29</v>
      </c>
      <c r="S585">
        <v>7.6203760957334596</v>
      </c>
      <c r="T585" t="s">
        <v>78</v>
      </c>
    </row>
    <row r="586" spans="1:20" x14ac:dyDescent="0.25">
      <c r="A586" s="11">
        <v>45031</v>
      </c>
      <c r="B586" t="s">
        <v>17</v>
      </c>
      <c r="C586" t="s">
        <v>18</v>
      </c>
      <c r="D586" t="s">
        <v>19</v>
      </c>
      <c r="E586" t="s">
        <v>20</v>
      </c>
      <c r="F586">
        <v>546</v>
      </c>
      <c r="G586">
        <v>8.0500000000000007</v>
      </c>
      <c r="H586">
        <v>4395.3</v>
      </c>
      <c r="I586" t="s">
        <v>21</v>
      </c>
      <c r="J586" t="s">
        <v>47</v>
      </c>
      <c r="K586" t="s">
        <v>28</v>
      </c>
      <c r="L586">
        <v>3846.36</v>
      </c>
      <c r="M586">
        <v>12.5</v>
      </c>
      <c r="N586">
        <v>2023</v>
      </c>
      <c r="O586">
        <v>2</v>
      </c>
      <c r="P586" t="s">
        <v>63</v>
      </c>
      <c r="Q586">
        <v>548.94000000000005</v>
      </c>
      <c r="R586" t="s">
        <v>29</v>
      </c>
      <c r="S586">
        <v>7.0068859984697776</v>
      </c>
      <c r="T586" t="s">
        <v>78</v>
      </c>
    </row>
    <row r="587" spans="1:20" x14ac:dyDescent="0.25">
      <c r="A587" s="11">
        <v>45105</v>
      </c>
      <c r="B587" t="s">
        <v>17</v>
      </c>
      <c r="C587" t="s">
        <v>18</v>
      </c>
      <c r="D587" t="s">
        <v>45</v>
      </c>
      <c r="E587" t="s">
        <v>20</v>
      </c>
      <c r="F587">
        <v>329</v>
      </c>
      <c r="G587">
        <v>9</v>
      </c>
      <c r="H587">
        <v>2961</v>
      </c>
      <c r="I587" t="s">
        <v>33</v>
      </c>
      <c r="J587" t="s">
        <v>22</v>
      </c>
      <c r="K587" t="s">
        <v>23</v>
      </c>
      <c r="L587">
        <v>2413.8200000000002</v>
      </c>
      <c r="M587">
        <v>18.5</v>
      </c>
      <c r="N587">
        <v>2024</v>
      </c>
      <c r="O587">
        <v>2</v>
      </c>
      <c r="P587" t="s">
        <v>60</v>
      </c>
      <c r="Q587">
        <v>547.17999999999995</v>
      </c>
      <c r="R587" t="s">
        <v>29</v>
      </c>
      <c r="S587">
        <v>4.4113819949559563</v>
      </c>
      <c r="T587" t="s">
        <v>78</v>
      </c>
    </row>
    <row r="588" spans="1:20" x14ac:dyDescent="0.25">
      <c r="A588" s="11">
        <v>44943</v>
      </c>
      <c r="B588" t="s">
        <v>42</v>
      </c>
      <c r="C588" t="s">
        <v>43</v>
      </c>
      <c r="D588" t="s">
        <v>32</v>
      </c>
      <c r="E588" t="s">
        <v>20</v>
      </c>
      <c r="F588">
        <v>526</v>
      </c>
      <c r="G588">
        <v>7.81</v>
      </c>
      <c r="H588">
        <v>4108.0600000000004</v>
      </c>
      <c r="I588" t="s">
        <v>26</v>
      </c>
      <c r="J588" t="s">
        <v>56</v>
      </c>
      <c r="K588" t="s">
        <v>28</v>
      </c>
      <c r="L588">
        <v>3561.21</v>
      </c>
      <c r="M588">
        <v>13.3</v>
      </c>
      <c r="N588">
        <v>2023</v>
      </c>
      <c r="O588">
        <v>1</v>
      </c>
      <c r="P588" t="s">
        <v>24</v>
      </c>
      <c r="Q588">
        <v>546.85</v>
      </c>
      <c r="R588" t="s">
        <v>29</v>
      </c>
      <c r="S588">
        <v>6.5122245588369756</v>
      </c>
      <c r="T588" t="s">
        <v>78</v>
      </c>
    </row>
    <row r="589" spans="1:20" x14ac:dyDescent="0.25">
      <c r="A589" s="11">
        <v>45042</v>
      </c>
      <c r="B589" t="s">
        <v>58</v>
      </c>
      <c r="C589" t="s">
        <v>59</v>
      </c>
      <c r="D589" t="s">
        <v>48</v>
      </c>
      <c r="E589" t="s">
        <v>38</v>
      </c>
      <c r="F589">
        <v>461</v>
      </c>
      <c r="G589">
        <v>6.16</v>
      </c>
      <c r="H589">
        <v>2839.76</v>
      </c>
      <c r="I589" t="s">
        <v>33</v>
      </c>
      <c r="J589" t="s">
        <v>34</v>
      </c>
      <c r="K589" t="s">
        <v>41</v>
      </c>
      <c r="L589">
        <v>2293.4899999999998</v>
      </c>
      <c r="M589">
        <v>19.2</v>
      </c>
      <c r="N589">
        <v>2023</v>
      </c>
      <c r="O589">
        <v>2</v>
      </c>
      <c r="P589" t="s">
        <v>64</v>
      </c>
      <c r="Q589">
        <v>546.27</v>
      </c>
      <c r="R589" t="s">
        <v>29</v>
      </c>
      <c r="S589">
        <v>4.1984549764768335</v>
      </c>
      <c r="T589" t="s">
        <v>78</v>
      </c>
    </row>
    <row r="590" spans="1:20" x14ac:dyDescent="0.25">
      <c r="A590" s="11">
        <v>44945</v>
      </c>
      <c r="B590" t="s">
        <v>35</v>
      </c>
      <c r="C590" t="s">
        <v>36</v>
      </c>
      <c r="D590" t="s">
        <v>45</v>
      </c>
      <c r="E590" t="s">
        <v>20</v>
      </c>
      <c r="F590">
        <v>527</v>
      </c>
      <c r="G590">
        <v>3.23</v>
      </c>
      <c r="H590">
        <v>1702.21</v>
      </c>
      <c r="I590" t="s">
        <v>55</v>
      </c>
      <c r="J590" t="s">
        <v>22</v>
      </c>
      <c r="K590" t="s">
        <v>23</v>
      </c>
      <c r="L590">
        <v>1157.21</v>
      </c>
      <c r="M590">
        <v>32</v>
      </c>
      <c r="N590">
        <v>2023</v>
      </c>
      <c r="O590">
        <v>1</v>
      </c>
      <c r="P590" t="s">
        <v>24</v>
      </c>
      <c r="Q590">
        <v>545</v>
      </c>
      <c r="R590" t="s">
        <v>25</v>
      </c>
      <c r="S590">
        <v>2.1233211009174311</v>
      </c>
      <c r="T590" t="s">
        <v>78</v>
      </c>
    </row>
    <row r="591" spans="1:20" x14ac:dyDescent="0.25">
      <c r="A591" s="11">
        <v>45125</v>
      </c>
      <c r="B591" t="s">
        <v>35</v>
      </c>
      <c r="C591" t="s">
        <v>36</v>
      </c>
      <c r="D591" t="s">
        <v>53</v>
      </c>
      <c r="E591" t="s">
        <v>50</v>
      </c>
      <c r="F591">
        <v>619</v>
      </c>
      <c r="G591">
        <v>2.77</v>
      </c>
      <c r="H591">
        <v>1714.63</v>
      </c>
      <c r="I591" t="s">
        <v>26</v>
      </c>
      <c r="J591" t="s">
        <v>47</v>
      </c>
      <c r="K591" t="s">
        <v>41</v>
      </c>
      <c r="L591">
        <v>1169.94</v>
      </c>
      <c r="M591">
        <v>31.8</v>
      </c>
      <c r="N591">
        <v>2024</v>
      </c>
      <c r="O591">
        <v>3</v>
      </c>
      <c r="P591" t="s">
        <v>69</v>
      </c>
      <c r="Q591">
        <v>544.69000000000005</v>
      </c>
      <c r="R591" t="s">
        <v>25</v>
      </c>
      <c r="S591">
        <v>2.1479006407314252</v>
      </c>
      <c r="T591" t="s">
        <v>78</v>
      </c>
    </row>
    <row r="592" spans="1:20" x14ac:dyDescent="0.25">
      <c r="A592" s="11">
        <v>45038</v>
      </c>
      <c r="B592" t="s">
        <v>30</v>
      </c>
      <c r="C592" t="s">
        <v>31</v>
      </c>
      <c r="D592" t="s">
        <v>44</v>
      </c>
      <c r="E592" t="s">
        <v>38</v>
      </c>
      <c r="F592">
        <v>314</v>
      </c>
      <c r="G592">
        <v>7.15</v>
      </c>
      <c r="H592">
        <v>2245.1</v>
      </c>
      <c r="I592" t="s">
        <v>21</v>
      </c>
      <c r="J592" t="s">
        <v>47</v>
      </c>
      <c r="K592" t="s">
        <v>28</v>
      </c>
      <c r="L592">
        <v>1700.7</v>
      </c>
      <c r="M592">
        <v>24.2</v>
      </c>
      <c r="N592">
        <v>2023</v>
      </c>
      <c r="O592">
        <v>2</v>
      </c>
      <c r="P592" t="s">
        <v>63</v>
      </c>
      <c r="Q592">
        <v>544.4</v>
      </c>
      <c r="R592" t="s">
        <v>29</v>
      </c>
      <c r="S592">
        <v>3.123989713445996</v>
      </c>
      <c r="T592" t="s">
        <v>78</v>
      </c>
    </row>
    <row r="593" spans="1:20" x14ac:dyDescent="0.25">
      <c r="A593" s="11">
        <v>45081</v>
      </c>
      <c r="B593" t="s">
        <v>35</v>
      </c>
      <c r="C593" t="s">
        <v>36</v>
      </c>
      <c r="D593" t="s">
        <v>32</v>
      </c>
      <c r="E593" t="s">
        <v>20</v>
      </c>
      <c r="F593">
        <v>996</v>
      </c>
      <c r="G593">
        <v>4.05</v>
      </c>
      <c r="H593">
        <v>4033.8</v>
      </c>
      <c r="I593" t="s">
        <v>26</v>
      </c>
      <c r="J593" t="s">
        <v>40</v>
      </c>
      <c r="K593" t="s">
        <v>23</v>
      </c>
      <c r="L593">
        <v>3489.86</v>
      </c>
      <c r="M593">
        <v>13.5</v>
      </c>
      <c r="N593">
        <v>2023</v>
      </c>
      <c r="O593">
        <v>2</v>
      </c>
      <c r="P593" t="s">
        <v>68</v>
      </c>
      <c r="Q593">
        <v>543.94000000000005</v>
      </c>
      <c r="R593" t="s">
        <v>29</v>
      </c>
      <c r="S593">
        <v>6.415891458616759</v>
      </c>
      <c r="T593" t="s">
        <v>78</v>
      </c>
    </row>
    <row r="594" spans="1:20" x14ac:dyDescent="0.25">
      <c r="A594" s="11">
        <v>45102</v>
      </c>
      <c r="B594" t="s">
        <v>30</v>
      </c>
      <c r="C594" t="s">
        <v>31</v>
      </c>
      <c r="D594" t="s">
        <v>37</v>
      </c>
      <c r="E594" t="s">
        <v>38</v>
      </c>
      <c r="F594">
        <v>990</v>
      </c>
      <c r="G594">
        <v>2.94</v>
      </c>
      <c r="H594">
        <v>2910.6</v>
      </c>
      <c r="I594" t="s">
        <v>54</v>
      </c>
      <c r="J594" t="s">
        <v>40</v>
      </c>
      <c r="K594" t="s">
        <v>41</v>
      </c>
      <c r="L594">
        <v>2367.73</v>
      </c>
      <c r="M594">
        <v>18.7</v>
      </c>
      <c r="N594">
        <v>2024</v>
      </c>
      <c r="O594">
        <v>2</v>
      </c>
      <c r="P594" t="s">
        <v>24</v>
      </c>
      <c r="Q594">
        <v>542.87</v>
      </c>
      <c r="R594" t="s">
        <v>29</v>
      </c>
      <c r="S594">
        <v>4.3615045959437806</v>
      </c>
      <c r="T594" t="s">
        <v>78</v>
      </c>
    </row>
    <row r="595" spans="1:20" x14ac:dyDescent="0.25">
      <c r="A595" s="11">
        <v>44973</v>
      </c>
      <c r="B595" t="s">
        <v>30</v>
      </c>
      <c r="C595" t="s">
        <v>31</v>
      </c>
      <c r="D595" t="s">
        <v>53</v>
      </c>
      <c r="E595" t="s">
        <v>50</v>
      </c>
      <c r="F595">
        <v>137</v>
      </c>
      <c r="G595">
        <v>11.5</v>
      </c>
      <c r="H595">
        <v>1575.5</v>
      </c>
      <c r="I595" t="s">
        <v>46</v>
      </c>
      <c r="J595" t="s">
        <v>27</v>
      </c>
      <c r="K595" t="s">
        <v>41</v>
      </c>
      <c r="L595">
        <v>1033.75</v>
      </c>
      <c r="M595">
        <v>34.4</v>
      </c>
      <c r="N595">
        <v>2023</v>
      </c>
      <c r="O595">
        <v>1</v>
      </c>
      <c r="P595" t="s">
        <v>60</v>
      </c>
      <c r="Q595">
        <v>541.75</v>
      </c>
      <c r="R595" t="s">
        <v>25</v>
      </c>
      <c r="S595">
        <v>1.9081679741578219</v>
      </c>
      <c r="T595" t="s">
        <v>78</v>
      </c>
    </row>
    <row r="596" spans="1:20" x14ac:dyDescent="0.25">
      <c r="A596" s="11">
        <v>44966</v>
      </c>
      <c r="B596" t="s">
        <v>58</v>
      </c>
      <c r="C596" t="s">
        <v>59</v>
      </c>
      <c r="D596" t="s">
        <v>48</v>
      </c>
      <c r="E596" t="s">
        <v>38</v>
      </c>
      <c r="F596">
        <v>259</v>
      </c>
      <c r="G596">
        <v>5.95</v>
      </c>
      <c r="H596">
        <v>1541.05</v>
      </c>
      <c r="I596" t="s">
        <v>46</v>
      </c>
      <c r="J596" t="s">
        <v>27</v>
      </c>
      <c r="K596" t="s">
        <v>41</v>
      </c>
      <c r="L596">
        <v>999.47</v>
      </c>
      <c r="M596">
        <v>35.1</v>
      </c>
      <c r="N596">
        <v>2023</v>
      </c>
      <c r="O596">
        <v>1</v>
      </c>
      <c r="P596" t="s">
        <v>60</v>
      </c>
      <c r="Q596">
        <v>541.58000000000004</v>
      </c>
      <c r="R596" t="s">
        <v>25</v>
      </c>
      <c r="S596">
        <v>1.8454706599209718</v>
      </c>
      <c r="T596" t="s">
        <v>78</v>
      </c>
    </row>
    <row r="597" spans="1:20" x14ac:dyDescent="0.25">
      <c r="A597" s="11">
        <v>45124</v>
      </c>
      <c r="B597" t="s">
        <v>51</v>
      </c>
      <c r="C597" t="s">
        <v>52</v>
      </c>
      <c r="D597" t="s">
        <v>19</v>
      </c>
      <c r="E597" t="s">
        <v>20</v>
      </c>
      <c r="F597">
        <v>214</v>
      </c>
      <c r="G597">
        <v>8</v>
      </c>
      <c r="H597">
        <v>1712</v>
      </c>
      <c r="I597" t="s">
        <v>55</v>
      </c>
      <c r="J597" t="s">
        <v>27</v>
      </c>
      <c r="K597" t="s">
        <v>23</v>
      </c>
      <c r="L597">
        <v>1171.0899999999999</v>
      </c>
      <c r="M597">
        <v>31.6</v>
      </c>
      <c r="N597">
        <v>2024</v>
      </c>
      <c r="O597">
        <v>3</v>
      </c>
      <c r="P597" t="s">
        <v>68</v>
      </c>
      <c r="Q597">
        <v>540.91</v>
      </c>
      <c r="R597" t="s">
        <v>25</v>
      </c>
      <c r="S597">
        <v>2.1650366974173152</v>
      </c>
      <c r="T597" t="s">
        <v>78</v>
      </c>
    </row>
    <row r="598" spans="1:20" x14ac:dyDescent="0.25">
      <c r="A598" s="11">
        <v>44971</v>
      </c>
      <c r="B598" t="s">
        <v>42</v>
      </c>
      <c r="C598" t="s">
        <v>43</v>
      </c>
      <c r="D598" t="s">
        <v>37</v>
      </c>
      <c r="E598" t="s">
        <v>38</v>
      </c>
      <c r="F598">
        <v>637</v>
      </c>
      <c r="G598">
        <v>6.75</v>
      </c>
      <c r="H598">
        <v>4299.75</v>
      </c>
      <c r="I598" t="s">
        <v>46</v>
      </c>
      <c r="J598" t="s">
        <v>27</v>
      </c>
      <c r="K598" t="s">
        <v>23</v>
      </c>
      <c r="L598">
        <v>3759.79</v>
      </c>
      <c r="M598">
        <v>12.6</v>
      </c>
      <c r="N598">
        <v>2023</v>
      </c>
      <c r="O598">
        <v>1</v>
      </c>
      <c r="P598" t="s">
        <v>60</v>
      </c>
      <c r="Q598">
        <v>539.96</v>
      </c>
      <c r="R598" t="s">
        <v>29</v>
      </c>
      <c r="S598">
        <v>6.9630898585080372</v>
      </c>
      <c r="T598" t="s">
        <v>78</v>
      </c>
    </row>
    <row r="599" spans="1:20" x14ac:dyDescent="0.25">
      <c r="A599" s="11">
        <v>44980</v>
      </c>
      <c r="B599" t="s">
        <v>17</v>
      </c>
      <c r="C599" t="s">
        <v>18</v>
      </c>
      <c r="D599" t="s">
        <v>44</v>
      </c>
      <c r="E599" t="s">
        <v>38</v>
      </c>
      <c r="F599">
        <v>286</v>
      </c>
      <c r="G599">
        <v>4.7300000000000004</v>
      </c>
      <c r="H599">
        <v>1352.78</v>
      </c>
      <c r="I599" t="s">
        <v>26</v>
      </c>
      <c r="J599" t="s">
        <v>56</v>
      </c>
      <c r="K599" t="s">
        <v>23</v>
      </c>
      <c r="L599">
        <v>813.3</v>
      </c>
      <c r="M599">
        <v>39.9</v>
      </c>
      <c r="N599">
        <v>2023</v>
      </c>
      <c r="O599">
        <v>1</v>
      </c>
      <c r="P599" t="s">
        <v>61</v>
      </c>
      <c r="Q599">
        <v>539.48</v>
      </c>
      <c r="R599" t="s">
        <v>25</v>
      </c>
      <c r="S599">
        <v>1.5075628382887223</v>
      </c>
      <c r="T599" t="s">
        <v>78</v>
      </c>
    </row>
    <row r="600" spans="1:20" x14ac:dyDescent="0.25">
      <c r="A600" s="11">
        <v>45004</v>
      </c>
      <c r="B600" t="s">
        <v>42</v>
      </c>
      <c r="C600" t="s">
        <v>43</v>
      </c>
      <c r="D600" t="s">
        <v>32</v>
      </c>
      <c r="E600" t="s">
        <v>20</v>
      </c>
      <c r="F600">
        <v>217</v>
      </c>
      <c r="G600">
        <v>11.64</v>
      </c>
      <c r="H600">
        <v>2525.88</v>
      </c>
      <c r="I600" t="s">
        <v>55</v>
      </c>
      <c r="J600" t="s">
        <v>22</v>
      </c>
      <c r="K600" t="s">
        <v>41</v>
      </c>
      <c r="L600">
        <v>1987.1</v>
      </c>
      <c r="M600">
        <v>21.3</v>
      </c>
      <c r="N600">
        <v>2023</v>
      </c>
      <c r="O600">
        <v>1</v>
      </c>
      <c r="P600" t="s">
        <v>62</v>
      </c>
      <c r="Q600">
        <v>538.78</v>
      </c>
      <c r="R600" t="s">
        <v>29</v>
      </c>
      <c r="S600">
        <v>3.6881472957422323</v>
      </c>
      <c r="T600" t="s">
        <v>78</v>
      </c>
    </row>
    <row r="601" spans="1:20" x14ac:dyDescent="0.25">
      <c r="A601" s="11">
        <v>45089</v>
      </c>
      <c r="B601" t="s">
        <v>42</v>
      </c>
      <c r="C601" t="s">
        <v>43</v>
      </c>
      <c r="D601" t="s">
        <v>48</v>
      </c>
      <c r="E601" t="s">
        <v>38</v>
      </c>
      <c r="F601">
        <v>816</v>
      </c>
      <c r="G601">
        <v>4.66</v>
      </c>
      <c r="H601">
        <v>3802.56</v>
      </c>
      <c r="I601" t="s">
        <v>21</v>
      </c>
      <c r="J601" t="s">
        <v>56</v>
      </c>
      <c r="K601" t="s">
        <v>23</v>
      </c>
      <c r="L601">
        <v>3265.56</v>
      </c>
      <c r="M601">
        <v>14.1</v>
      </c>
      <c r="N601">
        <v>2023</v>
      </c>
      <c r="O601">
        <v>2</v>
      </c>
      <c r="P601" t="s">
        <v>69</v>
      </c>
      <c r="Q601">
        <v>537</v>
      </c>
      <c r="R601" t="s">
        <v>29</v>
      </c>
      <c r="S601">
        <v>6.0811173184357541</v>
      </c>
      <c r="T601" t="s">
        <v>78</v>
      </c>
    </row>
    <row r="602" spans="1:20" x14ac:dyDescent="0.25">
      <c r="A602" s="11">
        <v>45129</v>
      </c>
      <c r="B602" t="s">
        <v>30</v>
      </c>
      <c r="C602" t="s">
        <v>31</v>
      </c>
      <c r="D602" t="s">
        <v>32</v>
      </c>
      <c r="E602" t="s">
        <v>20</v>
      </c>
      <c r="F602">
        <v>803</v>
      </c>
      <c r="G602">
        <v>2.17</v>
      </c>
      <c r="H602">
        <v>1742.51</v>
      </c>
      <c r="I602" t="s">
        <v>26</v>
      </c>
      <c r="J602" t="s">
        <v>47</v>
      </c>
      <c r="K602" t="s">
        <v>28</v>
      </c>
      <c r="L602">
        <v>1206.97</v>
      </c>
      <c r="M602">
        <v>30.7</v>
      </c>
      <c r="N602">
        <v>2025</v>
      </c>
      <c r="O602">
        <v>3</v>
      </c>
      <c r="P602" t="s">
        <v>62</v>
      </c>
      <c r="Q602">
        <v>535.54</v>
      </c>
      <c r="R602" t="s">
        <v>25</v>
      </c>
      <c r="S602">
        <v>2.2537438846771485</v>
      </c>
      <c r="T602" t="s">
        <v>78</v>
      </c>
    </row>
    <row r="603" spans="1:20" x14ac:dyDescent="0.25">
      <c r="A603" s="11">
        <v>45001</v>
      </c>
      <c r="B603" t="s">
        <v>51</v>
      </c>
      <c r="C603" t="s">
        <v>52</v>
      </c>
      <c r="D603" t="s">
        <v>48</v>
      </c>
      <c r="E603" t="s">
        <v>38</v>
      </c>
      <c r="F603">
        <v>219</v>
      </c>
      <c r="G603">
        <v>8.6300000000000008</v>
      </c>
      <c r="H603">
        <v>1889.97</v>
      </c>
      <c r="I603" t="s">
        <v>39</v>
      </c>
      <c r="J603" t="s">
        <v>22</v>
      </c>
      <c r="K603" t="s">
        <v>23</v>
      </c>
      <c r="L603">
        <v>1355.9</v>
      </c>
      <c r="M603">
        <v>28.3</v>
      </c>
      <c r="N603">
        <v>2023</v>
      </c>
      <c r="O603">
        <v>1</v>
      </c>
      <c r="P603" t="s">
        <v>61</v>
      </c>
      <c r="Q603">
        <v>534.07000000000005</v>
      </c>
      <c r="R603" t="s">
        <v>25</v>
      </c>
      <c r="S603">
        <v>2.5388057745239387</v>
      </c>
      <c r="T603" t="s">
        <v>78</v>
      </c>
    </row>
    <row r="604" spans="1:20" x14ac:dyDescent="0.25">
      <c r="A604" s="11">
        <v>45088</v>
      </c>
      <c r="B604" t="s">
        <v>17</v>
      </c>
      <c r="C604" t="s">
        <v>18</v>
      </c>
      <c r="D604" t="s">
        <v>48</v>
      </c>
      <c r="E604" t="s">
        <v>38</v>
      </c>
      <c r="F604">
        <v>349</v>
      </c>
      <c r="G604">
        <v>10.37</v>
      </c>
      <c r="H604">
        <v>3619.13</v>
      </c>
      <c r="I604" t="s">
        <v>55</v>
      </c>
      <c r="J604" t="s">
        <v>40</v>
      </c>
      <c r="K604" t="s">
        <v>41</v>
      </c>
      <c r="L604">
        <v>3085.67</v>
      </c>
      <c r="M604">
        <v>14.7</v>
      </c>
      <c r="N604">
        <v>2023</v>
      </c>
      <c r="O604">
        <v>2</v>
      </c>
      <c r="P604" t="s">
        <v>69</v>
      </c>
      <c r="Q604">
        <v>533.46</v>
      </c>
      <c r="R604" t="s">
        <v>29</v>
      </c>
      <c r="S604">
        <v>5.7842574888463991</v>
      </c>
      <c r="T604" t="s">
        <v>78</v>
      </c>
    </row>
    <row r="605" spans="1:20" x14ac:dyDescent="0.25">
      <c r="A605" s="11">
        <v>45002</v>
      </c>
      <c r="B605" t="s">
        <v>17</v>
      </c>
      <c r="C605" t="s">
        <v>18</v>
      </c>
      <c r="D605" t="s">
        <v>45</v>
      </c>
      <c r="E605" t="s">
        <v>20</v>
      </c>
      <c r="F605">
        <v>885</v>
      </c>
      <c r="G605">
        <v>2</v>
      </c>
      <c r="H605">
        <v>1770</v>
      </c>
      <c r="I605" t="s">
        <v>26</v>
      </c>
      <c r="J605" t="s">
        <v>27</v>
      </c>
      <c r="K605" t="s">
        <v>23</v>
      </c>
      <c r="L605">
        <v>1236.8499999999999</v>
      </c>
      <c r="M605">
        <v>30.1</v>
      </c>
      <c r="N605">
        <v>2023</v>
      </c>
      <c r="O605">
        <v>1</v>
      </c>
      <c r="P605" t="s">
        <v>62</v>
      </c>
      <c r="Q605">
        <v>533.15</v>
      </c>
      <c r="R605" t="s">
        <v>25</v>
      </c>
      <c r="S605">
        <v>2.3198912126043325</v>
      </c>
      <c r="T605" t="s">
        <v>78</v>
      </c>
    </row>
    <row r="606" spans="1:20" x14ac:dyDescent="0.25">
      <c r="A606" s="11">
        <v>45115</v>
      </c>
      <c r="B606" t="s">
        <v>51</v>
      </c>
      <c r="C606" t="s">
        <v>52</v>
      </c>
      <c r="D606" t="s">
        <v>44</v>
      </c>
      <c r="E606" t="s">
        <v>38</v>
      </c>
      <c r="F606">
        <v>767</v>
      </c>
      <c r="G606">
        <v>4.4000000000000004</v>
      </c>
      <c r="H606">
        <v>3374.8</v>
      </c>
      <c r="I606" t="s">
        <v>21</v>
      </c>
      <c r="J606" t="s">
        <v>40</v>
      </c>
      <c r="K606" t="s">
        <v>23</v>
      </c>
      <c r="L606">
        <v>2842.66</v>
      </c>
      <c r="M606">
        <v>15.8</v>
      </c>
      <c r="N606">
        <v>2024</v>
      </c>
      <c r="O606">
        <v>3</v>
      </c>
      <c r="P606" t="s">
        <v>63</v>
      </c>
      <c r="Q606">
        <v>532.14</v>
      </c>
      <c r="R606" t="s">
        <v>29</v>
      </c>
      <c r="S606">
        <v>5.341940090953508</v>
      </c>
      <c r="T606" t="s">
        <v>78</v>
      </c>
    </row>
    <row r="607" spans="1:20" x14ac:dyDescent="0.25">
      <c r="A607" s="11">
        <v>44993</v>
      </c>
      <c r="B607" t="s">
        <v>42</v>
      </c>
      <c r="C607" t="s">
        <v>43</v>
      </c>
      <c r="D607" t="s">
        <v>32</v>
      </c>
      <c r="E607" t="s">
        <v>20</v>
      </c>
      <c r="F607">
        <v>264</v>
      </c>
      <c r="G607">
        <v>9.33</v>
      </c>
      <c r="H607">
        <v>2463.12</v>
      </c>
      <c r="I607" t="s">
        <v>39</v>
      </c>
      <c r="J607" t="s">
        <v>34</v>
      </c>
      <c r="K607" t="s">
        <v>41</v>
      </c>
      <c r="L607">
        <v>1932.94</v>
      </c>
      <c r="M607">
        <v>21.5</v>
      </c>
      <c r="N607">
        <v>2023</v>
      </c>
      <c r="O607">
        <v>1</v>
      </c>
      <c r="P607" t="s">
        <v>61</v>
      </c>
      <c r="Q607">
        <v>530.17999999999995</v>
      </c>
      <c r="R607" t="s">
        <v>29</v>
      </c>
      <c r="S607">
        <v>3.6458184012976731</v>
      </c>
      <c r="T607" t="s">
        <v>78</v>
      </c>
    </row>
    <row r="608" spans="1:20" x14ac:dyDescent="0.25">
      <c r="A608" s="11">
        <v>45113</v>
      </c>
      <c r="B608" t="s">
        <v>51</v>
      </c>
      <c r="C608" t="s">
        <v>52</v>
      </c>
      <c r="D608" t="s">
        <v>49</v>
      </c>
      <c r="E608" t="s">
        <v>50</v>
      </c>
      <c r="F608">
        <v>152</v>
      </c>
      <c r="G608">
        <v>10.75</v>
      </c>
      <c r="H608">
        <v>1634</v>
      </c>
      <c r="I608" t="s">
        <v>33</v>
      </c>
      <c r="J608" t="s">
        <v>34</v>
      </c>
      <c r="K608" t="s">
        <v>41</v>
      </c>
      <c r="L608">
        <v>1106.8800000000001</v>
      </c>
      <c r="M608">
        <v>32.299999999999997</v>
      </c>
      <c r="N608">
        <v>2024</v>
      </c>
      <c r="O608">
        <v>3</v>
      </c>
      <c r="P608" t="s">
        <v>62</v>
      </c>
      <c r="Q608">
        <v>527.12</v>
      </c>
      <c r="R608" t="s">
        <v>25</v>
      </c>
      <c r="S608">
        <v>2.0998634087114891</v>
      </c>
      <c r="T608" t="s">
        <v>78</v>
      </c>
    </row>
    <row r="609" spans="1:20" x14ac:dyDescent="0.25">
      <c r="A609" s="11">
        <v>45032</v>
      </c>
      <c r="B609" t="s">
        <v>42</v>
      </c>
      <c r="C609" t="s">
        <v>43</v>
      </c>
      <c r="D609" t="s">
        <v>49</v>
      </c>
      <c r="E609" t="s">
        <v>50</v>
      </c>
      <c r="F609">
        <v>371</v>
      </c>
      <c r="G609">
        <v>10.58</v>
      </c>
      <c r="H609">
        <v>3925.18</v>
      </c>
      <c r="I609" t="s">
        <v>39</v>
      </c>
      <c r="J609" t="s">
        <v>56</v>
      </c>
      <c r="K609" t="s">
        <v>23</v>
      </c>
      <c r="L609">
        <v>3399.32</v>
      </c>
      <c r="M609">
        <v>13.4</v>
      </c>
      <c r="N609">
        <v>2023</v>
      </c>
      <c r="O609">
        <v>2</v>
      </c>
      <c r="P609" t="s">
        <v>63</v>
      </c>
      <c r="Q609">
        <v>525.86</v>
      </c>
      <c r="R609" t="s">
        <v>29</v>
      </c>
      <c r="S609">
        <v>6.4643060890731379</v>
      </c>
      <c r="T609" t="s">
        <v>78</v>
      </c>
    </row>
    <row r="610" spans="1:20" x14ac:dyDescent="0.25">
      <c r="A610" s="11">
        <v>45128</v>
      </c>
      <c r="B610" t="s">
        <v>51</v>
      </c>
      <c r="C610" t="s">
        <v>52</v>
      </c>
      <c r="D610" t="s">
        <v>44</v>
      </c>
      <c r="E610" t="s">
        <v>38</v>
      </c>
      <c r="F610">
        <v>544</v>
      </c>
      <c r="G610">
        <v>8.5299999999999994</v>
      </c>
      <c r="H610">
        <v>4640.32</v>
      </c>
      <c r="I610" t="s">
        <v>54</v>
      </c>
      <c r="J610" t="s">
        <v>47</v>
      </c>
      <c r="K610" t="s">
        <v>28</v>
      </c>
      <c r="L610">
        <v>4116.79</v>
      </c>
      <c r="M610">
        <v>11.3</v>
      </c>
      <c r="N610">
        <v>2025</v>
      </c>
      <c r="O610">
        <v>3</v>
      </c>
      <c r="P610" t="s">
        <v>60</v>
      </c>
      <c r="Q610">
        <v>523.53</v>
      </c>
      <c r="R610" t="s">
        <v>29</v>
      </c>
      <c r="S610">
        <v>7.8635226252554773</v>
      </c>
      <c r="T610" t="s">
        <v>78</v>
      </c>
    </row>
    <row r="611" spans="1:20" x14ac:dyDescent="0.25">
      <c r="A611" s="11">
        <v>45132</v>
      </c>
      <c r="B611" t="s">
        <v>35</v>
      </c>
      <c r="C611" t="s">
        <v>36</v>
      </c>
      <c r="D611" t="s">
        <v>53</v>
      </c>
      <c r="E611" t="s">
        <v>50</v>
      </c>
      <c r="F611">
        <v>327</v>
      </c>
      <c r="G611">
        <v>4.13</v>
      </c>
      <c r="H611">
        <v>1350.51</v>
      </c>
      <c r="I611" t="s">
        <v>55</v>
      </c>
      <c r="J611" t="s">
        <v>27</v>
      </c>
      <c r="K611" t="s">
        <v>23</v>
      </c>
      <c r="L611">
        <v>827.7</v>
      </c>
      <c r="M611">
        <v>38.700000000000003</v>
      </c>
      <c r="N611">
        <v>2025</v>
      </c>
      <c r="O611">
        <v>3</v>
      </c>
      <c r="P611" t="s">
        <v>67</v>
      </c>
      <c r="Q611">
        <v>522.80999999999995</v>
      </c>
      <c r="R611" t="s">
        <v>25</v>
      </c>
      <c r="S611">
        <v>1.5831755322201184</v>
      </c>
      <c r="T611" t="s">
        <v>78</v>
      </c>
    </row>
    <row r="612" spans="1:20" x14ac:dyDescent="0.25">
      <c r="A612" s="11">
        <v>45002</v>
      </c>
      <c r="B612" t="s">
        <v>51</v>
      </c>
      <c r="C612" t="s">
        <v>52</v>
      </c>
      <c r="D612" t="s">
        <v>37</v>
      </c>
      <c r="E612" t="s">
        <v>38</v>
      </c>
      <c r="F612">
        <v>610</v>
      </c>
      <c r="G612">
        <v>4.42</v>
      </c>
      <c r="H612">
        <v>2696.2</v>
      </c>
      <c r="I612" t="s">
        <v>46</v>
      </c>
      <c r="J612" t="s">
        <v>47</v>
      </c>
      <c r="K612" t="s">
        <v>41</v>
      </c>
      <c r="L612">
        <v>2173.85</v>
      </c>
      <c r="M612">
        <v>19.399999999999999</v>
      </c>
      <c r="N612">
        <v>2023</v>
      </c>
      <c r="O612">
        <v>1</v>
      </c>
      <c r="P612" t="s">
        <v>62</v>
      </c>
      <c r="Q612">
        <v>522.35</v>
      </c>
      <c r="R612" t="s">
        <v>29</v>
      </c>
      <c r="S612">
        <v>4.1616732076194118</v>
      </c>
      <c r="T612" t="s">
        <v>78</v>
      </c>
    </row>
    <row r="613" spans="1:20" x14ac:dyDescent="0.25">
      <c r="A613" s="11">
        <v>45069</v>
      </c>
      <c r="B613" t="s">
        <v>42</v>
      </c>
      <c r="C613" t="s">
        <v>43</v>
      </c>
      <c r="D613" t="s">
        <v>49</v>
      </c>
      <c r="E613" t="s">
        <v>50</v>
      </c>
      <c r="F613">
        <v>544</v>
      </c>
      <c r="G613">
        <v>8.68</v>
      </c>
      <c r="H613">
        <v>4721.92</v>
      </c>
      <c r="I613" t="s">
        <v>21</v>
      </c>
      <c r="J613" t="s">
        <v>27</v>
      </c>
      <c r="K613" t="s">
        <v>23</v>
      </c>
      <c r="L613">
        <v>4199.79</v>
      </c>
      <c r="M613">
        <v>11.1</v>
      </c>
      <c r="N613">
        <v>2023</v>
      </c>
      <c r="O613">
        <v>2</v>
      </c>
      <c r="P613" t="s">
        <v>66</v>
      </c>
      <c r="Q613">
        <v>522.13</v>
      </c>
      <c r="R613" t="s">
        <v>29</v>
      </c>
      <c r="S613">
        <v>8.0435715243330197</v>
      </c>
      <c r="T613" t="s">
        <v>78</v>
      </c>
    </row>
    <row r="614" spans="1:20" x14ac:dyDescent="0.25">
      <c r="A614" s="11">
        <v>45096</v>
      </c>
      <c r="B614" t="s">
        <v>58</v>
      </c>
      <c r="C614" t="s">
        <v>59</v>
      </c>
      <c r="D614" t="s">
        <v>48</v>
      </c>
      <c r="E614" t="s">
        <v>38</v>
      </c>
      <c r="F614">
        <v>744</v>
      </c>
      <c r="G614">
        <v>2.5</v>
      </c>
      <c r="H614">
        <v>1860</v>
      </c>
      <c r="I614" t="s">
        <v>21</v>
      </c>
      <c r="J614" t="s">
        <v>56</v>
      </c>
      <c r="K614" t="s">
        <v>41</v>
      </c>
      <c r="L614">
        <v>1339.55</v>
      </c>
      <c r="M614">
        <v>28</v>
      </c>
      <c r="N614">
        <v>2023</v>
      </c>
      <c r="O614">
        <v>2</v>
      </c>
      <c r="P614" t="s">
        <v>70</v>
      </c>
      <c r="Q614">
        <v>520.45000000000005</v>
      </c>
      <c r="R614" t="s">
        <v>25</v>
      </c>
      <c r="S614">
        <v>2.5738303391295991</v>
      </c>
      <c r="T614" t="s">
        <v>78</v>
      </c>
    </row>
    <row r="615" spans="1:20" x14ac:dyDescent="0.25">
      <c r="A615" s="11">
        <v>44935</v>
      </c>
      <c r="B615" t="s">
        <v>17</v>
      </c>
      <c r="C615" t="s">
        <v>18</v>
      </c>
      <c r="D615" t="s">
        <v>45</v>
      </c>
      <c r="E615" t="s">
        <v>20</v>
      </c>
      <c r="F615">
        <v>706</v>
      </c>
      <c r="G615">
        <v>5.01</v>
      </c>
      <c r="H615">
        <v>3537.06</v>
      </c>
      <c r="I615" t="s">
        <v>54</v>
      </c>
      <c r="J615" t="s">
        <v>34</v>
      </c>
      <c r="K615" t="s">
        <v>41</v>
      </c>
      <c r="L615">
        <v>3018.46</v>
      </c>
      <c r="M615">
        <v>14.7</v>
      </c>
      <c r="N615">
        <v>2023</v>
      </c>
      <c r="O615">
        <v>1</v>
      </c>
      <c r="P615" t="s">
        <v>24</v>
      </c>
      <c r="Q615">
        <v>518.6</v>
      </c>
      <c r="R615" t="s">
        <v>29</v>
      </c>
      <c r="S615">
        <v>5.8204010798303125</v>
      </c>
      <c r="T615" t="s">
        <v>78</v>
      </c>
    </row>
    <row r="616" spans="1:20" x14ac:dyDescent="0.25">
      <c r="A616" s="11">
        <v>44969</v>
      </c>
      <c r="B616" t="s">
        <v>35</v>
      </c>
      <c r="C616" t="s">
        <v>36</v>
      </c>
      <c r="D616" t="s">
        <v>48</v>
      </c>
      <c r="E616" t="s">
        <v>38</v>
      </c>
      <c r="F616">
        <v>388</v>
      </c>
      <c r="G616">
        <v>10.220000000000001</v>
      </c>
      <c r="H616">
        <v>3965.36</v>
      </c>
      <c r="I616" t="s">
        <v>55</v>
      </c>
      <c r="J616" t="s">
        <v>56</v>
      </c>
      <c r="K616" t="s">
        <v>28</v>
      </c>
      <c r="L616">
        <v>3446.96</v>
      </c>
      <c r="M616">
        <v>13.1</v>
      </c>
      <c r="N616">
        <v>2023</v>
      </c>
      <c r="O616">
        <v>1</v>
      </c>
      <c r="P616" t="s">
        <v>60</v>
      </c>
      <c r="Q616">
        <v>518.4</v>
      </c>
      <c r="R616" t="s">
        <v>29</v>
      </c>
      <c r="S616">
        <v>6.649228395061729</v>
      </c>
      <c r="T616" t="s">
        <v>78</v>
      </c>
    </row>
    <row r="617" spans="1:20" x14ac:dyDescent="0.25">
      <c r="A617" s="11">
        <v>44948</v>
      </c>
      <c r="B617" t="s">
        <v>35</v>
      </c>
      <c r="C617" t="s">
        <v>36</v>
      </c>
      <c r="D617" t="s">
        <v>53</v>
      </c>
      <c r="E617" t="s">
        <v>50</v>
      </c>
      <c r="F617">
        <v>427</v>
      </c>
      <c r="G617">
        <v>5.54</v>
      </c>
      <c r="H617">
        <v>2365.58</v>
      </c>
      <c r="I617" t="s">
        <v>54</v>
      </c>
      <c r="J617" t="s">
        <v>40</v>
      </c>
      <c r="K617" t="s">
        <v>41</v>
      </c>
      <c r="L617">
        <v>1849.13</v>
      </c>
      <c r="M617">
        <v>21.8</v>
      </c>
      <c r="N617">
        <v>2023</v>
      </c>
      <c r="O617">
        <v>1</v>
      </c>
      <c r="P617" t="s">
        <v>24</v>
      </c>
      <c r="Q617">
        <v>516.45000000000005</v>
      </c>
      <c r="R617" t="s">
        <v>29</v>
      </c>
      <c r="S617">
        <v>3.5804627747119757</v>
      </c>
      <c r="T617" t="s">
        <v>78</v>
      </c>
    </row>
    <row r="618" spans="1:20" x14ac:dyDescent="0.25">
      <c r="A618" s="11">
        <v>45051</v>
      </c>
      <c r="B618" t="s">
        <v>58</v>
      </c>
      <c r="C618" t="s">
        <v>59</v>
      </c>
      <c r="D618" t="s">
        <v>19</v>
      </c>
      <c r="E618" t="s">
        <v>20</v>
      </c>
      <c r="F618">
        <v>326</v>
      </c>
      <c r="G618">
        <v>9.8699999999999992</v>
      </c>
      <c r="H618">
        <v>3217.62</v>
      </c>
      <c r="I618" t="s">
        <v>54</v>
      </c>
      <c r="J618" t="s">
        <v>22</v>
      </c>
      <c r="K618" t="s">
        <v>23</v>
      </c>
      <c r="L618">
        <v>2702.87</v>
      </c>
      <c r="M618">
        <v>16</v>
      </c>
      <c r="N618">
        <v>2023</v>
      </c>
      <c r="O618">
        <v>2</v>
      </c>
      <c r="P618" t="s">
        <v>64</v>
      </c>
      <c r="Q618">
        <v>514.75</v>
      </c>
      <c r="R618" t="s">
        <v>29</v>
      </c>
      <c r="S618">
        <v>5.2508402136959687</v>
      </c>
      <c r="T618" t="s">
        <v>78</v>
      </c>
    </row>
    <row r="619" spans="1:20" x14ac:dyDescent="0.25">
      <c r="A619" s="11">
        <v>45061</v>
      </c>
      <c r="B619" t="s">
        <v>58</v>
      </c>
      <c r="C619" t="s">
        <v>59</v>
      </c>
      <c r="D619" t="s">
        <v>44</v>
      </c>
      <c r="E619" t="s">
        <v>38</v>
      </c>
      <c r="F619">
        <v>854</v>
      </c>
      <c r="G619">
        <v>3.77</v>
      </c>
      <c r="H619">
        <v>3219.58</v>
      </c>
      <c r="I619" t="s">
        <v>57</v>
      </c>
      <c r="J619" t="s">
        <v>40</v>
      </c>
      <c r="K619" t="s">
        <v>23</v>
      </c>
      <c r="L619">
        <v>2705.8</v>
      </c>
      <c r="M619">
        <v>16</v>
      </c>
      <c r="N619">
        <v>2023</v>
      </c>
      <c r="O619">
        <v>2</v>
      </c>
      <c r="P619" t="s">
        <v>65</v>
      </c>
      <c r="Q619">
        <v>513.78</v>
      </c>
      <c r="R619" t="s">
        <v>29</v>
      </c>
      <c r="S619">
        <v>5.2664564599634094</v>
      </c>
      <c r="T619" t="s">
        <v>78</v>
      </c>
    </row>
    <row r="620" spans="1:20" x14ac:dyDescent="0.25">
      <c r="A620" s="11">
        <v>45109</v>
      </c>
      <c r="B620" t="s">
        <v>42</v>
      </c>
      <c r="C620" t="s">
        <v>43</v>
      </c>
      <c r="D620" t="s">
        <v>37</v>
      </c>
      <c r="E620" t="s">
        <v>38</v>
      </c>
      <c r="F620">
        <v>387</v>
      </c>
      <c r="G620">
        <v>5.07</v>
      </c>
      <c r="H620">
        <v>1962.09</v>
      </c>
      <c r="I620" t="s">
        <v>54</v>
      </c>
      <c r="J620" t="s">
        <v>34</v>
      </c>
      <c r="K620" t="s">
        <v>23</v>
      </c>
      <c r="L620">
        <v>1449.52</v>
      </c>
      <c r="M620">
        <v>26.1</v>
      </c>
      <c r="N620">
        <v>2024</v>
      </c>
      <c r="O620">
        <v>3</v>
      </c>
      <c r="P620" t="s">
        <v>61</v>
      </c>
      <c r="Q620">
        <v>512.57000000000005</v>
      </c>
      <c r="R620" t="s">
        <v>25</v>
      </c>
      <c r="S620">
        <v>2.8279454513529858</v>
      </c>
      <c r="T620" t="s">
        <v>78</v>
      </c>
    </row>
    <row r="621" spans="1:20" x14ac:dyDescent="0.25">
      <c r="A621" s="11">
        <v>45080</v>
      </c>
      <c r="B621" t="s">
        <v>30</v>
      </c>
      <c r="C621" t="s">
        <v>31</v>
      </c>
      <c r="D621" t="s">
        <v>45</v>
      </c>
      <c r="E621" t="s">
        <v>20</v>
      </c>
      <c r="F621">
        <v>341</v>
      </c>
      <c r="G621">
        <v>4.12</v>
      </c>
      <c r="H621">
        <v>1404.92</v>
      </c>
      <c r="I621" t="s">
        <v>57</v>
      </c>
      <c r="J621" t="s">
        <v>40</v>
      </c>
      <c r="K621" t="s">
        <v>41</v>
      </c>
      <c r="L621">
        <v>893.56</v>
      </c>
      <c r="M621">
        <v>36.4</v>
      </c>
      <c r="N621">
        <v>2023</v>
      </c>
      <c r="O621">
        <v>2</v>
      </c>
      <c r="P621" t="s">
        <v>68</v>
      </c>
      <c r="Q621">
        <v>511.36</v>
      </c>
      <c r="R621" t="s">
        <v>25</v>
      </c>
      <c r="S621">
        <v>1.7474186483103877</v>
      </c>
      <c r="T621" t="s">
        <v>78</v>
      </c>
    </row>
    <row r="622" spans="1:20" x14ac:dyDescent="0.25">
      <c r="A622" s="11">
        <v>45004</v>
      </c>
      <c r="B622" t="s">
        <v>17</v>
      </c>
      <c r="C622" t="s">
        <v>18</v>
      </c>
      <c r="D622" t="s">
        <v>19</v>
      </c>
      <c r="E622" t="s">
        <v>20</v>
      </c>
      <c r="F622">
        <v>431</v>
      </c>
      <c r="G622">
        <v>5.74</v>
      </c>
      <c r="H622">
        <v>2473.94</v>
      </c>
      <c r="I622" t="s">
        <v>21</v>
      </c>
      <c r="J622" t="s">
        <v>40</v>
      </c>
      <c r="K622" t="s">
        <v>28</v>
      </c>
      <c r="L622">
        <v>1964.13</v>
      </c>
      <c r="M622">
        <v>20.6</v>
      </c>
      <c r="N622">
        <v>2023</v>
      </c>
      <c r="O622">
        <v>1</v>
      </c>
      <c r="P622" t="s">
        <v>62</v>
      </c>
      <c r="Q622">
        <v>509.81</v>
      </c>
      <c r="R622" t="s">
        <v>29</v>
      </c>
      <c r="S622">
        <v>3.8526706027735824</v>
      </c>
      <c r="T622" t="s">
        <v>78</v>
      </c>
    </row>
    <row r="623" spans="1:20" x14ac:dyDescent="0.25">
      <c r="A623" s="11">
        <v>45053</v>
      </c>
      <c r="B623" t="s">
        <v>17</v>
      </c>
      <c r="C623" t="s">
        <v>18</v>
      </c>
      <c r="D623" t="s">
        <v>49</v>
      </c>
      <c r="E623" t="s">
        <v>50</v>
      </c>
      <c r="F623">
        <v>416</v>
      </c>
      <c r="G623">
        <v>10.61</v>
      </c>
      <c r="H623">
        <v>4413.76</v>
      </c>
      <c r="I623" t="s">
        <v>21</v>
      </c>
      <c r="J623" t="s">
        <v>34</v>
      </c>
      <c r="K623" t="s">
        <v>23</v>
      </c>
      <c r="L623">
        <v>3904.27</v>
      </c>
      <c r="M623">
        <v>11.5</v>
      </c>
      <c r="N623">
        <v>2023</v>
      </c>
      <c r="O623">
        <v>2</v>
      </c>
      <c r="P623" t="s">
        <v>65</v>
      </c>
      <c r="Q623">
        <v>509.49</v>
      </c>
      <c r="R623" t="s">
        <v>29</v>
      </c>
      <c r="S623">
        <v>7.6630944670160357</v>
      </c>
      <c r="T623" t="s">
        <v>78</v>
      </c>
    </row>
    <row r="624" spans="1:20" x14ac:dyDescent="0.25">
      <c r="A624" s="11">
        <v>45086</v>
      </c>
      <c r="B624" t="s">
        <v>30</v>
      </c>
      <c r="C624" t="s">
        <v>31</v>
      </c>
      <c r="D624" t="s">
        <v>48</v>
      </c>
      <c r="E624" t="s">
        <v>38</v>
      </c>
      <c r="F624">
        <v>510</v>
      </c>
      <c r="G624">
        <v>6.97</v>
      </c>
      <c r="H624">
        <v>3554.7</v>
      </c>
      <c r="I624" t="s">
        <v>57</v>
      </c>
      <c r="J624" t="s">
        <v>34</v>
      </c>
      <c r="K624" t="s">
        <v>41</v>
      </c>
      <c r="L624">
        <v>3045.53</v>
      </c>
      <c r="M624">
        <v>14.3</v>
      </c>
      <c r="N624">
        <v>2023</v>
      </c>
      <c r="O624">
        <v>2</v>
      </c>
      <c r="P624" t="s">
        <v>69</v>
      </c>
      <c r="Q624">
        <v>509.17</v>
      </c>
      <c r="R624" t="s">
        <v>29</v>
      </c>
      <c r="S624">
        <v>5.9813618241451776</v>
      </c>
      <c r="T624" t="s">
        <v>78</v>
      </c>
    </row>
    <row r="625" spans="1:20" x14ac:dyDescent="0.25">
      <c r="A625" s="11">
        <v>45009</v>
      </c>
      <c r="B625" t="s">
        <v>51</v>
      </c>
      <c r="C625" t="s">
        <v>52</v>
      </c>
      <c r="D625" t="s">
        <v>45</v>
      </c>
      <c r="E625" t="s">
        <v>20</v>
      </c>
      <c r="F625">
        <v>263</v>
      </c>
      <c r="G625">
        <v>6.02</v>
      </c>
      <c r="H625">
        <v>1583.26</v>
      </c>
      <c r="I625" t="s">
        <v>39</v>
      </c>
      <c r="J625" t="s">
        <v>34</v>
      </c>
      <c r="K625" t="s">
        <v>41</v>
      </c>
      <c r="L625">
        <v>1078.06</v>
      </c>
      <c r="M625">
        <v>31.9</v>
      </c>
      <c r="N625">
        <v>2023</v>
      </c>
      <c r="O625">
        <v>1</v>
      </c>
      <c r="P625" t="s">
        <v>62</v>
      </c>
      <c r="Q625">
        <v>505.2</v>
      </c>
      <c r="R625" t="s">
        <v>25</v>
      </c>
      <c r="S625">
        <v>2.1339271575613616</v>
      </c>
      <c r="T625" t="s">
        <v>78</v>
      </c>
    </row>
    <row r="626" spans="1:20" x14ac:dyDescent="0.25">
      <c r="A626" s="11">
        <v>45093</v>
      </c>
      <c r="B626" t="s">
        <v>51</v>
      </c>
      <c r="C626" t="s">
        <v>52</v>
      </c>
      <c r="D626" t="s">
        <v>48</v>
      </c>
      <c r="E626" t="s">
        <v>38</v>
      </c>
      <c r="F626">
        <v>235</v>
      </c>
      <c r="G626">
        <v>10.56</v>
      </c>
      <c r="H626">
        <v>2481.6</v>
      </c>
      <c r="I626" t="s">
        <v>54</v>
      </c>
      <c r="J626" t="s">
        <v>27</v>
      </c>
      <c r="K626" t="s">
        <v>41</v>
      </c>
      <c r="L626">
        <v>1976.44</v>
      </c>
      <c r="M626">
        <v>20.399999999999999</v>
      </c>
      <c r="N626">
        <v>2023</v>
      </c>
      <c r="O626">
        <v>2</v>
      </c>
      <c r="P626" t="s">
        <v>70</v>
      </c>
      <c r="Q626">
        <v>505.16</v>
      </c>
      <c r="R626" t="s">
        <v>29</v>
      </c>
      <c r="S626">
        <v>3.9125029693562436</v>
      </c>
      <c r="T626" t="s">
        <v>78</v>
      </c>
    </row>
    <row r="627" spans="1:20" x14ac:dyDescent="0.25">
      <c r="A627" s="11">
        <v>44939</v>
      </c>
      <c r="B627" t="s">
        <v>30</v>
      </c>
      <c r="C627" t="s">
        <v>31</v>
      </c>
      <c r="D627" t="s">
        <v>44</v>
      </c>
      <c r="E627" t="s">
        <v>38</v>
      </c>
      <c r="F627">
        <v>441</v>
      </c>
      <c r="G627">
        <v>5.78</v>
      </c>
      <c r="H627">
        <v>2548.98</v>
      </c>
      <c r="I627" t="s">
        <v>21</v>
      </c>
      <c r="J627" t="s">
        <v>27</v>
      </c>
      <c r="K627" t="s">
        <v>28</v>
      </c>
      <c r="L627">
        <v>2044.12</v>
      </c>
      <c r="M627">
        <v>19.8</v>
      </c>
      <c r="N627">
        <v>2023</v>
      </c>
      <c r="O627">
        <v>1</v>
      </c>
      <c r="P627" t="s">
        <v>24</v>
      </c>
      <c r="Q627">
        <v>504.86</v>
      </c>
      <c r="R627" t="s">
        <v>29</v>
      </c>
      <c r="S627">
        <v>4.0488848393614072</v>
      </c>
      <c r="T627" t="s">
        <v>78</v>
      </c>
    </row>
    <row r="628" spans="1:20" x14ac:dyDescent="0.25">
      <c r="A628" s="11">
        <v>44938</v>
      </c>
      <c r="B628" t="s">
        <v>51</v>
      </c>
      <c r="C628" t="s">
        <v>52</v>
      </c>
      <c r="D628" t="s">
        <v>44</v>
      </c>
      <c r="E628" t="s">
        <v>38</v>
      </c>
      <c r="F628">
        <v>181</v>
      </c>
      <c r="G628">
        <v>10.82</v>
      </c>
      <c r="H628">
        <v>1958.42</v>
      </c>
      <c r="I628" t="s">
        <v>26</v>
      </c>
      <c r="J628" t="s">
        <v>40</v>
      </c>
      <c r="K628" t="s">
        <v>28</v>
      </c>
      <c r="L628">
        <v>1454.83</v>
      </c>
      <c r="M628">
        <v>25.7</v>
      </c>
      <c r="N628">
        <v>2023</v>
      </c>
      <c r="O628">
        <v>1</v>
      </c>
      <c r="P628" t="s">
        <v>24</v>
      </c>
      <c r="Q628">
        <v>503.59</v>
      </c>
      <c r="R628" t="s">
        <v>25</v>
      </c>
      <c r="S628">
        <v>2.8889175718342304</v>
      </c>
      <c r="T628" t="s">
        <v>78</v>
      </c>
    </row>
    <row r="629" spans="1:20" x14ac:dyDescent="0.25">
      <c r="A629" s="11">
        <v>45091</v>
      </c>
      <c r="B629" t="s">
        <v>35</v>
      </c>
      <c r="C629" t="s">
        <v>36</v>
      </c>
      <c r="D629" t="s">
        <v>37</v>
      </c>
      <c r="E629" t="s">
        <v>38</v>
      </c>
      <c r="F629">
        <v>330</v>
      </c>
      <c r="G629">
        <v>7.22</v>
      </c>
      <c r="H629">
        <v>2382.6</v>
      </c>
      <c r="I629" t="s">
        <v>55</v>
      </c>
      <c r="J629" t="s">
        <v>40</v>
      </c>
      <c r="K629" t="s">
        <v>28</v>
      </c>
      <c r="L629">
        <v>1880.05</v>
      </c>
      <c r="M629">
        <v>21.1</v>
      </c>
      <c r="N629">
        <v>2023</v>
      </c>
      <c r="O629">
        <v>2</v>
      </c>
      <c r="P629" t="s">
        <v>70</v>
      </c>
      <c r="Q629">
        <v>502.55</v>
      </c>
      <c r="R629" t="s">
        <v>29</v>
      </c>
      <c r="S629">
        <v>3.7410207939508506</v>
      </c>
      <c r="T629" t="s">
        <v>78</v>
      </c>
    </row>
    <row r="630" spans="1:20" x14ac:dyDescent="0.25">
      <c r="A630" s="11">
        <v>44933</v>
      </c>
      <c r="B630" t="s">
        <v>30</v>
      </c>
      <c r="C630" t="s">
        <v>31</v>
      </c>
      <c r="D630" t="s">
        <v>19</v>
      </c>
      <c r="E630" t="s">
        <v>20</v>
      </c>
      <c r="F630">
        <v>168</v>
      </c>
      <c r="G630">
        <v>11.15</v>
      </c>
      <c r="H630">
        <v>1873.2</v>
      </c>
      <c r="I630" t="s">
        <v>33</v>
      </c>
      <c r="J630" t="s">
        <v>22</v>
      </c>
      <c r="K630" t="s">
        <v>23</v>
      </c>
      <c r="L630">
        <v>1371.44</v>
      </c>
      <c r="M630">
        <v>26.8</v>
      </c>
      <c r="N630">
        <v>2023</v>
      </c>
      <c r="O630">
        <v>1</v>
      </c>
      <c r="P630" t="s">
        <v>24</v>
      </c>
      <c r="Q630">
        <v>501.76</v>
      </c>
      <c r="R630" t="s">
        <v>25</v>
      </c>
      <c r="S630">
        <v>2.7332589285714288</v>
      </c>
      <c r="T630" t="s">
        <v>78</v>
      </c>
    </row>
    <row r="631" spans="1:20" x14ac:dyDescent="0.25">
      <c r="A631" s="11">
        <v>44927</v>
      </c>
      <c r="B631" t="s">
        <v>17</v>
      </c>
      <c r="C631" t="s">
        <v>18</v>
      </c>
      <c r="D631" t="s">
        <v>19</v>
      </c>
      <c r="E631" t="s">
        <v>20</v>
      </c>
      <c r="F631">
        <v>572</v>
      </c>
      <c r="G631">
        <v>8.4499999999999993</v>
      </c>
      <c r="H631">
        <v>4833.3999999999996</v>
      </c>
      <c r="I631" t="s">
        <v>26</v>
      </c>
      <c r="J631" t="s">
        <v>27</v>
      </c>
      <c r="K631" t="s">
        <v>28</v>
      </c>
      <c r="L631">
        <v>4338.91</v>
      </c>
      <c r="M631">
        <v>10.199999999999999</v>
      </c>
      <c r="N631">
        <v>2023</v>
      </c>
      <c r="O631">
        <v>1</v>
      </c>
      <c r="P631" t="s">
        <v>24</v>
      </c>
      <c r="Q631">
        <v>494.49</v>
      </c>
      <c r="R631" t="s">
        <v>29</v>
      </c>
      <c r="S631">
        <v>8.7745151570304749</v>
      </c>
      <c r="T631" t="s">
        <v>78</v>
      </c>
    </row>
    <row r="632" spans="1:20" x14ac:dyDescent="0.25">
      <c r="A632" s="11">
        <v>45030</v>
      </c>
      <c r="B632" t="s">
        <v>42</v>
      </c>
      <c r="C632" t="s">
        <v>43</v>
      </c>
      <c r="D632" t="s">
        <v>48</v>
      </c>
      <c r="E632" t="s">
        <v>38</v>
      </c>
      <c r="F632">
        <v>688</v>
      </c>
      <c r="G632">
        <v>4.59</v>
      </c>
      <c r="H632">
        <v>3157.92</v>
      </c>
      <c r="I632" t="s">
        <v>26</v>
      </c>
      <c r="J632" t="s">
        <v>34</v>
      </c>
      <c r="K632" t="s">
        <v>23</v>
      </c>
      <c r="L632">
        <v>2664.12</v>
      </c>
      <c r="M632">
        <v>15.6</v>
      </c>
      <c r="N632">
        <v>2023</v>
      </c>
      <c r="O632">
        <v>2</v>
      </c>
      <c r="P632" t="s">
        <v>63</v>
      </c>
      <c r="Q632">
        <v>493.8</v>
      </c>
      <c r="R632" t="s">
        <v>29</v>
      </c>
      <c r="S632">
        <v>5.3951397326852977</v>
      </c>
      <c r="T632" t="s">
        <v>78</v>
      </c>
    </row>
    <row r="633" spans="1:20" x14ac:dyDescent="0.25">
      <c r="A633" s="11">
        <v>45054</v>
      </c>
      <c r="B633" t="s">
        <v>42</v>
      </c>
      <c r="C633" t="s">
        <v>43</v>
      </c>
      <c r="D633" t="s">
        <v>45</v>
      </c>
      <c r="E633" t="s">
        <v>20</v>
      </c>
      <c r="F633">
        <v>445</v>
      </c>
      <c r="G633">
        <v>9.68</v>
      </c>
      <c r="H633">
        <v>4307.6000000000004</v>
      </c>
      <c r="I633" t="s">
        <v>39</v>
      </c>
      <c r="J633" t="s">
        <v>47</v>
      </c>
      <c r="K633" t="s">
        <v>23</v>
      </c>
      <c r="L633">
        <v>3814.6</v>
      </c>
      <c r="M633">
        <v>11.4</v>
      </c>
      <c r="N633">
        <v>2023</v>
      </c>
      <c r="O633">
        <v>2</v>
      </c>
      <c r="P633" t="s">
        <v>65</v>
      </c>
      <c r="Q633">
        <v>493</v>
      </c>
      <c r="R633" t="s">
        <v>29</v>
      </c>
      <c r="S633">
        <v>7.7375253549695735</v>
      </c>
      <c r="T633" t="s">
        <v>78</v>
      </c>
    </row>
    <row r="634" spans="1:20" x14ac:dyDescent="0.25">
      <c r="A634" s="11">
        <v>45116</v>
      </c>
      <c r="B634" t="s">
        <v>42</v>
      </c>
      <c r="C634" t="s">
        <v>43</v>
      </c>
      <c r="D634" t="s">
        <v>48</v>
      </c>
      <c r="E634" t="s">
        <v>38</v>
      </c>
      <c r="F634">
        <v>270</v>
      </c>
      <c r="G634">
        <v>4.92</v>
      </c>
      <c r="H634">
        <v>1328.4</v>
      </c>
      <c r="I634" t="s">
        <v>21</v>
      </c>
      <c r="J634" t="s">
        <v>56</v>
      </c>
      <c r="K634" t="s">
        <v>41</v>
      </c>
      <c r="L634">
        <v>836.92</v>
      </c>
      <c r="M634">
        <v>37</v>
      </c>
      <c r="N634">
        <v>2024</v>
      </c>
      <c r="O634">
        <v>3</v>
      </c>
      <c r="P634" t="s">
        <v>63</v>
      </c>
      <c r="Q634">
        <v>491.48</v>
      </c>
      <c r="R634" t="s">
        <v>25</v>
      </c>
      <c r="S634">
        <v>1.7028566777895335</v>
      </c>
      <c r="T634" t="s">
        <v>78</v>
      </c>
    </row>
    <row r="635" spans="1:20" x14ac:dyDescent="0.25">
      <c r="A635" s="11">
        <v>44948</v>
      </c>
      <c r="B635" t="s">
        <v>35</v>
      </c>
      <c r="C635" t="s">
        <v>36</v>
      </c>
      <c r="D635" t="s">
        <v>49</v>
      </c>
      <c r="E635" t="s">
        <v>50</v>
      </c>
      <c r="F635">
        <v>612</v>
      </c>
      <c r="G635">
        <v>5.36</v>
      </c>
      <c r="H635">
        <v>3280.32</v>
      </c>
      <c r="I635" t="s">
        <v>54</v>
      </c>
      <c r="J635" t="s">
        <v>47</v>
      </c>
      <c r="K635" t="s">
        <v>23</v>
      </c>
      <c r="L635">
        <v>2789.92</v>
      </c>
      <c r="M635">
        <v>14.9</v>
      </c>
      <c r="N635">
        <v>2023</v>
      </c>
      <c r="O635">
        <v>1</v>
      </c>
      <c r="P635" t="s">
        <v>24</v>
      </c>
      <c r="Q635">
        <v>490.4</v>
      </c>
      <c r="R635" t="s">
        <v>29</v>
      </c>
      <c r="S635">
        <v>5.6890701468189233</v>
      </c>
      <c r="T635" t="s">
        <v>78</v>
      </c>
    </row>
    <row r="636" spans="1:20" x14ac:dyDescent="0.25">
      <c r="A636" s="11">
        <v>45069</v>
      </c>
      <c r="B636" t="s">
        <v>17</v>
      </c>
      <c r="C636" t="s">
        <v>18</v>
      </c>
      <c r="D636" t="s">
        <v>19</v>
      </c>
      <c r="E636" t="s">
        <v>20</v>
      </c>
      <c r="F636">
        <v>279</v>
      </c>
      <c r="G636">
        <v>5.39</v>
      </c>
      <c r="H636">
        <v>1503.81</v>
      </c>
      <c r="I636" t="s">
        <v>39</v>
      </c>
      <c r="J636" t="s">
        <v>40</v>
      </c>
      <c r="K636" t="s">
        <v>28</v>
      </c>
      <c r="L636">
        <v>1014.58</v>
      </c>
      <c r="M636">
        <v>32.5</v>
      </c>
      <c r="N636">
        <v>2023</v>
      </c>
      <c r="O636">
        <v>2</v>
      </c>
      <c r="P636" t="s">
        <v>66</v>
      </c>
      <c r="Q636">
        <v>489.23</v>
      </c>
      <c r="R636" t="s">
        <v>25</v>
      </c>
      <c r="S636">
        <v>2.07383030476463</v>
      </c>
      <c r="T636" t="s">
        <v>78</v>
      </c>
    </row>
    <row r="637" spans="1:20" x14ac:dyDescent="0.25">
      <c r="A637" s="11">
        <v>45090</v>
      </c>
      <c r="B637" t="s">
        <v>58</v>
      </c>
      <c r="C637" t="s">
        <v>59</v>
      </c>
      <c r="D637" t="s">
        <v>44</v>
      </c>
      <c r="E637" t="s">
        <v>38</v>
      </c>
      <c r="F637">
        <v>533</v>
      </c>
      <c r="G637">
        <v>8.99</v>
      </c>
      <c r="H637">
        <v>4791.67</v>
      </c>
      <c r="I637" t="s">
        <v>55</v>
      </c>
      <c r="J637" t="s">
        <v>47</v>
      </c>
      <c r="K637" t="s">
        <v>23</v>
      </c>
      <c r="L637">
        <v>4303.45</v>
      </c>
      <c r="M637">
        <v>10.199999999999999</v>
      </c>
      <c r="N637">
        <v>2023</v>
      </c>
      <c r="O637">
        <v>2</v>
      </c>
      <c r="P637" t="s">
        <v>69</v>
      </c>
      <c r="Q637">
        <v>488.22</v>
      </c>
      <c r="R637" t="s">
        <v>29</v>
      </c>
      <c r="S637">
        <v>8.8145712998238483</v>
      </c>
      <c r="T637" t="s">
        <v>78</v>
      </c>
    </row>
    <row r="638" spans="1:20" x14ac:dyDescent="0.25">
      <c r="A638" s="11">
        <v>44987</v>
      </c>
      <c r="B638" t="s">
        <v>51</v>
      </c>
      <c r="C638" t="s">
        <v>52</v>
      </c>
      <c r="D638" t="s">
        <v>32</v>
      </c>
      <c r="E638" t="s">
        <v>20</v>
      </c>
      <c r="F638">
        <v>230</v>
      </c>
      <c r="G638">
        <v>6.51</v>
      </c>
      <c r="H638">
        <v>1497.3</v>
      </c>
      <c r="I638" t="s">
        <v>39</v>
      </c>
      <c r="J638" t="s">
        <v>56</v>
      </c>
      <c r="K638" t="s">
        <v>28</v>
      </c>
      <c r="L638">
        <v>1011.37</v>
      </c>
      <c r="M638">
        <v>32.5</v>
      </c>
      <c r="N638">
        <v>2023</v>
      </c>
      <c r="O638">
        <v>1</v>
      </c>
      <c r="P638" t="s">
        <v>61</v>
      </c>
      <c r="Q638">
        <v>485.93</v>
      </c>
      <c r="R638" t="s">
        <v>25</v>
      </c>
      <c r="S638">
        <v>2.0813080073261583</v>
      </c>
      <c r="T638" t="s">
        <v>78</v>
      </c>
    </row>
    <row r="639" spans="1:20" x14ac:dyDescent="0.25">
      <c r="A639" s="11">
        <v>45099</v>
      </c>
      <c r="B639" t="s">
        <v>42</v>
      </c>
      <c r="C639" t="s">
        <v>43</v>
      </c>
      <c r="D639" t="s">
        <v>53</v>
      </c>
      <c r="E639" t="s">
        <v>50</v>
      </c>
      <c r="F639">
        <v>281</v>
      </c>
      <c r="G639">
        <v>8.26</v>
      </c>
      <c r="H639">
        <v>2321.06</v>
      </c>
      <c r="I639" t="s">
        <v>21</v>
      </c>
      <c r="J639" t="s">
        <v>22</v>
      </c>
      <c r="K639" t="s">
        <v>41</v>
      </c>
      <c r="L639">
        <v>1835.14</v>
      </c>
      <c r="M639">
        <v>20.9</v>
      </c>
      <c r="N639">
        <v>2024</v>
      </c>
      <c r="O639">
        <v>2</v>
      </c>
      <c r="P639" t="s">
        <v>24</v>
      </c>
      <c r="Q639">
        <v>485.92</v>
      </c>
      <c r="R639" t="s">
        <v>29</v>
      </c>
      <c r="S639">
        <v>3.7766298979255843</v>
      </c>
      <c r="T639" t="s">
        <v>78</v>
      </c>
    </row>
    <row r="640" spans="1:20" x14ac:dyDescent="0.25">
      <c r="A640" s="11">
        <v>45082</v>
      </c>
      <c r="B640" t="s">
        <v>42</v>
      </c>
      <c r="C640" t="s">
        <v>43</v>
      </c>
      <c r="D640" t="s">
        <v>49</v>
      </c>
      <c r="E640" t="s">
        <v>50</v>
      </c>
      <c r="F640">
        <v>319</v>
      </c>
      <c r="G640">
        <v>6.88</v>
      </c>
      <c r="H640">
        <v>2194.7199999999998</v>
      </c>
      <c r="I640" t="s">
        <v>39</v>
      </c>
      <c r="J640" t="s">
        <v>22</v>
      </c>
      <c r="K640" t="s">
        <v>41</v>
      </c>
      <c r="L640">
        <v>1709.19</v>
      </c>
      <c r="M640">
        <v>22.1</v>
      </c>
      <c r="N640">
        <v>2023</v>
      </c>
      <c r="O640">
        <v>2</v>
      </c>
      <c r="P640" t="s">
        <v>68</v>
      </c>
      <c r="Q640">
        <v>485.53</v>
      </c>
      <c r="R640" t="s">
        <v>29</v>
      </c>
      <c r="S640">
        <v>3.5202562148579903</v>
      </c>
      <c r="T640" t="s">
        <v>78</v>
      </c>
    </row>
    <row r="641" spans="1:20" x14ac:dyDescent="0.25">
      <c r="A641" s="11">
        <v>44963</v>
      </c>
      <c r="B641" t="s">
        <v>51</v>
      </c>
      <c r="C641" t="s">
        <v>52</v>
      </c>
      <c r="D641" t="s">
        <v>45</v>
      </c>
      <c r="E641" t="s">
        <v>20</v>
      </c>
      <c r="F641">
        <v>226</v>
      </c>
      <c r="G641">
        <v>6.91</v>
      </c>
      <c r="H641">
        <v>1561.66</v>
      </c>
      <c r="I641" t="s">
        <v>21</v>
      </c>
      <c r="J641" t="s">
        <v>22</v>
      </c>
      <c r="K641" t="s">
        <v>28</v>
      </c>
      <c r="L641">
        <v>1077.53</v>
      </c>
      <c r="M641">
        <v>31</v>
      </c>
      <c r="N641">
        <v>2023</v>
      </c>
      <c r="O641">
        <v>1</v>
      </c>
      <c r="P641" t="s">
        <v>60</v>
      </c>
      <c r="Q641">
        <v>484.13</v>
      </c>
      <c r="R641" t="s">
        <v>25</v>
      </c>
      <c r="S641">
        <v>2.2257038398777187</v>
      </c>
      <c r="T641" t="s">
        <v>78</v>
      </c>
    </row>
    <row r="642" spans="1:20" x14ac:dyDescent="0.25">
      <c r="A642" s="11">
        <v>44985</v>
      </c>
      <c r="B642" t="s">
        <v>17</v>
      </c>
      <c r="C642" t="s">
        <v>18</v>
      </c>
      <c r="D642" t="s">
        <v>49</v>
      </c>
      <c r="E642" t="s">
        <v>50</v>
      </c>
      <c r="F642">
        <v>894</v>
      </c>
      <c r="G642">
        <v>3.09</v>
      </c>
      <c r="H642">
        <v>2762.46</v>
      </c>
      <c r="I642" t="s">
        <v>21</v>
      </c>
      <c r="J642" t="s">
        <v>56</v>
      </c>
      <c r="K642" t="s">
        <v>41</v>
      </c>
      <c r="L642">
        <v>2278.9499999999998</v>
      </c>
      <c r="M642">
        <v>17.5</v>
      </c>
      <c r="N642">
        <v>2023</v>
      </c>
      <c r="O642">
        <v>1</v>
      </c>
      <c r="P642" t="s">
        <v>61</v>
      </c>
      <c r="Q642">
        <v>483.51</v>
      </c>
      <c r="R642" t="s">
        <v>29</v>
      </c>
      <c r="S642">
        <v>4.7133461562325492</v>
      </c>
      <c r="T642" t="s">
        <v>78</v>
      </c>
    </row>
    <row r="643" spans="1:20" x14ac:dyDescent="0.25">
      <c r="A643" s="11">
        <v>44928</v>
      </c>
      <c r="B643" t="s">
        <v>17</v>
      </c>
      <c r="C643" t="s">
        <v>18</v>
      </c>
      <c r="D643" t="s">
        <v>45</v>
      </c>
      <c r="E643" t="s">
        <v>20</v>
      </c>
      <c r="F643">
        <v>320</v>
      </c>
      <c r="G643">
        <v>4.37</v>
      </c>
      <c r="H643">
        <v>1398.4</v>
      </c>
      <c r="I643" t="s">
        <v>21</v>
      </c>
      <c r="J643" t="s">
        <v>34</v>
      </c>
      <c r="K643" t="s">
        <v>28</v>
      </c>
      <c r="L643">
        <v>917.37</v>
      </c>
      <c r="M643">
        <v>34.4</v>
      </c>
      <c r="N643">
        <v>2023</v>
      </c>
      <c r="O643">
        <v>1</v>
      </c>
      <c r="P643" t="s">
        <v>24</v>
      </c>
      <c r="Q643">
        <v>481.03</v>
      </c>
      <c r="R643" t="s">
        <v>25</v>
      </c>
      <c r="S643">
        <v>1.9070951915680936</v>
      </c>
      <c r="T643" t="s">
        <v>78</v>
      </c>
    </row>
    <row r="644" spans="1:20" x14ac:dyDescent="0.25">
      <c r="A644" s="11">
        <v>45048</v>
      </c>
      <c r="B644" t="s">
        <v>51</v>
      </c>
      <c r="C644" t="s">
        <v>52</v>
      </c>
      <c r="D644" t="s">
        <v>48</v>
      </c>
      <c r="E644" t="s">
        <v>38</v>
      </c>
      <c r="F644">
        <v>228</v>
      </c>
      <c r="G644">
        <v>11.78</v>
      </c>
      <c r="H644">
        <v>2685.84</v>
      </c>
      <c r="I644" t="s">
        <v>33</v>
      </c>
      <c r="J644" t="s">
        <v>27</v>
      </c>
      <c r="K644" t="s">
        <v>41</v>
      </c>
      <c r="L644">
        <v>2205.6799999999998</v>
      </c>
      <c r="M644">
        <v>17.899999999999999</v>
      </c>
      <c r="N644">
        <v>2023</v>
      </c>
      <c r="O644">
        <v>2</v>
      </c>
      <c r="P644" t="s">
        <v>64</v>
      </c>
      <c r="Q644">
        <v>480.16</v>
      </c>
      <c r="R644" t="s">
        <v>29</v>
      </c>
      <c r="S644">
        <v>4.5936354548483829</v>
      </c>
      <c r="T644" t="s">
        <v>78</v>
      </c>
    </row>
    <row r="645" spans="1:20" x14ac:dyDescent="0.25">
      <c r="A645" s="11">
        <v>45043</v>
      </c>
      <c r="B645" t="s">
        <v>30</v>
      </c>
      <c r="C645" t="s">
        <v>31</v>
      </c>
      <c r="D645" t="s">
        <v>44</v>
      </c>
      <c r="E645" t="s">
        <v>38</v>
      </c>
      <c r="F645">
        <v>512</v>
      </c>
      <c r="G645">
        <v>5.82</v>
      </c>
      <c r="H645">
        <v>2979.84</v>
      </c>
      <c r="I645" t="s">
        <v>54</v>
      </c>
      <c r="J645" t="s">
        <v>47</v>
      </c>
      <c r="K645" t="s">
        <v>23</v>
      </c>
      <c r="L645">
        <v>2500.6799999999998</v>
      </c>
      <c r="M645">
        <v>16.100000000000001</v>
      </c>
      <c r="N645">
        <v>2023</v>
      </c>
      <c r="O645">
        <v>2</v>
      </c>
      <c r="P645" t="s">
        <v>64</v>
      </c>
      <c r="Q645">
        <v>479.16</v>
      </c>
      <c r="R645" t="s">
        <v>29</v>
      </c>
      <c r="S645">
        <v>5.218883045329326</v>
      </c>
      <c r="T645" t="s">
        <v>78</v>
      </c>
    </row>
    <row r="646" spans="1:20" x14ac:dyDescent="0.25">
      <c r="A646" s="11">
        <v>45101</v>
      </c>
      <c r="B646" t="s">
        <v>51</v>
      </c>
      <c r="C646" t="s">
        <v>52</v>
      </c>
      <c r="D646" t="s">
        <v>49</v>
      </c>
      <c r="E646" t="s">
        <v>50</v>
      </c>
      <c r="F646">
        <v>726</v>
      </c>
      <c r="G646">
        <v>3.6</v>
      </c>
      <c r="H646">
        <v>2613.6</v>
      </c>
      <c r="I646" t="s">
        <v>55</v>
      </c>
      <c r="J646" t="s">
        <v>40</v>
      </c>
      <c r="K646" t="s">
        <v>41</v>
      </c>
      <c r="L646">
        <v>2134.77</v>
      </c>
      <c r="M646">
        <v>18.3</v>
      </c>
      <c r="N646">
        <v>2024</v>
      </c>
      <c r="O646">
        <v>2</v>
      </c>
      <c r="P646" t="s">
        <v>24</v>
      </c>
      <c r="Q646">
        <v>478.83</v>
      </c>
      <c r="R646" t="s">
        <v>29</v>
      </c>
      <c r="S646">
        <v>4.4583046175051688</v>
      </c>
      <c r="T646" t="s">
        <v>78</v>
      </c>
    </row>
    <row r="647" spans="1:20" x14ac:dyDescent="0.25">
      <c r="A647" s="11">
        <v>45082</v>
      </c>
      <c r="B647" t="s">
        <v>42</v>
      </c>
      <c r="C647" t="s">
        <v>43</v>
      </c>
      <c r="D647" t="s">
        <v>44</v>
      </c>
      <c r="E647" t="s">
        <v>38</v>
      </c>
      <c r="F647">
        <v>189</v>
      </c>
      <c r="G647">
        <v>8.1199999999999992</v>
      </c>
      <c r="H647">
        <v>1534.68</v>
      </c>
      <c r="I647" t="s">
        <v>21</v>
      </c>
      <c r="J647" t="s">
        <v>56</v>
      </c>
      <c r="K647" t="s">
        <v>23</v>
      </c>
      <c r="L647">
        <v>1057.18</v>
      </c>
      <c r="M647">
        <v>31.1</v>
      </c>
      <c r="N647">
        <v>2023</v>
      </c>
      <c r="O647">
        <v>2</v>
      </c>
      <c r="P647" t="s">
        <v>68</v>
      </c>
      <c r="Q647">
        <v>477.5</v>
      </c>
      <c r="R647" t="s">
        <v>25</v>
      </c>
      <c r="S647">
        <v>2.2139895287958118</v>
      </c>
      <c r="T647" t="s">
        <v>78</v>
      </c>
    </row>
    <row r="648" spans="1:20" x14ac:dyDescent="0.25">
      <c r="A648" s="11">
        <v>44971</v>
      </c>
      <c r="B648" t="s">
        <v>30</v>
      </c>
      <c r="C648" t="s">
        <v>31</v>
      </c>
      <c r="D648" t="s">
        <v>45</v>
      </c>
      <c r="E648" t="s">
        <v>20</v>
      </c>
      <c r="F648">
        <v>157</v>
      </c>
      <c r="G648">
        <v>8.41</v>
      </c>
      <c r="H648">
        <v>1320.37</v>
      </c>
      <c r="I648" t="s">
        <v>55</v>
      </c>
      <c r="J648" t="s">
        <v>56</v>
      </c>
      <c r="K648" t="s">
        <v>41</v>
      </c>
      <c r="L648">
        <v>845.62</v>
      </c>
      <c r="M648">
        <v>36</v>
      </c>
      <c r="N648">
        <v>2023</v>
      </c>
      <c r="O648">
        <v>1</v>
      </c>
      <c r="P648" t="s">
        <v>60</v>
      </c>
      <c r="Q648">
        <v>474.75</v>
      </c>
      <c r="R648" t="s">
        <v>25</v>
      </c>
      <c r="S648">
        <v>1.7811901000526593</v>
      </c>
      <c r="T648" t="s">
        <v>78</v>
      </c>
    </row>
    <row r="649" spans="1:20" x14ac:dyDescent="0.25">
      <c r="A649" s="11">
        <v>45059</v>
      </c>
      <c r="B649" t="s">
        <v>17</v>
      </c>
      <c r="C649" t="s">
        <v>18</v>
      </c>
      <c r="D649" t="s">
        <v>44</v>
      </c>
      <c r="E649" t="s">
        <v>38</v>
      </c>
      <c r="F649">
        <v>444</v>
      </c>
      <c r="G649">
        <v>8.07</v>
      </c>
      <c r="H649">
        <v>3583.08</v>
      </c>
      <c r="I649" t="s">
        <v>26</v>
      </c>
      <c r="J649" t="s">
        <v>22</v>
      </c>
      <c r="K649" t="s">
        <v>28</v>
      </c>
      <c r="L649">
        <v>3108.85</v>
      </c>
      <c r="M649">
        <v>13.2</v>
      </c>
      <c r="N649">
        <v>2023</v>
      </c>
      <c r="O649">
        <v>2</v>
      </c>
      <c r="P649" t="s">
        <v>65</v>
      </c>
      <c r="Q649">
        <v>474.23</v>
      </c>
      <c r="R649" t="s">
        <v>29</v>
      </c>
      <c r="S649">
        <v>6.5555742993905906</v>
      </c>
      <c r="T649" t="s">
        <v>78</v>
      </c>
    </row>
    <row r="650" spans="1:20" x14ac:dyDescent="0.25">
      <c r="A650" s="11">
        <v>45092</v>
      </c>
      <c r="B650" t="s">
        <v>51</v>
      </c>
      <c r="C650" t="s">
        <v>52</v>
      </c>
      <c r="D650" t="s">
        <v>45</v>
      </c>
      <c r="E650" t="s">
        <v>20</v>
      </c>
      <c r="F650">
        <v>461</v>
      </c>
      <c r="G650">
        <v>5.68</v>
      </c>
      <c r="H650">
        <v>2618.48</v>
      </c>
      <c r="I650" t="s">
        <v>21</v>
      </c>
      <c r="J650" t="s">
        <v>40</v>
      </c>
      <c r="K650" t="s">
        <v>23</v>
      </c>
      <c r="L650">
        <v>2146.0100000000002</v>
      </c>
      <c r="M650">
        <v>18</v>
      </c>
      <c r="N650">
        <v>2023</v>
      </c>
      <c r="O650">
        <v>2</v>
      </c>
      <c r="P650" t="s">
        <v>70</v>
      </c>
      <c r="Q650">
        <v>472.47</v>
      </c>
      <c r="R650" t="s">
        <v>29</v>
      </c>
      <c r="S650">
        <v>4.5421084936609732</v>
      </c>
      <c r="T650" t="s">
        <v>78</v>
      </c>
    </row>
    <row r="651" spans="1:20" x14ac:dyDescent="0.25">
      <c r="A651" s="11">
        <v>45110</v>
      </c>
      <c r="B651" t="s">
        <v>58</v>
      </c>
      <c r="C651" t="s">
        <v>59</v>
      </c>
      <c r="D651" t="s">
        <v>48</v>
      </c>
      <c r="E651" t="s">
        <v>38</v>
      </c>
      <c r="F651">
        <v>275</v>
      </c>
      <c r="G651">
        <v>5.32</v>
      </c>
      <c r="H651">
        <v>1463</v>
      </c>
      <c r="I651" t="s">
        <v>21</v>
      </c>
      <c r="J651" t="s">
        <v>47</v>
      </c>
      <c r="K651" t="s">
        <v>23</v>
      </c>
      <c r="L651">
        <v>990.94</v>
      </c>
      <c r="M651">
        <v>32.299999999999997</v>
      </c>
      <c r="N651">
        <v>2024</v>
      </c>
      <c r="O651">
        <v>3</v>
      </c>
      <c r="P651" t="s">
        <v>62</v>
      </c>
      <c r="Q651">
        <v>472.06</v>
      </c>
      <c r="R651" t="s">
        <v>25</v>
      </c>
      <c r="S651">
        <v>2.0991823073338134</v>
      </c>
      <c r="T651" t="s">
        <v>78</v>
      </c>
    </row>
    <row r="652" spans="1:20" x14ac:dyDescent="0.25">
      <c r="A652" s="11">
        <v>45101</v>
      </c>
      <c r="B652" t="s">
        <v>42</v>
      </c>
      <c r="C652" t="s">
        <v>43</v>
      </c>
      <c r="D652" t="s">
        <v>37</v>
      </c>
      <c r="E652" t="s">
        <v>38</v>
      </c>
      <c r="F652">
        <v>472</v>
      </c>
      <c r="G652">
        <v>2.89</v>
      </c>
      <c r="H652">
        <v>1364.08</v>
      </c>
      <c r="I652" t="s">
        <v>21</v>
      </c>
      <c r="J652" t="s">
        <v>40</v>
      </c>
      <c r="K652" t="s">
        <v>41</v>
      </c>
      <c r="L652">
        <v>893.7</v>
      </c>
      <c r="M652">
        <v>34.5</v>
      </c>
      <c r="N652">
        <v>2024</v>
      </c>
      <c r="O652">
        <v>2</v>
      </c>
      <c r="P652" t="s">
        <v>24</v>
      </c>
      <c r="Q652">
        <v>470.38</v>
      </c>
      <c r="R652" t="s">
        <v>25</v>
      </c>
      <c r="S652">
        <v>1.8999532293039672</v>
      </c>
      <c r="T652" t="s">
        <v>78</v>
      </c>
    </row>
    <row r="653" spans="1:20" x14ac:dyDescent="0.25">
      <c r="A653" s="11">
        <v>45128</v>
      </c>
      <c r="B653" t="s">
        <v>42</v>
      </c>
      <c r="C653" t="s">
        <v>43</v>
      </c>
      <c r="D653" t="s">
        <v>19</v>
      </c>
      <c r="E653" t="s">
        <v>20</v>
      </c>
      <c r="F653">
        <v>232</v>
      </c>
      <c r="G653">
        <v>9.56</v>
      </c>
      <c r="H653">
        <v>2217.92</v>
      </c>
      <c r="I653" t="s">
        <v>54</v>
      </c>
      <c r="J653" t="s">
        <v>56</v>
      </c>
      <c r="K653" t="s">
        <v>23</v>
      </c>
      <c r="L653">
        <v>1748.05</v>
      </c>
      <c r="M653">
        <v>21.2</v>
      </c>
      <c r="N653">
        <v>2025</v>
      </c>
      <c r="O653">
        <v>3</v>
      </c>
      <c r="P653" t="s">
        <v>61</v>
      </c>
      <c r="Q653">
        <v>469.87</v>
      </c>
      <c r="R653" t="s">
        <v>29</v>
      </c>
      <c r="S653">
        <v>3.7202843339647136</v>
      </c>
      <c r="T653" t="s">
        <v>78</v>
      </c>
    </row>
    <row r="654" spans="1:20" x14ac:dyDescent="0.25">
      <c r="A654" s="11">
        <v>44976</v>
      </c>
      <c r="B654" t="s">
        <v>51</v>
      </c>
      <c r="C654" t="s">
        <v>52</v>
      </c>
      <c r="D654" t="s">
        <v>49</v>
      </c>
      <c r="E654" t="s">
        <v>50</v>
      </c>
      <c r="F654">
        <v>227</v>
      </c>
      <c r="G654">
        <v>10.95</v>
      </c>
      <c r="H654">
        <v>2485.65</v>
      </c>
      <c r="I654" t="s">
        <v>21</v>
      </c>
      <c r="J654" t="s">
        <v>22</v>
      </c>
      <c r="K654" t="s">
        <v>23</v>
      </c>
      <c r="L654">
        <v>2016.32</v>
      </c>
      <c r="M654">
        <v>18.899999999999999</v>
      </c>
      <c r="N654">
        <v>2023</v>
      </c>
      <c r="O654">
        <v>1</v>
      </c>
      <c r="P654" t="s">
        <v>60</v>
      </c>
      <c r="Q654">
        <v>469.33</v>
      </c>
      <c r="R654" t="s">
        <v>29</v>
      </c>
      <c r="S654">
        <v>4.2961668761852003</v>
      </c>
      <c r="T654" t="s">
        <v>78</v>
      </c>
    </row>
    <row r="655" spans="1:20" x14ac:dyDescent="0.25">
      <c r="A655" s="11">
        <v>45087</v>
      </c>
      <c r="B655" t="s">
        <v>35</v>
      </c>
      <c r="C655" t="s">
        <v>36</v>
      </c>
      <c r="D655" t="s">
        <v>53</v>
      </c>
      <c r="E655" t="s">
        <v>50</v>
      </c>
      <c r="F655">
        <v>283</v>
      </c>
      <c r="G655">
        <v>4.8600000000000003</v>
      </c>
      <c r="H655">
        <v>1375.38</v>
      </c>
      <c r="I655" t="s">
        <v>39</v>
      </c>
      <c r="J655" t="s">
        <v>56</v>
      </c>
      <c r="K655" t="s">
        <v>41</v>
      </c>
      <c r="L655">
        <v>907.31</v>
      </c>
      <c r="M655">
        <v>34</v>
      </c>
      <c r="N655">
        <v>2023</v>
      </c>
      <c r="O655">
        <v>2</v>
      </c>
      <c r="P655" t="s">
        <v>69</v>
      </c>
      <c r="Q655">
        <v>468.07</v>
      </c>
      <c r="R655" t="s">
        <v>25</v>
      </c>
      <c r="S655">
        <v>1.9384066485782041</v>
      </c>
      <c r="T655" t="s">
        <v>78</v>
      </c>
    </row>
    <row r="656" spans="1:20" x14ac:dyDescent="0.25">
      <c r="A656" s="11">
        <v>44964</v>
      </c>
      <c r="B656" t="s">
        <v>17</v>
      </c>
      <c r="C656" t="s">
        <v>18</v>
      </c>
      <c r="D656" t="s">
        <v>53</v>
      </c>
      <c r="E656" t="s">
        <v>50</v>
      </c>
      <c r="F656">
        <v>267</v>
      </c>
      <c r="G656">
        <v>4.58</v>
      </c>
      <c r="H656">
        <v>1222.8599999999999</v>
      </c>
      <c r="I656" t="s">
        <v>26</v>
      </c>
      <c r="J656" t="s">
        <v>47</v>
      </c>
      <c r="K656" t="s">
        <v>23</v>
      </c>
      <c r="L656">
        <v>756.58</v>
      </c>
      <c r="M656">
        <v>38.1</v>
      </c>
      <c r="N656">
        <v>2023</v>
      </c>
      <c r="O656">
        <v>1</v>
      </c>
      <c r="P656" t="s">
        <v>60</v>
      </c>
      <c r="Q656">
        <v>466.28</v>
      </c>
      <c r="R656" t="s">
        <v>25</v>
      </c>
      <c r="S656">
        <v>1.6225872866089046</v>
      </c>
      <c r="T656" t="s">
        <v>78</v>
      </c>
    </row>
    <row r="657" spans="1:20" x14ac:dyDescent="0.25">
      <c r="A657" s="11">
        <v>45057</v>
      </c>
      <c r="B657" t="s">
        <v>17</v>
      </c>
      <c r="C657" t="s">
        <v>18</v>
      </c>
      <c r="D657" t="s">
        <v>45</v>
      </c>
      <c r="E657" t="s">
        <v>20</v>
      </c>
      <c r="F657">
        <v>119</v>
      </c>
      <c r="G657">
        <v>10.48</v>
      </c>
      <c r="H657">
        <v>1247.1199999999999</v>
      </c>
      <c r="I657" t="s">
        <v>55</v>
      </c>
      <c r="J657" t="s">
        <v>27</v>
      </c>
      <c r="K657" t="s">
        <v>28</v>
      </c>
      <c r="L657">
        <v>782.61</v>
      </c>
      <c r="M657">
        <v>37.200000000000003</v>
      </c>
      <c r="N657">
        <v>2023</v>
      </c>
      <c r="O657">
        <v>2</v>
      </c>
      <c r="P657" t="s">
        <v>65</v>
      </c>
      <c r="Q657">
        <v>464.51</v>
      </c>
      <c r="R657" t="s">
        <v>25</v>
      </c>
      <c r="S657">
        <v>1.6848076467675617</v>
      </c>
      <c r="T657" t="s">
        <v>78</v>
      </c>
    </row>
    <row r="658" spans="1:20" x14ac:dyDescent="0.25">
      <c r="A658" s="11">
        <v>44975</v>
      </c>
      <c r="B658" t="s">
        <v>42</v>
      </c>
      <c r="C658" t="s">
        <v>43</v>
      </c>
      <c r="D658" t="s">
        <v>19</v>
      </c>
      <c r="E658" t="s">
        <v>20</v>
      </c>
      <c r="F658">
        <v>379</v>
      </c>
      <c r="G658">
        <v>6.68</v>
      </c>
      <c r="H658">
        <v>2531.7199999999998</v>
      </c>
      <c r="I658" t="s">
        <v>46</v>
      </c>
      <c r="J658" t="s">
        <v>27</v>
      </c>
      <c r="K658" t="s">
        <v>41</v>
      </c>
      <c r="L658">
        <v>2067.36</v>
      </c>
      <c r="M658">
        <v>18.3</v>
      </c>
      <c r="N658">
        <v>2023</v>
      </c>
      <c r="O658">
        <v>1</v>
      </c>
      <c r="P658" t="s">
        <v>60</v>
      </c>
      <c r="Q658">
        <v>464.36</v>
      </c>
      <c r="R658" t="s">
        <v>29</v>
      </c>
      <c r="S658">
        <v>4.4520630545266604</v>
      </c>
      <c r="T658" t="s">
        <v>78</v>
      </c>
    </row>
    <row r="659" spans="1:20" x14ac:dyDescent="0.25">
      <c r="A659" s="11">
        <v>45091</v>
      </c>
      <c r="B659" t="s">
        <v>17</v>
      </c>
      <c r="C659" t="s">
        <v>18</v>
      </c>
      <c r="D659" t="s">
        <v>32</v>
      </c>
      <c r="E659" t="s">
        <v>20</v>
      </c>
      <c r="F659">
        <v>537</v>
      </c>
      <c r="G659">
        <v>5.0999999999999996</v>
      </c>
      <c r="H659">
        <v>2738.7</v>
      </c>
      <c r="I659" t="s">
        <v>46</v>
      </c>
      <c r="J659" t="s">
        <v>22</v>
      </c>
      <c r="K659" t="s">
        <v>23</v>
      </c>
      <c r="L659">
        <v>2274.73</v>
      </c>
      <c r="M659">
        <v>16.899999999999999</v>
      </c>
      <c r="N659">
        <v>2023</v>
      </c>
      <c r="O659">
        <v>2</v>
      </c>
      <c r="P659" t="s">
        <v>70</v>
      </c>
      <c r="Q659">
        <v>463.97</v>
      </c>
      <c r="R659" t="s">
        <v>29</v>
      </c>
      <c r="S659">
        <v>4.9027523331249867</v>
      </c>
      <c r="T659" t="s">
        <v>78</v>
      </c>
    </row>
    <row r="660" spans="1:20" x14ac:dyDescent="0.25">
      <c r="A660" s="11">
        <v>44931</v>
      </c>
      <c r="B660" t="s">
        <v>35</v>
      </c>
      <c r="C660" t="s">
        <v>36</v>
      </c>
      <c r="D660" t="s">
        <v>19</v>
      </c>
      <c r="E660" t="s">
        <v>20</v>
      </c>
      <c r="F660">
        <v>521</v>
      </c>
      <c r="G660">
        <v>3.4</v>
      </c>
      <c r="H660">
        <v>1771.4</v>
      </c>
      <c r="I660" t="s">
        <v>55</v>
      </c>
      <c r="J660" t="s">
        <v>27</v>
      </c>
      <c r="K660" t="s">
        <v>41</v>
      </c>
      <c r="L660">
        <v>1308.04</v>
      </c>
      <c r="M660">
        <v>26.2</v>
      </c>
      <c r="N660">
        <v>2023</v>
      </c>
      <c r="O660">
        <v>1</v>
      </c>
      <c r="P660" t="s">
        <v>24</v>
      </c>
      <c r="Q660">
        <v>463.36</v>
      </c>
      <c r="R660" t="s">
        <v>25</v>
      </c>
      <c r="S660">
        <v>2.8229454419889501</v>
      </c>
      <c r="T660" t="s">
        <v>78</v>
      </c>
    </row>
    <row r="661" spans="1:20" x14ac:dyDescent="0.25">
      <c r="A661" s="11">
        <v>44994</v>
      </c>
      <c r="B661" t="s">
        <v>58</v>
      </c>
      <c r="C661" t="s">
        <v>59</v>
      </c>
      <c r="D661" t="s">
        <v>44</v>
      </c>
      <c r="E661" t="s">
        <v>38</v>
      </c>
      <c r="F661">
        <v>570</v>
      </c>
      <c r="G661">
        <v>8.1</v>
      </c>
      <c r="H661">
        <v>4617</v>
      </c>
      <c r="I661" t="s">
        <v>46</v>
      </c>
      <c r="J661" t="s">
        <v>34</v>
      </c>
      <c r="K661" t="s">
        <v>23</v>
      </c>
      <c r="L661">
        <v>4154.63</v>
      </c>
      <c r="M661">
        <v>10</v>
      </c>
      <c r="N661">
        <v>2023</v>
      </c>
      <c r="O661">
        <v>1</v>
      </c>
      <c r="P661" t="s">
        <v>61</v>
      </c>
      <c r="Q661">
        <v>462.37</v>
      </c>
      <c r="R661" t="s">
        <v>29</v>
      </c>
      <c r="S661">
        <v>8.9855094404913807</v>
      </c>
      <c r="T661" t="s">
        <v>78</v>
      </c>
    </row>
    <row r="662" spans="1:20" x14ac:dyDescent="0.25">
      <c r="A662" s="11">
        <v>45124</v>
      </c>
      <c r="B662" t="s">
        <v>30</v>
      </c>
      <c r="C662" t="s">
        <v>31</v>
      </c>
      <c r="D662" t="s">
        <v>44</v>
      </c>
      <c r="E662" t="s">
        <v>38</v>
      </c>
      <c r="F662">
        <v>302</v>
      </c>
      <c r="G662">
        <v>7.75</v>
      </c>
      <c r="H662">
        <v>2340.5</v>
      </c>
      <c r="I662" t="s">
        <v>39</v>
      </c>
      <c r="J662" t="s">
        <v>34</v>
      </c>
      <c r="K662" t="s">
        <v>41</v>
      </c>
      <c r="L662">
        <v>1878.63</v>
      </c>
      <c r="M662">
        <v>19.7</v>
      </c>
      <c r="N662">
        <v>2024</v>
      </c>
      <c r="O662">
        <v>3</v>
      </c>
      <c r="P662" t="s">
        <v>68</v>
      </c>
      <c r="Q662">
        <v>461.87</v>
      </c>
      <c r="R662" t="s">
        <v>29</v>
      </c>
      <c r="S662">
        <v>4.0674432199536668</v>
      </c>
      <c r="T662" t="s">
        <v>78</v>
      </c>
    </row>
    <row r="663" spans="1:20" x14ac:dyDescent="0.25">
      <c r="A663" s="11">
        <v>45083</v>
      </c>
      <c r="B663" t="s">
        <v>35</v>
      </c>
      <c r="C663" t="s">
        <v>36</v>
      </c>
      <c r="D663" t="s">
        <v>32</v>
      </c>
      <c r="E663" t="s">
        <v>20</v>
      </c>
      <c r="F663">
        <v>862</v>
      </c>
      <c r="G663">
        <v>4.91</v>
      </c>
      <c r="H663">
        <v>4232.42</v>
      </c>
      <c r="I663" t="s">
        <v>55</v>
      </c>
      <c r="J663" t="s">
        <v>27</v>
      </c>
      <c r="K663" t="s">
        <v>23</v>
      </c>
      <c r="L663">
        <v>3774.25</v>
      </c>
      <c r="M663">
        <v>10.8</v>
      </c>
      <c r="N663">
        <v>2023</v>
      </c>
      <c r="O663">
        <v>2</v>
      </c>
      <c r="P663" t="s">
        <v>68</v>
      </c>
      <c r="Q663">
        <v>458.17</v>
      </c>
      <c r="R663" t="s">
        <v>29</v>
      </c>
      <c r="S663">
        <v>8.2376628762249808</v>
      </c>
      <c r="T663" t="s">
        <v>78</v>
      </c>
    </row>
    <row r="664" spans="1:20" x14ac:dyDescent="0.25">
      <c r="A664" s="11">
        <v>45018</v>
      </c>
      <c r="B664" t="s">
        <v>35</v>
      </c>
      <c r="C664" t="s">
        <v>36</v>
      </c>
      <c r="D664" t="s">
        <v>37</v>
      </c>
      <c r="E664" t="s">
        <v>38</v>
      </c>
      <c r="F664">
        <v>653</v>
      </c>
      <c r="G664">
        <v>5.6</v>
      </c>
      <c r="H664">
        <v>3656.8</v>
      </c>
      <c r="I664" t="s">
        <v>54</v>
      </c>
      <c r="J664" t="s">
        <v>22</v>
      </c>
      <c r="K664" t="s">
        <v>23</v>
      </c>
      <c r="L664">
        <v>3198.71</v>
      </c>
      <c r="M664">
        <v>12.5</v>
      </c>
      <c r="N664">
        <v>2023</v>
      </c>
      <c r="O664">
        <v>2</v>
      </c>
      <c r="P664" t="s">
        <v>62</v>
      </c>
      <c r="Q664">
        <v>458.09</v>
      </c>
      <c r="R664" t="s">
        <v>29</v>
      </c>
      <c r="S664">
        <v>6.9827108210177045</v>
      </c>
      <c r="T664" t="s">
        <v>78</v>
      </c>
    </row>
    <row r="665" spans="1:20" x14ac:dyDescent="0.25">
      <c r="A665" s="11">
        <v>45057</v>
      </c>
      <c r="B665" t="s">
        <v>17</v>
      </c>
      <c r="C665" t="s">
        <v>18</v>
      </c>
      <c r="D665" t="s">
        <v>32</v>
      </c>
      <c r="E665" t="s">
        <v>20</v>
      </c>
      <c r="F665">
        <v>636</v>
      </c>
      <c r="G665">
        <v>3.61</v>
      </c>
      <c r="H665">
        <v>2295.96</v>
      </c>
      <c r="I665" t="s">
        <v>33</v>
      </c>
      <c r="J665" t="s">
        <v>27</v>
      </c>
      <c r="K665" t="s">
        <v>23</v>
      </c>
      <c r="L665">
        <v>1839.27</v>
      </c>
      <c r="M665">
        <v>19.899999999999999</v>
      </c>
      <c r="N665">
        <v>2023</v>
      </c>
      <c r="O665">
        <v>2</v>
      </c>
      <c r="P665" t="s">
        <v>65</v>
      </c>
      <c r="Q665">
        <v>456.69</v>
      </c>
      <c r="R665" t="s">
        <v>29</v>
      </c>
      <c r="S665">
        <v>4.0273927609538198</v>
      </c>
      <c r="T665" t="s">
        <v>78</v>
      </c>
    </row>
    <row r="666" spans="1:20" x14ac:dyDescent="0.25">
      <c r="A666" s="11">
        <v>45086</v>
      </c>
      <c r="B666" t="s">
        <v>35</v>
      </c>
      <c r="C666" t="s">
        <v>36</v>
      </c>
      <c r="D666" t="s">
        <v>48</v>
      </c>
      <c r="E666" t="s">
        <v>38</v>
      </c>
      <c r="F666">
        <v>478</v>
      </c>
      <c r="G666">
        <v>7.11</v>
      </c>
      <c r="H666">
        <v>3398.58</v>
      </c>
      <c r="I666" t="s">
        <v>26</v>
      </c>
      <c r="J666" t="s">
        <v>27</v>
      </c>
      <c r="K666" t="s">
        <v>41</v>
      </c>
      <c r="L666">
        <v>2946.19</v>
      </c>
      <c r="M666">
        <v>13.3</v>
      </c>
      <c r="N666">
        <v>2023</v>
      </c>
      <c r="O666">
        <v>2</v>
      </c>
      <c r="P666" t="s">
        <v>69</v>
      </c>
      <c r="Q666">
        <v>452.39</v>
      </c>
      <c r="R666" t="s">
        <v>29</v>
      </c>
      <c r="S666">
        <v>6.5125002763102637</v>
      </c>
      <c r="T666" t="s">
        <v>78</v>
      </c>
    </row>
    <row r="667" spans="1:20" x14ac:dyDescent="0.25">
      <c r="A667" s="11">
        <v>44943</v>
      </c>
      <c r="B667" t="s">
        <v>30</v>
      </c>
      <c r="C667" t="s">
        <v>31</v>
      </c>
      <c r="D667" t="s">
        <v>44</v>
      </c>
      <c r="E667" t="s">
        <v>38</v>
      </c>
      <c r="F667">
        <v>509</v>
      </c>
      <c r="G667">
        <v>4.1900000000000004</v>
      </c>
      <c r="H667">
        <v>2132.71</v>
      </c>
      <c r="I667" t="s">
        <v>33</v>
      </c>
      <c r="J667" t="s">
        <v>22</v>
      </c>
      <c r="K667" t="s">
        <v>41</v>
      </c>
      <c r="L667">
        <v>1682.09</v>
      </c>
      <c r="M667">
        <v>21.1</v>
      </c>
      <c r="N667">
        <v>2023</v>
      </c>
      <c r="O667">
        <v>1</v>
      </c>
      <c r="P667" t="s">
        <v>24</v>
      </c>
      <c r="Q667">
        <v>450.62</v>
      </c>
      <c r="R667" t="s">
        <v>29</v>
      </c>
      <c r="S667">
        <v>3.7328347609959609</v>
      </c>
      <c r="T667" t="s">
        <v>78</v>
      </c>
    </row>
    <row r="668" spans="1:20" x14ac:dyDescent="0.25">
      <c r="A668" s="11">
        <v>44963</v>
      </c>
      <c r="B668" t="s">
        <v>58</v>
      </c>
      <c r="C668" t="s">
        <v>59</v>
      </c>
      <c r="D668" t="s">
        <v>19</v>
      </c>
      <c r="E668" t="s">
        <v>20</v>
      </c>
      <c r="F668">
        <v>188</v>
      </c>
      <c r="G668">
        <v>10.49</v>
      </c>
      <c r="H668">
        <v>1972.12</v>
      </c>
      <c r="I668" t="s">
        <v>55</v>
      </c>
      <c r="J668" t="s">
        <v>56</v>
      </c>
      <c r="K668" t="s">
        <v>28</v>
      </c>
      <c r="L668">
        <v>1525.91</v>
      </c>
      <c r="M668">
        <v>22.6</v>
      </c>
      <c r="N668">
        <v>2023</v>
      </c>
      <c r="O668">
        <v>1</v>
      </c>
      <c r="P668" t="s">
        <v>60</v>
      </c>
      <c r="Q668">
        <v>446.21</v>
      </c>
      <c r="R668" t="s">
        <v>29</v>
      </c>
      <c r="S668">
        <v>3.4197126913336775</v>
      </c>
      <c r="T668" t="s">
        <v>78</v>
      </c>
    </row>
    <row r="669" spans="1:20" x14ac:dyDescent="0.25">
      <c r="A669" s="11">
        <v>45066</v>
      </c>
      <c r="B669" t="s">
        <v>51</v>
      </c>
      <c r="C669" t="s">
        <v>52</v>
      </c>
      <c r="D669" t="s">
        <v>19</v>
      </c>
      <c r="E669" t="s">
        <v>20</v>
      </c>
      <c r="F669">
        <v>113</v>
      </c>
      <c r="G669">
        <v>11.82</v>
      </c>
      <c r="H669">
        <v>1335.66</v>
      </c>
      <c r="I669" t="s">
        <v>26</v>
      </c>
      <c r="J669" t="s">
        <v>34</v>
      </c>
      <c r="K669" t="s">
        <v>41</v>
      </c>
      <c r="L669">
        <v>889.92</v>
      </c>
      <c r="M669">
        <v>33.4</v>
      </c>
      <c r="N669">
        <v>2023</v>
      </c>
      <c r="O669">
        <v>2</v>
      </c>
      <c r="P669" t="s">
        <v>66</v>
      </c>
      <c r="Q669">
        <v>445.74</v>
      </c>
      <c r="R669" t="s">
        <v>25</v>
      </c>
      <c r="S669">
        <v>1.996500201911428</v>
      </c>
      <c r="T669" t="s">
        <v>78</v>
      </c>
    </row>
    <row r="670" spans="1:20" x14ac:dyDescent="0.25">
      <c r="A670" s="11">
        <v>45063</v>
      </c>
      <c r="B670" t="s">
        <v>58</v>
      </c>
      <c r="C670" t="s">
        <v>59</v>
      </c>
      <c r="D670" t="s">
        <v>48</v>
      </c>
      <c r="E670" t="s">
        <v>38</v>
      </c>
      <c r="F670">
        <v>424</v>
      </c>
      <c r="G670">
        <v>7.19</v>
      </c>
      <c r="H670">
        <v>3048.56</v>
      </c>
      <c r="I670" t="s">
        <v>39</v>
      </c>
      <c r="J670" t="s">
        <v>22</v>
      </c>
      <c r="K670" t="s">
        <v>23</v>
      </c>
      <c r="L670">
        <v>2603.5500000000002</v>
      </c>
      <c r="M670">
        <v>14.6</v>
      </c>
      <c r="N670">
        <v>2023</v>
      </c>
      <c r="O670">
        <v>2</v>
      </c>
      <c r="P670" t="s">
        <v>65</v>
      </c>
      <c r="Q670">
        <v>445.01</v>
      </c>
      <c r="R670" t="s">
        <v>29</v>
      </c>
      <c r="S670">
        <v>5.8505426844340578</v>
      </c>
      <c r="T670" t="s">
        <v>78</v>
      </c>
    </row>
    <row r="671" spans="1:20" x14ac:dyDescent="0.25">
      <c r="A671" s="11">
        <v>44981</v>
      </c>
      <c r="B671" t="s">
        <v>51</v>
      </c>
      <c r="C671" t="s">
        <v>52</v>
      </c>
      <c r="D671" t="s">
        <v>44</v>
      </c>
      <c r="E671" t="s">
        <v>38</v>
      </c>
      <c r="F671">
        <v>385</v>
      </c>
      <c r="G671">
        <v>8.94</v>
      </c>
      <c r="H671">
        <v>3441.9</v>
      </c>
      <c r="I671" t="s">
        <v>46</v>
      </c>
      <c r="J671" t="s">
        <v>22</v>
      </c>
      <c r="K671" t="s">
        <v>41</v>
      </c>
      <c r="L671">
        <v>2998.87</v>
      </c>
      <c r="M671">
        <v>12.9</v>
      </c>
      <c r="N671">
        <v>2023</v>
      </c>
      <c r="O671">
        <v>1</v>
      </c>
      <c r="P671" t="s">
        <v>61</v>
      </c>
      <c r="Q671">
        <v>443.03</v>
      </c>
      <c r="R671" t="s">
        <v>29</v>
      </c>
      <c r="S671">
        <v>6.7689998419971564</v>
      </c>
      <c r="T671" t="s">
        <v>78</v>
      </c>
    </row>
    <row r="672" spans="1:20" x14ac:dyDescent="0.25">
      <c r="A672" s="11">
        <v>44980</v>
      </c>
      <c r="B672" t="s">
        <v>17</v>
      </c>
      <c r="C672" t="s">
        <v>18</v>
      </c>
      <c r="D672" t="s">
        <v>48</v>
      </c>
      <c r="E672" t="s">
        <v>38</v>
      </c>
      <c r="F672">
        <v>268</v>
      </c>
      <c r="G672">
        <v>6.55</v>
      </c>
      <c r="H672">
        <v>1755.4</v>
      </c>
      <c r="I672" t="s">
        <v>33</v>
      </c>
      <c r="J672" t="s">
        <v>47</v>
      </c>
      <c r="K672" t="s">
        <v>41</v>
      </c>
      <c r="L672">
        <v>1314.54</v>
      </c>
      <c r="M672">
        <v>25.1</v>
      </c>
      <c r="N672">
        <v>2023</v>
      </c>
      <c r="O672">
        <v>1</v>
      </c>
      <c r="P672" t="s">
        <v>61</v>
      </c>
      <c r="Q672">
        <v>440.86</v>
      </c>
      <c r="R672" t="s">
        <v>25</v>
      </c>
      <c r="S672">
        <v>2.9817629179331306</v>
      </c>
      <c r="T672" t="s">
        <v>78</v>
      </c>
    </row>
    <row r="673" spans="1:20" x14ac:dyDescent="0.25">
      <c r="A673" s="11">
        <v>45040</v>
      </c>
      <c r="B673" t="s">
        <v>35</v>
      </c>
      <c r="C673" t="s">
        <v>36</v>
      </c>
      <c r="D673" t="s">
        <v>53</v>
      </c>
      <c r="E673" t="s">
        <v>50</v>
      </c>
      <c r="F673">
        <v>888</v>
      </c>
      <c r="G673">
        <v>4.54</v>
      </c>
      <c r="H673">
        <v>4031.52</v>
      </c>
      <c r="I673" t="s">
        <v>55</v>
      </c>
      <c r="J673" t="s">
        <v>27</v>
      </c>
      <c r="K673" t="s">
        <v>41</v>
      </c>
      <c r="L673">
        <v>3591.05</v>
      </c>
      <c r="M673">
        <v>10.9</v>
      </c>
      <c r="N673">
        <v>2023</v>
      </c>
      <c r="O673">
        <v>2</v>
      </c>
      <c r="P673" t="s">
        <v>64</v>
      </c>
      <c r="Q673">
        <v>440.47</v>
      </c>
      <c r="R673" t="s">
        <v>29</v>
      </c>
      <c r="S673">
        <v>8.1527686335051186</v>
      </c>
      <c r="T673" t="s">
        <v>78</v>
      </c>
    </row>
    <row r="674" spans="1:20" x14ac:dyDescent="0.25">
      <c r="A674" s="11">
        <v>44953</v>
      </c>
      <c r="B674" t="s">
        <v>51</v>
      </c>
      <c r="C674" t="s">
        <v>52</v>
      </c>
      <c r="D674" t="s">
        <v>37</v>
      </c>
      <c r="E674" t="s">
        <v>38</v>
      </c>
      <c r="F674">
        <v>332</v>
      </c>
      <c r="G674">
        <v>6.94</v>
      </c>
      <c r="H674">
        <v>2304.08</v>
      </c>
      <c r="I674" t="s">
        <v>21</v>
      </c>
      <c r="J674" t="s">
        <v>40</v>
      </c>
      <c r="K674" t="s">
        <v>28</v>
      </c>
      <c r="L674">
        <v>1866.86</v>
      </c>
      <c r="M674">
        <v>19</v>
      </c>
      <c r="N674">
        <v>2023</v>
      </c>
      <c r="O674">
        <v>1</v>
      </c>
      <c r="P674" t="s">
        <v>24</v>
      </c>
      <c r="Q674">
        <v>437.22</v>
      </c>
      <c r="R674" t="s">
        <v>29</v>
      </c>
      <c r="S674">
        <v>4.2698412698412698</v>
      </c>
      <c r="T674" t="s">
        <v>78</v>
      </c>
    </row>
    <row r="675" spans="1:20" x14ac:dyDescent="0.25">
      <c r="A675" s="11">
        <v>45049</v>
      </c>
      <c r="B675" t="s">
        <v>42</v>
      </c>
      <c r="C675" t="s">
        <v>43</v>
      </c>
      <c r="D675" t="s">
        <v>53</v>
      </c>
      <c r="E675" t="s">
        <v>50</v>
      </c>
      <c r="F675">
        <v>737</v>
      </c>
      <c r="G675">
        <v>5.19</v>
      </c>
      <c r="H675">
        <v>3825.03</v>
      </c>
      <c r="I675" t="s">
        <v>21</v>
      </c>
      <c r="J675" t="s">
        <v>34</v>
      </c>
      <c r="K675" t="s">
        <v>23</v>
      </c>
      <c r="L675">
        <v>3390.18</v>
      </c>
      <c r="M675">
        <v>11.4</v>
      </c>
      <c r="N675">
        <v>2023</v>
      </c>
      <c r="O675">
        <v>2</v>
      </c>
      <c r="P675" t="s">
        <v>64</v>
      </c>
      <c r="Q675">
        <v>434.85</v>
      </c>
      <c r="R675" t="s">
        <v>29</v>
      </c>
      <c r="S675">
        <v>7.7962055881338381</v>
      </c>
      <c r="T675" t="s">
        <v>78</v>
      </c>
    </row>
    <row r="676" spans="1:20" x14ac:dyDescent="0.25">
      <c r="A676" s="11">
        <v>45019</v>
      </c>
      <c r="B676" t="s">
        <v>17</v>
      </c>
      <c r="C676" t="s">
        <v>18</v>
      </c>
      <c r="D676" t="s">
        <v>53</v>
      </c>
      <c r="E676" t="s">
        <v>50</v>
      </c>
      <c r="F676">
        <v>826</v>
      </c>
      <c r="G676">
        <v>2.97</v>
      </c>
      <c r="H676">
        <v>2453.2199999999998</v>
      </c>
      <c r="I676" t="s">
        <v>46</v>
      </c>
      <c r="J676" t="s">
        <v>40</v>
      </c>
      <c r="K676" t="s">
        <v>23</v>
      </c>
      <c r="L676">
        <v>2024.46</v>
      </c>
      <c r="M676">
        <v>17.5</v>
      </c>
      <c r="N676">
        <v>2023</v>
      </c>
      <c r="O676">
        <v>2</v>
      </c>
      <c r="P676" t="s">
        <v>62</v>
      </c>
      <c r="Q676">
        <v>428.76</v>
      </c>
      <c r="R676" t="s">
        <v>29</v>
      </c>
      <c r="S676">
        <v>4.7216624685138537</v>
      </c>
      <c r="T676" t="s">
        <v>78</v>
      </c>
    </row>
    <row r="677" spans="1:20" x14ac:dyDescent="0.25">
      <c r="A677" s="11">
        <v>45048</v>
      </c>
      <c r="B677" t="s">
        <v>58</v>
      </c>
      <c r="C677" t="s">
        <v>59</v>
      </c>
      <c r="D677" t="s">
        <v>45</v>
      </c>
      <c r="E677" t="s">
        <v>20</v>
      </c>
      <c r="F677">
        <v>94</v>
      </c>
      <c r="G677">
        <v>11.39</v>
      </c>
      <c r="H677">
        <v>1070.6600000000001</v>
      </c>
      <c r="I677" t="s">
        <v>33</v>
      </c>
      <c r="J677" t="s">
        <v>27</v>
      </c>
      <c r="K677" t="s">
        <v>28</v>
      </c>
      <c r="L677">
        <v>644.1</v>
      </c>
      <c r="M677">
        <v>39.799999999999997</v>
      </c>
      <c r="N677">
        <v>2023</v>
      </c>
      <c r="O677">
        <v>2</v>
      </c>
      <c r="P677" t="s">
        <v>64</v>
      </c>
      <c r="Q677">
        <v>426.56</v>
      </c>
      <c r="R677" t="s">
        <v>25</v>
      </c>
      <c r="S677">
        <v>1.5099868717179294</v>
      </c>
      <c r="T677" t="s">
        <v>78</v>
      </c>
    </row>
    <row r="678" spans="1:20" x14ac:dyDescent="0.25">
      <c r="A678" s="11">
        <v>45070</v>
      </c>
      <c r="B678" t="s">
        <v>35</v>
      </c>
      <c r="C678" t="s">
        <v>36</v>
      </c>
      <c r="D678" t="s">
        <v>32</v>
      </c>
      <c r="E678" t="s">
        <v>20</v>
      </c>
      <c r="F678">
        <v>395</v>
      </c>
      <c r="G678">
        <v>3.37</v>
      </c>
      <c r="H678">
        <v>1331.15</v>
      </c>
      <c r="I678" t="s">
        <v>46</v>
      </c>
      <c r="J678" t="s">
        <v>22</v>
      </c>
      <c r="K678" t="s">
        <v>28</v>
      </c>
      <c r="L678">
        <v>906.19</v>
      </c>
      <c r="M678">
        <v>31.9</v>
      </c>
      <c r="N678">
        <v>2023</v>
      </c>
      <c r="O678">
        <v>2</v>
      </c>
      <c r="P678" t="s">
        <v>66</v>
      </c>
      <c r="Q678">
        <v>424.96</v>
      </c>
      <c r="R678" t="s">
        <v>25</v>
      </c>
      <c r="S678">
        <v>2.1324124623493979</v>
      </c>
      <c r="T678" t="s">
        <v>78</v>
      </c>
    </row>
    <row r="679" spans="1:20" x14ac:dyDescent="0.25">
      <c r="A679" s="11">
        <v>44993</v>
      </c>
      <c r="B679" t="s">
        <v>30</v>
      </c>
      <c r="C679" t="s">
        <v>31</v>
      </c>
      <c r="D679" t="s">
        <v>53</v>
      </c>
      <c r="E679" t="s">
        <v>50</v>
      </c>
      <c r="F679">
        <v>330</v>
      </c>
      <c r="G679">
        <v>6.15</v>
      </c>
      <c r="H679">
        <v>2029.5</v>
      </c>
      <c r="I679" t="s">
        <v>26</v>
      </c>
      <c r="J679" t="s">
        <v>40</v>
      </c>
      <c r="K679" t="s">
        <v>23</v>
      </c>
      <c r="L679">
        <v>1605.8</v>
      </c>
      <c r="M679">
        <v>20.9</v>
      </c>
      <c r="N679">
        <v>2023</v>
      </c>
      <c r="O679">
        <v>1</v>
      </c>
      <c r="P679" t="s">
        <v>61</v>
      </c>
      <c r="Q679">
        <v>423.7</v>
      </c>
      <c r="R679" t="s">
        <v>29</v>
      </c>
      <c r="S679">
        <v>3.7899457163087091</v>
      </c>
      <c r="T679" t="s">
        <v>78</v>
      </c>
    </row>
    <row r="680" spans="1:20" x14ac:dyDescent="0.25">
      <c r="A680" s="11">
        <v>44978</v>
      </c>
      <c r="B680" t="s">
        <v>51</v>
      </c>
      <c r="C680" t="s">
        <v>52</v>
      </c>
      <c r="D680" t="s">
        <v>45</v>
      </c>
      <c r="E680" t="s">
        <v>20</v>
      </c>
      <c r="F680">
        <v>902</v>
      </c>
      <c r="G680">
        <v>4.2</v>
      </c>
      <c r="H680">
        <v>3788.4</v>
      </c>
      <c r="I680" t="s">
        <v>39</v>
      </c>
      <c r="J680" t="s">
        <v>56</v>
      </c>
      <c r="K680" t="s">
        <v>41</v>
      </c>
      <c r="L680">
        <v>3368.55</v>
      </c>
      <c r="M680">
        <v>11.1</v>
      </c>
      <c r="N680">
        <v>2023</v>
      </c>
      <c r="O680">
        <v>1</v>
      </c>
      <c r="P680" t="s">
        <v>61</v>
      </c>
      <c r="Q680">
        <v>419.85</v>
      </c>
      <c r="R680" t="s">
        <v>29</v>
      </c>
      <c r="S680">
        <v>8.0232225794926766</v>
      </c>
      <c r="T680" t="s">
        <v>78</v>
      </c>
    </row>
    <row r="681" spans="1:20" x14ac:dyDescent="0.25">
      <c r="A681" s="11">
        <v>44998</v>
      </c>
      <c r="B681" t="s">
        <v>58</v>
      </c>
      <c r="C681" t="s">
        <v>59</v>
      </c>
      <c r="D681" t="s">
        <v>48</v>
      </c>
      <c r="E681" t="s">
        <v>38</v>
      </c>
      <c r="F681">
        <v>478</v>
      </c>
      <c r="G681">
        <v>6.43</v>
      </c>
      <c r="H681">
        <v>3073.54</v>
      </c>
      <c r="I681" t="s">
        <v>26</v>
      </c>
      <c r="J681" t="s">
        <v>47</v>
      </c>
      <c r="K681" t="s">
        <v>41</v>
      </c>
      <c r="L681">
        <v>2654.27</v>
      </c>
      <c r="M681">
        <v>13.6</v>
      </c>
      <c r="N681">
        <v>2023</v>
      </c>
      <c r="O681">
        <v>1</v>
      </c>
      <c r="P681" t="s">
        <v>61</v>
      </c>
      <c r="Q681">
        <v>419.27</v>
      </c>
      <c r="R681" t="s">
        <v>29</v>
      </c>
      <c r="S681">
        <v>6.3306938249815161</v>
      </c>
      <c r="T681" t="s">
        <v>78</v>
      </c>
    </row>
    <row r="682" spans="1:20" x14ac:dyDescent="0.25">
      <c r="A682" s="11">
        <v>45073</v>
      </c>
      <c r="B682" t="s">
        <v>30</v>
      </c>
      <c r="C682" t="s">
        <v>31</v>
      </c>
      <c r="D682" t="s">
        <v>32</v>
      </c>
      <c r="E682" t="s">
        <v>20</v>
      </c>
      <c r="F682">
        <v>142</v>
      </c>
      <c r="G682">
        <v>11.17</v>
      </c>
      <c r="H682">
        <v>1586.14</v>
      </c>
      <c r="I682" t="s">
        <v>33</v>
      </c>
      <c r="J682" t="s">
        <v>27</v>
      </c>
      <c r="K682" t="s">
        <v>28</v>
      </c>
      <c r="L682">
        <v>1167.0899999999999</v>
      </c>
      <c r="M682">
        <v>26.4</v>
      </c>
      <c r="N682">
        <v>2023</v>
      </c>
      <c r="O682">
        <v>2</v>
      </c>
      <c r="P682" t="s">
        <v>67</v>
      </c>
      <c r="Q682">
        <v>419.05</v>
      </c>
      <c r="R682" t="s">
        <v>25</v>
      </c>
      <c r="S682">
        <v>2.7850853120152723</v>
      </c>
      <c r="T682" t="s">
        <v>78</v>
      </c>
    </row>
    <row r="683" spans="1:20" x14ac:dyDescent="0.25">
      <c r="A683" s="11">
        <v>45013</v>
      </c>
      <c r="B683" t="s">
        <v>35</v>
      </c>
      <c r="C683" t="s">
        <v>36</v>
      </c>
      <c r="D683" t="s">
        <v>53</v>
      </c>
      <c r="E683" t="s">
        <v>50</v>
      </c>
      <c r="F683">
        <v>255</v>
      </c>
      <c r="G683">
        <v>5.35</v>
      </c>
      <c r="H683">
        <v>1364.25</v>
      </c>
      <c r="I683" t="s">
        <v>26</v>
      </c>
      <c r="J683" t="s">
        <v>22</v>
      </c>
      <c r="K683" t="s">
        <v>41</v>
      </c>
      <c r="L683">
        <v>945.44</v>
      </c>
      <c r="M683">
        <v>30.7</v>
      </c>
      <c r="N683">
        <v>2023</v>
      </c>
      <c r="O683">
        <v>1</v>
      </c>
      <c r="P683" t="s">
        <v>62</v>
      </c>
      <c r="Q683">
        <v>418.81</v>
      </c>
      <c r="R683" t="s">
        <v>25</v>
      </c>
      <c r="S683">
        <v>2.2574437095580335</v>
      </c>
      <c r="T683" t="s">
        <v>78</v>
      </c>
    </row>
    <row r="684" spans="1:20" x14ac:dyDescent="0.25">
      <c r="A684" s="11">
        <v>45097</v>
      </c>
      <c r="B684" t="s">
        <v>35</v>
      </c>
      <c r="C684" t="s">
        <v>36</v>
      </c>
      <c r="D684" t="s">
        <v>19</v>
      </c>
      <c r="E684" t="s">
        <v>20</v>
      </c>
      <c r="F684">
        <v>573</v>
      </c>
      <c r="G684">
        <v>3.1</v>
      </c>
      <c r="H684">
        <v>1776.3</v>
      </c>
      <c r="I684" t="s">
        <v>57</v>
      </c>
      <c r="J684" t="s">
        <v>22</v>
      </c>
      <c r="K684" t="s">
        <v>28</v>
      </c>
      <c r="L684">
        <v>1359.65</v>
      </c>
      <c r="M684">
        <v>23.5</v>
      </c>
      <c r="N684">
        <v>2024</v>
      </c>
      <c r="O684">
        <v>2</v>
      </c>
      <c r="P684" t="s">
        <v>24</v>
      </c>
      <c r="Q684">
        <v>416.65</v>
      </c>
      <c r="R684" t="s">
        <v>29</v>
      </c>
      <c r="S684">
        <v>3.2632905316212653</v>
      </c>
      <c r="T684" t="s">
        <v>78</v>
      </c>
    </row>
    <row r="685" spans="1:20" x14ac:dyDescent="0.25">
      <c r="A685" s="11">
        <v>45000</v>
      </c>
      <c r="B685" t="s">
        <v>17</v>
      </c>
      <c r="C685" t="s">
        <v>18</v>
      </c>
      <c r="D685" t="s">
        <v>53</v>
      </c>
      <c r="E685" t="s">
        <v>50</v>
      </c>
      <c r="F685">
        <v>417</v>
      </c>
      <c r="G685">
        <v>6.95</v>
      </c>
      <c r="H685">
        <v>2898.15</v>
      </c>
      <c r="I685" t="s">
        <v>54</v>
      </c>
      <c r="J685" t="s">
        <v>56</v>
      </c>
      <c r="K685" t="s">
        <v>23</v>
      </c>
      <c r="L685">
        <v>2483.0500000000002</v>
      </c>
      <c r="M685">
        <v>14.3</v>
      </c>
      <c r="N685">
        <v>2023</v>
      </c>
      <c r="O685">
        <v>1</v>
      </c>
      <c r="P685" t="s">
        <v>61</v>
      </c>
      <c r="Q685">
        <v>415.1</v>
      </c>
      <c r="R685" t="s">
        <v>29</v>
      </c>
      <c r="S685">
        <v>5.9818116116598414</v>
      </c>
      <c r="T685" t="s">
        <v>78</v>
      </c>
    </row>
    <row r="686" spans="1:20" x14ac:dyDescent="0.25">
      <c r="A686" s="11">
        <v>45072</v>
      </c>
      <c r="B686" t="s">
        <v>51</v>
      </c>
      <c r="C686" t="s">
        <v>52</v>
      </c>
      <c r="D686" t="s">
        <v>45</v>
      </c>
      <c r="E686" t="s">
        <v>20</v>
      </c>
      <c r="F686">
        <v>107</v>
      </c>
      <c r="G686">
        <v>11.33</v>
      </c>
      <c r="H686">
        <v>1212.31</v>
      </c>
      <c r="I686" t="s">
        <v>55</v>
      </c>
      <c r="J686" t="s">
        <v>47</v>
      </c>
      <c r="K686" t="s">
        <v>28</v>
      </c>
      <c r="L686">
        <v>798.19</v>
      </c>
      <c r="M686">
        <v>34.200000000000003</v>
      </c>
      <c r="N686">
        <v>2023</v>
      </c>
      <c r="O686">
        <v>2</v>
      </c>
      <c r="P686" t="s">
        <v>66</v>
      </c>
      <c r="Q686">
        <v>414.12</v>
      </c>
      <c r="R686" t="s">
        <v>25</v>
      </c>
      <c r="S686">
        <v>1.9274364918381146</v>
      </c>
      <c r="T686" t="s">
        <v>78</v>
      </c>
    </row>
    <row r="687" spans="1:20" x14ac:dyDescent="0.25">
      <c r="A687" s="11">
        <v>45037</v>
      </c>
      <c r="B687" t="s">
        <v>35</v>
      </c>
      <c r="C687" t="s">
        <v>36</v>
      </c>
      <c r="D687" t="s">
        <v>48</v>
      </c>
      <c r="E687" t="s">
        <v>38</v>
      </c>
      <c r="F687">
        <v>258</v>
      </c>
      <c r="G687">
        <v>5.88</v>
      </c>
      <c r="H687">
        <v>1517.04</v>
      </c>
      <c r="I687" t="s">
        <v>33</v>
      </c>
      <c r="J687" t="s">
        <v>34</v>
      </c>
      <c r="K687" t="s">
        <v>28</v>
      </c>
      <c r="L687">
        <v>1103.94</v>
      </c>
      <c r="M687">
        <v>27.2</v>
      </c>
      <c r="N687">
        <v>2023</v>
      </c>
      <c r="O687">
        <v>2</v>
      </c>
      <c r="P687" t="s">
        <v>63</v>
      </c>
      <c r="Q687">
        <v>413.1</v>
      </c>
      <c r="R687" t="s">
        <v>25</v>
      </c>
      <c r="S687">
        <v>2.672331154684096</v>
      </c>
      <c r="T687" t="s">
        <v>78</v>
      </c>
    </row>
    <row r="688" spans="1:20" x14ac:dyDescent="0.25">
      <c r="A688" s="11">
        <v>44984</v>
      </c>
      <c r="B688" t="s">
        <v>30</v>
      </c>
      <c r="C688" t="s">
        <v>31</v>
      </c>
      <c r="D688" t="s">
        <v>44</v>
      </c>
      <c r="E688" t="s">
        <v>38</v>
      </c>
      <c r="F688">
        <v>148</v>
      </c>
      <c r="G688">
        <v>7.24</v>
      </c>
      <c r="H688">
        <v>1071.52</v>
      </c>
      <c r="I688" t="s">
        <v>33</v>
      </c>
      <c r="J688" t="s">
        <v>27</v>
      </c>
      <c r="K688" t="s">
        <v>28</v>
      </c>
      <c r="L688">
        <v>661.05</v>
      </c>
      <c r="M688">
        <v>38.299999999999997</v>
      </c>
      <c r="N688">
        <v>2023</v>
      </c>
      <c r="O688">
        <v>1</v>
      </c>
      <c r="P688" t="s">
        <v>61</v>
      </c>
      <c r="Q688">
        <v>410.47</v>
      </c>
      <c r="R688" t="s">
        <v>25</v>
      </c>
      <c r="S688">
        <v>1.6104709235754133</v>
      </c>
      <c r="T688" t="s">
        <v>78</v>
      </c>
    </row>
    <row r="689" spans="1:20" x14ac:dyDescent="0.25">
      <c r="A689" s="11">
        <v>45049</v>
      </c>
      <c r="B689" t="s">
        <v>51</v>
      </c>
      <c r="C689" t="s">
        <v>52</v>
      </c>
      <c r="D689" t="s">
        <v>37</v>
      </c>
      <c r="E689" t="s">
        <v>38</v>
      </c>
      <c r="F689">
        <v>123</v>
      </c>
      <c r="G689">
        <v>11.16</v>
      </c>
      <c r="H689">
        <v>1372.68</v>
      </c>
      <c r="I689" t="s">
        <v>57</v>
      </c>
      <c r="J689" t="s">
        <v>56</v>
      </c>
      <c r="K689" t="s">
        <v>28</v>
      </c>
      <c r="L689">
        <v>965.87</v>
      </c>
      <c r="M689">
        <v>29.6</v>
      </c>
      <c r="N689">
        <v>2023</v>
      </c>
      <c r="O689">
        <v>2</v>
      </c>
      <c r="P689" t="s">
        <v>64</v>
      </c>
      <c r="Q689">
        <v>406.81</v>
      </c>
      <c r="R689" t="s">
        <v>25</v>
      </c>
      <c r="S689">
        <v>2.3742533369386201</v>
      </c>
      <c r="T689" t="s">
        <v>78</v>
      </c>
    </row>
    <row r="690" spans="1:20" x14ac:dyDescent="0.25">
      <c r="A690" s="11">
        <v>44961</v>
      </c>
      <c r="B690" t="s">
        <v>51</v>
      </c>
      <c r="C690" t="s">
        <v>52</v>
      </c>
      <c r="D690" t="s">
        <v>45</v>
      </c>
      <c r="E690" t="s">
        <v>20</v>
      </c>
      <c r="F690">
        <v>137</v>
      </c>
      <c r="G690">
        <v>10.23</v>
      </c>
      <c r="H690">
        <v>1401.51</v>
      </c>
      <c r="I690" t="s">
        <v>57</v>
      </c>
      <c r="J690" t="s">
        <v>47</v>
      </c>
      <c r="K690" t="s">
        <v>41</v>
      </c>
      <c r="L690">
        <v>995.01</v>
      </c>
      <c r="M690">
        <v>29</v>
      </c>
      <c r="N690">
        <v>2023</v>
      </c>
      <c r="O690">
        <v>1</v>
      </c>
      <c r="P690" t="s">
        <v>60</v>
      </c>
      <c r="Q690">
        <v>406.5</v>
      </c>
      <c r="R690" t="s">
        <v>25</v>
      </c>
      <c r="S690">
        <v>2.4477490774907751</v>
      </c>
      <c r="T690" t="s">
        <v>78</v>
      </c>
    </row>
    <row r="691" spans="1:20" x14ac:dyDescent="0.25">
      <c r="A691" s="11">
        <v>45055</v>
      </c>
      <c r="B691" t="s">
        <v>42</v>
      </c>
      <c r="C691" t="s">
        <v>43</v>
      </c>
      <c r="D691" t="s">
        <v>37</v>
      </c>
      <c r="E691" t="s">
        <v>38</v>
      </c>
      <c r="F691">
        <v>317</v>
      </c>
      <c r="G691">
        <v>6.03</v>
      </c>
      <c r="H691">
        <v>1911.51</v>
      </c>
      <c r="I691" t="s">
        <v>26</v>
      </c>
      <c r="J691" t="s">
        <v>47</v>
      </c>
      <c r="K691" t="s">
        <v>28</v>
      </c>
      <c r="L691">
        <v>1505.37</v>
      </c>
      <c r="M691">
        <v>21.2</v>
      </c>
      <c r="N691">
        <v>2023</v>
      </c>
      <c r="O691">
        <v>2</v>
      </c>
      <c r="P691" t="s">
        <v>65</v>
      </c>
      <c r="Q691">
        <v>406.14</v>
      </c>
      <c r="R691" t="s">
        <v>29</v>
      </c>
      <c r="S691">
        <v>3.7065297680602747</v>
      </c>
      <c r="T691" t="s">
        <v>78</v>
      </c>
    </row>
    <row r="692" spans="1:20" x14ac:dyDescent="0.25">
      <c r="A692" s="11">
        <v>44930</v>
      </c>
      <c r="B692" t="s">
        <v>42</v>
      </c>
      <c r="C692" t="s">
        <v>43</v>
      </c>
      <c r="D692" t="s">
        <v>37</v>
      </c>
      <c r="E692" t="s">
        <v>38</v>
      </c>
      <c r="F692">
        <v>316</v>
      </c>
      <c r="G692">
        <v>11.31</v>
      </c>
      <c r="H692">
        <v>3573.96</v>
      </c>
      <c r="I692" t="s">
        <v>46</v>
      </c>
      <c r="J692" t="s">
        <v>40</v>
      </c>
      <c r="K692" t="s">
        <v>41</v>
      </c>
      <c r="L692">
        <v>3168.79</v>
      </c>
      <c r="M692">
        <v>11.3</v>
      </c>
      <c r="N692">
        <v>2023</v>
      </c>
      <c r="O692">
        <v>1</v>
      </c>
      <c r="P692" t="s">
        <v>24</v>
      </c>
      <c r="Q692">
        <v>405.17</v>
      </c>
      <c r="R692" t="s">
        <v>29</v>
      </c>
      <c r="S692">
        <v>7.82088999679147</v>
      </c>
      <c r="T692" t="s">
        <v>78</v>
      </c>
    </row>
    <row r="693" spans="1:20" x14ac:dyDescent="0.25">
      <c r="A693" s="11">
        <v>45037</v>
      </c>
      <c r="B693" t="s">
        <v>42</v>
      </c>
      <c r="C693" t="s">
        <v>43</v>
      </c>
      <c r="D693" t="s">
        <v>53</v>
      </c>
      <c r="E693" t="s">
        <v>50</v>
      </c>
      <c r="F693">
        <v>393</v>
      </c>
      <c r="G693">
        <v>6.37</v>
      </c>
      <c r="H693">
        <v>2503.41</v>
      </c>
      <c r="I693" t="s">
        <v>33</v>
      </c>
      <c r="J693" t="s">
        <v>34</v>
      </c>
      <c r="K693" t="s">
        <v>28</v>
      </c>
      <c r="L693">
        <v>2100.84</v>
      </c>
      <c r="M693">
        <v>16.100000000000001</v>
      </c>
      <c r="N693">
        <v>2023</v>
      </c>
      <c r="O693">
        <v>2</v>
      </c>
      <c r="P693" t="s">
        <v>63</v>
      </c>
      <c r="Q693">
        <v>402.57</v>
      </c>
      <c r="R693" t="s">
        <v>29</v>
      </c>
      <c r="S693">
        <v>5.2185706833594159</v>
      </c>
      <c r="T693" t="s">
        <v>78</v>
      </c>
    </row>
    <row r="694" spans="1:20" x14ac:dyDescent="0.25">
      <c r="A694" s="11">
        <v>45094</v>
      </c>
      <c r="B694" t="s">
        <v>17</v>
      </c>
      <c r="C694" t="s">
        <v>18</v>
      </c>
      <c r="D694" t="s">
        <v>53</v>
      </c>
      <c r="E694" t="s">
        <v>50</v>
      </c>
      <c r="F694">
        <v>823</v>
      </c>
      <c r="G694">
        <v>4.0199999999999996</v>
      </c>
      <c r="H694">
        <v>3308.46</v>
      </c>
      <c r="I694" t="s">
        <v>21</v>
      </c>
      <c r="J694" t="s">
        <v>22</v>
      </c>
      <c r="K694" t="s">
        <v>23</v>
      </c>
      <c r="L694">
        <v>2905.97</v>
      </c>
      <c r="M694">
        <v>12.2</v>
      </c>
      <c r="N694">
        <v>2023</v>
      </c>
      <c r="O694">
        <v>2</v>
      </c>
      <c r="P694" t="s">
        <v>70</v>
      </c>
      <c r="Q694">
        <v>402.49</v>
      </c>
      <c r="R694" t="s">
        <v>29</v>
      </c>
      <c r="S694">
        <v>7.2199806206365365</v>
      </c>
      <c r="T694" t="s">
        <v>78</v>
      </c>
    </row>
    <row r="695" spans="1:20" x14ac:dyDescent="0.25">
      <c r="A695" s="11">
        <v>45085</v>
      </c>
      <c r="B695" t="s">
        <v>30</v>
      </c>
      <c r="C695" t="s">
        <v>31</v>
      </c>
      <c r="D695" t="s">
        <v>19</v>
      </c>
      <c r="E695" t="s">
        <v>20</v>
      </c>
      <c r="F695">
        <v>309</v>
      </c>
      <c r="G695">
        <v>8.01</v>
      </c>
      <c r="H695">
        <v>2475.09</v>
      </c>
      <c r="I695" t="s">
        <v>46</v>
      </c>
      <c r="J695" t="s">
        <v>27</v>
      </c>
      <c r="K695" t="s">
        <v>23</v>
      </c>
      <c r="L695">
        <v>2074.92</v>
      </c>
      <c r="M695">
        <v>16.2</v>
      </c>
      <c r="N695">
        <v>2023</v>
      </c>
      <c r="O695">
        <v>2</v>
      </c>
      <c r="P695" t="s">
        <v>68</v>
      </c>
      <c r="Q695">
        <v>400.17</v>
      </c>
      <c r="R695" t="s">
        <v>29</v>
      </c>
      <c r="S695">
        <v>5.1850963340580254</v>
      </c>
      <c r="T695" t="s">
        <v>78</v>
      </c>
    </row>
    <row r="696" spans="1:20" x14ac:dyDescent="0.25">
      <c r="A696" s="11">
        <v>45029</v>
      </c>
      <c r="B696" t="s">
        <v>35</v>
      </c>
      <c r="C696" t="s">
        <v>36</v>
      </c>
      <c r="D696" t="s">
        <v>32</v>
      </c>
      <c r="E696" t="s">
        <v>20</v>
      </c>
      <c r="F696">
        <v>202</v>
      </c>
      <c r="G696">
        <v>9.8800000000000008</v>
      </c>
      <c r="H696">
        <v>1995.76</v>
      </c>
      <c r="I696" t="s">
        <v>33</v>
      </c>
      <c r="J696" t="s">
        <v>56</v>
      </c>
      <c r="K696" t="s">
        <v>23</v>
      </c>
      <c r="L696">
        <v>1598.34</v>
      </c>
      <c r="M696">
        <v>19.899999999999999</v>
      </c>
      <c r="N696">
        <v>2023</v>
      </c>
      <c r="O696">
        <v>2</v>
      </c>
      <c r="P696" t="s">
        <v>63</v>
      </c>
      <c r="Q696">
        <v>397.42</v>
      </c>
      <c r="R696" t="s">
        <v>29</v>
      </c>
      <c r="S696">
        <v>4.0217905490413157</v>
      </c>
      <c r="T696" t="s">
        <v>78</v>
      </c>
    </row>
    <row r="697" spans="1:20" x14ac:dyDescent="0.25">
      <c r="A697" s="11">
        <v>45118</v>
      </c>
      <c r="B697" t="s">
        <v>42</v>
      </c>
      <c r="C697" t="s">
        <v>43</v>
      </c>
      <c r="D697" t="s">
        <v>48</v>
      </c>
      <c r="E697" t="s">
        <v>38</v>
      </c>
      <c r="F697">
        <v>272</v>
      </c>
      <c r="G697">
        <v>11.65</v>
      </c>
      <c r="H697">
        <v>3168.8</v>
      </c>
      <c r="I697" t="s">
        <v>54</v>
      </c>
      <c r="J697" t="s">
        <v>34</v>
      </c>
      <c r="K697" t="s">
        <v>41</v>
      </c>
      <c r="L697">
        <v>2771.94</v>
      </c>
      <c r="M697">
        <v>12.5</v>
      </c>
      <c r="N697">
        <v>2024</v>
      </c>
      <c r="O697">
        <v>3</v>
      </c>
      <c r="P697" t="s">
        <v>64</v>
      </c>
      <c r="Q697">
        <v>396.86</v>
      </c>
      <c r="R697" t="s">
        <v>29</v>
      </c>
      <c r="S697">
        <v>6.9846797359270267</v>
      </c>
      <c r="T697" t="s">
        <v>78</v>
      </c>
    </row>
    <row r="698" spans="1:20" x14ac:dyDescent="0.25">
      <c r="A698" s="11">
        <v>44927</v>
      </c>
      <c r="B698" t="s">
        <v>42</v>
      </c>
      <c r="C698" t="s">
        <v>43</v>
      </c>
      <c r="D698" t="s">
        <v>44</v>
      </c>
      <c r="E698" t="s">
        <v>38</v>
      </c>
      <c r="F698">
        <v>436</v>
      </c>
      <c r="G698">
        <v>2.31</v>
      </c>
      <c r="H698">
        <v>1007.16</v>
      </c>
      <c r="I698" t="s">
        <v>26</v>
      </c>
      <c r="J698" t="s">
        <v>34</v>
      </c>
      <c r="K698" t="s">
        <v>28</v>
      </c>
      <c r="L698">
        <v>612.05999999999995</v>
      </c>
      <c r="M698">
        <v>39.200000000000003</v>
      </c>
      <c r="N698">
        <v>2023</v>
      </c>
      <c r="O698">
        <v>1</v>
      </c>
      <c r="P698" t="s">
        <v>24</v>
      </c>
      <c r="Q698">
        <v>395.1</v>
      </c>
      <c r="R698" t="s">
        <v>25</v>
      </c>
      <c r="S698">
        <v>1.5491268033409262</v>
      </c>
      <c r="T698" t="s">
        <v>78</v>
      </c>
    </row>
    <row r="699" spans="1:20" x14ac:dyDescent="0.25">
      <c r="A699" s="11">
        <v>45090</v>
      </c>
      <c r="B699" t="s">
        <v>35</v>
      </c>
      <c r="C699" t="s">
        <v>36</v>
      </c>
      <c r="D699" t="s">
        <v>32</v>
      </c>
      <c r="E699" t="s">
        <v>20</v>
      </c>
      <c r="F699">
        <v>742</v>
      </c>
      <c r="G699">
        <v>5.27</v>
      </c>
      <c r="H699">
        <v>3910.34</v>
      </c>
      <c r="I699" t="s">
        <v>46</v>
      </c>
      <c r="J699" t="s">
        <v>22</v>
      </c>
      <c r="K699" t="s">
        <v>23</v>
      </c>
      <c r="L699">
        <v>3515.43</v>
      </c>
      <c r="M699">
        <v>10.1</v>
      </c>
      <c r="N699">
        <v>2023</v>
      </c>
      <c r="O699">
        <v>2</v>
      </c>
      <c r="P699" t="s">
        <v>69</v>
      </c>
      <c r="Q699">
        <v>394.91</v>
      </c>
      <c r="R699" t="s">
        <v>29</v>
      </c>
      <c r="S699">
        <v>8.9018510546706828</v>
      </c>
      <c r="T699" t="s">
        <v>78</v>
      </c>
    </row>
    <row r="700" spans="1:20" x14ac:dyDescent="0.25">
      <c r="A700" s="11">
        <v>44933</v>
      </c>
      <c r="B700" t="s">
        <v>58</v>
      </c>
      <c r="C700" t="s">
        <v>59</v>
      </c>
      <c r="D700" t="s">
        <v>49</v>
      </c>
      <c r="E700" t="s">
        <v>50</v>
      </c>
      <c r="F700">
        <v>827</v>
      </c>
      <c r="G700">
        <v>2.0099999999999998</v>
      </c>
      <c r="H700">
        <v>1662.27</v>
      </c>
      <c r="I700" t="s">
        <v>57</v>
      </c>
      <c r="J700" t="s">
        <v>56</v>
      </c>
      <c r="K700" t="s">
        <v>41</v>
      </c>
      <c r="L700">
        <v>1272.55</v>
      </c>
      <c r="M700">
        <v>23.4</v>
      </c>
      <c r="N700">
        <v>2023</v>
      </c>
      <c r="O700">
        <v>1</v>
      </c>
      <c r="P700" t="s">
        <v>24</v>
      </c>
      <c r="Q700">
        <v>389.72</v>
      </c>
      <c r="R700" t="s">
        <v>29</v>
      </c>
      <c r="S700">
        <v>3.2652930308939747</v>
      </c>
      <c r="T700" t="s">
        <v>78</v>
      </c>
    </row>
    <row r="701" spans="1:20" x14ac:dyDescent="0.25">
      <c r="A701" s="11">
        <v>45077</v>
      </c>
      <c r="B701" t="s">
        <v>42</v>
      </c>
      <c r="C701" t="s">
        <v>43</v>
      </c>
      <c r="D701" t="s">
        <v>19</v>
      </c>
      <c r="E701" t="s">
        <v>20</v>
      </c>
      <c r="F701">
        <v>320</v>
      </c>
      <c r="G701">
        <v>3.16</v>
      </c>
      <c r="H701">
        <v>1011.2</v>
      </c>
      <c r="I701" t="s">
        <v>57</v>
      </c>
      <c r="J701" t="s">
        <v>34</v>
      </c>
      <c r="K701" t="s">
        <v>23</v>
      </c>
      <c r="L701">
        <v>621.53</v>
      </c>
      <c r="M701">
        <v>38.5</v>
      </c>
      <c r="N701">
        <v>2023</v>
      </c>
      <c r="O701">
        <v>2</v>
      </c>
      <c r="P701" t="s">
        <v>67</v>
      </c>
      <c r="Q701">
        <v>389.67</v>
      </c>
      <c r="R701" t="s">
        <v>25</v>
      </c>
      <c r="S701">
        <v>1.5950162958400698</v>
      </c>
      <c r="T701" t="s">
        <v>78</v>
      </c>
    </row>
    <row r="702" spans="1:20" x14ac:dyDescent="0.25">
      <c r="A702" s="11">
        <v>44930</v>
      </c>
      <c r="B702" t="s">
        <v>42</v>
      </c>
      <c r="C702" t="s">
        <v>43</v>
      </c>
      <c r="D702" t="s">
        <v>49</v>
      </c>
      <c r="E702" t="s">
        <v>50</v>
      </c>
      <c r="F702">
        <v>471</v>
      </c>
      <c r="G702">
        <v>2.0499999999999998</v>
      </c>
      <c r="H702">
        <v>965.55</v>
      </c>
      <c r="I702" t="s">
        <v>55</v>
      </c>
      <c r="J702" t="s">
        <v>27</v>
      </c>
      <c r="K702" t="s">
        <v>23</v>
      </c>
      <c r="L702">
        <v>579.69000000000005</v>
      </c>
      <c r="M702">
        <v>40</v>
      </c>
      <c r="N702">
        <v>2023</v>
      </c>
      <c r="O702">
        <v>1</v>
      </c>
      <c r="P702" t="s">
        <v>24</v>
      </c>
      <c r="Q702">
        <v>385.86</v>
      </c>
      <c r="R702" t="s">
        <v>25</v>
      </c>
      <c r="S702">
        <v>1.5023324521847303</v>
      </c>
      <c r="T702" t="s">
        <v>78</v>
      </c>
    </row>
    <row r="703" spans="1:20" x14ac:dyDescent="0.25">
      <c r="A703" s="11">
        <v>44963</v>
      </c>
      <c r="B703" t="s">
        <v>58</v>
      </c>
      <c r="C703" t="s">
        <v>59</v>
      </c>
      <c r="D703" t="s">
        <v>48</v>
      </c>
      <c r="E703" t="s">
        <v>38</v>
      </c>
      <c r="F703">
        <v>485</v>
      </c>
      <c r="G703">
        <v>6.42</v>
      </c>
      <c r="H703">
        <v>3113.7</v>
      </c>
      <c r="I703" t="s">
        <v>21</v>
      </c>
      <c r="J703" t="s">
        <v>56</v>
      </c>
      <c r="K703" t="s">
        <v>23</v>
      </c>
      <c r="L703">
        <v>2729.02</v>
      </c>
      <c r="M703">
        <v>12.4</v>
      </c>
      <c r="N703">
        <v>2023</v>
      </c>
      <c r="O703">
        <v>1</v>
      </c>
      <c r="P703" t="s">
        <v>60</v>
      </c>
      <c r="Q703">
        <v>384.68</v>
      </c>
      <c r="R703" t="s">
        <v>29</v>
      </c>
      <c r="S703">
        <v>7.0942601642923986</v>
      </c>
      <c r="T703" t="s">
        <v>78</v>
      </c>
    </row>
    <row r="704" spans="1:20" x14ac:dyDescent="0.25">
      <c r="A704" s="11">
        <v>45063</v>
      </c>
      <c r="B704" t="s">
        <v>42</v>
      </c>
      <c r="C704" t="s">
        <v>43</v>
      </c>
      <c r="D704" t="s">
        <v>53</v>
      </c>
      <c r="E704" t="s">
        <v>50</v>
      </c>
      <c r="F704">
        <v>958</v>
      </c>
      <c r="G704">
        <v>3.88</v>
      </c>
      <c r="H704">
        <v>3717.04</v>
      </c>
      <c r="I704" t="s">
        <v>39</v>
      </c>
      <c r="J704" t="s">
        <v>47</v>
      </c>
      <c r="K704" t="s">
        <v>41</v>
      </c>
      <c r="L704">
        <v>3332.5</v>
      </c>
      <c r="M704">
        <v>10.3</v>
      </c>
      <c r="N704">
        <v>2023</v>
      </c>
      <c r="O704">
        <v>2</v>
      </c>
      <c r="P704" t="s">
        <v>65</v>
      </c>
      <c r="Q704">
        <v>384.54</v>
      </c>
      <c r="R704" t="s">
        <v>29</v>
      </c>
      <c r="S704">
        <v>8.6661985749206831</v>
      </c>
      <c r="T704" t="s">
        <v>78</v>
      </c>
    </row>
    <row r="705" spans="1:20" x14ac:dyDescent="0.25">
      <c r="A705" s="11">
        <v>44979</v>
      </c>
      <c r="B705" t="s">
        <v>35</v>
      </c>
      <c r="C705" t="s">
        <v>36</v>
      </c>
      <c r="D705" t="s">
        <v>45</v>
      </c>
      <c r="E705" t="s">
        <v>20</v>
      </c>
      <c r="F705">
        <v>712</v>
      </c>
      <c r="G705">
        <v>4.28</v>
      </c>
      <c r="H705">
        <v>3047.36</v>
      </c>
      <c r="I705" t="s">
        <v>39</v>
      </c>
      <c r="J705" t="s">
        <v>27</v>
      </c>
      <c r="K705" t="s">
        <v>28</v>
      </c>
      <c r="L705">
        <v>2662.97</v>
      </c>
      <c r="M705">
        <v>12.6</v>
      </c>
      <c r="N705">
        <v>2023</v>
      </c>
      <c r="O705">
        <v>1</v>
      </c>
      <c r="P705" t="s">
        <v>61</v>
      </c>
      <c r="Q705">
        <v>384.39</v>
      </c>
      <c r="R705" t="s">
        <v>29</v>
      </c>
      <c r="S705">
        <v>6.9277816800645171</v>
      </c>
      <c r="T705" t="s">
        <v>78</v>
      </c>
    </row>
    <row r="706" spans="1:20" x14ac:dyDescent="0.25">
      <c r="A706" s="11">
        <v>45022</v>
      </c>
      <c r="B706" t="s">
        <v>51</v>
      </c>
      <c r="C706" t="s">
        <v>52</v>
      </c>
      <c r="D706" t="s">
        <v>19</v>
      </c>
      <c r="E706" t="s">
        <v>20</v>
      </c>
      <c r="F706">
        <v>895</v>
      </c>
      <c r="G706">
        <v>2.11</v>
      </c>
      <c r="H706">
        <v>1888.45</v>
      </c>
      <c r="I706" t="s">
        <v>57</v>
      </c>
      <c r="J706" t="s">
        <v>40</v>
      </c>
      <c r="K706" t="s">
        <v>28</v>
      </c>
      <c r="L706">
        <v>1506.31</v>
      </c>
      <c r="M706">
        <v>20.2</v>
      </c>
      <c r="N706">
        <v>2023</v>
      </c>
      <c r="O706">
        <v>2</v>
      </c>
      <c r="P706" t="s">
        <v>62</v>
      </c>
      <c r="Q706">
        <v>382.14</v>
      </c>
      <c r="R706" t="s">
        <v>29</v>
      </c>
      <c r="S706">
        <v>3.9417752656094627</v>
      </c>
      <c r="T706" t="s">
        <v>78</v>
      </c>
    </row>
    <row r="707" spans="1:20" x14ac:dyDescent="0.25">
      <c r="A707" s="11">
        <v>45028</v>
      </c>
      <c r="B707" t="s">
        <v>35</v>
      </c>
      <c r="C707" t="s">
        <v>36</v>
      </c>
      <c r="D707" t="s">
        <v>48</v>
      </c>
      <c r="E707" t="s">
        <v>38</v>
      </c>
      <c r="F707">
        <v>436</v>
      </c>
      <c r="G707">
        <v>3.89</v>
      </c>
      <c r="H707">
        <v>1696.04</v>
      </c>
      <c r="I707" t="s">
        <v>54</v>
      </c>
      <c r="J707" t="s">
        <v>22</v>
      </c>
      <c r="K707" t="s">
        <v>41</v>
      </c>
      <c r="L707">
        <v>1315.81</v>
      </c>
      <c r="M707">
        <v>22.4</v>
      </c>
      <c r="N707">
        <v>2023</v>
      </c>
      <c r="O707">
        <v>2</v>
      </c>
      <c r="P707" t="s">
        <v>63</v>
      </c>
      <c r="Q707">
        <v>380.23</v>
      </c>
      <c r="R707" t="s">
        <v>29</v>
      </c>
      <c r="S707">
        <v>3.4605633432396177</v>
      </c>
      <c r="T707" t="s">
        <v>78</v>
      </c>
    </row>
    <row r="708" spans="1:20" x14ac:dyDescent="0.25">
      <c r="A708" s="11">
        <v>44962</v>
      </c>
      <c r="B708" t="s">
        <v>35</v>
      </c>
      <c r="C708" t="s">
        <v>36</v>
      </c>
      <c r="D708" t="s">
        <v>37</v>
      </c>
      <c r="E708" t="s">
        <v>38</v>
      </c>
      <c r="F708">
        <v>591</v>
      </c>
      <c r="G708">
        <v>5.17</v>
      </c>
      <c r="H708">
        <v>3055.47</v>
      </c>
      <c r="I708" t="s">
        <v>57</v>
      </c>
      <c r="J708" t="s">
        <v>47</v>
      </c>
      <c r="K708" t="s">
        <v>28</v>
      </c>
      <c r="L708">
        <v>2676.92</v>
      </c>
      <c r="M708">
        <v>12.4</v>
      </c>
      <c r="N708">
        <v>2023</v>
      </c>
      <c r="O708">
        <v>1</v>
      </c>
      <c r="P708" t="s">
        <v>60</v>
      </c>
      <c r="Q708">
        <v>378.55</v>
      </c>
      <c r="R708" t="s">
        <v>29</v>
      </c>
      <c r="S708">
        <v>7.0715097080966851</v>
      </c>
      <c r="T708" t="s">
        <v>78</v>
      </c>
    </row>
    <row r="709" spans="1:20" x14ac:dyDescent="0.25">
      <c r="A709" s="11">
        <v>44975</v>
      </c>
      <c r="B709" t="s">
        <v>17</v>
      </c>
      <c r="C709" t="s">
        <v>18</v>
      </c>
      <c r="D709" t="s">
        <v>49</v>
      </c>
      <c r="E709" t="s">
        <v>50</v>
      </c>
      <c r="F709">
        <v>218</v>
      </c>
      <c r="G709">
        <v>4.75</v>
      </c>
      <c r="H709">
        <v>1035.5</v>
      </c>
      <c r="I709" t="s">
        <v>33</v>
      </c>
      <c r="J709" t="s">
        <v>27</v>
      </c>
      <c r="K709" t="s">
        <v>41</v>
      </c>
      <c r="L709">
        <v>660.54</v>
      </c>
      <c r="M709">
        <v>36.200000000000003</v>
      </c>
      <c r="N709">
        <v>2023</v>
      </c>
      <c r="O709">
        <v>1</v>
      </c>
      <c r="P709" t="s">
        <v>60</v>
      </c>
      <c r="Q709">
        <v>374.96</v>
      </c>
      <c r="R709" t="s">
        <v>25</v>
      </c>
      <c r="S709">
        <v>1.7616279069767442</v>
      </c>
      <c r="T709" t="s">
        <v>78</v>
      </c>
    </row>
    <row r="710" spans="1:20" x14ac:dyDescent="0.25">
      <c r="A710" s="11">
        <v>45024</v>
      </c>
      <c r="B710" t="s">
        <v>17</v>
      </c>
      <c r="C710" t="s">
        <v>18</v>
      </c>
      <c r="D710" t="s">
        <v>53</v>
      </c>
      <c r="E710" t="s">
        <v>50</v>
      </c>
      <c r="F710">
        <v>144</v>
      </c>
      <c r="G710">
        <v>9.58</v>
      </c>
      <c r="H710">
        <v>1379.52</v>
      </c>
      <c r="I710" t="s">
        <v>55</v>
      </c>
      <c r="J710" t="s">
        <v>56</v>
      </c>
      <c r="K710" t="s">
        <v>28</v>
      </c>
      <c r="L710">
        <v>1004.73</v>
      </c>
      <c r="M710">
        <v>27.2</v>
      </c>
      <c r="N710">
        <v>2023</v>
      </c>
      <c r="O710">
        <v>2</v>
      </c>
      <c r="P710" t="s">
        <v>63</v>
      </c>
      <c r="Q710">
        <v>374.79</v>
      </c>
      <c r="R710" t="s">
        <v>25</v>
      </c>
      <c r="S710">
        <v>2.680781237492996</v>
      </c>
      <c r="T710" t="s">
        <v>78</v>
      </c>
    </row>
    <row r="711" spans="1:20" x14ac:dyDescent="0.25">
      <c r="A711" s="11">
        <v>45121</v>
      </c>
      <c r="B711" t="s">
        <v>35</v>
      </c>
      <c r="C711" t="s">
        <v>36</v>
      </c>
      <c r="D711" t="s">
        <v>32</v>
      </c>
      <c r="E711" t="s">
        <v>20</v>
      </c>
      <c r="F711">
        <v>373</v>
      </c>
      <c r="G711">
        <v>6.79</v>
      </c>
      <c r="H711">
        <v>2532.67</v>
      </c>
      <c r="I711" t="s">
        <v>21</v>
      </c>
      <c r="J711" t="s">
        <v>40</v>
      </c>
      <c r="K711" t="s">
        <v>28</v>
      </c>
      <c r="L711">
        <v>2158.09</v>
      </c>
      <c r="M711">
        <v>14.8</v>
      </c>
      <c r="N711">
        <v>2024</v>
      </c>
      <c r="O711">
        <v>3</v>
      </c>
      <c r="P711" t="s">
        <v>66</v>
      </c>
      <c r="Q711">
        <v>374.58</v>
      </c>
      <c r="R711" t="s">
        <v>29</v>
      </c>
      <c r="S711">
        <v>5.7613593891825516</v>
      </c>
      <c r="T711" t="s">
        <v>78</v>
      </c>
    </row>
    <row r="712" spans="1:20" x14ac:dyDescent="0.25">
      <c r="A712" s="11">
        <v>45054</v>
      </c>
      <c r="B712" t="s">
        <v>17</v>
      </c>
      <c r="C712" t="s">
        <v>18</v>
      </c>
      <c r="D712" t="s">
        <v>37</v>
      </c>
      <c r="E712" t="s">
        <v>38</v>
      </c>
      <c r="F712">
        <v>276</v>
      </c>
      <c r="G712">
        <v>5.45</v>
      </c>
      <c r="H712">
        <v>1504.2</v>
      </c>
      <c r="I712" t="s">
        <v>33</v>
      </c>
      <c r="J712" t="s">
        <v>22</v>
      </c>
      <c r="K712" t="s">
        <v>28</v>
      </c>
      <c r="L712">
        <v>1131.6099999999999</v>
      </c>
      <c r="M712">
        <v>24.8</v>
      </c>
      <c r="N712">
        <v>2023</v>
      </c>
      <c r="O712">
        <v>2</v>
      </c>
      <c r="P712" t="s">
        <v>65</v>
      </c>
      <c r="Q712">
        <v>372.59</v>
      </c>
      <c r="R712" t="s">
        <v>29</v>
      </c>
      <c r="S712">
        <v>3.0371453876915644</v>
      </c>
      <c r="T712" t="s">
        <v>78</v>
      </c>
    </row>
    <row r="713" spans="1:20" x14ac:dyDescent="0.25">
      <c r="A713" s="11">
        <v>45120</v>
      </c>
      <c r="B713" t="s">
        <v>42</v>
      </c>
      <c r="C713" t="s">
        <v>43</v>
      </c>
      <c r="D713" t="s">
        <v>44</v>
      </c>
      <c r="E713" t="s">
        <v>38</v>
      </c>
      <c r="F713">
        <v>428</v>
      </c>
      <c r="G713">
        <v>2.82</v>
      </c>
      <c r="H713">
        <v>1206.96</v>
      </c>
      <c r="I713" t="s">
        <v>26</v>
      </c>
      <c r="J713" t="s">
        <v>22</v>
      </c>
      <c r="K713" t="s">
        <v>28</v>
      </c>
      <c r="L713">
        <v>837.74</v>
      </c>
      <c r="M713">
        <v>30.6</v>
      </c>
      <c r="N713">
        <v>2024</v>
      </c>
      <c r="O713">
        <v>3</v>
      </c>
      <c r="P713" t="s">
        <v>65</v>
      </c>
      <c r="Q713">
        <v>369.22</v>
      </c>
      <c r="R713" t="s">
        <v>25</v>
      </c>
      <c r="S713">
        <v>2.2689453442392069</v>
      </c>
      <c r="T713" t="s">
        <v>78</v>
      </c>
    </row>
    <row r="714" spans="1:20" x14ac:dyDescent="0.25">
      <c r="A714" s="11">
        <v>45124</v>
      </c>
      <c r="B714" t="s">
        <v>17</v>
      </c>
      <c r="C714" t="s">
        <v>18</v>
      </c>
      <c r="D714" t="s">
        <v>44</v>
      </c>
      <c r="E714" t="s">
        <v>38</v>
      </c>
      <c r="F714">
        <v>536</v>
      </c>
      <c r="G714">
        <v>2.81</v>
      </c>
      <c r="H714">
        <v>1506.16</v>
      </c>
      <c r="I714" t="s">
        <v>46</v>
      </c>
      <c r="J714" t="s">
        <v>56</v>
      </c>
      <c r="K714" t="s">
        <v>41</v>
      </c>
      <c r="L714">
        <v>1137.46</v>
      </c>
      <c r="M714">
        <v>24.5</v>
      </c>
      <c r="N714">
        <v>2024</v>
      </c>
      <c r="O714">
        <v>3</v>
      </c>
      <c r="P714" t="s">
        <v>68</v>
      </c>
      <c r="Q714">
        <v>368.7</v>
      </c>
      <c r="R714" t="s">
        <v>29</v>
      </c>
      <c r="S714">
        <v>3.0850556007594254</v>
      </c>
      <c r="T714" t="s">
        <v>78</v>
      </c>
    </row>
    <row r="715" spans="1:20" x14ac:dyDescent="0.25">
      <c r="A715" s="11">
        <v>45037</v>
      </c>
      <c r="B715" t="s">
        <v>42</v>
      </c>
      <c r="C715" t="s">
        <v>43</v>
      </c>
      <c r="D715" t="s">
        <v>44</v>
      </c>
      <c r="E715" t="s">
        <v>38</v>
      </c>
      <c r="F715">
        <v>578</v>
      </c>
      <c r="G715">
        <v>3.13</v>
      </c>
      <c r="H715">
        <v>1809.14</v>
      </c>
      <c r="I715" t="s">
        <v>39</v>
      </c>
      <c r="J715" t="s">
        <v>40</v>
      </c>
      <c r="K715" t="s">
        <v>23</v>
      </c>
      <c r="L715">
        <v>1440.9</v>
      </c>
      <c r="M715">
        <v>20.399999999999999</v>
      </c>
      <c r="N715">
        <v>2023</v>
      </c>
      <c r="O715">
        <v>2</v>
      </c>
      <c r="P715" t="s">
        <v>63</v>
      </c>
      <c r="Q715">
        <v>368.24</v>
      </c>
      <c r="R715" t="s">
        <v>29</v>
      </c>
      <c r="S715">
        <v>3.9129372148598742</v>
      </c>
      <c r="T715" t="s">
        <v>78</v>
      </c>
    </row>
    <row r="716" spans="1:20" x14ac:dyDescent="0.25">
      <c r="A716" s="11">
        <v>44934</v>
      </c>
      <c r="B716" t="s">
        <v>42</v>
      </c>
      <c r="C716" t="s">
        <v>43</v>
      </c>
      <c r="D716" t="s">
        <v>32</v>
      </c>
      <c r="E716" t="s">
        <v>20</v>
      </c>
      <c r="F716">
        <v>683</v>
      </c>
      <c r="G716">
        <v>3.64</v>
      </c>
      <c r="H716">
        <v>2486.12</v>
      </c>
      <c r="I716" t="s">
        <v>39</v>
      </c>
      <c r="J716" t="s">
        <v>40</v>
      </c>
      <c r="K716" t="s">
        <v>41</v>
      </c>
      <c r="L716">
        <v>2119.85</v>
      </c>
      <c r="M716">
        <v>14.7</v>
      </c>
      <c r="N716">
        <v>2023</v>
      </c>
      <c r="O716">
        <v>1</v>
      </c>
      <c r="P716" t="s">
        <v>24</v>
      </c>
      <c r="Q716">
        <v>366.27</v>
      </c>
      <c r="R716" t="s">
        <v>29</v>
      </c>
      <c r="S716">
        <v>5.7876702978676935</v>
      </c>
      <c r="T716" t="s">
        <v>78</v>
      </c>
    </row>
    <row r="717" spans="1:20" x14ac:dyDescent="0.25">
      <c r="A717" s="11">
        <v>45005</v>
      </c>
      <c r="B717" t="s">
        <v>51</v>
      </c>
      <c r="C717" t="s">
        <v>52</v>
      </c>
      <c r="D717" t="s">
        <v>45</v>
      </c>
      <c r="E717" t="s">
        <v>20</v>
      </c>
      <c r="F717">
        <v>523</v>
      </c>
      <c r="G717">
        <v>2.2200000000000002</v>
      </c>
      <c r="H717">
        <v>1161.06</v>
      </c>
      <c r="I717" t="s">
        <v>26</v>
      </c>
      <c r="J717" t="s">
        <v>47</v>
      </c>
      <c r="K717" t="s">
        <v>23</v>
      </c>
      <c r="L717">
        <v>795.4</v>
      </c>
      <c r="M717">
        <v>31.5</v>
      </c>
      <c r="N717">
        <v>2023</v>
      </c>
      <c r="O717">
        <v>1</v>
      </c>
      <c r="P717" t="s">
        <v>62</v>
      </c>
      <c r="Q717">
        <v>365.66</v>
      </c>
      <c r="R717" t="s">
        <v>25</v>
      </c>
      <c r="S717">
        <v>2.1752447628944918</v>
      </c>
      <c r="T717" t="s">
        <v>78</v>
      </c>
    </row>
    <row r="718" spans="1:20" x14ac:dyDescent="0.25">
      <c r="A718" s="11">
        <v>45055</v>
      </c>
      <c r="B718" t="s">
        <v>17</v>
      </c>
      <c r="C718" t="s">
        <v>18</v>
      </c>
      <c r="D718" t="s">
        <v>32</v>
      </c>
      <c r="E718" t="s">
        <v>20</v>
      </c>
      <c r="F718">
        <v>542</v>
      </c>
      <c r="G718">
        <v>2.1</v>
      </c>
      <c r="H718">
        <v>1138.2</v>
      </c>
      <c r="I718" t="s">
        <v>33</v>
      </c>
      <c r="J718" t="s">
        <v>40</v>
      </c>
      <c r="K718" t="s">
        <v>28</v>
      </c>
      <c r="L718">
        <v>777.68</v>
      </c>
      <c r="M718">
        <v>31.7</v>
      </c>
      <c r="N718">
        <v>2023</v>
      </c>
      <c r="O718">
        <v>2</v>
      </c>
      <c r="P718" t="s">
        <v>65</v>
      </c>
      <c r="Q718">
        <v>360.52</v>
      </c>
      <c r="R718" t="s">
        <v>25</v>
      </c>
      <c r="S718">
        <v>2.1571064018639743</v>
      </c>
      <c r="T718" t="s">
        <v>78</v>
      </c>
    </row>
    <row r="719" spans="1:20" x14ac:dyDescent="0.25">
      <c r="A719" s="11">
        <v>45019</v>
      </c>
      <c r="B719" t="s">
        <v>51</v>
      </c>
      <c r="C719" t="s">
        <v>52</v>
      </c>
      <c r="D719" t="s">
        <v>49</v>
      </c>
      <c r="E719" t="s">
        <v>50</v>
      </c>
      <c r="F719">
        <v>194</v>
      </c>
      <c r="G719">
        <v>7.48</v>
      </c>
      <c r="H719">
        <v>1451.12</v>
      </c>
      <c r="I719" t="s">
        <v>57</v>
      </c>
      <c r="J719" t="s">
        <v>22</v>
      </c>
      <c r="K719" t="s">
        <v>23</v>
      </c>
      <c r="L719">
        <v>1090.8599999999999</v>
      </c>
      <c r="M719">
        <v>24.8</v>
      </c>
      <c r="N719">
        <v>2023</v>
      </c>
      <c r="O719">
        <v>2</v>
      </c>
      <c r="P719" t="s">
        <v>62</v>
      </c>
      <c r="Q719">
        <v>360.26</v>
      </c>
      <c r="R719" t="s">
        <v>29</v>
      </c>
      <c r="S719">
        <v>3.0279797923721756</v>
      </c>
      <c r="T719" t="s">
        <v>78</v>
      </c>
    </row>
    <row r="720" spans="1:20" x14ac:dyDescent="0.25">
      <c r="A720" s="11">
        <v>45034</v>
      </c>
      <c r="B720" t="s">
        <v>51</v>
      </c>
      <c r="C720" t="s">
        <v>52</v>
      </c>
      <c r="D720" t="s">
        <v>19</v>
      </c>
      <c r="E720" t="s">
        <v>20</v>
      </c>
      <c r="F720">
        <v>422</v>
      </c>
      <c r="G720">
        <v>3.8</v>
      </c>
      <c r="H720">
        <v>1603.6</v>
      </c>
      <c r="I720" t="s">
        <v>26</v>
      </c>
      <c r="J720" t="s">
        <v>40</v>
      </c>
      <c r="K720" t="s">
        <v>23</v>
      </c>
      <c r="L720">
        <v>1244.5</v>
      </c>
      <c r="M720">
        <v>22.4</v>
      </c>
      <c r="N720">
        <v>2023</v>
      </c>
      <c r="O720">
        <v>2</v>
      </c>
      <c r="P720" t="s">
        <v>63</v>
      </c>
      <c r="Q720">
        <v>359.1</v>
      </c>
      <c r="R720" t="s">
        <v>29</v>
      </c>
      <c r="S720">
        <v>3.4656084656084656</v>
      </c>
      <c r="T720" t="s">
        <v>78</v>
      </c>
    </row>
    <row r="721" spans="1:20" x14ac:dyDescent="0.25">
      <c r="A721" s="11">
        <v>45074</v>
      </c>
      <c r="B721" t="s">
        <v>35</v>
      </c>
      <c r="C721" t="s">
        <v>36</v>
      </c>
      <c r="D721" t="s">
        <v>48</v>
      </c>
      <c r="E721" t="s">
        <v>38</v>
      </c>
      <c r="F721">
        <v>866</v>
      </c>
      <c r="G721">
        <v>3</v>
      </c>
      <c r="H721">
        <v>2598</v>
      </c>
      <c r="I721" t="s">
        <v>57</v>
      </c>
      <c r="J721" t="s">
        <v>40</v>
      </c>
      <c r="K721" t="s">
        <v>41</v>
      </c>
      <c r="L721">
        <v>2239.06</v>
      </c>
      <c r="M721">
        <v>13.8</v>
      </c>
      <c r="N721">
        <v>2023</v>
      </c>
      <c r="O721">
        <v>2</v>
      </c>
      <c r="P721" t="s">
        <v>67</v>
      </c>
      <c r="Q721">
        <v>358.94</v>
      </c>
      <c r="R721" t="s">
        <v>29</v>
      </c>
      <c r="S721">
        <v>6.2379784922271133</v>
      </c>
      <c r="T721" t="s">
        <v>78</v>
      </c>
    </row>
    <row r="722" spans="1:20" x14ac:dyDescent="0.25">
      <c r="A722" s="11">
        <v>45056</v>
      </c>
      <c r="B722" t="s">
        <v>51</v>
      </c>
      <c r="C722" t="s">
        <v>52</v>
      </c>
      <c r="D722" t="s">
        <v>45</v>
      </c>
      <c r="E722" t="s">
        <v>20</v>
      </c>
      <c r="F722">
        <v>308</v>
      </c>
      <c r="G722">
        <v>3.55</v>
      </c>
      <c r="H722">
        <v>1093.4000000000001</v>
      </c>
      <c r="I722" t="s">
        <v>57</v>
      </c>
      <c r="J722" t="s">
        <v>47</v>
      </c>
      <c r="K722" t="s">
        <v>28</v>
      </c>
      <c r="L722">
        <v>736.13</v>
      </c>
      <c r="M722">
        <v>32.700000000000003</v>
      </c>
      <c r="N722">
        <v>2023</v>
      </c>
      <c r="O722">
        <v>2</v>
      </c>
      <c r="P722" t="s">
        <v>65</v>
      </c>
      <c r="Q722">
        <v>357.27</v>
      </c>
      <c r="R722" t="s">
        <v>25</v>
      </c>
      <c r="S722">
        <v>2.0604304867467182</v>
      </c>
      <c r="T722" t="s">
        <v>78</v>
      </c>
    </row>
    <row r="723" spans="1:20" x14ac:dyDescent="0.25">
      <c r="A723" s="11">
        <v>44998</v>
      </c>
      <c r="B723" t="s">
        <v>51</v>
      </c>
      <c r="C723" t="s">
        <v>52</v>
      </c>
      <c r="D723" t="s">
        <v>19</v>
      </c>
      <c r="E723" t="s">
        <v>20</v>
      </c>
      <c r="F723">
        <v>910</v>
      </c>
      <c r="G723">
        <v>2.52</v>
      </c>
      <c r="H723">
        <v>2293.1999999999998</v>
      </c>
      <c r="I723" t="s">
        <v>21</v>
      </c>
      <c r="J723" t="s">
        <v>22</v>
      </c>
      <c r="K723" t="s">
        <v>28</v>
      </c>
      <c r="L723">
        <v>1938.06</v>
      </c>
      <c r="M723">
        <v>15.5</v>
      </c>
      <c r="N723">
        <v>2023</v>
      </c>
      <c r="O723">
        <v>1</v>
      </c>
      <c r="P723" t="s">
        <v>61</v>
      </c>
      <c r="Q723">
        <v>355.14</v>
      </c>
      <c r="R723" t="s">
        <v>29</v>
      </c>
      <c r="S723">
        <v>5.4571718195641159</v>
      </c>
      <c r="T723" t="s">
        <v>78</v>
      </c>
    </row>
    <row r="724" spans="1:20" x14ac:dyDescent="0.25">
      <c r="A724" s="11">
        <v>44981</v>
      </c>
      <c r="B724" t="s">
        <v>35</v>
      </c>
      <c r="C724" t="s">
        <v>36</v>
      </c>
      <c r="D724" t="s">
        <v>48</v>
      </c>
      <c r="E724" t="s">
        <v>38</v>
      </c>
      <c r="F724">
        <v>193</v>
      </c>
      <c r="G724">
        <v>11.23</v>
      </c>
      <c r="H724">
        <v>2167.39</v>
      </c>
      <c r="I724" t="s">
        <v>54</v>
      </c>
      <c r="J724" t="s">
        <v>47</v>
      </c>
      <c r="K724" t="s">
        <v>23</v>
      </c>
      <c r="L724">
        <v>1812.95</v>
      </c>
      <c r="M724">
        <v>16.399999999999999</v>
      </c>
      <c r="N724">
        <v>2023</v>
      </c>
      <c r="O724">
        <v>1</v>
      </c>
      <c r="P724" t="s">
        <v>61</v>
      </c>
      <c r="Q724">
        <v>354.44</v>
      </c>
      <c r="R724" t="s">
        <v>29</v>
      </c>
      <c r="S724">
        <v>5.1149700936688864</v>
      </c>
      <c r="T724" t="s">
        <v>78</v>
      </c>
    </row>
    <row r="725" spans="1:20" x14ac:dyDescent="0.25">
      <c r="A725" s="11">
        <v>45021</v>
      </c>
      <c r="B725" t="s">
        <v>35</v>
      </c>
      <c r="C725" t="s">
        <v>36</v>
      </c>
      <c r="D725" t="s">
        <v>48</v>
      </c>
      <c r="E725" t="s">
        <v>38</v>
      </c>
      <c r="F725">
        <v>196</v>
      </c>
      <c r="G725">
        <v>7.91</v>
      </c>
      <c r="H725">
        <v>1550.36</v>
      </c>
      <c r="I725" t="s">
        <v>57</v>
      </c>
      <c r="J725" t="s">
        <v>47</v>
      </c>
      <c r="K725" t="s">
        <v>41</v>
      </c>
      <c r="L725">
        <v>1197.24</v>
      </c>
      <c r="M725">
        <v>22.8</v>
      </c>
      <c r="N725">
        <v>2023</v>
      </c>
      <c r="O725">
        <v>2</v>
      </c>
      <c r="P725" t="s">
        <v>62</v>
      </c>
      <c r="Q725">
        <v>353.12</v>
      </c>
      <c r="R725" t="s">
        <v>29</v>
      </c>
      <c r="S725">
        <v>3.3904621658359764</v>
      </c>
      <c r="T725" t="s">
        <v>78</v>
      </c>
    </row>
    <row r="726" spans="1:20" x14ac:dyDescent="0.25">
      <c r="A726" s="11">
        <v>45116</v>
      </c>
      <c r="B726" t="s">
        <v>42</v>
      </c>
      <c r="C726" t="s">
        <v>43</v>
      </c>
      <c r="D726" t="s">
        <v>19</v>
      </c>
      <c r="E726" t="s">
        <v>20</v>
      </c>
      <c r="F726">
        <v>322</v>
      </c>
      <c r="G726">
        <v>8.1300000000000008</v>
      </c>
      <c r="H726">
        <v>2617.86</v>
      </c>
      <c r="I726" t="s">
        <v>21</v>
      </c>
      <c r="J726" t="s">
        <v>27</v>
      </c>
      <c r="K726" t="s">
        <v>28</v>
      </c>
      <c r="L726">
        <v>2265.34</v>
      </c>
      <c r="M726">
        <v>13.5</v>
      </c>
      <c r="N726">
        <v>2024</v>
      </c>
      <c r="O726">
        <v>3</v>
      </c>
      <c r="P726" t="s">
        <v>63</v>
      </c>
      <c r="Q726">
        <v>352.52</v>
      </c>
      <c r="R726" t="s">
        <v>29</v>
      </c>
      <c r="S726">
        <v>6.4261318506751399</v>
      </c>
      <c r="T726" t="s">
        <v>78</v>
      </c>
    </row>
    <row r="727" spans="1:20" x14ac:dyDescent="0.25">
      <c r="A727" s="11">
        <v>44967</v>
      </c>
      <c r="B727" t="s">
        <v>35</v>
      </c>
      <c r="C727" t="s">
        <v>36</v>
      </c>
      <c r="D727" t="s">
        <v>49</v>
      </c>
      <c r="E727" t="s">
        <v>50</v>
      </c>
      <c r="F727">
        <v>579</v>
      </c>
      <c r="G727">
        <v>3.78</v>
      </c>
      <c r="H727">
        <v>2188.62</v>
      </c>
      <c r="I727" t="s">
        <v>55</v>
      </c>
      <c r="J727" t="s">
        <v>40</v>
      </c>
      <c r="K727" t="s">
        <v>28</v>
      </c>
      <c r="L727">
        <v>1838.61</v>
      </c>
      <c r="M727">
        <v>16</v>
      </c>
      <c r="N727">
        <v>2023</v>
      </c>
      <c r="O727">
        <v>1</v>
      </c>
      <c r="P727" t="s">
        <v>60</v>
      </c>
      <c r="Q727">
        <v>350.01</v>
      </c>
      <c r="R727" t="s">
        <v>29</v>
      </c>
      <c r="S727">
        <v>5.2530213422473642</v>
      </c>
      <c r="T727" t="s">
        <v>78</v>
      </c>
    </row>
    <row r="728" spans="1:20" x14ac:dyDescent="0.25">
      <c r="A728" s="11">
        <v>44947</v>
      </c>
      <c r="B728" t="s">
        <v>42</v>
      </c>
      <c r="C728" t="s">
        <v>43</v>
      </c>
      <c r="D728" t="s">
        <v>45</v>
      </c>
      <c r="E728" t="s">
        <v>20</v>
      </c>
      <c r="F728">
        <v>605</v>
      </c>
      <c r="G728">
        <v>4.3</v>
      </c>
      <c r="H728">
        <v>2601.5</v>
      </c>
      <c r="I728" t="s">
        <v>57</v>
      </c>
      <c r="J728" t="s">
        <v>47</v>
      </c>
      <c r="K728" t="s">
        <v>41</v>
      </c>
      <c r="L728">
        <v>2253.9299999999998</v>
      </c>
      <c r="M728">
        <v>13.4</v>
      </c>
      <c r="N728">
        <v>2023</v>
      </c>
      <c r="O728">
        <v>1</v>
      </c>
      <c r="P728" t="s">
        <v>24</v>
      </c>
      <c r="Q728">
        <v>347.57</v>
      </c>
      <c r="R728" t="s">
        <v>29</v>
      </c>
      <c r="S728">
        <v>6.4848232010817961</v>
      </c>
      <c r="T728" t="s">
        <v>78</v>
      </c>
    </row>
    <row r="729" spans="1:20" x14ac:dyDescent="0.25">
      <c r="A729" s="11">
        <v>45092</v>
      </c>
      <c r="B729" t="s">
        <v>51</v>
      </c>
      <c r="C729" t="s">
        <v>52</v>
      </c>
      <c r="D729" t="s">
        <v>49</v>
      </c>
      <c r="E729" t="s">
        <v>50</v>
      </c>
      <c r="F729">
        <v>331</v>
      </c>
      <c r="G729">
        <v>5.51</v>
      </c>
      <c r="H729">
        <v>1823.81</v>
      </c>
      <c r="I729" t="s">
        <v>57</v>
      </c>
      <c r="J729" t="s">
        <v>27</v>
      </c>
      <c r="K729" t="s">
        <v>28</v>
      </c>
      <c r="L729">
        <v>1481.86</v>
      </c>
      <c r="M729">
        <v>18.7</v>
      </c>
      <c r="N729">
        <v>2023</v>
      </c>
      <c r="O729">
        <v>2</v>
      </c>
      <c r="P729" t="s">
        <v>70</v>
      </c>
      <c r="Q729">
        <v>341.95</v>
      </c>
      <c r="R729" t="s">
        <v>29</v>
      </c>
      <c r="S729">
        <v>4.3335575376517035</v>
      </c>
      <c r="T729" t="s">
        <v>78</v>
      </c>
    </row>
    <row r="730" spans="1:20" x14ac:dyDescent="0.25">
      <c r="A730" s="11">
        <v>45011</v>
      </c>
      <c r="B730" t="s">
        <v>17</v>
      </c>
      <c r="C730" t="s">
        <v>18</v>
      </c>
      <c r="D730" t="s">
        <v>37</v>
      </c>
      <c r="E730" t="s">
        <v>38</v>
      </c>
      <c r="F730">
        <v>577</v>
      </c>
      <c r="G730">
        <v>2.69</v>
      </c>
      <c r="H730">
        <v>1552.13</v>
      </c>
      <c r="I730" t="s">
        <v>54</v>
      </c>
      <c r="J730" t="s">
        <v>34</v>
      </c>
      <c r="K730" t="s">
        <v>28</v>
      </c>
      <c r="L730">
        <v>1210.58</v>
      </c>
      <c r="M730">
        <v>22</v>
      </c>
      <c r="N730">
        <v>2023</v>
      </c>
      <c r="O730">
        <v>1</v>
      </c>
      <c r="P730" t="s">
        <v>62</v>
      </c>
      <c r="Q730">
        <v>341.55</v>
      </c>
      <c r="R730" t="s">
        <v>29</v>
      </c>
      <c r="S730">
        <v>3.5443712487190746</v>
      </c>
      <c r="T730" t="s">
        <v>78</v>
      </c>
    </row>
    <row r="731" spans="1:20" x14ac:dyDescent="0.25">
      <c r="A731" s="11">
        <v>45009</v>
      </c>
      <c r="B731" t="s">
        <v>30</v>
      </c>
      <c r="C731" t="s">
        <v>31</v>
      </c>
      <c r="D731" t="s">
        <v>37</v>
      </c>
      <c r="E731" t="s">
        <v>38</v>
      </c>
      <c r="F731">
        <v>464</v>
      </c>
      <c r="G731">
        <v>4.9800000000000004</v>
      </c>
      <c r="H731">
        <v>2310.7199999999998</v>
      </c>
      <c r="I731" t="s">
        <v>46</v>
      </c>
      <c r="J731" t="s">
        <v>27</v>
      </c>
      <c r="K731" t="s">
        <v>28</v>
      </c>
      <c r="L731">
        <v>1969.18</v>
      </c>
      <c r="M731">
        <v>14.8</v>
      </c>
      <c r="N731">
        <v>2023</v>
      </c>
      <c r="O731">
        <v>1</v>
      </c>
      <c r="P731" t="s">
        <v>62</v>
      </c>
      <c r="Q731">
        <v>341.54</v>
      </c>
      <c r="R731" t="s">
        <v>29</v>
      </c>
      <c r="S731">
        <v>5.7655911459858284</v>
      </c>
      <c r="T731" t="s">
        <v>78</v>
      </c>
    </row>
    <row r="732" spans="1:20" x14ac:dyDescent="0.25">
      <c r="A732" s="11">
        <v>45111</v>
      </c>
      <c r="B732" t="s">
        <v>42</v>
      </c>
      <c r="C732" t="s">
        <v>43</v>
      </c>
      <c r="D732" t="s">
        <v>45</v>
      </c>
      <c r="E732" t="s">
        <v>20</v>
      </c>
      <c r="F732">
        <v>278</v>
      </c>
      <c r="G732">
        <v>3.84</v>
      </c>
      <c r="H732">
        <v>1067.52</v>
      </c>
      <c r="I732" t="s">
        <v>55</v>
      </c>
      <c r="J732" t="s">
        <v>47</v>
      </c>
      <c r="K732" t="s">
        <v>28</v>
      </c>
      <c r="L732">
        <v>726.76</v>
      </c>
      <c r="M732">
        <v>31.9</v>
      </c>
      <c r="N732">
        <v>2024</v>
      </c>
      <c r="O732">
        <v>3</v>
      </c>
      <c r="P732" t="s">
        <v>62</v>
      </c>
      <c r="Q732">
        <v>340.76</v>
      </c>
      <c r="R732" t="s">
        <v>25</v>
      </c>
      <c r="S732">
        <v>2.1327620612747977</v>
      </c>
      <c r="T732" t="s">
        <v>78</v>
      </c>
    </row>
    <row r="733" spans="1:20" x14ac:dyDescent="0.25">
      <c r="A733" s="11">
        <v>45127</v>
      </c>
      <c r="B733" t="s">
        <v>35</v>
      </c>
      <c r="C733" t="s">
        <v>36</v>
      </c>
      <c r="D733" t="s">
        <v>32</v>
      </c>
      <c r="E733" t="s">
        <v>20</v>
      </c>
      <c r="F733">
        <v>272</v>
      </c>
      <c r="G733">
        <v>6.01</v>
      </c>
      <c r="H733">
        <v>1634.72</v>
      </c>
      <c r="I733" t="s">
        <v>26</v>
      </c>
      <c r="J733" t="s">
        <v>27</v>
      </c>
      <c r="K733" t="s">
        <v>41</v>
      </c>
      <c r="L733">
        <v>1294.55</v>
      </c>
      <c r="M733">
        <v>20.8</v>
      </c>
      <c r="N733">
        <v>2025</v>
      </c>
      <c r="O733">
        <v>3</v>
      </c>
      <c r="P733" t="s">
        <v>24</v>
      </c>
      <c r="Q733">
        <v>340.17</v>
      </c>
      <c r="R733" t="s">
        <v>29</v>
      </c>
      <c r="S733">
        <v>3.8055972013993</v>
      </c>
      <c r="T733" t="s">
        <v>78</v>
      </c>
    </row>
    <row r="734" spans="1:20" x14ac:dyDescent="0.25">
      <c r="A734" s="11">
        <v>45002</v>
      </c>
      <c r="B734" t="s">
        <v>35</v>
      </c>
      <c r="C734" t="s">
        <v>36</v>
      </c>
      <c r="D734" t="s">
        <v>48</v>
      </c>
      <c r="E734" t="s">
        <v>38</v>
      </c>
      <c r="F734">
        <v>199</v>
      </c>
      <c r="G734">
        <v>8.2899999999999991</v>
      </c>
      <c r="H734">
        <v>1649.71</v>
      </c>
      <c r="I734" t="s">
        <v>54</v>
      </c>
      <c r="J734" t="s">
        <v>27</v>
      </c>
      <c r="K734" t="s">
        <v>28</v>
      </c>
      <c r="L734">
        <v>1309.68</v>
      </c>
      <c r="M734">
        <v>20.6</v>
      </c>
      <c r="N734">
        <v>2023</v>
      </c>
      <c r="O734">
        <v>1</v>
      </c>
      <c r="P734" t="s">
        <v>62</v>
      </c>
      <c r="Q734">
        <v>340.03</v>
      </c>
      <c r="R734" t="s">
        <v>29</v>
      </c>
      <c r="S734">
        <v>3.8516601476340329</v>
      </c>
      <c r="T734" t="s">
        <v>78</v>
      </c>
    </row>
    <row r="735" spans="1:20" x14ac:dyDescent="0.25">
      <c r="A735" s="11">
        <v>45082</v>
      </c>
      <c r="B735" t="s">
        <v>17</v>
      </c>
      <c r="C735" t="s">
        <v>18</v>
      </c>
      <c r="D735" t="s">
        <v>48</v>
      </c>
      <c r="E735" t="s">
        <v>38</v>
      </c>
      <c r="F735">
        <v>278</v>
      </c>
      <c r="G735">
        <v>3.38</v>
      </c>
      <c r="H735">
        <v>939.64</v>
      </c>
      <c r="I735" t="s">
        <v>39</v>
      </c>
      <c r="J735" t="s">
        <v>47</v>
      </c>
      <c r="K735" t="s">
        <v>41</v>
      </c>
      <c r="L735">
        <v>601.25</v>
      </c>
      <c r="M735">
        <v>36</v>
      </c>
      <c r="N735">
        <v>2023</v>
      </c>
      <c r="O735">
        <v>2</v>
      </c>
      <c r="P735" t="s">
        <v>68</v>
      </c>
      <c r="Q735">
        <v>338.39</v>
      </c>
      <c r="R735" t="s">
        <v>25</v>
      </c>
      <c r="S735">
        <v>1.7767960046100655</v>
      </c>
      <c r="T735" t="s">
        <v>78</v>
      </c>
    </row>
    <row r="736" spans="1:20" x14ac:dyDescent="0.25">
      <c r="A736" s="11">
        <v>45053</v>
      </c>
      <c r="B736" t="s">
        <v>30</v>
      </c>
      <c r="C736" t="s">
        <v>31</v>
      </c>
      <c r="D736" t="s">
        <v>44</v>
      </c>
      <c r="E736" t="s">
        <v>38</v>
      </c>
      <c r="F736">
        <v>523</v>
      </c>
      <c r="G736">
        <v>4.87</v>
      </c>
      <c r="H736">
        <v>2547.0100000000002</v>
      </c>
      <c r="I736" t="s">
        <v>55</v>
      </c>
      <c r="J736" t="s">
        <v>34</v>
      </c>
      <c r="K736" t="s">
        <v>41</v>
      </c>
      <c r="L736">
        <v>2209.6999999999998</v>
      </c>
      <c r="M736">
        <v>13.2</v>
      </c>
      <c r="N736">
        <v>2023</v>
      </c>
      <c r="O736">
        <v>2</v>
      </c>
      <c r="P736" t="s">
        <v>65</v>
      </c>
      <c r="Q736">
        <v>337.31</v>
      </c>
      <c r="R736" t="s">
        <v>29</v>
      </c>
      <c r="S736">
        <v>6.5509471999051314</v>
      </c>
      <c r="T736" t="s">
        <v>78</v>
      </c>
    </row>
    <row r="737" spans="1:20" x14ac:dyDescent="0.25">
      <c r="A737" s="11">
        <v>45085</v>
      </c>
      <c r="B737" t="s">
        <v>42</v>
      </c>
      <c r="C737" t="s">
        <v>43</v>
      </c>
      <c r="D737" t="s">
        <v>48</v>
      </c>
      <c r="E737" t="s">
        <v>38</v>
      </c>
      <c r="F737">
        <v>111</v>
      </c>
      <c r="G737">
        <v>8.17</v>
      </c>
      <c r="H737">
        <v>906.87</v>
      </c>
      <c r="I737" t="s">
        <v>55</v>
      </c>
      <c r="J737" t="s">
        <v>34</v>
      </c>
      <c r="K737" t="s">
        <v>41</v>
      </c>
      <c r="L737">
        <v>570.24</v>
      </c>
      <c r="M737">
        <v>37.1</v>
      </c>
      <c r="N737">
        <v>2023</v>
      </c>
      <c r="O737">
        <v>2</v>
      </c>
      <c r="P737" t="s">
        <v>69</v>
      </c>
      <c r="Q737">
        <v>336.63</v>
      </c>
      <c r="R737" t="s">
        <v>25</v>
      </c>
      <c r="S737">
        <v>1.6939666696372873</v>
      </c>
      <c r="T737" t="s">
        <v>78</v>
      </c>
    </row>
    <row r="738" spans="1:20" x14ac:dyDescent="0.25">
      <c r="A738" s="11">
        <v>44938</v>
      </c>
      <c r="B738" t="s">
        <v>42</v>
      </c>
      <c r="C738" t="s">
        <v>43</v>
      </c>
      <c r="D738" t="s">
        <v>53</v>
      </c>
      <c r="E738" t="s">
        <v>50</v>
      </c>
      <c r="F738">
        <v>130</v>
      </c>
      <c r="G738">
        <v>9.1300000000000008</v>
      </c>
      <c r="H738">
        <v>1186.9000000000001</v>
      </c>
      <c r="I738" t="s">
        <v>33</v>
      </c>
      <c r="J738" t="s">
        <v>56</v>
      </c>
      <c r="K738" t="s">
        <v>41</v>
      </c>
      <c r="L738">
        <v>851.54</v>
      </c>
      <c r="M738">
        <v>28.3</v>
      </c>
      <c r="N738">
        <v>2023</v>
      </c>
      <c r="O738">
        <v>1</v>
      </c>
      <c r="P738" t="s">
        <v>24</v>
      </c>
      <c r="Q738">
        <v>335.36</v>
      </c>
      <c r="R738" t="s">
        <v>25</v>
      </c>
      <c r="S738">
        <v>2.5391817748091601</v>
      </c>
      <c r="T738" t="s">
        <v>78</v>
      </c>
    </row>
    <row r="739" spans="1:20" x14ac:dyDescent="0.25">
      <c r="A739" s="11">
        <v>44988</v>
      </c>
      <c r="B739" t="s">
        <v>51</v>
      </c>
      <c r="C739" t="s">
        <v>52</v>
      </c>
      <c r="D739" t="s">
        <v>48</v>
      </c>
      <c r="E739" t="s">
        <v>38</v>
      </c>
      <c r="F739">
        <v>249</v>
      </c>
      <c r="G739">
        <v>3.39</v>
      </c>
      <c r="H739">
        <v>844.11</v>
      </c>
      <c r="I739" t="s">
        <v>55</v>
      </c>
      <c r="J739" t="s">
        <v>40</v>
      </c>
      <c r="K739" t="s">
        <v>41</v>
      </c>
      <c r="L739">
        <v>509.96</v>
      </c>
      <c r="M739">
        <v>39.6</v>
      </c>
      <c r="N739">
        <v>2023</v>
      </c>
      <c r="O739">
        <v>1</v>
      </c>
      <c r="P739" t="s">
        <v>61</v>
      </c>
      <c r="Q739">
        <v>334.15</v>
      </c>
      <c r="R739" t="s">
        <v>25</v>
      </c>
      <c r="S739">
        <v>1.5261409546610805</v>
      </c>
      <c r="T739" t="s">
        <v>78</v>
      </c>
    </row>
    <row r="740" spans="1:20" x14ac:dyDescent="0.25">
      <c r="A740" s="11">
        <v>44999</v>
      </c>
      <c r="B740" t="s">
        <v>30</v>
      </c>
      <c r="C740" t="s">
        <v>31</v>
      </c>
      <c r="D740" t="s">
        <v>44</v>
      </c>
      <c r="E740" t="s">
        <v>38</v>
      </c>
      <c r="F740">
        <v>562</v>
      </c>
      <c r="G740">
        <v>5.89</v>
      </c>
      <c r="H740">
        <v>3310.18</v>
      </c>
      <c r="I740" t="s">
        <v>46</v>
      </c>
      <c r="J740" t="s">
        <v>27</v>
      </c>
      <c r="K740" t="s">
        <v>41</v>
      </c>
      <c r="L740">
        <v>2976.32</v>
      </c>
      <c r="M740">
        <v>10.1</v>
      </c>
      <c r="N740">
        <v>2023</v>
      </c>
      <c r="O740">
        <v>1</v>
      </c>
      <c r="P740" t="s">
        <v>61</v>
      </c>
      <c r="Q740">
        <v>333.86</v>
      </c>
      <c r="R740" t="s">
        <v>29</v>
      </c>
      <c r="S740">
        <v>8.9148744982926971</v>
      </c>
      <c r="T740" t="s">
        <v>78</v>
      </c>
    </row>
    <row r="741" spans="1:20" x14ac:dyDescent="0.25">
      <c r="A741" s="11">
        <v>45055</v>
      </c>
      <c r="B741" t="s">
        <v>58</v>
      </c>
      <c r="C741" t="s">
        <v>59</v>
      </c>
      <c r="D741" t="s">
        <v>37</v>
      </c>
      <c r="E741" t="s">
        <v>38</v>
      </c>
      <c r="F741">
        <v>133</v>
      </c>
      <c r="G741">
        <v>6.64</v>
      </c>
      <c r="H741">
        <v>883.12</v>
      </c>
      <c r="I741" t="s">
        <v>33</v>
      </c>
      <c r="J741" t="s">
        <v>34</v>
      </c>
      <c r="K741" t="s">
        <v>28</v>
      </c>
      <c r="L741">
        <v>549.86</v>
      </c>
      <c r="M741">
        <v>37.700000000000003</v>
      </c>
      <c r="N741">
        <v>2023</v>
      </c>
      <c r="O741">
        <v>2</v>
      </c>
      <c r="P741" t="s">
        <v>65</v>
      </c>
      <c r="Q741">
        <v>333.26</v>
      </c>
      <c r="R741" t="s">
        <v>25</v>
      </c>
      <c r="S741">
        <v>1.6499429874572407</v>
      </c>
      <c r="T741" t="s">
        <v>78</v>
      </c>
    </row>
    <row r="742" spans="1:20" x14ac:dyDescent="0.25">
      <c r="A742" s="11">
        <v>44934</v>
      </c>
      <c r="B742" t="s">
        <v>17</v>
      </c>
      <c r="C742" t="s">
        <v>18</v>
      </c>
      <c r="D742" t="s">
        <v>48</v>
      </c>
      <c r="E742" t="s">
        <v>38</v>
      </c>
      <c r="F742">
        <v>287</v>
      </c>
      <c r="G742">
        <v>4.09</v>
      </c>
      <c r="H742">
        <v>1173.83</v>
      </c>
      <c r="I742" t="s">
        <v>26</v>
      </c>
      <c r="J742" t="s">
        <v>22</v>
      </c>
      <c r="K742" t="s">
        <v>28</v>
      </c>
      <c r="L742">
        <v>841.78</v>
      </c>
      <c r="M742">
        <v>28.3</v>
      </c>
      <c r="N742">
        <v>2023</v>
      </c>
      <c r="O742">
        <v>1</v>
      </c>
      <c r="P742" t="s">
        <v>24</v>
      </c>
      <c r="Q742">
        <v>332.05</v>
      </c>
      <c r="R742" t="s">
        <v>25</v>
      </c>
      <c r="S742">
        <v>2.5351001355217586</v>
      </c>
      <c r="T742" t="s">
        <v>78</v>
      </c>
    </row>
    <row r="743" spans="1:20" x14ac:dyDescent="0.25">
      <c r="A743" s="11">
        <v>44985</v>
      </c>
      <c r="B743" t="s">
        <v>35</v>
      </c>
      <c r="C743" t="s">
        <v>36</v>
      </c>
      <c r="D743" t="s">
        <v>53</v>
      </c>
      <c r="E743" t="s">
        <v>50</v>
      </c>
      <c r="F743">
        <v>667</v>
      </c>
      <c r="G743">
        <v>2.99</v>
      </c>
      <c r="H743">
        <v>1994.33</v>
      </c>
      <c r="I743" t="s">
        <v>21</v>
      </c>
      <c r="J743" t="s">
        <v>22</v>
      </c>
      <c r="K743" t="s">
        <v>28</v>
      </c>
      <c r="L743">
        <v>1662.86</v>
      </c>
      <c r="M743">
        <v>16.600000000000001</v>
      </c>
      <c r="N743">
        <v>2023</v>
      </c>
      <c r="O743">
        <v>1</v>
      </c>
      <c r="P743" t="s">
        <v>61</v>
      </c>
      <c r="Q743">
        <v>331.47</v>
      </c>
      <c r="R743" t="s">
        <v>29</v>
      </c>
      <c r="S743">
        <v>5.016622922134732</v>
      </c>
      <c r="T743" t="s">
        <v>78</v>
      </c>
    </row>
    <row r="744" spans="1:20" x14ac:dyDescent="0.25">
      <c r="A744" s="11">
        <v>45046</v>
      </c>
      <c r="B744" t="s">
        <v>17</v>
      </c>
      <c r="C744" t="s">
        <v>18</v>
      </c>
      <c r="D744" t="s">
        <v>32</v>
      </c>
      <c r="E744" t="s">
        <v>20</v>
      </c>
      <c r="F744">
        <v>301</v>
      </c>
      <c r="G744">
        <v>2.91</v>
      </c>
      <c r="H744">
        <v>875.91</v>
      </c>
      <c r="I744" t="s">
        <v>21</v>
      </c>
      <c r="J744" t="s">
        <v>34</v>
      </c>
      <c r="K744" t="s">
        <v>23</v>
      </c>
      <c r="L744">
        <v>545.53</v>
      </c>
      <c r="M744">
        <v>37.700000000000003</v>
      </c>
      <c r="N744">
        <v>2023</v>
      </c>
      <c r="O744">
        <v>2</v>
      </c>
      <c r="P744" t="s">
        <v>64</v>
      </c>
      <c r="Q744">
        <v>330.38</v>
      </c>
      <c r="R744" t="s">
        <v>25</v>
      </c>
      <c r="S744">
        <v>1.6512198074944002</v>
      </c>
      <c r="T744" t="s">
        <v>78</v>
      </c>
    </row>
    <row r="745" spans="1:20" x14ac:dyDescent="0.25">
      <c r="A745" s="11">
        <v>45002</v>
      </c>
      <c r="B745" t="s">
        <v>17</v>
      </c>
      <c r="C745" t="s">
        <v>18</v>
      </c>
      <c r="D745" t="s">
        <v>49</v>
      </c>
      <c r="E745" t="s">
        <v>50</v>
      </c>
      <c r="F745">
        <v>495</v>
      </c>
      <c r="G745">
        <v>3.72</v>
      </c>
      <c r="H745">
        <v>1841.4</v>
      </c>
      <c r="I745" t="s">
        <v>54</v>
      </c>
      <c r="J745" t="s">
        <v>22</v>
      </c>
      <c r="K745" t="s">
        <v>23</v>
      </c>
      <c r="L745">
        <v>1512.09</v>
      </c>
      <c r="M745">
        <v>17.899999999999999</v>
      </c>
      <c r="N745">
        <v>2023</v>
      </c>
      <c r="O745">
        <v>1</v>
      </c>
      <c r="P745" t="s">
        <v>62</v>
      </c>
      <c r="Q745">
        <v>329.31</v>
      </c>
      <c r="R745" t="s">
        <v>29</v>
      </c>
      <c r="S745">
        <v>4.5916917190489199</v>
      </c>
      <c r="T745" t="s">
        <v>78</v>
      </c>
    </row>
    <row r="746" spans="1:20" x14ac:dyDescent="0.25">
      <c r="A746" s="11">
        <v>45132</v>
      </c>
      <c r="B746" t="s">
        <v>30</v>
      </c>
      <c r="C746" t="s">
        <v>31</v>
      </c>
      <c r="D746" t="s">
        <v>32</v>
      </c>
      <c r="E746" t="s">
        <v>20</v>
      </c>
      <c r="F746">
        <v>530</v>
      </c>
      <c r="G746">
        <v>3.51</v>
      </c>
      <c r="H746">
        <v>1860.3</v>
      </c>
      <c r="I746" t="s">
        <v>55</v>
      </c>
      <c r="J746" t="s">
        <v>47</v>
      </c>
      <c r="K746" t="s">
        <v>23</v>
      </c>
      <c r="L746">
        <v>1532.81</v>
      </c>
      <c r="M746">
        <v>17.600000000000001</v>
      </c>
      <c r="N746">
        <v>2025</v>
      </c>
      <c r="O746">
        <v>3</v>
      </c>
      <c r="P746" t="s">
        <v>68</v>
      </c>
      <c r="Q746">
        <v>327.49</v>
      </c>
      <c r="R746" t="s">
        <v>29</v>
      </c>
      <c r="S746">
        <v>4.6804787932455953</v>
      </c>
      <c r="T746" t="s">
        <v>78</v>
      </c>
    </row>
    <row r="747" spans="1:20" x14ac:dyDescent="0.25">
      <c r="A747" s="11">
        <v>45016</v>
      </c>
      <c r="B747" t="s">
        <v>17</v>
      </c>
      <c r="C747" t="s">
        <v>18</v>
      </c>
      <c r="D747" t="s">
        <v>48</v>
      </c>
      <c r="E747" t="s">
        <v>38</v>
      </c>
      <c r="F747">
        <v>443</v>
      </c>
      <c r="G747">
        <v>5.13</v>
      </c>
      <c r="H747">
        <v>2272.59</v>
      </c>
      <c r="I747" t="s">
        <v>39</v>
      </c>
      <c r="J747" t="s">
        <v>27</v>
      </c>
      <c r="K747" t="s">
        <v>28</v>
      </c>
      <c r="L747">
        <v>1947.48</v>
      </c>
      <c r="M747">
        <v>14.3</v>
      </c>
      <c r="N747">
        <v>2023</v>
      </c>
      <c r="O747">
        <v>1</v>
      </c>
      <c r="P747" t="s">
        <v>62</v>
      </c>
      <c r="Q747">
        <v>325.11</v>
      </c>
      <c r="R747" t="s">
        <v>29</v>
      </c>
      <c r="S747">
        <v>5.9902186952108512</v>
      </c>
      <c r="T747" t="s">
        <v>78</v>
      </c>
    </row>
    <row r="748" spans="1:20" x14ac:dyDescent="0.25">
      <c r="A748" s="11">
        <v>45110</v>
      </c>
      <c r="B748" t="s">
        <v>42</v>
      </c>
      <c r="C748" t="s">
        <v>43</v>
      </c>
      <c r="D748" t="s">
        <v>37</v>
      </c>
      <c r="E748" t="s">
        <v>38</v>
      </c>
      <c r="F748">
        <v>448</v>
      </c>
      <c r="G748">
        <v>3.75</v>
      </c>
      <c r="H748">
        <v>1680</v>
      </c>
      <c r="I748" t="s">
        <v>39</v>
      </c>
      <c r="J748" t="s">
        <v>34</v>
      </c>
      <c r="K748" t="s">
        <v>23</v>
      </c>
      <c r="L748">
        <v>1356.23</v>
      </c>
      <c r="M748">
        <v>19.3</v>
      </c>
      <c r="N748">
        <v>2024</v>
      </c>
      <c r="O748">
        <v>3</v>
      </c>
      <c r="P748" t="s">
        <v>62</v>
      </c>
      <c r="Q748">
        <v>323.77</v>
      </c>
      <c r="R748" t="s">
        <v>29</v>
      </c>
      <c r="S748">
        <v>4.1888686413194556</v>
      </c>
      <c r="T748" t="s">
        <v>78</v>
      </c>
    </row>
    <row r="749" spans="1:20" x14ac:dyDescent="0.25">
      <c r="A749" s="11">
        <v>44937</v>
      </c>
      <c r="B749" t="s">
        <v>51</v>
      </c>
      <c r="C749" t="s">
        <v>52</v>
      </c>
      <c r="D749" t="s">
        <v>49</v>
      </c>
      <c r="E749" t="s">
        <v>50</v>
      </c>
      <c r="F749">
        <v>915</v>
      </c>
      <c r="G749">
        <v>3.28</v>
      </c>
      <c r="H749">
        <v>3001.2</v>
      </c>
      <c r="I749" t="s">
        <v>26</v>
      </c>
      <c r="J749" t="s">
        <v>40</v>
      </c>
      <c r="K749" t="s">
        <v>23</v>
      </c>
      <c r="L749">
        <v>2678.72</v>
      </c>
      <c r="M749">
        <v>10.7</v>
      </c>
      <c r="N749">
        <v>2023</v>
      </c>
      <c r="O749">
        <v>1</v>
      </c>
      <c r="P749" t="s">
        <v>24</v>
      </c>
      <c r="Q749">
        <v>322.48</v>
      </c>
      <c r="R749" t="s">
        <v>29</v>
      </c>
      <c r="S749">
        <v>8.3066236665839739</v>
      </c>
      <c r="T749" t="s">
        <v>78</v>
      </c>
    </row>
    <row r="750" spans="1:20" x14ac:dyDescent="0.25">
      <c r="A750" s="11">
        <v>45040</v>
      </c>
      <c r="B750" t="s">
        <v>58</v>
      </c>
      <c r="C750" t="s">
        <v>59</v>
      </c>
      <c r="D750" t="s">
        <v>44</v>
      </c>
      <c r="E750" t="s">
        <v>38</v>
      </c>
      <c r="F750">
        <v>451</v>
      </c>
      <c r="G750">
        <v>2.12</v>
      </c>
      <c r="H750">
        <v>956.12</v>
      </c>
      <c r="I750" t="s">
        <v>54</v>
      </c>
      <c r="J750" t="s">
        <v>40</v>
      </c>
      <c r="K750" t="s">
        <v>41</v>
      </c>
      <c r="L750">
        <v>636.89</v>
      </c>
      <c r="M750">
        <v>33.4</v>
      </c>
      <c r="N750">
        <v>2023</v>
      </c>
      <c r="O750">
        <v>2</v>
      </c>
      <c r="P750" t="s">
        <v>64</v>
      </c>
      <c r="Q750">
        <v>319.23</v>
      </c>
      <c r="R750" t="s">
        <v>25</v>
      </c>
      <c r="S750">
        <v>1.9950819158600381</v>
      </c>
      <c r="T750" t="s">
        <v>78</v>
      </c>
    </row>
    <row r="751" spans="1:20" x14ac:dyDescent="0.25">
      <c r="A751" s="11">
        <v>44950</v>
      </c>
      <c r="B751" t="s">
        <v>35</v>
      </c>
      <c r="C751" t="s">
        <v>36</v>
      </c>
      <c r="D751" t="s">
        <v>32</v>
      </c>
      <c r="E751" t="s">
        <v>20</v>
      </c>
      <c r="F751">
        <v>119</v>
      </c>
      <c r="G751">
        <v>10.77</v>
      </c>
      <c r="H751">
        <v>1281.6300000000001</v>
      </c>
      <c r="I751" t="s">
        <v>39</v>
      </c>
      <c r="J751" t="s">
        <v>40</v>
      </c>
      <c r="K751" t="s">
        <v>41</v>
      </c>
      <c r="L751">
        <v>962.59</v>
      </c>
      <c r="M751">
        <v>24.9</v>
      </c>
      <c r="N751">
        <v>2023</v>
      </c>
      <c r="O751">
        <v>1</v>
      </c>
      <c r="P751" t="s">
        <v>24</v>
      </c>
      <c r="Q751">
        <v>319.04000000000002</v>
      </c>
      <c r="R751" t="s">
        <v>29</v>
      </c>
      <c r="S751">
        <v>3.0171451855566698</v>
      </c>
      <c r="T751" t="s">
        <v>78</v>
      </c>
    </row>
    <row r="752" spans="1:20" x14ac:dyDescent="0.25">
      <c r="A752" s="11">
        <v>45045</v>
      </c>
      <c r="B752" t="s">
        <v>58</v>
      </c>
      <c r="C752" t="s">
        <v>59</v>
      </c>
      <c r="D752" t="s">
        <v>19</v>
      </c>
      <c r="E752" t="s">
        <v>20</v>
      </c>
      <c r="F752">
        <v>245</v>
      </c>
      <c r="G752">
        <v>4.4800000000000004</v>
      </c>
      <c r="H752">
        <v>1097.5999999999999</v>
      </c>
      <c r="I752" t="s">
        <v>46</v>
      </c>
      <c r="J752" t="s">
        <v>56</v>
      </c>
      <c r="K752" t="s">
        <v>23</v>
      </c>
      <c r="L752">
        <v>779.24</v>
      </c>
      <c r="M752">
        <v>29</v>
      </c>
      <c r="N752">
        <v>2023</v>
      </c>
      <c r="O752">
        <v>2</v>
      </c>
      <c r="P752" t="s">
        <v>64</v>
      </c>
      <c r="Q752">
        <v>318.36</v>
      </c>
      <c r="R752" t="s">
        <v>25</v>
      </c>
      <c r="S752">
        <v>2.4476693051890939</v>
      </c>
      <c r="T752" t="s">
        <v>78</v>
      </c>
    </row>
    <row r="753" spans="1:20" x14ac:dyDescent="0.25">
      <c r="A753" s="11">
        <v>44969</v>
      </c>
      <c r="B753" t="s">
        <v>30</v>
      </c>
      <c r="C753" t="s">
        <v>31</v>
      </c>
      <c r="D753" t="s">
        <v>37</v>
      </c>
      <c r="E753" t="s">
        <v>38</v>
      </c>
      <c r="F753">
        <v>940</v>
      </c>
      <c r="G753">
        <v>3.22</v>
      </c>
      <c r="H753">
        <v>3026.8</v>
      </c>
      <c r="I753" t="s">
        <v>39</v>
      </c>
      <c r="J753" t="s">
        <v>56</v>
      </c>
      <c r="K753" t="s">
        <v>41</v>
      </c>
      <c r="L753">
        <v>2709.3</v>
      </c>
      <c r="M753">
        <v>10.5</v>
      </c>
      <c r="N753">
        <v>2023</v>
      </c>
      <c r="O753">
        <v>1</v>
      </c>
      <c r="P753" t="s">
        <v>60</v>
      </c>
      <c r="Q753">
        <v>317.5</v>
      </c>
      <c r="R753" t="s">
        <v>29</v>
      </c>
      <c r="S753">
        <v>8.5332283464566938</v>
      </c>
      <c r="T753" t="s">
        <v>78</v>
      </c>
    </row>
    <row r="754" spans="1:20" x14ac:dyDescent="0.25">
      <c r="A754" s="11">
        <v>45123</v>
      </c>
      <c r="B754" t="s">
        <v>17</v>
      </c>
      <c r="C754" t="s">
        <v>18</v>
      </c>
      <c r="D754" t="s">
        <v>32</v>
      </c>
      <c r="E754" t="s">
        <v>20</v>
      </c>
      <c r="F754">
        <v>252</v>
      </c>
      <c r="G754">
        <v>6.46</v>
      </c>
      <c r="H754">
        <v>1627.92</v>
      </c>
      <c r="I754" t="s">
        <v>55</v>
      </c>
      <c r="J754" t="s">
        <v>56</v>
      </c>
      <c r="K754" t="s">
        <v>23</v>
      </c>
      <c r="L754">
        <v>1310.74</v>
      </c>
      <c r="M754">
        <v>19.5</v>
      </c>
      <c r="N754">
        <v>2024</v>
      </c>
      <c r="O754">
        <v>3</v>
      </c>
      <c r="P754" t="s">
        <v>67</v>
      </c>
      <c r="Q754">
        <v>317.18</v>
      </c>
      <c r="R754" t="s">
        <v>29</v>
      </c>
      <c r="S754">
        <v>4.1324799798221825</v>
      </c>
      <c r="T754" t="s">
        <v>78</v>
      </c>
    </row>
    <row r="755" spans="1:20" x14ac:dyDescent="0.25">
      <c r="A755" s="11">
        <v>44949</v>
      </c>
      <c r="B755" t="s">
        <v>30</v>
      </c>
      <c r="C755" t="s">
        <v>31</v>
      </c>
      <c r="D755" t="s">
        <v>53</v>
      </c>
      <c r="E755" t="s">
        <v>50</v>
      </c>
      <c r="F755">
        <v>297</v>
      </c>
      <c r="G755">
        <v>4.0599999999999996</v>
      </c>
      <c r="H755">
        <v>1205.82</v>
      </c>
      <c r="I755" t="s">
        <v>54</v>
      </c>
      <c r="J755" t="s">
        <v>47</v>
      </c>
      <c r="K755" t="s">
        <v>23</v>
      </c>
      <c r="L755">
        <v>889.33</v>
      </c>
      <c r="M755">
        <v>26.2</v>
      </c>
      <c r="N755">
        <v>2023</v>
      </c>
      <c r="O755">
        <v>1</v>
      </c>
      <c r="P755" t="s">
        <v>24</v>
      </c>
      <c r="Q755">
        <v>316.49</v>
      </c>
      <c r="R755" t="s">
        <v>25</v>
      </c>
      <c r="S755">
        <v>2.8099781983632974</v>
      </c>
      <c r="T755" t="s">
        <v>78</v>
      </c>
    </row>
    <row r="756" spans="1:20" x14ac:dyDescent="0.25">
      <c r="A756" s="11">
        <v>45058</v>
      </c>
      <c r="B756" t="s">
        <v>51</v>
      </c>
      <c r="C756" t="s">
        <v>52</v>
      </c>
      <c r="D756" t="s">
        <v>45</v>
      </c>
      <c r="E756" t="s">
        <v>20</v>
      </c>
      <c r="F756">
        <v>465</v>
      </c>
      <c r="G756">
        <v>4.7699999999999996</v>
      </c>
      <c r="H756">
        <v>2218.0500000000002</v>
      </c>
      <c r="I756" t="s">
        <v>39</v>
      </c>
      <c r="J756" t="s">
        <v>56</v>
      </c>
      <c r="K756" t="s">
        <v>28</v>
      </c>
      <c r="L756">
        <v>1901.73</v>
      </c>
      <c r="M756">
        <v>14.3</v>
      </c>
      <c r="N756">
        <v>2023</v>
      </c>
      <c r="O756">
        <v>2</v>
      </c>
      <c r="P756" t="s">
        <v>65</v>
      </c>
      <c r="Q756">
        <v>316.32</v>
      </c>
      <c r="R756" t="s">
        <v>29</v>
      </c>
      <c r="S756">
        <v>6.012044764795144</v>
      </c>
      <c r="T756" t="s">
        <v>78</v>
      </c>
    </row>
    <row r="757" spans="1:20" x14ac:dyDescent="0.25">
      <c r="A757" s="11">
        <v>45097</v>
      </c>
      <c r="B757" t="s">
        <v>35</v>
      </c>
      <c r="C757" t="s">
        <v>36</v>
      </c>
      <c r="D757" t="s">
        <v>53</v>
      </c>
      <c r="E757" t="s">
        <v>50</v>
      </c>
      <c r="F757">
        <v>180</v>
      </c>
      <c r="G757">
        <v>11.12</v>
      </c>
      <c r="H757">
        <v>2001.6</v>
      </c>
      <c r="I757" t="s">
        <v>39</v>
      </c>
      <c r="J757" t="s">
        <v>34</v>
      </c>
      <c r="K757" t="s">
        <v>28</v>
      </c>
      <c r="L757">
        <v>1685.71</v>
      </c>
      <c r="M757">
        <v>15.8</v>
      </c>
      <c r="N757">
        <v>2023</v>
      </c>
      <c r="O757">
        <v>2</v>
      </c>
      <c r="P757" t="s">
        <v>70</v>
      </c>
      <c r="Q757">
        <v>315.89</v>
      </c>
      <c r="R757" t="s">
        <v>29</v>
      </c>
      <c r="S757">
        <v>5.3363829181044036</v>
      </c>
      <c r="T757" t="s">
        <v>78</v>
      </c>
    </row>
    <row r="758" spans="1:20" x14ac:dyDescent="0.25">
      <c r="A758" s="11">
        <v>44987</v>
      </c>
      <c r="B758" t="s">
        <v>17</v>
      </c>
      <c r="C758" t="s">
        <v>18</v>
      </c>
      <c r="D758" t="s">
        <v>44</v>
      </c>
      <c r="E758" t="s">
        <v>38</v>
      </c>
      <c r="F758">
        <v>120</v>
      </c>
      <c r="G758">
        <v>9.08</v>
      </c>
      <c r="H758">
        <v>1089.5999999999999</v>
      </c>
      <c r="I758" t="s">
        <v>54</v>
      </c>
      <c r="J758" t="s">
        <v>47</v>
      </c>
      <c r="K758" t="s">
        <v>28</v>
      </c>
      <c r="L758">
        <v>773.83</v>
      </c>
      <c r="M758">
        <v>29</v>
      </c>
      <c r="N758">
        <v>2023</v>
      </c>
      <c r="O758">
        <v>1</v>
      </c>
      <c r="P758" t="s">
        <v>61</v>
      </c>
      <c r="Q758">
        <v>315.77</v>
      </c>
      <c r="R758" t="s">
        <v>25</v>
      </c>
      <c r="S758">
        <v>2.4506127877885806</v>
      </c>
      <c r="T758" t="s">
        <v>78</v>
      </c>
    </row>
    <row r="759" spans="1:20" x14ac:dyDescent="0.25">
      <c r="A759" s="11">
        <v>44985</v>
      </c>
      <c r="B759" t="s">
        <v>42</v>
      </c>
      <c r="C759" t="s">
        <v>43</v>
      </c>
      <c r="D759" t="s">
        <v>37</v>
      </c>
      <c r="E759" t="s">
        <v>38</v>
      </c>
      <c r="F759">
        <v>275</v>
      </c>
      <c r="G759">
        <v>4.46</v>
      </c>
      <c r="H759">
        <v>1226.5</v>
      </c>
      <c r="I759" t="s">
        <v>57</v>
      </c>
      <c r="J759" t="s">
        <v>27</v>
      </c>
      <c r="K759" t="s">
        <v>41</v>
      </c>
      <c r="L759">
        <v>910.93</v>
      </c>
      <c r="M759">
        <v>25.7</v>
      </c>
      <c r="N759">
        <v>2023</v>
      </c>
      <c r="O759">
        <v>1</v>
      </c>
      <c r="P759" t="s">
        <v>61</v>
      </c>
      <c r="Q759">
        <v>315.57</v>
      </c>
      <c r="R759" t="s">
        <v>25</v>
      </c>
      <c r="S759">
        <v>2.8866178660835948</v>
      </c>
      <c r="T759" t="s">
        <v>78</v>
      </c>
    </row>
    <row r="760" spans="1:20" x14ac:dyDescent="0.25">
      <c r="A760" s="11">
        <v>45024</v>
      </c>
      <c r="B760" t="s">
        <v>30</v>
      </c>
      <c r="C760" t="s">
        <v>31</v>
      </c>
      <c r="D760" t="s">
        <v>32</v>
      </c>
      <c r="E760" t="s">
        <v>20</v>
      </c>
      <c r="F760">
        <v>120</v>
      </c>
      <c r="G760">
        <v>8.57</v>
      </c>
      <c r="H760">
        <v>1028.4000000000001</v>
      </c>
      <c r="I760" t="s">
        <v>46</v>
      </c>
      <c r="J760" t="s">
        <v>27</v>
      </c>
      <c r="K760" t="s">
        <v>28</v>
      </c>
      <c r="L760">
        <v>713.01</v>
      </c>
      <c r="M760">
        <v>30.7</v>
      </c>
      <c r="N760">
        <v>2023</v>
      </c>
      <c r="O760">
        <v>2</v>
      </c>
      <c r="P760" t="s">
        <v>63</v>
      </c>
      <c r="Q760">
        <v>315.39</v>
      </c>
      <c r="R760" t="s">
        <v>25</v>
      </c>
      <c r="S760">
        <v>2.26072481689337</v>
      </c>
      <c r="T760" t="s">
        <v>78</v>
      </c>
    </row>
    <row r="761" spans="1:20" x14ac:dyDescent="0.25">
      <c r="A761" s="11">
        <v>45057</v>
      </c>
      <c r="B761" t="s">
        <v>58</v>
      </c>
      <c r="C761" t="s">
        <v>59</v>
      </c>
      <c r="D761" t="s">
        <v>49</v>
      </c>
      <c r="E761" t="s">
        <v>50</v>
      </c>
      <c r="F761">
        <v>858</v>
      </c>
      <c r="G761">
        <v>2.2000000000000002</v>
      </c>
      <c r="H761">
        <v>1887.6</v>
      </c>
      <c r="I761" t="s">
        <v>21</v>
      </c>
      <c r="J761" t="s">
        <v>56</v>
      </c>
      <c r="K761" t="s">
        <v>23</v>
      </c>
      <c r="L761">
        <v>1572.75</v>
      </c>
      <c r="M761">
        <v>16.7</v>
      </c>
      <c r="N761">
        <v>2023</v>
      </c>
      <c r="O761">
        <v>2</v>
      </c>
      <c r="P761" t="s">
        <v>65</v>
      </c>
      <c r="Q761">
        <v>314.85000000000002</v>
      </c>
      <c r="R761" t="s">
        <v>29</v>
      </c>
      <c r="S761">
        <v>4.9952358265840875</v>
      </c>
      <c r="T761" t="s">
        <v>78</v>
      </c>
    </row>
    <row r="762" spans="1:20" x14ac:dyDescent="0.25">
      <c r="A762" s="11">
        <v>45070</v>
      </c>
      <c r="B762" t="s">
        <v>17</v>
      </c>
      <c r="C762" t="s">
        <v>18</v>
      </c>
      <c r="D762" t="s">
        <v>49</v>
      </c>
      <c r="E762" t="s">
        <v>50</v>
      </c>
      <c r="F762">
        <v>883</v>
      </c>
      <c r="G762">
        <v>2.84</v>
      </c>
      <c r="H762">
        <v>2507.7199999999998</v>
      </c>
      <c r="I762" t="s">
        <v>46</v>
      </c>
      <c r="J762" t="s">
        <v>56</v>
      </c>
      <c r="K762" t="s">
        <v>41</v>
      </c>
      <c r="L762">
        <v>2192.87</v>
      </c>
      <c r="M762">
        <v>12.6</v>
      </c>
      <c r="N762">
        <v>2023</v>
      </c>
      <c r="O762">
        <v>2</v>
      </c>
      <c r="P762" t="s">
        <v>66</v>
      </c>
      <c r="Q762">
        <v>314.85000000000002</v>
      </c>
      <c r="R762" t="s">
        <v>29</v>
      </c>
      <c r="S762">
        <v>6.9648086390344597</v>
      </c>
      <c r="T762" t="s">
        <v>78</v>
      </c>
    </row>
    <row r="763" spans="1:20" x14ac:dyDescent="0.25">
      <c r="A763" s="11">
        <v>45113</v>
      </c>
      <c r="B763" t="s">
        <v>58</v>
      </c>
      <c r="C763" t="s">
        <v>59</v>
      </c>
      <c r="D763" t="s">
        <v>32</v>
      </c>
      <c r="E763" t="s">
        <v>20</v>
      </c>
      <c r="F763">
        <v>112</v>
      </c>
      <c r="G763">
        <v>9.49</v>
      </c>
      <c r="H763">
        <v>1062.8800000000001</v>
      </c>
      <c r="I763" t="s">
        <v>46</v>
      </c>
      <c r="J763" t="s">
        <v>22</v>
      </c>
      <c r="K763" t="s">
        <v>23</v>
      </c>
      <c r="L763">
        <v>749.53</v>
      </c>
      <c r="M763">
        <v>29.5</v>
      </c>
      <c r="N763">
        <v>2024</v>
      </c>
      <c r="O763">
        <v>3</v>
      </c>
      <c r="P763" t="s">
        <v>62</v>
      </c>
      <c r="Q763">
        <v>313.35000000000002</v>
      </c>
      <c r="R763" t="s">
        <v>25</v>
      </c>
      <c r="S763">
        <v>2.3919897877772458</v>
      </c>
      <c r="T763" t="s">
        <v>78</v>
      </c>
    </row>
    <row r="764" spans="1:20" x14ac:dyDescent="0.25">
      <c r="A764" s="11">
        <v>45118</v>
      </c>
      <c r="B764" t="s">
        <v>58</v>
      </c>
      <c r="C764" t="s">
        <v>59</v>
      </c>
      <c r="D764" t="s">
        <v>53</v>
      </c>
      <c r="E764" t="s">
        <v>50</v>
      </c>
      <c r="F764">
        <v>267</v>
      </c>
      <c r="G764">
        <v>6.74</v>
      </c>
      <c r="H764">
        <v>1799.58</v>
      </c>
      <c r="I764" t="s">
        <v>39</v>
      </c>
      <c r="J764" t="s">
        <v>56</v>
      </c>
      <c r="K764" t="s">
        <v>41</v>
      </c>
      <c r="L764">
        <v>1486.73</v>
      </c>
      <c r="M764">
        <v>17.399999999999999</v>
      </c>
      <c r="N764">
        <v>2024</v>
      </c>
      <c r="O764">
        <v>3</v>
      </c>
      <c r="P764" t="s">
        <v>64</v>
      </c>
      <c r="Q764">
        <v>312.85000000000002</v>
      </c>
      <c r="R764" t="s">
        <v>29</v>
      </c>
      <c r="S764">
        <v>4.7522135208566398</v>
      </c>
      <c r="T764" t="s">
        <v>78</v>
      </c>
    </row>
    <row r="765" spans="1:20" x14ac:dyDescent="0.25">
      <c r="A765" s="11">
        <v>44960</v>
      </c>
      <c r="B765" t="s">
        <v>35</v>
      </c>
      <c r="C765" t="s">
        <v>36</v>
      </c>
      <c r="D765" t="s">
        <v>19</v>
      </c>
      <c r="E765" t="s">
        <v>20</v>
      </c>
      <c r="F765">
        <v>484</v>
      </c>
      <c r="G765">
        <v>2.4500000000000002</v>
      </c>
      <c r="H765">
        <v>1185.8</v>
      </c>
      <c r="I765" t="s">
        <v>46</v>
      </c>
      <c r="J765" t="s">
        <v>47</v>
      </c>
      <c r="K765" t="s">
        <v>28</v>
      </c>
      <c r="L765">
        <v>874.67</v>
      </c>
      <c r="M765">
        <v>26.2</v>
      </c>
      <c r="N765">
        <v>2023</v>
      </c>
      <c r="O765">
        <v>1</v>
      </c>
      <c r="P765" t="s">
        <v>60</v>
      </c>
      <c r="Q765">
        <v>311.13</v>
      </c>
      <c r="R765" t="s">
        <v>25</v>
      </c>
      <c r="S765">
        <v>2.8112686015491914</v>
      </c>
      <c r="T765" t="s">
        <v>78</v>
      </c>
    </row>
    <row r="766" spans="1:20" x14ac:dyDescent="0.25">
      <c r="A766" s="11">
        <v>45113</v>
      </c>
      <c r="B766" t="s">
        <v>51</v>
      </c>
      <c r="C766" t="s">
        <v>52</v>
      </c>
      <c r="D766" t="s">
        <v>44</v>
      </c>
      <c r="E766" t="s">
        <v>38</v>
      </c>
      <c r="F766">
        <v>167</v>
      </c>
      <c r="G766">
        <v>6.45</v>
      </c>
      <c r="H766">
        <v>1077.1500000000001</v>
      </c>
      <c r="I766" t="s">
        <v>39</v>
      </c>
      <c r="J766" t="s">
        <v>27</v>
      </c>
      <c r="K766" t="s">
        <v>41</v>
      </c>
      <c r="L766">
        <v>766.32</v>
      </c>
      <c r="M766">
        <v>28.9</v>
      </c>
      <c r="N766">
        <v>2024</v>
      </c>
      <c r="O766">
        <v>3</v>
      </c>
      <c r="P766" t="s">
        <v>62</v>
      </c>
      <c r="Q766">
        <v>310.83</v>
      </c>
      <c r="R766" t="s">
        <v>25</v>
      </c>
      <c r="S766">
        <v>2.4653990927516651</v>
      </c>
      <c r="T766" t="s">
        <v>78</v>
      </c>
    </row>
    <row r="767" spans="1:20" x14ac:dyDescent="0.25">
      <c r="A767" s="11">
        <v>45018</v>
      </c>
      <c r="B767" t="s">
        <v>42</v>
      </c>
      <c r="C767" t="s">
        <v>43</v>
      </c>
      <c r="D767" t="s">
        <v>48</v>
      </c>
      <c r="E767" t="s">
        <v>38</v>
      </c>
      <c r="F767">
        <v>127</v>
      </c>
      <c r="G767">
        <v>7.25</v>
      </c>
      <c r="H767">
        <v>920.75</v>
      </c>
      <c r="I767" t="s">
        <v>55</v>
      </c>
      <c r="J767" t="s">
        <v>47</v>
      </c>
      <c r="K767" t="s">
        <v>28</v>
      </c>
      <c r="L767">
        <v>614.27</v>
      </c>
      <c r="M767">
        <v>33.299999999999997</v>
      </c>
      <c r="N767">
        <v>2023</v>
      </c>
      <c r="O767">
        <v>2</v>
      </c>
      <c r="P767" t="s">
        <v>62</v>
      </c>
      <c r="Q767">
        <v>306.48</v>
      </c>
      <c r="R767" t="s">
        <v>25</v>
      </c>
      <c r="S767">
        <v>2.0042743409031583</v>
      </c>
      <c r="T767" t="s">
        <v>78</v>
      </c>
    </row>
    <row r="768" spans="1:20" x14ac:dyDescent="0.25">
      <c r="A768" s="11">
        <v>45019</v>
      </c>
      <c r="B768" t="s">
        <v>35</v>
      </c>
      <c r="C768" t="s">
        <v>36</v>
      </c>
      <c r="D768" t="s">
        <v>48</v>
      </c>
      <c r="E768" t="s">
        <v>38</v>
      </c>
      <c r="F768">
        <v>98</v>
      </c>
      <c r="G768">
        <v>7.9</v>
      </c>
      <c r="H768">
        <v>774.2</v>
      </c>
      <c r="I768" t="s">
        <v>21</v>
      </c>
      <c r="J768" t="s">
        <v>40</v>
      </c>
      <c r="K768" t="s">
        <v>28</v>
      </c>
      <c r="L768">
        <v>467.89</v>
      </c>
      <c r="M768">
        <v>39.6</v>
      </c>
      <c r="N768">
        <v>2023</v>
      </c>
      <c r="O768">
        <v>2</v>
      </c>
      <c r="P768" t="s">
        <v>62</v>
      </c>
      <c r="Q768">
        <v>306.31</v>
      </c>
      <c r="R768" t="s">
        <v>25</v>
      </c>
      <c r="S768">
        <v>1.5275048153831086</v>
      </c>
      <c r="T768" t="s">
        <v>78</v>
      </c>
    </row>
    <row r="769" spans="1:20" x14ac:dyDescent="0.25">
      <c r="A769" s="11">
        <v>44927</v>
      </c>
      <c r="B769" t="s">
        <v>17</v>
      </c>
      <c r="C769" t="s">
        <v>18</v>
      </c>
      <c r="D769" t="s">
        <v>19</v>
      </c>
      <c r="E769" t="s">
        <v>20</v>
      </c>
      <c r="F769">
        <v>118</v>
      </c>
      <c r="G769">
        <v>9.51</v>
      </c>
      <c r="H769">
        <v>1122.18</v>
      </c>
      <c r="I769" t="s">
        <v>21</v>
      </c>
      <c r="J769" t="s">
        <v>22</v>
      </c>
      <c r="K769" t="s">
        <v>23</v>
      </c>
      <c r="L769">
        <v>816.31</v>
      </c>
      <c r="M769">
        <v>27.3</v>
      </c>
      <c r="N769">
        <v>2023</v>
      </c>
      <c r="O769">
        <v>1</v>
      </c>
      <c r="P769" t="s">
        <v>24</v>
      </c>
      <c r="Q769">
        <v>305.87</v>
      </c>
      <c r="R769" t="s">
        <v>25</v>
      </c>
      <c r="S769">
        <v>2.6688135482394477</v>
      </c>
      <c r="T769" t="s">
        <v>78</v>
      </c>
    </row>
    <row r="770" spans="1:20" x14ac:dyDescent="0.25">
      <c r="A770" s="11">
        <v>45080</v>
      </c>
      <c r="B770" t="s">
        <v>30</v>
      </c>
      <c r="C770" t="s">
        <v>31</v>
      </c>
      <c r="D770" t="s">
        <v>45</v>
      </c>
      <c r="E770" t="s">
        <v>20</v>
      </c>
      <c r="F770">
        <v>115</v>
      </c>
      <c r="G770">
        <v>11.53</v>
      </c>
      <c r="H770">
        <v>1325.95</v>
      </c>
      <c r="I770" t="s">
        <v>26</v>
      </c>
      <c r="J770" t="s">
        <v>27</v>
      </c>
      <c r="K770" t="s">
        <v>23</v>
      </c>
      <c r="L770">
        <v>1020.45</v>
      </c>
      <c r="M770">
        <v>23</v>
      </c>
      <c r="N770">
        <v>2023</v>
      </c>
      <c r="O770">
        <v>2</v>
      </c>
      <c r="P770" t="s">
        <v>68</v>
      </c>
      <c r="Q770">
        <v>305.5</v>
      </c>
      <c r="R770" t="s">
        <v>29</v>
      </c>
      <c r="S770">
        <v>3.340261865793781</v>
      </c>
      <c r="T770" t="s">
        <v>78</v>
      </c>
    </row>
    <row r="771" spans="1:20" x14ac:dyDescent="0.25">
      <c r="A771" s="11">
        <v>45050</v>
      </c>
      <c r="B771" t="s">
        <v>35</v>
      </c>
      <c r="C771" t="s">
        <v>36</v>
      </c>
      <c r="D771" t="s">
        <v>48</v>
      </c>
      <c r="E771" t="s">
        <v>38</v>
      </c>
      <c r="F771">
        <v>280</v>
      </c>
      <c r="G771">
        <v>3.57</v>
      </c>
      <c r="H771">
        <v>999.6</v>
      </c>
      <c r="I771" t="s">
        <v>26</v>
      </c>
      <c r="J771" t="s">
        <v>22</v>
      </c>
      <c r="K771" t="s">
        <v>41</v>
      </c>
      <c r="L771">
        <v>695.2</v>
      </c>
      <c r="M771">
        <v>30.5</v>
      </c>
      <c r="N771">
        <v>2023</v>
      </c>
      <c r="O771">
        <v>2</v>
      </c>
      <c r="P771" t="s">
        <v>64</v>
      </c>
      <c r="Q771">
        <v>304.39999999999998</v>
      </c>
      <c r="R771" t="s">
        <v>25</v>
      </c>
      <c r="S771">
        <v>2.2838370565045993</v>
      </c>
      <c r="T771" t="s">
        <v>78</v>
      </c>
    </row>
    <row r="772" spans="1:20" x14ac:dyDescent="0.25">
      <c r="A772" s="11">
        <v>45099</v>
      </c>
      <c r="B772" t="s">
        <v>17</v>
      </c>
      <c r="C772" t="s">
        <v>18</v>
      </c>
      <c r="D772" t="s">
        <v>37</v>
      </c>
      <c r="E772" t="s">
        <v>38</v>
      </c>
      <c r="F772">
        <v>555</v>
      </c>
      <c r="G772">
        <v>4.5599999999999996</v>
      </c>
      <c r="H772">
        <v>2530.8000000000002</v>
      </c>
      <c r="I772" t="s">
        <v>54</v>
      </c>
      <c r="J772" t="s">
        <v>47</v>
      </c>
      <c r="K772" t="s">
        <v>28</v>
      </c>
      <c r="L772">
        <v>2226.87</v>
      </c>
      <c r="M772">
        <v>12</v>
      </c>
      <c r="N772">
        <v>2024</v>
      </c>
      <c r="O772">
        <v>2</v>
      </c>
      <c r="P772" t="s">
        <v>24</v>
      </c>
      <c r="Q772">
        <v>303.93</v>
      </c>
      <c r="R772" t="s">
        <v>29</v>
      </c>
      <c r="S772">
        <v>7.3269173822919749</v>
      </c>
      <c r="T772" t="s">
        <v>78</v>
      </c>
    </row>
    <row r="773" spans="1:20" x14ac:dyDescent="0.25">
      <c r="A773" s="11">
        <v>45101</v>
      </c>
      <c r="B773" t="s">
        <v>42</v>
      </c>
      <c r="C773" t="s">
        <v>43</v>
      </c>
      <c r="D773" t="s">
        <v>37</v>
      </c>
      <c r="E773" t="s">
        <v>38</v>
      </c>
      <c r="F773">
        <v>164</v>
      </c>
      <c r="G773">
        <v>7.45</v>
      </c>
      <c r="H773">
        <v>1221.8</v>
      </c>
      <c r="I773" t="s">
        <v>57</v>
      </c>
      <c r="J773" t="s">
        <v>40</v>
      </c>
      <c r="K773" t="s">
        <v>28</v>
      </c>
      <c r="L773">
        <v>918.54</v>
      </c>
      <c r="M773">
        <v>24.8</v>
      </c>
      <c r="N773">
        <v>2024</v>
      </c>
      <c r="O773">
        <v>2</v>
      </c>
      <c r="P773" t="s">
        <v>24</v>
      </c>
      <c r="Q773">
        <v>303.26</v>
      </c>
      <c r="R773" t="s">
        <v>29</v>
      </c>
      <c r="S773">
        <v>3.0288861043329156</v>
      </c>
      <c r="T773" t="s">
        <v>78</v>
      </c>
    </row>
    <row r="774" spans="1:20" x14ac:dyDescent="0.25">
      <c r="A774" s="11">
        <v>45057</v>
      </c>
      <c r="B774" t="s">
        <v>51</v>
      </c>
      <c r="C774" t="s">
        <v>52</v>
      </c>
      <c r="D774" t="s">
        <v>37</v>
      </c>
      <c r="E774" t="s">
        <v>38</v>
      </c>
      <c r="F774">
        <v>115</v>
      </c>
      <c r="G774">
        <v>7.03</v>
      </c>
      <c r="H774">
        <v>808.45</v>
      </c>
      <c r="I774" t="s">
        <v>33</v>
      </c>
      <c r="J774" t="s">
        <v>47</v>
      </c>
      <c r="K774" t="s">
        <v>41</v>
      </c>
      <c r="L774">
        <v>508.32</v>
      </c>
      <c r="M774">
        <v>37.1</v>
      </c>
      <c r="N774">
        <v>2023</v>
      </c>
      <c r="O774">
        <v>2</v>
      </c>
      <c r="P774" t="s">
        <v>65</v>
      </c>
      <c r="Q774">
        <v>300.13</v>
      </c>
      <c r="R774" t="s">
        <v>25</v>
      </c>
      <c r="S774">
        <v>1.6936660780328525</v>
      </c>
      <c r="T774" t="s">
        <v>78</v>
      </c>
    </row>
    <row r="775" spans="1:20" x14ac:dyDescent="0.25">
      <c r="A775" s="11">
        <v>45027</v>
      </c>
      <c r="B775" t="s">
        <v>42</v>
      </c>
      <c r="C775" t="s">
        <v>43</v>
      </c>
      <c r="D775" t="s">
        <v>44</v>
      </c>
      <c r="E775" t="s">
        <v>38</v>
      </c>
      <c r="F775">
        <v>286</v>
      </c>
      <c r="G775">
        <v>2.71</v>
      </c>
      <c r="H775">
        <v>775.06</v>
      </c>
      <c r="I775" t="s">
        <v>26</v>
      </c>
      <c r="J775" t="s">
        <v>34</v>
      </c>
      <c r="K775" t="s">
        <v>23</v>
      </c>
      <c r="L775">
        <v>475.57</v>
      </c>
      <c r="M775">
        <v>38.6</v>
      </c>
      <c r="N775">
        <v>2023</v>
      </c>
      <c r="O775">
        <v>2</v>
      </c>
      <c r="P775" t="s">
        <v>63</v>
      </c>
      <c r="Q775">
        <v>299.49</v>
      </c>
      <c r="R775" t="s">
        <v>25</v>
      </c>
      <c r="S775">
        <v>1.5879328191258473</v>
      </c>
      <c r="T775" t="s">
        <v>78</v>
      </c>
    </row>
    <row r="776" spans="1:20" x14ac:dyDescent="0.25">
      <c r="A776" s="11">
        <v>44964</v>
      </c>
      <c r="B776" t="s">
        <v>17</v>
      </c>
      <c r="C776" t="s">
        <v>18</v>
      </c>
      <c r="D776" t="s">
        <v>49</v>
      </c>
      <c r="E776" t="s">
        <v>50</v>
      </c>
      <c r="F776">
        <v>235</v>
      </c>
      <c r="G776">
        <v>6.9</v>
      </c>
      <c r="H776">
        <v>1621.5</v>
      </c>
      <c r="I776" t="s">
        <v>21</v>
      </c>
      <c r="J776" t="s">
        <v>22</v>
      </c>
      <c r="K776" t="s">
        <v>41</v>
      </c>
      <c r="L776">
        <v>1322.81</v>
      </c>
      <c r="M776">
        <v>18.399999999999999</v>
      </c>
      <c r="N776">
        <v>2023</v>
      </c>
      <c r="O776">
        <v>1</v>
      </c>
      <c r="P776" t="s">
        <v>60</v>
      </c>
      <c r="Q776">
        <v>298.69</v>
      </c>
      <c r="R776" t="s">
        <v>29</v>
      </c>
      <c r="S776">
        <v>4.4287053466805046</v>
      </c>
      <c r="T776" t="s">
        <v>78</v>
      </c>
    </row>
    <row r="777" spans="1:20" x14ac:dyDescent="0.25">
      <c r="A777" s="11">
        <v>45070</v>
      </c>
      <c r="B777" t="s">
        <v>51</v>
      </c>
      <c r="C777" t="s">
        <v>52</v>
      </c>
      <c r="D777" t="s">
        <v>32</v>
      </c>
      <c r="E777" t="s">
        <v>20</v>
      </c>
      <c r="F777">
        <v>360</v>
      </c>
      <c r="G777">
        <v>5.57</v>
      </c>
      <c r="H777">
        <v>2005.2</v>
      </c>
      <c r="I777" t="s">
        <v>54</v>
      </c>
      <c r="J777" t="s">
        <v>27</v>
      </c>
      <c r="K777" t="s">
        <v>28</v>
      </c>
      <c r="L777">
        <v>1709.26</v>
      </c>
      <c r="M777">
        <v>14.8</v>
      </c>
      <c r="N777">
        <v>2023</v>
      </c>
      <c r="O777">
        <v>2</v>
      </c>
      <c r="P777" t="s">
        <v>66</v>
      </c>
      <c r="Q777">
        <v>295.94</v>
      </c>
      <c r="R777" t="s">
        <v>29</v>
      </c>
      <c r="S777">
        <v>5.7756977765763331</v>
      </c>
      <c r="T777" t="s">
        <v>78</v>
      </c>
    </row>
    <row r="778" spans="1:20" x14ac:dyDescent="0.25">
      <c r="A778" s="11">
        <v>45129</v>
      </c>
      <c r="B778" t="s">
        <v>58</v>
      </c>
      <c r="C778" t="s">
        <v>59</v>
      </c>
      <c r="D778" t="s">
        <v>45</v>
      </c>
      <c r="E778" t="s">
        <v>20</v>
      </c>
      <c r="F778">
        <v>598</v>
      </c>
      <c r="G778">
        <v>4.3899999999999997</v>
      </c>
      <c r="H778">
        <v>2625.22</v>
      </c>
      <c r="I778" t="s">
        <v>33</v>
      </c>
      <c r="J778" t="s">
        <v>40</v>
      </c>
      <c r="K778" t="s">
        <v>23</v>
      </c>
      <c r="L778">
        <v>2330.1</v>
      </c>
      <c r="M778">
        <v>11.2</v>
      </c>
      <c r="N778">
        <v>2025</v>
      </c>
      <c r="O778">
        <v>3</v>
      </c>
      <c r="P778" t="s">
        <v>62</v>
      </c>
      <c r="Q778">
        <v>295.12</v>
      </c>
      <c r="R778" t="s">
        <v>29</v>
      </c>
      <c r="S778">
        <v>7.895432366494985</v>
      </c>
      <c r="T778" t="s">
        <v>78</v>
      </c>
    </row>
    <row r="779" spans="1:20" x14ac:dyDescent="0.25">
      <c r="A779" s="11">
        <v>45069</v>
      </c>
      <c r="B779" t="s">
        <v>35</v>
      </c>
      <c r="C779" t="s">
        <v>36</v>
      </c>
      <c r="D779" t="s">
        <v>48</v>
      </c>
      <c r="E779" t="s">
        <v>38</v>
      </c>
      <c r="F779">
        <v>738</v>
      </c>
      <c r="G779">
        <v>2.58</v>
      </c>
      <c r="H779">
        <v>1904.04</v>
      </c>
      <c r="I779" t="s">
        <v>46</v>
      </c>
      <c r="J779" t="s">
        <v>47</v>
      </c>
      <c r="K779" t="s">
        <v>41</v>
      </c>
      <c r="L779">
        <v>1609.82</v>
      </c>
      <c r="M779">
        <v>15.5</v>
      </c>
      <c r="N779">
        <v>2023</v>
      </c>
      <c r="O779">
        <v>2</v>
      </c>
      <c r="P779" t="s">
        <v>66</v>
      </c>
      <c r="Q779">
        <v>294.22000000000003</v>
      </c>
      <c r="R779" t="s">
        <v>29</v>
      </c>
      <c r="S779">
        <v>5.4714839235945885</v>
      </c>
      <c r="T779" t="s">
        <v>78</v>
      </c>
    </row>
    <row r="780" spans="1:20" x14ac:dyDescent="0.25">
      <c r="A780" s="11">
        <v>44980</v>
      </c>
      <c r="B780" t="s">
        <v>30</v>
      </c>
      <c r="C780" t="s">
        <v>31</v>
      </c>
      <c r="D780" t="s">
        <v>45</v>
      </c>
      <c r="E780" t="s">
        <v>20</v>
      </c>
      <c r="F780">
        <v>270</v>
      </c>
      <c r="G780">
        <v>4.74</v>
      </c>
      <c r="H780">
        <v>1279.8</v>
      </c>
      <c r="I780" t="s">
        <v>55</v>
      </c>
      <c r="J780" t="s">
        <v>22</v>
      </c>
      <c r="K780" t="s">
        <v>23</v>
      </c>
      <c r="L780">
        <v>985.98</v>
      </c>
      <c r="M780">
        <v>23</v>
      </c>
      <c r="N780">
        <v>2023</v>
      </c>
      <c r="O780">
        <v>1</v>
      </c>
      <c r="P780" t="s">
        <v>61</v>
      </c>
      <c r="Q780">
        <v>293.82</v>
      </c>
      <c r="R780" t="s">
        <v>29</v>
      </c>
      <c r="S780">
        <v>3.3557279967326936</v>
      </c>
      <c r="T780" t="s">
        <v>78</v>
      </c>
    </row>
    <row r="781" spans="1:20" x14ac:dyDescent="0.25">
      <c r="A781" s="11">
        <v>45037</v>
      </c>
      <c r="B781" t="s">
        <v>17</v>
      </c>
      <c r="C781" t="s">
        <v>18</v>
      </c>
      <c r="D781" t="s">
        <v>19</v>
      </c>
      <c r="E781" t="s">
        <v>20</v>
      </c>
      <c r="F781">
        <v>337</v>
      </c>
      <c r="G781">
        <v>7.76</v>
      </c>
      <c r="H781">
        <v>2615.12</v>
      </c>
      <c r="I781" t="s">
        <v>54</v>
      </c>
      <c r="J781" t="s">
        <v>47</v>
      </c>
      <c r="K781" t="s">
        <v>41</v>
      </c>
      <c r="L781">
        <v>2322.91</v>
      </c>
      <c r="M781">
        <v>11.2</v>
      </c>
      <c r="N781">
        <v>2023</v>
      </c>
      <c r="O781">
        <v>2</v>
      </c>
      <c r="P781" t="s">
        <v>63</v>
      </c>
      <c r="Q781">
        <v>292.20999999999998</v>
      </c>
      <c r="R781" t="s">
        <v>29</v>
      </c>
      <c r="S781">
        <v>7.9494541596796822</v>
      </c>
      <c r="T781" t="s">
        <v>78</v>
      </c>
    </row>
    <row r="782" spans="1:20" x14ac:dyDescent="0.25">
      <c r="A782" s="11">
        <v>44938</v>
      </c>
      <c r="B782" t="s">
        <v>58</v>
      </c>
      <c r="C782" t="s">
        <v>59</v>
      </c>
      <c r="D782" t="s">
        <v>37</v>
      </c>
      <c r="E782" t="s">
        <v>38</v>
      </c>
      <c r="F782">
        <v>246</v>
      </c>
      <c r="G782">
        <v>3.96</v>
      </c>
      <c r="H782">
        <v>974.16</v>
      </c>
      <c r="I782" t="s">
        <v>21</v>
      </c>
      <c r="J782" t="s">
        <v>27</v>
      </c>
      <c r="K782" t="s">
        <v>28</v>
      </c>
      <c r="L782">
        <v>682.21</v>
      </c>
      <c r="M782">
        <v>30</v>
      </c>
      <c r="N782">
        <v>2023</v>
      </c>
      <c r="O782">
        <v>1</v>
      </c>
      <c r="P782" t="s">
        <v>24</v>
      </c>
      <c r="Q782">
        <v>291.95</v>
      </c>
      <c r="R782" t="s">
        <v>25</v>
      </c>
      <c r="S782">
        <v>2.3367357424216477</v>
      </c>
      <c r="T782" t="s">
        <v>78</v>
      </c>
    </row>
    <row r="783" spans="1:20" x14ac:dyDescent="0.25">
      <c r="A783" s="11">
        <v>45035</v>
      </c>
      <c r="B783" t="s">
        <v>35</v>
      </c>
      <c r="C783" t="s">
        <v>36</v>
      </c>
      <c r="D783" t="s">
        <v>45</v>
      </c>
      <c r="E783" t="s">
        <v>20</v>
      </c>
      <c r="F783">
        <v>356</v>
      </c>
      <c r="G783">
        <v>3.59</v>
      </c>
      <c r="H783">
        <v>1278.04</v>
      </c>
      <c r="I783" t="s">
        <v>26</v>
      </c>
      <c r="J783" t="s">
        <v>22</v>
      </c>
      <c r="K783" t="s">
        <v>23</v>
      </c>
      <c r="L783">
        <v>986.74</v>
      </c>
      <c r="M783">
        <v>22.8</v>
      </c>
      <c r="N783">
        <v>2023</v>
      </c>
      <c r="O783">
        <v>2</v>
      </c>
      <c r="P783" t="s">
        <v>63</v>
      </c>
      <c r="Q783">
        <v>291.3</v>
      </c>
      <c r="R783" t="s">
        <v>29</v>
      </c>
      <c r="S783">
        <v>3.3873669756265019</v>
      </c>
      <c r="T783" t="s">
        <v>78</v>
      </c>
    </row>
    <row r="784" spans="1:20" x14ac:dyDescent="0.25">
      <c r="A784" s="11">
        <v>45025</v>
      </c>
      <c r="B784" t="s">
        <v>42</v>
      </c>
      <c r="C784" t="s">
        <v>43</v>
      </c>
      <c r="D784" t="s">
        <v>37</v>
      </c>
      <c r="E784" t="s">
        <v>38</v>
      </c>
      <c r="F784">
        <v>141</v>
      </c>
      <c r="G784">
        <v>8.9600000000000009</v>
      </c>
      <c r="H784">
        <v>1263.3599999999999</v>
      </c>
      <c r="I784" t="s">
        <v>46</v>
      </c>
      <c r="J784" t="s">
        <v>47</v>
      </c>
      <c r="K784" t="s">
        <v>28</v>
      </c>
      <c r="L784">
        <v>973.67</v>
      </c>
      <c r="M784">
        <v>22.9</v>
      </c>
      <c r="N784">
        <v>2023</v>
      </c>
      <c r="O784">
        <v>2</v>
      </c>
      <c r="P784" t="s">
        <v>63</v>
      </c>
      <c r="Q784">
        <v>289.69</v>
      </c>
      <c r="R784" t="s">
        <v>29</v>
      </c>
      <c r="S784">
        <v>3.3610756325727502</v>
      </c>
      <c r="T784" t="s">
        <v>78</v>
      </c>
    </row>
    <row r="785" spans="1:20" x14ac:dyDescent="0.25">
      <c r="A785" s="11">
        <v>45031</v>
      </c>
      <c r="B785" t="s">
        <v>30</v>
      </c>
      <c r="C785" t="s">
        <v>31</v>
      </c>
      <c r="D785" t="s">
        <v>45</v>
      </c>
      <c r="E785" t="s">
        <v>20</v>
      </c>
      <c r="F785">
        <v>422</v>
      </c>
      <c r="G785">
        <v>2.29</v>
      </c>
      <c r="H785">
        <v>966.38</v>
      </c>
      <c r="I785" t="s">
        <v>21</v>
      </c>
      <c r="J785" t="s">
        <v>40</v>
      </c>
      <c r="K785" t="s">
        <v>23</v>
      </c>
      <c r="L785">
        <v>678.41</v>
      </c>
      <c r="M785">
        <v>29.8</v>
      </c>
      <c r="N785">
        <v>2023</v>
      </c>
      <c r="O785">
        <v>2</v>
      </c>
      <c r="P785" t="s">
        <v>63</v>
      </c>
      <c r="Q785">
        <v>287.97000000000003</v>
      </c>
      <c r="R785" t="s">
        <v>25</v>
      </c>
      <c r="S785">
        <v>2.3558356773274989</v>
      </c>
      <c r="T785" t="s">
        <v>78</v>
      </c>
    </row>
    <row r="786" spans="1:20" x14ac:dyDescent="0.25">
      <c r="A786" s="11">
        <v>44942</v>
      </c>
      <c r="B786" t="s">
        <v>17</v>
      </c>
      <c r="C786" t="s">
        <v>18</v>
      </c>
      <c r="D786" t="s">
        <v>32</v>
      </c>
      <c r="E786" t="s">
        <v>20</v>
      </c>
      <c r="F786">
        <v>571</v>
      </c>
      <c r="G786">
        <v>2.13</v>
      </c>
      <c r="H786">
        <v>1216.23</v>
      </c>
      <c r="I786" t="s">
        <v>57</v>
      </c>
      <c r="J786" t="s">
        <v>27</v>
      </c>
      <c r="K786" t="s">
        <v>41</v>
      </c>
      <c r="L786">
        <v>929.39</v>
      </c>
      <c r="M786">
        <v>23.6</v>
      </c>
      <c r="N786">
        <v>2023</v>
      </c>
      <c r="O786">
        <v>1</v>
      </c>
      <c r="P786" t="s">
        <v>24</v>
      </c>
      <c r="Q786">
        <v>286.83999999999997</v>
      </c>
      <c r="R786" t="s">
        <v>29</v>
      </c>
      <c r="S786">
        <v>3.2400990099009905</v>
      </c>
      <c r="T786" t="s">
        <v>78</v>
      </c>
    </row>
    <row r="787" spans="1:20" x14ac:dyDescent="0.25">
      <c r="A787" s="11">
        <v>45018</v>
      </c>
      <c r="B787" t="s">
        <v>35</v>
      </c>
      <c r="C787" t="s">
        <v>36</v>
      </c>
      <c r="D787" t="s">
        <v>44</v>
      </c>
      <c r="E787" t="s">
        <v>38</v>
      </c>
      <c r="F787">
        <v>242</v>
      </c>
      <c r="G787">
        <v>7.51</v>
      </c>
      <c r="H787">
        <v>1817.42</v>
      </c>
      <c r="I787" t="s">
        <v>26</v>
      </c>
      <c r="J787" t="s">
        <v>22</v>
      </c>
      <c r="K787" t="s">
        <v>28</v>
      </c>
      <c r="L787">
        <v>1534.8</v>
      </c>
      <c r="M787">
        <v>15.6</v>
      </c>
      <c r="N787">
        <v>2023</v>
      </c>
      <c r="O787">
        <v>2</v>
      </c>
      <c r="P787" t="s">
        <v>62</v>
      </c>
      <c r="Q787">
        <v>282.62</v>
      </c>
      <c r="R787" t="s">
        <v>29</v>
      </c>
      <c r="S787">
        <v>5.4306135446889812</v>
      </c>
      <c r="T787" t="s">
        <v>78</v>
      </c>
    </row>
    <row r="788" spans="1:20" x14ac:dyDescent="0.25">
      <c r="A788" s="11">
        <v>44949</v>
      </c>
      <c r="B788" t="s">
        <v>17</v>
      </c>
      <c r="C788" t="s">
        <v>18</v>
      </c>
      <c r="D788" t="s">
        <v>53</v>
      </c>
      <c r="E788" t="s">
        <v>50</v>
      </c>
      <c r="F788">
        <v>315</v>
      </c>
      <c r="G788">
        <v>7.61</v>
      </c>
      <c r="H788">
        <v>2397.15</v>
      </c>
      <c r="I788" t="s">
        <v>54</v>
      </c>
      <c r="J788" t="s">
        <v>27</v>
      </c>
      <c r="K788" t="s">
        <v>28</v>
      </c>
      <c r="L788">
        <v>2116.36</v>
      </c>
      <c r="M788">
        <v>11.7</v>
      </c>
      <c r="N788">
        <v>2023</v>
      </c>
      <c r="O788">
        <v>1</v>
      </c>
      <c r="P788" t="s">
        <v>24</v>
      </c>
      <c r="Q788">
        <v>280.79000000000002</v>
      </c>
      <c r="R788" t="s">
        <v>29</v>
      </c>
      <c r="S788">
        <v>7.5371630043804974</v>
      </c>
      <c r="T788" t="s">
        <v>78</v>
      </c>
    </row>
    <row r="789" spans="1:20" x14ac:dyDescent="0.25">
      <c r="A789" s="11">
        <v>44945</v>
      </c>
      <c r="B789" t="s">
        <v>30</v>
      </c>
      <c r="C789" t="s">
        <v>31</v>
      </c>
      <c r="D789" t="s">
        <v>32</v>
      </c>
      <c r="E789" t="s">
        <v>20</v>
      </c>
      <c r="F789">
        <v>285</v>
      </c>
      <c r="G789">
        <v>4.63</v>
      </c>
      <c r="H789">
        <v>1319.55</v>
      </c>
      <c r="I789" t="s">
        <v>55</v>
      </c>
      <c r="J789" t="s">
        <v>56</v>
      </c>
      <c r="K789" t="s">
        <v>28</v>
      </c>
      <c r="L789">
        <v>1039.3</v>
      </c>
      <c r="M789">
        <v>21.2</v>
      </c>
      <c r="N789">
        <v>2023</v>
      </c>
      <c r="O789">
        <v>1</v>
      </c>
      <c r="P789" t="s">
        <v>24</v>
      </c>
      <c r="Q789">
        <v>280.25</v>
      </c>
      <c r="R789" t="s">
        <v>29</v>
      </c>
      <c r="S789">
        <v>3.7084745762711862</v>
      </c>
      <c r="T789" t="s">
        <v>78</v>
      </c>
    </row>
    <row r="790" spans="1:20" x14ac:dyDescent="0.25">
      <c r="A790" s="11">
        <v>45079</v>
      </c>
      <c r="B790" t="s">
        <v>58</v>
      </c>
      <c r="C790" t="s">
        <v>59</v>
      </c>
      <c r="D790" t="s">
        <v>53</v>
      </c>
      <c r="E790" t="s">
        <v>50</v>
      </c>
      <c r="F790">
        <v>596</v>
      </c>
      <c r="G790">
        <v>2.74</v>
      </c>
      <c r="H790">
        <v>1633.04</v>
      </c>
      <c r="I790" t="s">
        <v>33</v>
      </c>
      <c r="J790" t="s">
        <v>27</v>
      </c>
      <c r="K790" t="s">
        <v>28</v>
      </c>
      <c r="L790">
        <v>1352.88</v>
      </c>
      <c r="M790">
        <v>17.2</v>
      </c>
      <c r="N790">
        <v>2023</v>
      </c>
      <c r="O790">
        <v>2</v>
      </c>
      <c r="P790" t="s">
        <v>68</v>
      </c>
      <c r="Q790">
        <v>280.16000000000003</v>
      </c>
      <c r="R790" t="s">
        <v>29</v>
      </c>
      <c r="S790">
        <v>4.8289548829240436</v>
      </c>
      <c r="T790" t="s">
        <v>78</v>
      </c>
    </row>
    <row r="791" spans="1:20" x14ac:dyDescent="0.25">
      <c r="A791" s="11">
        <v>45114</v>
      </c>
      <c r="B791" t="s">
        <v>58</v>
      </c>
      <c r="C791" t="s">
        <v>59</v>
      </c>
      <c r="D791" t="s">
        <v>48</v>
      </c>
      <c r="E791" t="s">
        <v>38</v>
      </c>
      <c r="F791">
        <v>240</v>
      </c>
      <c r="G791">
        <v>10.86</v>
      </c>
      <c r="H791">
        <v>2606.4</v>
      </c>
      <c r="I791" t="s">
        <v>54</v>
      </c>
      <c r="J791" t="s">
        <v>22</v>
      </c>
      <c r="K791" t="s">
        <v>41</v>
      </c>
      <c r="L791">
        <v>2326.96</v>
      </c>
      <c r="M791">
        <v>10.7</v>
      </c>
      <c r="N791">
        <v>2024</v>
      </c>
      <c r="O791">
        <v>3</v>
      </c>
      <c r="P791" t="s">
        <v>63</v>
      </c>
      <c r="Q791">
        <v>279.44</v>
      </c>
      <c r="R791" t="s">
        <v>29</v>
      </c>
      <c r="S791">
        <v>8.3272258803320938</v>
      </c>
      <c r="T791" t="s">
        <v>78</v>
      </c>
    </row>
    <row r="792" spans="1:20" x14ac:dyDescent="0.25">
      <c r="A792" s="11">
        <v>44974</v>
      </c>
      <c r="B792" t="s">
        <v>30</v>
      </c>
      <c r="C792" t="s">
        <v>31</v>
      </c>
      <c r="D792" t="s">
        <v>53</v>
      </c>
      <c r="E792" t="s">
        <v>50</v>
      </c>
      <c r="F792">
        <v>832</v>
      </c>
      <c r="G792">
        <v>2.39</v>
      </c>
      <c r="H792">
        <v>1988.48</v>
      </c>
      <c r="I792" t="s">
        <v>55</v>
      </c>
      <c r="J792" t="s">
        <v>56</v>
      </c>
      <c r="K792" t="s">
        <v>28</v>
      </c>
      <c r="L792">
        <v>1709.9</v>
      </c>
      <c r="M792">
        <v>14</v>
      </c>
      <c r="N792">
        <v>2023</v>
      </c>
      <c r="O792">
        <v>1</v>
      </c>
      <c r="P792" t="s">
        <v>60</v>
      </c>
      <c r="Q792">
        <v>278.58</v>
      </c>
      <c r="R792" t="s">
        <v>29</v>
      </c>
      <c r="S792">
        <v>6.1379137052193276</v>
      </c>
      <c r="T792" t="s">
        <v>78</v>
      </c>
    </row>
    <row r="793" spans="1:20" x14ac:dyDescent="0.25">
      <c r="A793" s="11">
        <v>45040</v>
      </c>
      <c r="B793" t="s">
        <v>42</v>
      </c>
      <c r="C793" t="s">
        <v>43</v>
      </c>
      <c r="D793" t="s">
        <v>37</v>
      </c>
      <c r="E793" t="s">
        <v>38</v>
      </c>
      <c r="F793">
        <v>477</v>
      </c>
      <c r="G793">
        <v>2.48</v>
      </c>
      <c r="H793">
        <v>1182.96</v>
      </c>
      <c r="I793" t="s">
        <v>54</v>
      </c>
      <c r="J793" t="s">
        <v>47</v>
      </c>
      <c r="K793" t="s">
        <v>28</v>
      </c>
      <c r="L793">
        <v>905.48</v>
      </c>
      <c r="M793">
        <v>23.5</v>
      </c>
      <c r="N793">
        <v>2023</v>
      </c>
      <c r="O793">
        <v>2</v>
      </c>
      <c r="P793" t="s">
        <v>63</v>
      </c>
      <c r="Q793">
        <v>277.48</v>
      </c>
      <c r="R793" t="s">
        <v>29</v>
      </c>
      <c r="S793">
        <v>3.2632261784633125</v>
      </c>
      <c r="T793" t="s">
        <v>78</v>
      </c>
    </row>
    <row r="794" spans="1:20" x14ac:dyDescent="0.25">
      <c r="A794" s="11">
        <v>45033</v>
      </c>
      <c r="B794" t="s">
        <v>42</v>
      </c>
      <c r="C794" t="s">
        <v>43</v>
      </c>
      <c r="D794" t="s">
        <v>48</v>
      </c>
      <c r="E794" t="s">
        <v>38</v>
      </c>
      <c r="F794">
        <v>332</v>
      </c>
      <c r="G794">
        <v>8.19</v>
      </c>
      <c r="H794">
        <v>2719.08</v>
      </c>
      <c r="I794" t="s">
        <v>21</v>
      </c>
      <c r="J794" t="s">
        <v>22</v>
      </c>
      <c r="K794" t="s">
        <v>28</v>
      </c>
      <c r="L794">
        <v>2441.9699999999998</v>
      </c>
      <c r="M794">
        <v>10.199999999999999</v>
      </c>
      <c r="N794">
        <v>2023</v>
      </c>
      <c r="O794">
        <v>2</v>
      </c>
      <c r="P794" t="s">
        <v>63</v>
      </c>
      <c r="Q794">
        <v>277.11</v>
      </c>
      <c r="R794" t="s">
        <v>29</v>
      </c>
      <c r="S794">
        <v>8.8122767132185764</v>
      </c>
      <c r="T794" t="s">
        <v>78</v>
      </c>
    </row>
    <row r="795" spans="1:20" x14ac:dyDescent="0.25">
      <c r="A795" s="11">
        <v>45107</v>
      </c>
      <c r="B795" t="s">
        <v>51</v>
      </c>
      <c r="C795" t="s">
        <v>52</v>
      </c>
      <c r="D795" t="s">
        <v>48</v>
      </c>
      <c r="E795" t="s">
        <v>38</v>
      </c>
      <c r="F795">
        <v>70</v>
      </c>
      <c r="G795">
        <v>10.36</v>
      </c>
      <c r="H795">
        <v>725.2</v>
      </c>
      <c r="I795" t="s">
        <v>21</v>
      </c>
      <c r="J795" t="s">
        <v>34</v>
      </c>
      <c r="K795" t="s">
        <v>23</v>
      </c>
      <c r="L795">
        <v>448.35</v>
      </c>
      <c r="M795">
        <v>38.200000000000003</v>
      </c>
      <c r="N795">
        <v>2024</v>
      </c>
      <c r="O795">
        <v>2</v>
      </c>
      <c r="P795" t="s">
        <v>60</v>
      </c>
      <c r="Q795">
        <v>276.85000000000002</v>
      </c>
      <c r="R795" t="s">
        <v>25</v>
      </c>
      <c r="S795">
        <v>1.6194690265486724</v>
      </c>
      <c r="T795" t="s">
        <v>78</v>
      </c>
    </row>
    <row r="796" spans="1:20" x14ac:dyDescent="0.25">
      <c r="A796" s="11">
        <v>45087</v>
      </c>
      <c r="B796" t="s">
        <v>42</v>
      </c>
      <c r="C796" t="s">
        <v>43</v>
      </c>
      <c r="D796" t="s">
        <v>45</v>
      </c>
      <c r="E796" t="s">
        <v>20</v>
      </c>
      <c r="F796">
        <v>523</v>
      </c>
      <c r="G796">
        <v>2.06</v>
      </c>
      <c r="H796">
        <v>1077.3800000000001</v>
      </c>
      <c r="I796" t="s">
        <v>21</v>
      </c>
      <c r="J796" t="s">
        <v>27</v>
      </c>
      <c r="K796" t="s">
        <v>41</v>
      </c>
      <c r="L796">
        <v>804.11</v>
      </c>
      <c r="M796">
        <v>25.4</v>
      </c>
      <c r="N796">
        <v>2023</v>
      </c>
      <c r="O796">
        <v>2</v>
      </c>
      <c r="P796" t="s">
        <v>69</v>
      </c>
      <c r="Q796">
        <v>273.27</v>
      </c>
      <c r="R796" t="s">
        <v>25</v>
      </c>
      <c r="S796">
        <v>2.9425476634830026</v>
      </c>
      <c r="T796" t="s">
        <v>78</v>
      </c>
    </row>
    <row r="797" spans="1:20" x14ac:dyDescent="0.25">
      <c r="A797" s="11">
        <v>44980</v>
      </c>
      <c r="B797" t="s">
        <v>30</v>
      </c>
      <c r="C797" t="s">
        <v>31</v>
      </c>
      <c r="D797" t="s">
        <v>45</v>
      </c>
      <c r="E797" t="s">
        <v>20</v>
      </c>
      <c r="F797">
        <v>545</v>
      </c>
      <c r="G797">
        <v>3.17</v>
      </c>
      <c r="H797">
        <v>1727.65</v>
      </c>
      <c r="I797" t="s">
        <v>55</v>
      </c>
      <c r="J797" t="s">
        <v>34</v>
      </c>
      <c r="K797" t="s">
        <v>23</v>
      </c>
      <c r="L797">
        <v>1454.62</v>
      </c>
      <c r="M797">
        <v>15.8</v>
      </c>
      <c r="N797">
        <v>2023</v>
      </c>
      <c r="O797">
        <v>1</v>
      </c>
      <c r="P797" t="s">
        <v>61</v>
      </c>
      <c r="Q797">
        <v>273.02999999999997</v>
      </c>
      <c r="R797" t="s">
        <v>29</v>
      </c>
      <c r="S797">
        <v>5.3276929275171225</v>
      </c>
      <c r="T797" t="s">
        <v>78</v>
      </c>
    </row>
    <row r="798" spans="1:20" x14ac:dyDescent="0.25">
      <c r="A798" s="11">
        <v>45004</v>
      </c>
      <c r="B798" t="s">
        <v>35</v>
      </c>
      <c r="C798" t="s">
        <v>36</v>
      </c>
      <c r="D798" t="s">
        <v>37</v>
      </c>
      <c r="E798" t="s">
        <v>38</v>
      </c>
      <c r="F798">
        <v>416</v>
      </c>
      <c r="G798">
        <v>5.96</v>
      </c>
      <c r="H798">
        <v>2479.36</v>
      </c>
      <c r="I798" t="s">
        <v>46</v>
      </c>
      <c r="J798" t="s">
        <v>22</v>
      </c>
      <c r="K798" t="s">
        <v>28</v>
      </c>
      <c r="L798">
        <v>2206.35</v>
      </c>
      <c r="M798">
        <v>11</v>
      </c>
      <c r="N798">
        <v>2023</v>
      </c>
      <c r="O798">
        <v>1</v>
      </c>
      <c r="P798" t="s">
        <v>62</v>
      </c>
      <c r="Q798">
        <v>273.01</v>
      </c>
      <c r="R798" t="s">
        <v>29</v>
      </c>
      <c r="S798">
        <v>8.08157210358595</v>
      </c>
      <c r="T798" t="s">
        <v>78</v>
      </c>
    </row>
    <row r="799" spans="1:20" x14ac:dyDescent="0.25">
      <c r="A799" s="11">
        <v>44947</v>
      </c>
      <c r="B799" t="s">
        <v>17</v>
      </c>
      <c r="C799" t="s">
        <v>18</v>
      </c>
      <c r="D799" t="s">
        <v>32</v>
      </c>
      <c r="E799" t="s">
        <v>20</v>
      </c>
      <c r="F799">
        <v>343</v>
      </c>
      <c r="G799">
        <v>2.57</v>
      </c>
      <c r="H799">
        <v>881.51</v>
      </c>
      <c r="I799" t="s">
        <v>54</v>
      </c>
      <c r="J799" t="s">
        <v>27</v>
      </c>
      <c r="K799" t="s">
        <v>41</v>
      </c>
      <c r="L799">
        <v>608.79</v>
      </c>
      <c r="M799">
        <v>30.9</v>
      </c>
      <c r="N799">
        <v>2023</v>
      </c>
      <c r="O799">
        <v>1</v>
      </c>
      <c r="P799" t="s">
        <v>24</v>
      </c>
      <c r="Q799">
        <v>272.72000000000003</v>
      </c>
      <c r="R799" t="s">
        <v>25</v>
      </c>
      <c r="S799">
        <v>2.2322895277207389</v>
      </c>
      <c r="T799" t="s">
        <v>78</v>
      </c>
    </row>
    <row r="800" spans="1:20" x14ac:dyDescent="0.25">
      <c r="A800" s="11">
        <v>44939</v>
      </c>
      <c r="B800" t="s">
        <v>58</v>
      </c>
      <c r="C800" t="s">
        <v>59</v>
      </c>
      <c r="D800" t="s">
        <v>32</v>
      </c>
      <c r="E800" t="s">
        <v>20</v>
      </c>
      <c r="F800">
        <v>490</v>
      </c>
      <c r="G800">
        <v>4.49</v>
      </c>
      <c r="H800">
        <v>2200.1</v>
      </c>
      <c r="I800" t="s">
        <v>55</v>
      </c>
      <c r="J800" t="s">
        <v>56</v>
      </c>
      <c r="K800" t="s">
        <v>23</v>
      </c>
      <c r="L800">
        <v>1930.26</v>
      </c>
      <c r="M800">
        <v>12.3</v>
      </c>
      <c r="N800">
        <v>2023</v>
      </c>
      <c r="O800">
        <v>1</v>
      </c>
      <c r="P800" t="s">
        <v>24</v>
      </c>
      <c r="Q800">
        <v>269.83999999999997</v>
      </c>
      <c r="R800" t="s">
        <v>29</v>
      </c>
      <c r="S800">
        <v>7.1533501334123928</v>
      </c>
      <c r="T800" t="s">
        <v>78</v>
      </c>
    </row>
    <row r="801" spans="1:20" x14ac:dyDescent="0.25">
      <c r="A801" s="11">
        <v>44955</v>
      </c>
      <c r="B801" t="s">
        <v>35</v>
      </c>
      <c r="C801" t="s">
        <v>36</v>
      </c>
      <c r="D801" t="s">
        <v>19</v>
      </c>
      <c r="E801" t="s">
        <v>20</v>
      </c>
      <c r="F801">
        <v>787</v>
      </c>
      <c r="G801">
        <v>3.36</v>
      </c>
      <c r="H801">
        <v>2644.32</v>
      </c>
      <c r="I801" t="s">
        <v>33</v>
      </c>
      <c r="J801" t="s">
        <v>40</v>
      </c>
      <c r="K801" t="s">
        <v>41</v>
      </c>
      <c r="L801">
        <v>2376.14</v>
      </c>
      <c r="M801">
        <v>10.1</v>
      </c>
      <c r="N801">
        <v>2023</v>
      </c>
      <c r="O801">
        <v>1</v>
      </c>
      <c r="P801" t="s">
        <v>60</v>
      </c>
      <c r="Q801">
        <v>268.18</v>
      </c>
      <c r="R801" t="s">
        <v>29</v>
      </c>
      <c r="S801">
        <v>8.8602431202923402</v>
      </c>
      <c r="T801" t="s">
        <v>78</v>
      </c>
    </row>
    <row r="802" spans="1:20" x14ac:dyDescent="0.25">
      <c r="A802" s="11">
        <v>45031</v>
      </c>
      <c r="B802" t="s">
        <v>35</v>
      </c>
      <c r="C802" t="s">
        <v>36</v>
      </c>
      <c r="D802" t="s">
        <v>32</v>
      </c>
      <c r="E802" t="s">
        <v>20</v>
      </c>
      <c r="F802">
        <v>247</v>
      </c>
      <c r="G802">
        <v>6.77</v>
      </c>
      <c r="H802">
        <v>1672.19</v>
      </c>
      <c r="I802" t="s">
        <v>46</v>
      </c>
      <c r="J802" t="s">
        <v>34</v>
      </c>
      <c r="K802" t="s">
        <v>41</v>
      </c>
      <c r="L802">
        <v>1404.71</v>
      </c>
      <c r="M802">
        <v>16</v>
      </c>
      <c r="N802">
        <v>2023</v>
      </c>
      <c r="O802">
        <v>2</v>
      </c>
      <c r="P802" t="s">
        <v>63</v>
      </c>
      <c r="Q802">
        <v>267.48</v>
      </c>
      <c r="R802" t="s">
        <v>29</v>
      </c>
      <c r="S802">
        <v>5.2516449828024525</v>
      </c>
      <c r="T802" t="s">
        <v>78</v>
      </c>
    </row>
    <row r="803" spans="1:20" x14ac:dyDescent="0.25">
      <c r="A803" s="11">
        <v>45054</v>
      </c>
      <c r="B803" t="s">
        <v>35</v>
      </c>
      <c r="C803" t="s">
        <v>36</v>
      </c>
      <c r="D803" t="s">
        <v>19</v>
      </c>
      <c r="E803" t="s">
        <v>20</v>
      </c>
      <c r="F803">
        <v>493</v>
      </c>
      <c r="G803">
        <v>2.62</v>
      </c>
      <c r="H803">
        <v>1291.6600000000001</v>
      </c>
      <c r="I803" t="s">
        <v>55</v>
      </c>
      <c r="J803" t="s">
        <v>27</v>
      </c>
      <c r="K803" t="s">
        <v>41</v>
      </c>
      <c r="L803">
        <v>1024.4100000000001</v>
      </c>
      <c r="M803">
        <v>20.7</v>
      </c>
      <c r="N803">
        <v>2023</v>
      </c>
      <c r="O803">
        <v>2</v>
      </c>
      <c r="P803" t="s">
        <v>65</v>
      </c>
      <c r="Q803">
        <v>267.25</v>
      </c>
      <c r="R803" t="s">
        <v>29</v>
      </c>
      <c r="S803">
        <v>3.8331524789522922</v>
      </c>
      <c r="T803" t="s">
        <v>78</v>
      </c>
    </row>
    <row r="804" spans="1:20" x14ac:dyDescent="0.25">
      <c r="A804" s="11">
        <v>45021</v>
      </c>
      <c r="B804" t="s">
        <v>42</v>
      </c>
      <c r="C804" t="s">
        <v>43</v>
      </c>
      <c r="D804" t="s">
        <v>48</v>
      </c>
      <c r="E804" t="s">
        <v>38</v>
      </c>
      <c r="F804">
        <v>624</v>
      </c>
      <c r="G804">
        <v>4.16</v>
      </c>
      <c r="H804">
        <v>2595.84</v>
      </c>
      <c r="I804" t="s">
        <v>57</v>
      </c>
      <c r="J804" t="s">
        <v>34</v>
      </c>
      <c r="K804" t="s">
        <v>23</v>
      </c>
      <c r="L804">
        <v>2329.2800000000002</v>
      </c>
      <c r="M804">
        <v>10.3</v>
      </c>
      <c r="N804">
        <v>2023</v>
      </c>
      <c r="O804">
        <v>2</v>
      </c>
      <c r="P804" t="s">
        <v>62</v>
      </c>
      <c r="Q804">
        <v>266.56</v>
      </c>
      <c r="R804" t="s">
        <v>29</v>
      </c>
      <c r="S804">
        <v>8.7382953181272516</v>
      </c>
      <c r="T804" t="s">
        <v>78</v>
      </c>
    </row>
    <row r="805" spans="1:20" x14ac:dyDescent="0.25">
      <c r="A805" s="11">
        <v>45042</v>
      </c>
      <c r="B805" t="s">
        <v>58</v>
      </c>
      <c r="C805" t="s">
        <v>59</v>
      </c>
      <c r="D805" t="s">
        <v>49</v>
      </c>
      <c r="E805" t="s">
        <v>50</v>
      </c>
      <c r="F805">
        <v>216</v>
      </c>
      <c r="G805">
        <v>4.7</v>
      </c>
      <c r="H805">
        <v>1015.2</v>
      </c>
      <c r="I805" t="s">
        <v>33</v>
      </c>
      <c r="J805" t="s">
        <v>56</v>
      </c>
      <c r="K805" t="s">
        <v>28</v>
      </c>
      <c r="L805">
        <v>749.15</v>
      </c>
      <c r="M805">
        <v>26.2</v>
      </c>
      <c r="N805">
        <v>2023</v>
      </c>
      <c r="O805">
        <v>2</v>
      </c>
      <c r="P805" t="s">
        <v>64</v>
      </c>
      <c r="Q805">
        <v>266.05</v>
      </c>
      <c r="R805" t="s">
        <v>25</v>
      </c>
      <c r="S805">
        <v>2.8158240932155607</v>
      </c>
      <c r="T805" t="s">
        <v>78</v>
      </c>
    </row>
    <row r="806" spans="1:20" x14ac:dyDescent="0.25">
      <c r="A806" s="11">
        <v>44956</v>
      </c>
      <c r="B806" t="s">
        <v>58</v>
      </c>
      <c r="C806" t="s">
        <v>59</v>
      </c>
      <c r="D806" t="s">
        <v>45</v>
      </c>
      <c r="E806" t="s">
        <v>20</v>
      </c>
      <c r="F806">
        <v>625</v>
      </c>
      <c r="G806">
        <v>3.94</v>
      </c>
      <c r="H806">
        <v>2462.5</v>
      </c>
      <c r="I806" t="s">
        <v>57</v>
      </c>
      <c r="J806" t="s">
        <v>27</v>
      </c>
      <c r="K806" t="s">
        <v>41</v>
      </c>
      <c r="L806">
        <v>2197.27</v>
      </c>
      <c r="M806">
        <v>10.8</v>
      </c>
      <c r="N806">
        <v>2023</v>
      </c>
      <c r="O806">
        <v>1</v>
      </c>
      <c r="P806" t="s">
        <v>60</v>
      </c>
      <c r="Q806">
        <v>265.23</v>
      </c>
      <c r="R806" t="s">
        <v>29</v>
      </c>
      <c r="S806">
        <v>8.2843946763186658</v>
      </c>
      <c r="T806" t="s">
        <v>78</v>
      </c>
    </row>
    <row r="807" spans="1:20" x14ac:dyDescent="0.25">
      <c r="A807" s="11">
        <v>44957</v>
      </c>
      <c r="B807" t="s">
        <v>42</v>
      </c>
      <c r="C807" t="s">
        <v>43</v>
      </c>
      <c r="D807" t="s">
        <v>49</v>
      </c>
      <c r="E807" t="s">
        <v>50</v>
      </c>
      <c r="F807">
        <v>281</v>
      </c>
      <c r="G807">
        <v>5.58</v>
      </c>
      <c r="H807">
        <v>1567.98</v>
      </c>
      <c r="I807" t="s">
        <v>39</v>
      </c>
      <c r="J807" t="s">
        <v>40</v>
      </c>
      <c r="K807" t="s">
        <v>28</v>
      </c>
      <c r="L807">
        <v>1303.57</v>
      </c>
      <c r="M807">
        <v>16.899999999999999</v>
      </c>
      <c r="N807">
        <v>2023</v>
      </c>
      <c r="O807">
        <v>1</v>
      </c>
      <c r="P807" t="s">
        <v>60</v>
      </c>
      <c r="Q807">
        <v>264.41000000000003</v>
      </c>
      <c r="R807" t="s">
        <v>29</v>
      </c>
      <c r="S807">
        <v>4.9301085435497898</v>
      </c>
      <c r="T807" t="s">
        <v>78</v>
      </c>
    </row>
    <row r="808" spans="1:20" x14ac:dyDescent="0.25">
      <c r="A808" s="11">
        <v>45034</v>
      </c>
      <c r="B808" t="s">
        <v>58</v>
      </c>
      <c r="C808" t="s">
        <v>59</v>
      </c>
      <c r="D808" t="s">
        <v>44</v>
      </c>
      <c r="E808" t="s">
        <v>38</v>
      </c>
      <c r="F808">
        <v>130</v>
      </c>
      <c r="G808">
        <v>9.5299999999999994</v>
      </c>
      <c r="H808">
        <v>1238.9000000000001</v>
      </c>
      <c r="I808" t="s">
        <v>46</v>
      </c>
      <c r="J808" t="s">
        <v>56</v>
      </c>
      <c r="K808" t="s">
        <v>41</v>
      </c>
      <c r="L808">
        <v>975.68</v>
      </c>
      <c r="M808">
        <v>21.2</v>
      </c>
      <c r="N808">
        <v>2023</v>
      </c>
      <c r="O808">
        <v>2</v>
      </c>
      <c r="P808" t="s">
        <v>63</v>
      </c>
      <c r="Q808">
        <v>263.22000000000003</v>
      </c>
      <c r="R808" t="s">
        <v>29</v>
      </c>
      <c r="S808">
        <v>3.7067092166248758</v>
      </c>
      <c r="T808" t="s">
        <v>78</v>
      </c>
    </row>
    <row r="809" spans="1:20" x14ac:dyDescent="0.25">
      <c r="A809" s="11">
        <v>45113</v>
      </c>
      <c r="B809" t="s">
        <v>42</v>
      </c>
      <c r="C809" t="s">
        <v>43</v>
      </c>
      <c r="D809" t="s">
        <v>44</v>
      </c>
      <c r="E809" t="s">
        <v>38</v>
      </c>
      <c r="F809">
        <v>255</v>
      </c>
      <c r="G809">
        <v>4.78</v>
      </c>
      <c r="H809">
        <v>1218.9000000000001</v>
      </c>
      <c r="I809" t="s">
        <v>33</v>
      </c>
      <c r="J809" t="s">
        <v>27</v>
      </c>
      <c r="K809" t="s">
        <v>41</v>
      </c>
      <c r="L809">
        <v>956.93</v>
      </c>
      <c r="M809">
        <v>21.5</v>
      </c>
      <c r="N809">
        <v>2024</v>
      </c>
      <c r="O809">
        <v>3</v>
      </c>
      <c r="P809" t="s">
        <v>62</v>
      </c>
      <c r="Q809">
        <v>261.97000000000003</v>
      </c>
      <c r="R809" t="s">
        <v>29</v>
      </c>
      <c r="S809">
        <v>3.6528228423101878</v>
      </c>
      <c r="T809" t="s">
        <v>78</v>
      </c>
    </row>
    <row r="810" spans="1:20" x14ac:dyDescent="0.25">
      <c r="A810" s="11">
        <v>45016</v>
      </c>
      <c r="B810" t="s">
        <v>42</v>
      </c>
      <c r="C810" t="s">
        <v>43</v>
      </c>
      <c r="D810" t="s">
        <v>19</v>
      </c>
      <c r="E810" t="s">
        <v>20</v>
      </c>
      <c r="F810">
        <v>280</v>
      </c>
      <c r="G810">
        <v>5.79</v>
      </c>
      <c r="H810">
        <v>1621.2</v>
      </c>
      <c r="I810" t="s">
        <v>55</v>
      </c>
      <c r="J810" t="s">
        <v>47</v>
      </c>
      <c r="K810" t="s">
        <v>23</v>
      </c>
      <c r="L810">
        <v>1360.65</v>
      </c>
      <c r="M810">
        <v>16.100000000000001</v>
      </c>
      <c r="N810">
        <v>2023</v>
      </c>
      <c r="O810">
        <v>1</v>
      </c>
      <c r="P810" t="s">
        <v>62</v>
      </c>
      <c r="Q810">
        <v>260.55</v>
      </c>
      <c r="R810" t="s">
        <v>29</v>
      </c>
      <c r="S810">
        <v>5.2222222222222223</v>
      </c>
      <c r="T810" t="s">
        <v>78</v>
      </c>
    </row>
    <row r="811" spans="1:20" x14ac:dyDescent="0.25">
      <c r="A811" s="11">
        <v>44964</v>
      </c>
      <c r="B811" t="s">
        <v>58</v>
      </c>
      <c r="C811" t="s">
        <v>59</v>
      </c>
      <c r="D811" t="s">
        <v>44</v>
      </c>
      <c r="E811" t="s">
        <v>38</v>
      </c>
      <c r="F811">
        <v>243</v>
      </c>
      <c r="G811">
        <v>9.06</v>
      </c>
      <c r="H811">
        <v>2201.58</v>
      </c>
      <c r="I811" t="s">
        <v>54</v>
      </c>
      <c r="J811" t="s">
        <v>47</v>
      </c>
      <c r="K811" t="s">
        <v>28</v>
      </c>
      <c r="L811">
        <v>1941.94</v>
      </c>
      <c r="M811">
        <v>11.8</v>
      </c>
      <c r="N811">
        <v>2023</v>
      </c>
      <c r="O811">
        <v>1</v>
      </c>
      <c r="P811" t="s">
        <v>60</v>
      </c>
      <c r="Q811">
        <v>259.64</v>
      </c>
      <c r="R811" t="s">
        <v>29</v>
      </c>
      <c r="S811">
        <v>7.4793560314281322</v>
      </c>
      <c r="T811" t="s">
        <v>78</v>
      </c>
    </row>
    <row r="812" spans="1:20" x14ac:dyDescent="0.25">
      <c r="A812" s="11">
        <v>45116</v>
      </c>
      <c r="B812" t="s">
        <v>58</v>
      </c>
      <c r="C812" t="s">
        <v>59</v>
      </c>
      <c r="D812" t="s">
        <v>19</v>
      </c>
      <c r="E812" t="s">
        <v>20</v>
      </c>
      <c r="F812">
        <v>306</v>
      </c>
      <c r="G812">
        <v>3.48</v>
      </c>
      <c r="H812">
        <v>1064.8800000000001</v>
      </c>
      <c r="I812" t="s">
        <v>55</v>
      </c>
      <c r="J812" t="s">
        <v>47</v>
      </c>
      <c r="K812" t="s">
        <v>28</v>
      </c>
      <c r="L812">
        <v>805.69</v>
      </c>
      <c r="M812">
        <v>24.3</v>
      </c>
      <c r="N812">
        <v>2024</v>
      </c>
      <c r="O812">
        <v>3</v>
      </c>
      <c r="P812" t="s">
        <v>63</v>
      </c>
      <c r="Q812">
        <v>259.19</v>
      </c>
      <c r="R812" t="s">
        <v>29</v>
      </c>
      <c r="S812">
        <v>3.1084918399629617</v>
      </c>
      <c r="T812" t="s">
        <v>78</v>
      </c>
    </row>
    <row r="813" spans="1:20" x14ac:dyDescent="0.25">
      <c r="A813" s="11">
        <v>45037</v>
      </c>
      <c r="B813" t="s">
        <v>30</v>
      </c>
      <c r="C813" t="s">
        <v>31</v>
      </c>
      <c r="D813" t="s">
        <v>19</v>
      </c>
      <c r="E813" t="s">
        <v>20</v>
      </c>
      <c r="F813">
        <v>301</v>
      </c>
      <c r="G813">
        <v>6.23</v>
      </c>
      <c r="H813">
        <v>1875.23</v>
      </c>
      <c r="I813" t="s">
        <v>55</v>
      </c>
      <c r="J813" t="s">
        <v>34</v>
      </c>
      <c r="K813" t="s">
        <v>23</v>
      </c>
      <c r="L813">
        <v>1616.2</v>
      </c>
      <c r="M813">
        <v>13.8</v>
      </c>
      <c r="N813">
        <v>2023</v>
      </c>
      <c r="O813">
        <v>2</v>
      </c>
      <c r="P813" t="s">
        <v>63</v>
      </c>
      <c r="Q813">
        <v>259.02999999999997</v>
      </c>
      <c r="R813" t="s">
        <v>29</v>
      </c>
      <c r="S813">
        <v>6.2394317260548977</v>
      </c>
      <c r="T813" t="s">
        <v>78</v>
      </c>
    </row>
    <row r="814" spans="1:20" x14ac:dyDescent="0.25">
      <c r="A814" s="11">
        <v>45037</v>
      </c>
      <c r="B814" t="s">
        <v>42</v>
      </c>
      <c r="C814" t="s">
        <v>43</v>
      </c>
      <c r="D814" t="s">
        <v>48</v>
      </c>
      <c r="E814" t="s">
        <v>38</v>
      </c>
      <c r="F814">
        <v>384</v>
      </c>
      <c r="G814">
        <v>4.2699999999999996</v>
      </c>
      <c r="H814">
        <v>1639.68</v>
      </c>
      <c r="I814" t="s">
        <v>39</v>
      </c>
      <c r="J814" t="s">
        <v>22</v>
      </c>
      <c r="K814" t="s">
        <v>41</v>
      </c>
      <c r="L814">
        <v>1381.25</v>
      </c>
      <c r="M814">
        <v>15.8</v>
      </c>
      <c r="N814">
        <v>2023</v>
      </c>
      <c r="O814">
        <v>2</v>
      </c>
      <c r="P814" t="s">
        <v>63</v>
      </c>
      <c r="Q814">
        <v>258.43</v>
      </c>
      <c r="R814" t="s">
        <v>29</v>
      </c>
      <c r="S814">
        <v>5.3447742135201022</v>
      </c>
      <c r="T814" t="s">
        <v>78</v>
      </c>
    </row>
    <row r="815" spans="1:20" x14ac:dyDescent="0.25">
      <c r="A815" s="11">
        <v>44974</v>
      </c>
      <c r="B815" t="s">
        <v>51</v>
      </c>
      <c r="C815" t="s">
        <v>52</v>
      </c>
      <c r="D815" t="s">
        <v>32</v>
      </c>
      <c r="E815" t="s">
        <v>20</v>
      </c>
      <c r="F815">
        <v>303</v>
      </c>
      <c r="G815">
        <v>7.3</v>
      </c>
      <c r="H815">
        <v>2211.9</v>
      </c>
      <c r="I815" t="s">
        <v>46</v>
      </c>
      <c r="J815" t="s">
        <v>47</v>
      </c>
      <c r="K815" t="s">
        <v>23</v>
      </c>
      <c r="L815">
        <v>1954.18</v>
      </c>
      <c r="M815">
        <v>11.7</v>
      </c>
      <c r="N815">
        <v>2023</v>
      </c>
      <c r="O815">
        <v>1</v>
      </c>
      <c r="P815" t="s">
        <v>60</v>
      </c>
      <c r="Q815">
        <v>257.72000000000003</v>
      </c>
      <c r="R815" t="s">
        <v>29</v>
      </c>
      <c r="S815">
        <v>7.58257023125873</v>
      </c>
      <c r="T815" t="s">
        <v>78</v>
      </c>
    </row>
    <row r="816" spans="1:20" x14ac:dyDescent="0.25">
      <c r="A816" s="11">
        <v>45013</v>
      </c>
      <c r="B816" t="s">
        <v>17</v>
      </c>
      <c r="C816" t="s">
        <v>18</v>
      </c>
      <c r="D816" t="s">
        <v>45</v>
      </c>
      <c r="E816" t="s">
        <v>20</v>
      </c>
      <c r="F816">
        <v>94</v>
      </c>
      <c r="G816">
        <v>10.73</v>
      </c>
      <c r="H816">
        <v>1008.62</v>
      </c>
      <c r="I816" t="s">
        <v>21</v>
      </c>
      <c r="J816" t="s">
        <v>56</v>
      </c>
      <c r="K816" t="s">
        <v>41</v>
      </c>
      <c r="L816">
        <v>751.29</v>
      </c>
      <c r="M816">
        <v>25.5</v>
      </c>
      <c r="N816">
        <v>2023</v>
      </c>
      <c r="O816">
        <v>1</v>
      </c>
      <c r="P816" t="s">
        <v>62</v>
      </c>
      <c r="Q816">
        <v>257.33</v>
      </c>
      <c r="R816" t="s">
        <v>25</v>
      </c>
      <c r="S816">
        <v>2.9195585435044498</v>
      </c>
      <c r="T816" t="s">
        <v>78</v>
      </c>
    </row>
    <row r="817" spans="1:20" x14ac:dyDescent="0.25">
      <c r="A817" s="11">
        <v>45078</v>
      </c>
      <c r="B817" t="s">
        <v>51</v>
      </c>
      <c r="C817" t="s">
        <v>52</v>
      </c>
      <c r="D817" t="s">
        <v>48</v>
      </c>
      <c r="E817" t="s">
        <v>38</v>
      </c>
      <c r="F817">
        <v>152</v>
      </c>
      <c r="G817">
        <v>8.9700000000000006</v>
      </c>
      <c r="H817">
        <v>1363.44</v>
      </c>
      <c r="I817" t="s">
        <v>33</v>
      </c>
      <c r="J817" t="s">
        <v>34</v>
      </c>
      <c r="K817" t="s">
        <v>41</v>
      </c>
      <c r="L817">
        <v>1107.68</v>
      </c>
      <c r="M817">
        <v>18.8</v>
      </c>
      <c r="N817">
        <v>2023</v>
      </c>
      <c r="O817">
        <v>2</v>
      </c>
      <c r="P817" t="s">
        <v>67</v>
      </c>
      <c r="Q817">
        <v>255.76</v>
      </c>
      <c r="R817" t="s">
        <v>29</v>
      </c>
      <c r="S817">
        <v>4.3309352517985618</v>
      </c>
      <c r="T817" t="s">
        <v>78</v>
      </c>
    </row>
    <row r="818" spans="1:20" x14ac:dyDescent="0.25">
      <c r="A818" s="11">
        <v>44987</v>
      </c>
      <c r="B818" t="s">
        <v>35</v>
      </c>
      <c r="C818" t="s">
        <v>36</v>
      </c>
      <c r="D818" t="s">
        <v>53</v>
      </c>
      <c r="E818" t="s">
        <v>50</v>
      </c>
      <c r="F818">
        <v>154</v>
      </c>
      <c r="G818">
        <v>10.7</v>
      </c>
      <c r="H818">
        <v>1647.8</v>
      </c>
      <c r="I818" t="s">
        <v>21</v>
      </c>
      <c r="J818" t="s">
        <v>56</v>
      </c>
      <c r="K818" t="s">
        <v>23</v>
      </c>
      <c r="L818">
        <v>1393.06</v>
      </c>
      <c r="M818">
        <v>15.5</v>
      </c>
      <c r="N818">
        <v>2023</v>
      </c>
      <c r="O818">
        <v>1</v>
      </c>
      <c r="P818" t="s">
        <v>61</v>
      </c>
      <c r="Q818">
        <v>254.74</v>
      </c>
      <c r="R818" t="s">
        <v>29</v>
      </c>
      <c r="S818">
        <v>5.4685561749234513</v>
      </c>
      <c r="T818" t="s">
        <v>78</v>
      </c>
    </row>
    <row r="819" spans="1:20" x14ac:dyDescent="0.25">
      <c r="A819" s="11">
        <v>45114</v>
      </c>
      <c r="B819" t="s">
        <v>30</v>
      </c>
      <c r="C819" t="s">
        <v>31</v>
      </c>
      <c r="D819" t="s">
        <v>37</v>
      </c>
      <c r="E819" t="s">
        <v>38</v>
      </c>
      <c r="F819">
        <v>452</v>
      </c>
      <c r="G819">
        <v>4.93</v>
      </c>
      <c r="H819">
        <v>2228.36</v>
      </c>
      <c r="I819" t="s">
        <v>21</v>
      </c>
      <c r="J819" t="s">
        <v>22</v>
      </c>
      <c r="K819" t="s">
        <v>41</v>
      </c>
      <c r="L819">
        <v>1974.16</v>
      </c>
      <c r="M819">
        <v>11.4</v>
      </c>
      <c r="N819">
        <v>2024</v>
      </c>
      <c r="O819">
        <v>3</v>
      </c>
      <c r="P819" t="s">
        <v>62</v>
      </c>
      <c r="Q819">
        <v>254.2</v>
      </c>
      <c r="R819" t="s">
        <v>29</v>
      </c>
      <c r="S819">
        <v>7.7661683713611334</v>
      </c>
      <c r="T819" t="s">
        <v>78</v>
      </c>
    </row>
    <row r="820" spans="1:20" x14ac:dyDescent="0.25">
      <c r="A820" s="11">
        <v>45038</v>
      </c>
      <c r="B820" t="s">
        <v>51</v>
      </c>
      <c r="C820" t="s">
        <v>52</v>
      </c>
      <c r="D820" t="s">
        <v>19</v>
      </c>
      <c r="E820" t="s">
        <v>20</v>
      </c>
      <c r="F820">
        <v>260</v>
      </c>
      <c r="G820">
        <v>7.95</v>
      </c>
      <c r="H820">
        <v>2067</v>
      </c>
      <c r="I820" t="s">
        <v>54</v>
      </c>
      <c r="J820" t="s">
        <v>40</v>
      </c>
      <c r="K820" t="s">
        <v>23</v>
      </c>
      <c r="L820">
        <v>1813.06</v>
      </c>
      <c r="M820">
        <v>12.3</v>
      </c>
      <c r="N820">
        <v>2023</v>
      </c>
      <c r="O820">
        <v>2</v>
      </c>
      <c r="P820" t="s">
        <v>63</v>
      </c>
      <c r="Q820">
        <v>253.94</v>
      </c>
      <c r="R820" t="s">
        <v>29</v>
      </c>
      <c r="S820">
        <v>7.139718043632354</v>
      </c>
      <c r="T820" t="s">
        <v>78</v>
      </c>
    </row>
    <row r="821" spans="1:20" x14ac:dyDescent="0.25">
      <c r="A821" s="11">
        <v>45031</v>
      </c>
      <c r="B821" t="s">
        <v>30</v>
      </c>
      <c r="C821" t="s">
        <v>31</v>
      </c>
      <c r="D821" t="s">
        <v>37</v>
      </c>
      <c r="E821" t="s">
        <v>38</v>
      </c>
      <c r="F821">
        <v>250</v>
      </c>
      <c r="G821">
        <v>4.99</v>
      </c>
      <c r="H821">
        <v>1247.5</v>
      </c>
      <c r="I821" t="s">
        <v>26</v>
      </c>
      <c r="J821" t="s">
        <v>56</v>
      </c>
      <c r="K821" t="s">
        <v>41</v>
      </c>
      <c r="L821">
        <v>993.73</v>
      </c>
      <c r="M821">
        <v>20.3</v>
      </c>
      <c r="N821">
        <v>2023</v>
      </c>
      <c r="O821">
        <v>2</v>
      </c>
      <c r="P821" t="s">
        <v>63</v>
      </c>
      <c r="Q821">
        <v>253.77</v>
      </c>
      <c r="R821" t="s">
        <v>29</v>
      </c>
      <c r="S821">
        <v>3.9158687000039403</v>
      </c>
      <c r="T821" t="s">
        <v>78</v>
      </c>
    </row>
    <row r="822" spans="1:20" x14ac:dyDescent="0.25">
      <c r="A822" s="11">
        <v>45105</v>
      </c>
      <c r="B822" t="s">
        <v>30</v>
      </c>
      <c r="C822" t="s">
        <v>31</v>
      </c>
      <c r="D822" t="s">
        <v>32</v>
      </c>
      <c r="E822" t="s">
        <v>20</v>
      </c>
      <c r="F822">
        <v>577</v>
      </c>
      <c r="G822">
        <v>3.9</v>
      </c>
      <c r="H822">
        <v>2250.3000000000002</v>
      </c>
      <c r="I822" t="s">
        <v>21</v>
      </c>
      <c r="J822" t="s">
        <v>40</v>
      </c>
      <c r="K822" t="s">
        <v>23</v>
      </c>
      <c r="L822">
        <v>1997.62</v>
      </c>
      <c r="M822">
        <v>11.2</v>
      </c>
      <c r="N822">
        <v>2024</v>
      </c>
      <c r="O822">
        <v>2</v>
      </c>
      <c r="P822" t="s">
        <v>60</v>
      </c>
      <c r="Q822">
        <v>252.68</v>
      </c>
      <c r="R822" t="s">
        <v>29</v>
      </c>
      <c r="S822">
        <v>7.9057305683077406</v>
      </c>
      <c r="T822" t="s">
        <v>78</v>
      </c>
    </row>
    <row r="823" spans="1:20" x14ac:dyDescent="0.25">
      <c r="A823" s="11">
        <v>45048</v>
      </c>
      <c r="B823" t="s">
        <v>35</v>
      </c>
      <c r="C823" t="s">
        <v>36</v>
      </c>
      <c r="D823" t="s">
        <v>49</v>
      </c>
      <c r="E823" t="s">
        <v>50</v>
      </c>
      <c r="F823">
        <v>127</v>
      </c>
      <c r="G823">
        <v>6.24</v>
      </c>
      <c r="H823">
        <v>792.48</v>
      </c>
      <c r="I823" t="s">
        <v>26</v>
      </c>
      <c r="J823" t="s">
        <v>27</v>
      </c>
      <c r="K823" t="s">
        <v>23</v>
      </c>
      <c r="L823">
        <v>539.89</v>
      </c>
      <c r="M823">
        <v>31.9</v>
      </c>
      <c r="N823">
        <v>2023</v>
      </c>
      <c r="O823">
        <v>2</v>
      </c>
      <c r="P823" t="s">
        <v>64</v>
      </c>
      <c r="Q823">
        <v>252.59</v>
      </c>
      <c r="R823" t="s">
        <v>25</v>
      </c>
      <c r="S823">
        <v>2.1374163664436439</v>
      </c>
      <c r="T823" t="s">
        <v>78</v>
      </c>
    </row>
    <row r="824" spans="1:20" x14ac:dyDescent="0.25">
      <c r="A824" s="11">
        <v>45076</v>
      </c>
      <c r="B824" t="s">
        <v>58</v>
      </c>
      <c r="C824" t="s">
        <v>59</v>
      </c>
      <c r="D824" t="s">
        <v>44</v>
      </c>
      <c r="E824" t="s">
        <v>38</v>
      </c>
      <c r="F824">
        <v>166</v>
      </c>
      <c r="G824">
        <v>5.9</v>
      </c>
      <c r="H824">
        <v>979.4</v>
      </c>
      <c r="I824" t="s">
        <v>39</v>
      </c>
      <c r="J824" t="s">
        <v>56</v>
      </c>
      <c r="K824" t="s">
        <v>23</v>
      </c>
      <c r="L824">
        <v>728.43</v>
      </c>
      <c r="M824">
        <v>25.6</v>
      </c>
      <c r="N824">
        <v>2023</v>
      </c>
      <c r="O824">
        <v>2</v>
      </c>
      <c r="P824" t="s">
        <v>67</v>
      </c>
      <c r="Q824">
        <v>250.97</v>
      </c>
      <c r="R824" t="s">
        <v>25</v>
      </c>
      <c r="S824">
        <v>2.9024584611706579</v>
      </c>
      <c r="T824" t="s">
        <v>78</v>
      </c>
    </row>
    <row r="825" spans="1:20" x14ac:dyDescent="0.25">
      <c r="A825" s="11">
        <v>45082</v>
      </c>
      <c r="B825" t="s">
        <v>58</v>
      </c>
      <c r="C825" t="s">
        <v>59</v>
      </c>
      <c r="D825" t="s">
        <v>19</v>
      </c>
      <c r="E825" t="s">
        <v>20</v>
      </c>
      <c r="F825">
        <v>437</v>
      </c>
      <c r="G825">
        <v>4.26</v>
      </c>
      <c r="H825">
        <v>1861.62</v>
      </c>
      <c r="I825" t="s">
        <v>54</v>
      </c>
      <c r="J825" t="s">
        <v>47</v>
      </c>
      <c r="K825" t="s">
        <v>23</v>
      </c>
      <c r="L825">
        <v>1610.74</v>
      </c>
      <c r="M825">
        <v>13.5</v>
      </c>
      <c r="N825">
        <v>2023</v>
      </c>
      <c r="O825">
        <v>2</v>
      </c>
      <c r="P825" t="s">
        <v>68</v>
      </c>
      <c r="Q825">
        <v>250.88</v>
      </c>
      <c r="R825" t="s">
        <v>29</v>
      </c>
      <c r="S825">
        <v>6.4203603316326534</v>
      </c>
      <c r="T825" t="s">
        <v>78</v>
      </c>
    </row>
    <row r="826" spans="1:20" x14ac:dyDescent="0.25">
      <c r="A826" s="11">
        <v>45035</v>
      </c>
      <c r="B826" t="s">
        <v>30</v>
      </c>
      <c r="C826" t="s">
        <v>31</v>
      </c>
      <c r="D826" t="s">
        <v>44</v>
      </c>
      <c r="E826" t="s">
        <v>38</v>
      </c>
      <c r="F826">
        <v>334</v>
      </c>
      <c r="G826">
        <v>7.31</v>
      </c>
      <c r="H826">
        <v>2441.54</v>
      </c>
      <c r="I826" t="s">
        <v>39</v>
      </c>
      <c r="J826" t="s">
        <v>22</v>
      </c>
      <c r="K826" t="s">
        <v>23</v>
      </c>
      <c r="L826">
        <v>2191.02</v>
      </c>
      <c r="M826">
        <v>10.3</v>
      </c>
      <c r="N826">
        <v>2023</v>
      </c>
      <c r="O826">
        <v>2</v>
      </c>
      <c r="P826" t="s">
        <v>63</v>
      </c>
      <c r="Q826">
        <v>250.52</v>
      </c>
      <c r="R826" t="s">
        <v>29</v>
      </c>
      <c r="S826">
        <v>8.7458885518122305</v>
      </c>
      <c r="T826" t="s">
        <v>78</v>
      </c>
    </row>
    <row r="827" spans="1:20" x14ac:dyDescent="0.25">
      <c r="A827" s="11">
        <v>45048</v>
      </c>
      <c r="B827" t="s">
        <v>51</v>
      </c>
      <c r="C827" t="s">
        <v>52</v>
      </c>
      <c r="D827" t="s">
        <v>53</v>
      </c>
      <c r="E827" t="s">
        <v>50</v>
      </c>
      <c r="F827">
        <v>363</v>
      </c>
      <c r="G827">
        <v>3.86</v>
      </c>
      <c r="H827">
        <v>1401.18</v>
      </c>
      <c r="I827" t="s">
        <v>33</v>
      </c>
      <c r="J827" t="s">
        <v>27</v>
      </c>
      <c r="K827" t="s">
        <v>41</v>
      </c>
      <c r="L827">
        <v>1150.67</v>
      </c>
      <c r="M827">
        <v>17.899999999999999</v>
      </c>
      <c r="N827">
        <v>2023</v>
      </c>
      <c r="O827">
        <v>2</v>
      </c>
      <c r="P827" t="s">
        <v>64</v>
      </c>
      <c r="Q827">
        <v>250.51</v>
      </c>
      <c r="R827" t="s">
        <v>29</v>
      </c>
      <c r="S827">
        <v>4.5933096483174332</v>
      </c>
      <c r="T827" t="s">
        <v>78</v>
      </c>
    </row>
    <row r="828" spans="1:20" x14ac:dyDescent="0.25">
      <c r="A828" s="11">
        <v>44997</v>
      </c>
      <c r="B828" t="s">
        <v>30</v>
      </c>
      <c r="C828" t="s">
        <v>31</v>
      </c>
      <c r="D828" t="s">
        <v>32</v>
      </c>
      <c r="E828" t="s">
        <v>20</v>
      </c>
      <c r="F828">
        <v>275</v>
      </c>
      <c r="G828">
        <v>8.61</v>
      </c>
      <c r="H828">
        <v>2367.75</v>
      </c>
      <c r="I828" t="s">
        <v>46</v>
      </c>
      <c r="J828" t="s">
        <v>47</v>
      </c>
      <c r="K828" t="s">
        <v>28</v>
      </c>
      <c r="L828">
        <v>2118.35</v>
      </c>
      <c r="M828">
        <v>10.5</v>
      </c>
      <c r="N828">
        <v>2023</v>
      </c>
      <c r="O828">
        <v>1</v>
      </c>
      <c r="P828" t="s">
        <v>61</v>
      </c>
      <c r="Q828">
        <v>249.4</v>
      </c>
      <c r="R828" t="s">
        <v>29</v>
      </c>
      <c r="S828">
        <v>8.4937850842020843</v>
      </c>
      <c r="T828" t="s">
        <v>78</v>
      </c>
    </row>
    <row r="829" spans="1:20" x14ac:dyDescent="0.25">
      <c r="A829" s="11">
        <v>45067</v>
      </c>
      <c r="B829" t="s">
        <v>35</v>
      </c>
      <c r="C829" t="s">
        <v>36</v>
      </c>
      <c r="D829" t="s">
        <v>32</v>
      </c>
      <c r="E829" t="s">
        <v>20</v>
      </c>
      <c r="F829">
        <v>160</v>
      </c>
      <c r="G829">
        <v>4.51</v>
      </c>
      <c r="H829">
        <v>721.6</v>
      </c>
      <c r="I829" t="s">
        <v>33</v>
      </c>
      <c r="J829" t="s">
        <v>22</v>
      </c>
      <c r="K829" t="s">
        <v>23</v>
      </c>
      <c r="L829">
        <v>473.45</v>
      </c>
      <c r="M829">
        <v>34.4</v>
      </c>
      <c r="N829">
        <v>2023</v>
      </c>
      <c r="O829">
        <v>2</v>
      </c>
      <c r="P829" t="s">
        <v>66</v>
      </c>
      <c r="Q829">
        <v>248.15</v>
      </c>
      <c r="R829" t="s">
        <v>25</v>
      </c>
      <c r="S829">
        <v>1.9079185976224058</v>
      </c>
      <c r="T829" t="s">
        <v>78</v>
      </c>
    </row>
    <row r="830" spans="1:20" x14ac:dyDescent="0.25">
      <c r="A830" s="11">
        <v>45016</v>
      </c>
      <c r="B830" t="s">
        <v>42</v>
      </c>
      <c r="C830" t="s">
        <v>43</v>
      </c>
      <c r="D830" t="s">
        <v>49</v>
      </c>
      <c r="E830" t="s">
        <v>50</v>
      </c>
      <c r="F830">
        <v>177</v>
      </c>
      <c r="G830">
        <v>3.93</v>
      </c>
      <c r="H830">
        <v>695.61</v>
      </c>
      <c r="I830" t="s">
        <v>33</v>
      </c>
      <c r="J830" t="s">
        <v>34</v>
      </c>
      <c r="K830" t="s">
        <v>28</v>
      </c>
      <c r="L830">
        <v>447.96</v>
      </c>
      <c r="M830">
        <v>35.6</v>
      </c>
      <c r="N830">
        <v>2023</v>
      </c>
      <c r="O830">
        <v>1</v>
      </c>
      <c r="P830" t="s">
        <v>62</v>
      </c>
      <c r="Q830">
        <v>247.65</v>
      </c>
      <c r="R830" t="s">
        <v>25</v>
      </c>
      <c r="S830">
        <v>1.8088431253785584</v>
      </c>
      <c r="T830" t="s">
        <v>78</v>
      </c>
    </row>
    <row r="831" spans="1:20" x14ac:dyDescent="0.25">
      <c r="A831" s="11">
        <v>45043</v>
      </c>
      <c r="B831" t="s">
        <v>35</v>
      </c>
      <c r="C831" t="s">
        <v>36</v>
      </c>
      <c r="D831" t="s">
        <v>45</v>
      </c>
      <c r="E831" t="s">
        <v>20</v>
      </c>
      <c r="F831">
        <v>117</v>
      </c>
      <c r="G831">
        <v>8.43</v>
      </c>
      <c r="H831">
        <v>986.31</v>
      </c>
      <c r="I831" t="s">
        <v>33</v>
      </c>
      <c r="J831" t="s">
        <v>34</v>
      </c>
      <c r="K831" t="s">
        <v>41</v>
      </c>
      <c r="L831">
        <v>739.35</v>
      </c>
      <c r="M831">
        <v>25</v>
      </c>
      <c r="N831">
        <v>2023</v>
      </c>
      <c r="O831">
        <v>2</v>
      </c>
      <c r="P831" t="s">
        <v>64</v>
      </c>
      <c r="Q831">
        <v>246.96</v>
      </c>
      <c r="R831" t="s">
        <v>29</v>
      </c>
      <c r="S831">
        <v>2.9938046647230321</v>
      </c>
      <c r="T831" t="s">
        <v>78</v>
      </c>
    </row>
    <row r="832" spans="1:20" x14ac:dyDescent="0.25">
      <c r="A832" s="11">
        <v>44948</v>
      </c>
      <c r="B832" t="s">
        <v>17</v>
      </c>
      <c r="C832" t="s">
        <v>18</v>
      </c>
      <c r="D832" t="s">
        <v>53</v>
      </c>
      <c r="E832" t="s">
        <v>50</v>
      </c>
      <c r="F832">
        <v>291</v>
      </c>
      <c r="G832">
        <v>6.52</v>
      </c>
      <c r="H832">
        <v>1897.32</v>
      </c>
      <c r="I832" t="s">
        <v>57</v>
      </c>
      <c r="J832" t="s">
        <v>34</v>
      </c>
      <c r="K832" t="s">
        <v>23</v>
      </c>
      <c r="L832">
        <v>1650.64</v>
      </c>
      <c r="M832">
        <v>13</v>
      </c>
      <c r="N832">
        <v>2023</v>
      </c>
      <c r="O832">
        <v>1</v>
      </c>
      <c r="P832" t="s">
        <v>24</v>
      </c>
      <c r="Q832">
        <v>246.68</v>
      </c>
      <c r="R832" t="s">
        <v>29</v>
      </c>
      <c r="S832">
        <v>6.6914220852926869</v>
      </c>
      <c r="T832" t="s">
        <v>78</v>
      </c>
    </row>
    <row r="833" spans="1:20" x14ac:dyDescent="0.25">
      <c r="A833" s="11">
        <v>44948</v>
      </c>
      <c r="B833" t="s">
        <v>35</v>
      </c>
      <c r="C833" t="s">
        <v>36</v>
      </c>
      <c r="D833" t="s">
        <v>19</v>
      </c>
      <c r="E833" t="s">
        <v>20</v>
      </c>
      <c r="F833">
        <v>100</v>
      </c>
      <c r="G833">
        <v>9.2799999999999994</v>
      </c>
      <c r="H833">
        <v>928</v>
      </c>
      <c r="I833" t="s">
        <v>57</v>
      </c>
      <c r="J833" t="s">
        <v>40</v>
      </c>
      <c r="K833" t="s">
        <v>41</v>
      </c>
      <c r="L833">
        <v>683.34</v>
      </c>
      <c r="M833">
        <v>26.4</v>
      </c>
      <c r="N833">
        <v>2023</v>
      </c>
      <c r="O833">
        <v>1</v>
      </c>
      <c r="P833" t="s">
        <v>24</v>
      </c>
      <c r="Q833">
        <v>244.66</v>
      </c>
      <c r="R833" t="s">
        <v>25</v>
      </c>
      <c r="S833">
        <v>2.7930188833483203</v>
      </c>
      <c r="T833" t="s">
        <v>78</v>
      </c>
    </row>
    <row r="834" spans="1:20" x14ac:dyDescent="0.25">
      <c r="A834" s="11">
        <v>45056</v>
      </c>
      <c r="B834" t="s">
        <v>35</v>
      </c>
      <c r="C834" t="s">
        <v>36</v>
      </c>
      <c r="D834" t="s">
        <v>48</v>
      </c>
      <c r="E834" t="s">
        <v>38</v>
      </c>
      <c r="F834">
        <v>222</v>
      </c>
      <c r="G834">
        <v>9.14</v>
      </c>
      <c r="H834">
        <v>2029.08</v>
      </c>
      <c r="I834" t="s">
        <v>54</v>
      </c>
      <c r="J834" t="s">
        <v>22</v>
      </c>
      <c r="K834" t="s">
        <v>28</v>
      </c>
      <c r="L834">
        <v>1784.73</v>
      </c>
      <c r="M834">
        <v>12</v>
      </c>
      <c r="N834">
        <v>2023</v>
      </c>
      <c r="O834">
        <v>2</v>
      </c>
      <c r="P834" t="s">
        <v>65</v>
      </c>
      <c r="Q834">
        <v>244.35</v>
      </c>
      <c r="R834" t="s">
        <v>29</v>
      </c>
      <c r="S834">
        <v>7.3039901780233274</v>
      </c>
      <c r="T834" t="s">
        <v>78</v>
      </c>
    </row>
    <row r="835" spans="1:20" x14ac:dyDescent="0.25">
      <c r="A835" s="11">
        <v>45019</v>
      </c>
      <c r="B835" t="s">
        <v>51</v>
      </c>
      <c r="C835" t="s">
        <v>52</v>
      </c>
      <c r="D835" t="s">
        <v>37</v>
      </c>
      <c r="E835" t="s">
        <v>38</v>
      </c>
      <c r="F835">
        <v>107</v>
      </c>
      <c r="G835">
        <v>9.93</v>
      </c>
      <c r="H835">
        <v>1062.51</v>
      </c>
      <c r="I835" t="s">
        <v>55</v>
      </c>
      <c r="J835" t="s">
        <v>27</v>
      </c>
      <c r="K835" t="s">
        <v>23</v>
      </c>
      <c r="L835">
        <v>821.16</v>
      </c>
      <c r="M835">
        <v>22.7</v>
      </c>
      <c r="N835">
        <v>2023</v>
      </c>
      <c r="O835">
        <v>2</v>
      </c>
      <c r="P835" t="s">
        <v>62</v>
      </c>
      <c r="Q835">
        <v>241.35</v>
      </c>
      <c r="R835" t="s">
        <v>29</v>
      </c>
      <c r="S835">
        <v>3.4023617153511498</v>
      </c>
      <c r="T835" t="s">
        <v>78</v>
      </c>
    </row>
    <row r="836" spans="1:20" x14ac:dyDescent="0.25">
      <c r="A836" s="11">
        <v>44943</v>
      </c>
      <c r="B836" t="s">
        <v>58</v>
      </c>
      <c r="C836" t="s">
        <v>59</v>
      </c>
      <c r="D836" t="s">
        <v>48</v>
      </c>
      <c r="E836" t="s">
        <v>38</v>
      </c>
      <c r="F836">
        <v>161</v>
      </c>
      <c r="G836">
        <v>5.42</v>
      </c>
      <c r="H836">
        <v>872.62</v>
      </c>
      <c r="I836" t="s">
        <v>39</v>
      </c>
      <c r="J836" t="s">
        <v>34</v>
      </c>
      <c r="K836" t="s">
        <v>28</v>
      </c>
      <c r="L836">
        <v>634.03</v>
      </c>
      <c r="M836">
        <v>27.3</v>
      </c>
      <c r="N836">
        <v>2023</v>
      </c>
      <c r="O836">
        <v>1</v>
      </c>
      <c r="P836" t="s">
        <v>24</v>
      </c>
      <c r="Q836">
        <v>238.59</v>
      </c>
      <c r="R836" t="s">
        <v>25</v>
      </c>
      <c r="S836">
        <v>2.6574039146653252</v>
      </c>
      <c r="T836" t="s">
        <v>78</v>
      </c>
    </row>
    <row r="837" spans="1:20" x14ac:dyDescent="0.25">
      <c r="A837" s="11">
        <v>45056</v>
      </c>
      <c r="B837" t="s">
        <v>30</v>
      </c>
      <c r="C837" t="s">
        <v>31</v>
      </c>
      <c r="D837" t="s">
        <v>49</v>
      </c>
      <c r="E837" t="s">
        <v>50</v>
      </c>
      <c r="F837">
        <v>169</v>
      </c>
      <c r="G837">
        <v>9.4</v>
      </c>
      <c r="H837">
        <v>1588.6</v>
      </c>
      <c r="I837" t="s">
        <v>33</v>
      </c>
      <c r="J837" t="s">
        <v>47</v>
      </c>
      <c r="K837" t="s">
        <v>23</v>
      </c>
      <c r="L837">
        <v>1350.6</v>
      </c>
      <c r="M837">
        <v>15</v>
      </c>
      <c r="N837">
        <v>2023</v>
      </c>
      <c r="O837">
        <v>2</v>
      </c>
      <c r="P837" t="s">
        <v>65</v>
      </c>
      <c r="Q837">
        <v>238</v>
      </c>
      <c r="R837" t="s">
        <v>29</v>
      </c>
      <c r="S837">
        <v>5.6747899159663859</v>
      </c>
      <c r="T837" t="s">
        <v>78</v>
      </c>
    </row>
    <row r="838" spans="1:20" x14ac:dyDescent="0.25">
      <c r="A838" s="11">
        <v>45105</v>
      </c>
      <c r="B838" t="s">
        <v>58</v>
      </c>
      <c r="C838" t="s">
        <v>59</v>
      </c>
      <c r="D838" t="s">
        <v>48</v>
      </c>
      <c r="E838" t="s">
        <v>38</v>
      </c>
      <c r="F838">
        <v>207</v>
      </c>
      <c r="G838">
        <v>6.38</v>
      </c>
      <c r="H838">
        <v>1320.66</v>
      </c>
      <c r="I838" t="s">
        <v>57</v>
      </c>
      <c r="J838" t="s">
        <v>22</v>
      </c>
      <c r="K838" t="s">
        <v>41</v>
      </c>
      <c r="L838">
        <v>1083.26</v>
      </c>
      <c r="M838">
        <v>18</v>
      </c>
      <c r="N838">
        <v>2024</v>
      </c>
      <c r="O838">
        <v>2</v>
      </c>
      <c r="P838" t="s">
        <v>60</v>
      </c>
      <c r="Q838">
        <v>237.4</v>
      </c>
      <c r="R838" t="s">
        <v>29</v>
      </c>
      <c r="S838">
        <v>4.5630160067396801</v>
      </c>
      <c r="T838" t="s">
        <v>78</v>
      </c>
    </row>
    <row r="839" spans="1:20" x14ac:dyDescent="0.25">
      <c r="A839" s="11">
        <v>45014</v>
      </c>
      <c r="B839" t="s">
        <v>42</v>
      </c>
      <c r="C839" t="s">
        <v>43</v>
      </c>
      <c r="D839" t="s">
        <v>32</v>
      </c>
      <c r="E839" t="s">
        <v>20</v>
      </c>
      <c r="F839">
        <v>595</v>
      </c>
      <c r="G839">
        <v>2.59</v>
      </c>
      <c r="H839">
        <v>1541.05</v>
      </c>
      <c r="I839" t="s">
        <v>21</v>
      </c>
      <c r="J839" t="s">
        <v>56</v>
      </c>
      <c r="K839" t="s">
        <v>28</v>
      </c>
      <c r="L839">
        <v>1307.8</v>
      </c>
      <c r="M839">
        <v>15.1</v>
      </c>
      <c r="N839">
        <v>2023</v>
      </c>
      <c r="O839">
        <v>1</v>
      </c>
      <c r="P839" t="s">
        <v>62</v>
      </c>
      <c r="Q839">
        <v>233.25</v>
      </c>
      <c r="R839" t="s">
        <v>29</v>
      </c>
      <c r="S839">
        <v>5.6068595927116824</v>
      </c>
      <c r="T839" t="s">
        <v>78</v>
      </c>
    </row>
    <row r="840" spans="1:20" x14ac:dyDescent="0.25">
      <c r="A840" s="11">
        <v>45095</v>
      </c>
      <c r="B840" t="s">
        <v>51</v>
      </c>
      <c r="C840" t="s">
        <v>52</v>
      </c>
      <c r="D840" t="s">
        <v>45</v>
      </c>
      <c r="E840" t="s">
        <v>20</v>
      </c>
      <c r="F840">
        <v>587</v>
      </c>
      <c r="G840">
        <v>2.78</v>
      </c>
      <c r="H840">
        <v>1631.86</v>
      </c>
      <c r="I840" t="s">
        <v>33</v>
      </c>
      <c r="J840" t="s">
        <v>40</v>
      </c>
      <c r="K840" t="s">
        <v>28</v>
      </c>
      <c r="L840">
        <v>1399.36</v>
      </c>
      <c r="M840">
        <v>14.2</v>
      </c>
      <c r="N840">
        <v>2023</v>
      </c>
      <c r="O840">
        <v>2</v>
      </c>
      <c r="P840" t="s">
        <v>70</v>
      </c>
      <c r="Q840">
        <v>232.5</v>
      </c>
      <c r="R840" t="s">
        <v>29</v>
      </c>
      <c r="S840">
        <v>6.018752688172043</v>
      </c>
      <c r="T840" t="s">
        <v>78</v>
      </c>
    </row>
    <row r="841" spans="1:20" x14ac:dyDescent="0.25">
      <c r="A841" s="11">
        <v>44945</v>
      </c>
      <c r="B841" t="s">
        <v>17</v>
      </c>
      <c r="C841" t="s">
        <v>18</v>
      </c>
      <c r="D841" t="s">
        <v>49</v>
      </c>
      <c r="E841" t="s">
        <v>50</v>
      </c>
      <c r="F841">
        <v>355</v>
      </c>
      <c r="G841">
        <v>2.38</v>
      </c>
      <c r="H841">
        <v>844.9</v>
      </c>
      <c r="I841" t="s">
        <v>39</v>
      </c>
      <c r="J841" t="s">
        <v>34</v>
      </c>
      <c r="K841" t="s">
        <v>41</v>
      </c>
      <c r="L841">
        <v>613.91</v>
      </c>
      <c r="M841">
        <v>27.3</v>
      </c>
      <c r="N841">
        <v>2023</v>
      </c>
      <c r="O841">
        <v>1</v>
      </c>
      <c r="P841" t="s">
        <v>24</v>
      </c>
      <c r="Q841">
        <v>230.99</v>
      </c>
      <c r="R841" t="s">
        <v>25</v>
      </c>
      <c r="S841">
        <v>2.6577341010433351</v>
      </c>
      <c r="T841" t="s">
        <v>78</v>
      </c>
    </row>
    <row r="842" spans="1:20" x14ac:dyDescent="0.25">
      <c r="A842" s="11">
        <v>45048</v>
      </c>
      <c r="B842" t="s">
        <v>42</v>
      </c>
      <c r="C842" t="s">
        <v>43</v>
      </c>
      <c r="D842" t="s">
        <v>32</v>
      </c>
      <c r="E842" t="s">
        <v>20</v>
      </c>
      <c r="F842">
        <v>547</v>
      </c>
      <c r="G842">
        <v>3.35</v>
      </c>
      <c r="H842">
        <v>1832.45</v>
      </c>
      <c r="I842" t="s">
        <v>39</v>
      </c>
      <c r="J842" t="s">
        <v>56</v>
      </c>
      <c r="K842" t="s">
        <v>23</v>
      </c>
      <c r="L842">
        <v>1602.33</v>
      </c>
      <c r="M842">
        <v>12.6</v>
      </c>
      <c r="N842">
        <v>2023</v>
      </c>
      <c r="O842">
        <v>2</v>
      </c>
      <c r="P842" t="s">
        <v>64</v>
      </c>
      <c r="Q842">
        <v>230.12</v>
      </c>
      <c r="R842" t="s">
        <v>29</v>
      </c>
      <c r="S842">
        <v>6.9630192942812439</v>
      </c>
      <c r="T842" t="s">
        <v>78</v>
      </c>
    </row>
    <row r="843" spans="1:20" x14ac:dyDescent="0.25">
      <c r="A843" s="11">
        <v>44962</v>
      </c>
      <c r="B843" t="s">
        <v>42</v>
      </c>
      <c r="C843" t="s">
        <v>43</v>
      </c>
      <c r="D843" t="s">
        <v>32</v>
      </c>
      <c r="E843" t="s">
        <v>20</v>
      </c>
      <c r="F843">
        <v>358</v>
      </c>
      <c r="G843">
        <v>3.5</v>
      </c>
      <c r="H843">
        <v>1253</v>
      </c>
      <c r="I843" t="s">
        <v>46</v>
      </c>
      <c r="J843" t="s">
        <v>34</v>
      </c>
      <c r="K843" t="s">
        <v>28</v>
      </c>
      <c r="L843">
        <v>1023.27</v>
      </c>
      <c r="M843">
        <v>18.3</v>
      </c>
      <c r="N843">
        <v>2023</v>
      </c>
      <c r="O843">
        <v>1</v>
      </c>
      <c r="P843" t="s">
        <v>60</v>
      </c>
      <c r="Q843">
        <v>229.73</v>
      </c>
      <c r="R843" t="s">
        <v>29</v>
      </c>
      <c r="S843">
        <v>4.4542288773777914</v>
      </c>
      <c r="T843" t="s">
        <v>78</v>
      </c>
    </row>
    <row r="844" spans="1:20" x14ac:dyDescent="0.25">
      <c r="A844" s="11">
        <v>45081</v>
      </c>
      <c r="B844" t="s">
        <v>42</v>
      </c>
      <c r="C844" t="s">
        <v>43</v>
      </c>
      <c r="D844" t="s">
        <v>45</v>
      </c>
      <c r="E844" t="s">
        <v>20</v>
      </c>
      <c r="F844">
        <v>225</v>
      </c>
      <c r="G844">
        <v>9.52</v>
      </c>
      <c r="H844">
        <v>2142</v>
      </c>
      <c r="I844" t="s">
        <v>54</v>
      </c>
      <c r="J844" t="s">
        <v>34</v>
      </c>
      <c r="K844" t="s">
        <v>41</v>
      </c>
      <c r="L844">
        <v>1914.1</v>
      </c>
      <c r="M844">
        <v>10.6</v>
      </c>
      <c r="N844">
        <v>2023</v>
      </c>
      <c r="O844">
        <v>2</v>
      </c>
      <c r="P844" t="s">
        <v>68</v>
      </c>
      <c r="Q844">
        <v>227.9</v>
      </c>
      <c r="R844" t="s">
        <v>29</v>
      </c>
      <c r="S844">
        <v>8.3988591487494517</v>
      </c>
      <c r="T844" t="s">
        <v>78</v>
      </c>
    </row>
    <row r="845" spans="1:20" x14ac:dyDescent="0.25">
      <c r="A845" s="11">
        <v>45066</v>
      </c>
      <c r="B845" t="s">
        <v>42</v>
      </c>
      <c r="C845" t="s">
        <v>43</v>
      </c>
      <c r="D845" t="s">
        <v>19</v>
      </c>
      <c r="E845" t="s">
        <v>20</v>
      </c>
      <c r="F845">
        <v>231</v>
      </c>
      <c r="G845">
        <v>5.56</v>
      </c>
      <c r="H845">
        <v>1284.3599999999999</v>
      </c>
      <c r="I845" t="s">
        <v>26</v>
      </c>
      <c r="J845" t="s">
        <v>40</v>
      </c>
      <c r="K845" t="s">
        <v>28</v>
      </c>
      <c r="L845">
        <v>1064.94</v>
      </c>
      <c r="M845">
        <v>17.100000000000001</v>
      </c>
      <c r="N845">
        <v>2023</v>
      </c>
      <c r="O845">
        <v>2</v>
      </c>
      <c r="P845" t="s">
        <v>66</v>
      </c>
      <c r="Q845">
        <v>219.42</v>
      </c>
      <c r="R845" t="s">
        <v>29</v>
      </c>
      <c r="S845">
        <v>4.8534317746786986</v>
      </c>
      <c r="T845" t="s">
        <v>78</v>
      </c>
    </row>
    <row r="846" spans="1:20" x14ac:dyDescent="0.25">
      <c r="A846" s="11">
        <v>45129</v>
      </c>
      <c r="B846" t="s">
        <v>42</v>
      </c>
      <c r="C846" t="s">
        <v>43</v>
      </c>
      <c r="D846" t="s">
        <v>19</v>
      </c>
      <c r="E846" t="s">
        <v>20</v>
      </c>
      <c r="F846">
        <v>145</v>
      </c>
      <c r="G846">
        <v>4.18</v>
      </c>
      <c r="H846">
        <v>606.1</v>
      </c>
      <c r="I846" t="s">
        <v>21</v>
      </c>
      <c r="J846" t="s">
        <v>56</v>
      </c>
      <c r="K846" t="s">
        <v>23</v>
      </c>
      <c r="L846">
        <v>388.89</v>
      </c>
      <c r="M846">
        <v>35.799999999999997</v>
      </c>
      <c r="N846">
        <v>2025</v>
      </c>
      <c r="O846">
        <v>3</v>
      </c>
      <c r="P846" t="s">
        <v>62</v>
      </c>
      <c r="Q846">
        <v>217.21</v>
      </c>
      <c r="R846" t="s">
        <v>25</v>
      </c>
      <c r="S846">
        <v>1.7903871829105473</v>
      </c>
      <c r="T846" t="s">
        <v>78</v>
      </c>
    </row>
    <row r="847" spans="1:20" x14ac:dyDescent="0.25">
      <c r="A847" s="11">
        <v>45066</v>
      </c>
      <c r="B847" t="s">
        <v>30</v>
      </c>
      <c r="C847" t="s">
        <v>31</v>
      </c>
      <c r="D847" t="s">
        <v>45</v>
      </c>
      <c r="E847" t="s">
        <v>20</v>
      </c>
      <c r="F847">
        <v>88</v>
      </c>
      <c r="G847">
        <v>9.43</v>
      </c>
      <c r="H847">
        <v>829.84</v>
      </c>
      <c r="I847" t="s">
        <v>54</v>
      </c>
      <c r="J847" t="s">
        <v>56</v>
      </c>
      <c r="K847" t="s">
        <v>28</v>
      </c>
      <c r="L847">
        <v>613.86</v>
      </c>
      <c r="M847">
        <v>26</v>
      </c>
      <c r="N847">
        <v>2023</v>
      </c>
      <c r="O847">
        <v>2</v>
      </c>
      <c r="P847" t="s">
        <v>66</v>
      </c>
      <c r="Q847">
        <v>215.98</v>
      </c>
      <c r="R847" t="s">
        <v>25</v>
      </c>
      <c r="S847">
        <v>2.8422076118159092</v>
      </c>
      <c r="T847" t="s">
        <v>78</v>
      </c>
    </row>
    <row r="848" spans="1:20" x14ac:dyDescent="0.25">
      <c r="A848" s="11">
        <v>45013</v>
      </c>
      <c r="B848" t="s">
        <v>17</v>
      </c>
      <c r="C848" t="s">
        <v>18</v>
      </c>
      <c r="D848" t="s">
        <v>37</v>
      </c>
      <c r="E848" t="s">
        <v>38</v>
      </c>
      <c r="F848">
        <v>414</v>
      </c>
      <c r="G848">
        <v>2.66</v>
      </c>
      <c r="H848">
        <v>1101.24</v>
      </c>
      <c r="I848" t="s">
        <v>54</v>
      </c>
      <c r="J848" t="s">
        <v>22</v>
      </c>
      <c r="K848" t="s">
        <v>23</v>
      </c>
      <c r="L848">
        <v>885.69</v>
      </c>
      <c r="M848">
        <v>19.600000000000001</v>
      </c>
      <c r="N848">
        <v>2023</v>
      </c>
      <c r="O848">
        <v>1</v>
      </c>
      <c r="P848" t="s">
        <v>62</v>
      </c>
      <c r="Q848">
        <v>215.55</v>
      </c>
      <c r="R848" t="s">
        <v>29</v>
      </c>
      <c r="S848">
        <v>4.1089770354906054</v>
      </c>
      <c r="T848" t="s">
        <v>78</v>
      </c>
    </row>
    <row r="849" spans="1:20" x14ac:dyDescent="0.25">
      <c r="A849" s="11">
        <v>44987</v>
      </c>
      <c r="B849" t="s">
        <v>51</v>
      </c>
      <c r="C849" t="s">
        <v>52</v>
      </c>
      <c r="D849" t="s">
        <v>53</v>
      </c>
      <c r="E849" t="s">
        <v>50</v>
      </c>
      <c r="F849">
        <v>471</v>
      </c>
      <c r="G849">
        <v>2.41</v>
      </c>
      <c r="H849">
        <v>1135.1099999999999</v>
      </c>
      <c r="I849" t="s">
        <v>39</v>
      </c>
      <c r="J849" t="s">
        <v>22</v>
      </c>
      <c r="K849" t="s">
        <v>41</v>
      </c>
      <c r="L849">
        <v>921.39</v>
      </c>
      <c r="M849">
        <v>18.8</v>
      </c>
      <c r="N849">
        <v>2023</v>
      </c>
      <c r="O849">
        <v>1</v>
      </c>
      <c r="P849" t="s">
        <v>61</v>
      </c>
      <c r="Q849">
        <v>213.72</v>
      </c>
      <c r="R849" t="s">
        <v>29</v>
      </c>
      <c r="S849">
        <v>4.3112015721504768</v>
      </c>
      <c r="T849" t="s">
        <v>78</v>
      </c>
    </row>
    <row r="850" spans="1:20" x14ac:dyDescent="0.25">
      <c r="A850" s="11">
        <v>45132</v>
      </c>
      <c r="B850" t="s">
        <v>42</v>
      </c>
      <c r="C850" t="s">
        <v>43</v>
      </c>
      <c r="D850" t="s">
        <v>53</v>
      </c>
      <c r="E850" t="s">
        <v>50</v>
      </c>
      <c r="F850">
        <v>90</v>
      </c>
      <c r="G850">
        <v>9.35</v>
      </c>
      <c r="H850">
        <v>841.5</v>
      </c>
      <c r="I850" t="s">
        <v>46</v>
      </c>
      <c r="J850" t="s">
        <v>40</v>
      </c>
      <c r="K850" t="s">
        <v>23</v>
      </c>
      <c r="L850">
        <v>628.72</v>
      </c>
      <c r="M850">
        <v>25.3</v>
      </c>
      <c r="N850">
        <v>2025</v>
      </c>
      <c r="O850">
        <v>3</v>
      </c>
      <c r="P850" t="s">
        <v>68</v>
      </c>
      <c r="Q850">
        <v>212.78</v>
      </c>
      <c r="R850" t="s">
        <v>25</v>
      </c>
      <c r="S850">
        <v>2.9547889839270609</v>
      </c>
      <c r="T850" t="s">
        <v>78</v>
      </c>
    </row>
    <row r="851" spans="1:20" x14ac:dyDescent="0.25">
      <c r="A851" s="11">
        <v>45065</v>
      </c>
      <c r="B851" t="s">
        <v>35</v>
      </c>
      <c r="C851" t="s">
        <v>36</v>
      </c>
      <c r="D851" t="s">
        <v>48</v>
      </c>
      <c r="E851" t="s">
        <v>38</v>
      </c>
      <c r="F851">
        <v>196</v>
      </c>
      <c r="G851">
        <v>10.66</v>
      </c>
      <c r="H851">
        <v>2089.36</v>
      </c>
      <c r="I851" t="s">
        <v>33</v>
      </c>
      <c r="J851" t="s">
        <v>40</v>
      </c>
      <c r="K851" t="s">
        <v>28</v>
      </c>
      <c r="L851">
        <v>1876.81</v>
      </c>
      <c r="M851">
        <v>10.199999999999999</v>
      </c>
      <c r="N851">
        <v>2023</v>
      </c>
      <c r="O851">
        <v>2</v>
      </c>
      <c r="P851" t="s">
        <v>66</v>
      </c>
      <c r="Q851">
        <v>212.55</v>
      </c>
      <c r="R851" t="s">
        <v>29</v>
      </c>
      <c r="S851">
        <v>8.8299694189602445</v>
      </c>
      <c r="T851" t="s">
        <v>78</v>
      </c>
    </row>
    <row r="852" spans="1:20" x14ac:dyDescent="0.25">
      <c r="A852" s="11">
        <v>44991</v>
      </c>
      <c r="B852" t="s">
        <v>58</v>
      </c>
      <c r="C852" t="s">
        <v>59</v>
      </c>
      <c r="D852" t="s">
        <v>32</v>
      </c>
      <c r="E852" t="s">
        <v>20</v>
      </c>
      <c r="F852">
        <v>356</v>
      </c>
      <c r="G852">
        <v>3.7</v>
      </c>
      <c r="H852">
        <v>1317.2</v>
      </c>
      <c r="I852" t="s">
        <v>39</v>
      </c>
      <c r="J852" t="s">
        <v>22</v>
      </c>
      <c r="K852" t="s">
        <v>28</v>
      </c>
      <c r="L852">
        <v>1104.8399999999999</v>
      </c>
      <c r="M852">
        <v>16.100000000000001</v>
      </c>
      <c r="N852">
        <v>2023</v>
      </c>
      <c r="O852">
        <v>1</v>
      </c>
      <c r="P852" t="s">
        <v>61</v>
      </c>
      <c r="Q852">
        <v>212.36</v>
      </c>
      <c r="R852" t="s">
        <v>29</v>
      </c>
      <c r="S852">
        <v>5.2026747033339609</v>
      </c>
      <c r="T852" t="s">
        <v>78</v>
      </c>
    </row>
    <row r="853" spans="1:20" x14ac:dyDescent="0.25">
      <c r="A853" s="11">
        <v>44971</v>
      </c>
      <c r="B853" t="s">
        <v>35</v>
      </c>
      <c r="C853" t="s">
        <v>36</v>
      </c>
      <c r="D853" t="s">
        <v>32</v>
      </c>
      <c r="E853" t="s">
        <v>20</v>
      </c>
      <c r="F853">
        <v>304</v>
      </c>
      <c r="G853">
        <v>5.59</v>
      </c>
      <c r="H853">
        <v>1699.36</v>
      </c>
      <c r="I853" t="s">
        <v>26</v>
      </c>
      <c r="J853" t="s">
        <v>22</v>
      </c>
      <c r="K853" t="s">
        <v>23</v>
      </c>
      <c r="L853">
        <v>1487.74</v>
      </c>
      <c r="M853">
        <v>12.5</v>
      </c>
      <c r="N853">
        <v>2023</v>
      </c>
      <c r="O853">
        <v>1</v>
      </c>
      <c r="P853" t="s">
        <v>60</v>
      </c>
      <c r="Q853">
        <v>211.62</v>
      </c>
      <c r="R853" t="s">
        <v>29</v>
      </c>
      <c r="S853">
        <v>7.030242888195823</v>
      </c>
      <c r="T853" t="s">
        <v>78</v>
      </c>
    </row>
    <row r="854" spans="1:20" x14ac:dyDescent="0.25">
      <c r="A854" s="11">
        <v>45110</v>
      </c>
      <c r="B854" t="s">
        <v>58</v>
      </c>
      <c r="C854" t="s">
        <v>59</v>
      </c>
      <c r="D854" t="s">
        <v>45</v>
      </c>
      <c r="E854" t="s">
        <v>20</v>
      </c>
      <c r="F854">
        <v>292</v>
      </c>
      <c r="G854">
        <v>2.56</v>
      </c>
      <c r="H854">
        <v>747.52</v>
      </c>
      <c r="I854" t="s">
        <v>33</v>
      </c>
      <c r="J854" t="s">
        <v>22</v>
      </c>
      <c r="K854" t="s">
        <v>28</v>
      </c>
      <c r="L854">
        <v>537.37</v>
      </c>
      <c r="M854">
        <v>28.1</v>
      </c>
      <c r="N854">
        <v>2024</v>
      </c>
      <c r="O854">
        <v>3</v>
      </c>
      <c r="P854" t="s">
        <v>62</v>
      </c>
      <c r="Q854">
        <v>210.15</v>
      </c>
      <c r="R854" t="s">
        <v>25</v>
      </c>
      <c r="S854">
        <v>2.55707827742089</v>
      </c>
      <c r="T854" t="s">
        <v>78</v>
      </c>
    </row>
    <row r="855" spans="1:20" x14ac:dyDescent="0.25">
      <c r="A855" s="11">
        <v>45091</v>
      </c>
      <c r="B855" t="s">
        <v>42</v>
      </c>
      <c r="C855" t="s">
        <v>43</v>
      </c>
      <c r="D855" t="s">
        <v>53</v>
      </c>
      <c r="E855" t="s">
        <v>50</v>
      </c>
      <c r="F855">
        <v>164</v>
      </c>
      <c r="G855">
        <v>3.46</v>
      </c>
      <c r="H855">
        <v>567.44000000000005</v>
      </c>
      <c r="I855" t="s">
        <v>39</v>
      </c>
      <c r="J855" t="s">
        <v>22</v>
      </c>
      <c r="K855" t="s">
        <v>28</v>
      </c>
      <c r="L855">
        <v>357.98</v>
      </c>
      <c r="M855">
        <v>36.9</v>
      </c>
      <c r="N855">
        <v>2023</v>
      </c>
      <c r="O855">
        <v>2</v>
      </c>
      <c r="P855" t="s">
        <v>70</v>
      </c>
      <c r="Q855">
        <v>209.46</v>
      </c>
      <c r="R855" t="s">
        <v>25</v>
      </c>
      <c r="S855">
        <v>1.7090613959705911</v>
      </c>
      <c r="T855" t="s">
        <v>78</v>
      </c>
    </row>
    <row r="856" spans="1:20" x14ac:dyDescent="0.25">
      <c r="A856" s="11">
        <v>44937</v>
      </c>
      <c r="B856" t="s">
        <v>17</v>
      </c>
      <c r="C856" t="s">
        <v>18</v>
      </c>
      <c r="D856" t="s">
        <v>19</v>
      </c>
      <c r="E856" t="s">
        <v>20</v>
      </c>
      <c r="F856">
        <v>134</v>
      </c>
      <c r="G856">
        <v>4.47</v>
      </c>
      <c r="H856">
        <v>598.98</v>
      </c>
      <c r="I856" t="s">
        <v>39</v>
      </c>
      <c r="J856" t="s">
        <v>56</v>
      </c>
      <c r="K856" t="s">
        <v>23</v>
      </c>
      <c r="L856">
        <v>389.77</v>
      </c>
      <c r="M856">
        <v>34.9</v>
      </c>
      <c r="N856">
        <v>2023</v>
      </c>
      <c r="O856">
        <v>1</v>
      </c>
      <c r="P856" t="s">
        <v>24</v>
      </c>
      <c r="Q856">
        <v>209.21</v>
      </c>
      <c r="R856" t="s">
        <v>25</v>
      </c>
      <c r="S856">
        <v>1.8630562592610294</v>
      </c>
      <c r="T856" t="s">
        <v>78</v>
      </c>
    </row>
    <row r="857" spans="1:20" x14ac:dyDescent="0.25">
      <c r="A857" s="11">
        <v>45033</v>
      </c>
      <c r="B857" t="s">
        <v>17</v>
      </c>
      <c r="C857" t="s">
        <v>18</v>
      </c>
      <c r="D857" t="s">
        <v>44</v>
      </c>
      <c r="E857" t="s">
        <v>38</v>
      </c>
      <c r="F857">
        <v>66</v>
      </c>
      <c r="G857">
        <v>9.44</v>
      </c>
      <c r="H857">
        <v>623.04</v>
      </c>
      <c r="I857" t="s">
        <v>46</v>
      </c>
      <c r="J857" t="s">
        <v>22</v>
      </c>
      <c r="K857" t="s">
        <v>41</v>
      </c>
      <c r="L857">
        <v>414.06</v>
      </c>
      <c r="M857">
        <v>33.5</v>
      </c>
      <c r="N857">
        <v>2023</v>
      </c>
      <c r="O857">
        <v>2</v>
      </c>
      <c r="P857" t="s">
        <v>63</v>
      </c>
      <c r="Q857">
        <v>208.98</v>
      </c>
      <c r="R857" t="s">
        <v>25</v>
      </c>
      <c r="S857">
        <v>1.9813379270743612</v>
      </c>
      <c r="T857" t="s">
        <v>78</v>
      </c>
    </row>
    <row r="858" spans="1:20" x14ac:dyDescent="0.25">
      <c r="A858" s="11">
        <v>45080</v>
      </c>
      <c r="B858" t="s">
        <v>35</v>
      </c>
      <c r="C858" t="s">
        <v>36</v>
      </c>
      <c r="D858" t="s">
        <v>53</v>
      </c>
      <c r="E858" t="s">
        <v>50</v>
      </c>
      <c r="F858">
        <v>730</v>
      </c>
      <c r="G858">
        <v>2.2999999999999998</v>
      </c>
      <c r="H858">
        <v>1679</v>
      </c>
      <c r="I858" t="s">
        <v>26</v>
      </c>
      <c r="J858" t="s">
        <v>56</v>
      </c>
      <c r="K858" t="s">
        <v>23</v>
      </c>
      <c r="L858">
        <v>1471.8</v>
      </c>
      <c r="M858">
        <v>12.3</v>
      </c>
      <c r="N858">
        <v>2023</v>
      </c>
      <c r="O858">
        <v>2</v>
      </c>
      <c r="P858" t="s">
        <v>68</v>
      </c>
      <c r="Q858">
        <v>207.2</v>
      </c>
      <c r="R858" t="s">
        <v>29</v>
      </c>
      <c r="S858">
        <v>7.1032818532818531</v>
      </c>
      <c r="T858" t="s">
        <v>78</v>
      </c>
    </row>
    <row r="859" spans="1:20" x14ac:dyDescent="0.25">
      <c r="A859" s="11">
        <v>45044</v>
      </c>
      <c r="B859" t="s">
        <v>17</v>
      </c>
      <c r="C859" t="s">
        <v>18</v>
      </c>
      <c r="D859" t="s">
        <v>32</v>
      </c>
      <c r="E859" t="s">
        <v>20</v>
      </c>
      <c r="F859">
        <v>171</v>
      </c>
      <c r="G859">
        <v>11.56</v>
      </c>
      <c r="H859">
        <v>1976.76</v>
      </c>
      <c r="I859" t="s">
        <v>54</v>
      </c>
      <c r="J859" t="s">
        <v>27</v>
      </c>
      <c r="K859" t="s">
        <v>41</v>
      </c>
      <c r="L859">
        <v>1770.89</v>
      </c>
      <c r="M859">
        <v>10.4</v>
      </c>
      <c r="N859">
        <v>2023</v>
      </c>
      <c r="O859">
        <v>2</v>
      </c>
      <c r="P859" t="s">
        <v>64</v>
      </c>
      <c r="Q859">
        <v>205.87</v>
      </c>
      <c r="R859" t="s">
        <v>29</v>
      </c>
      <c r="S859">
        <v>8.6019818331957065</v>
      </c>
      <c r="T859" t="s">
        <v>78</v>
      </c>
    </row>
    <row r="860" spans="1:20" x14ac:dyDescent="0.25">
      <c r="A860" s="11">
        <v>44994</v>
      </c>
      <c r="B860" t="s">
        <v>42</v>
      </c>
      <c r="C860" t="s">
        <v>43</v>
      </c>
      <c r="D860" t="s">
        <v>37</v>
      </c>
      <c r="E860" t="s">
        <v>38</v>
      </c>
      <c r="F860">
        <v>150</v>
      </c>
      <c r="G860">
        <v>4.5</v>
      </c>
      <c r="H860">
        <v>675</v>
      </c>
      <c r="I860" t="s">
        <v>33</v>
      </c>
      <c r="J860" t="s">
        <v>27</v>
      </c>
      <c r="K860" t="s">
        <v>23</v>
      </c>
      <c r="L860">
        <v>469.45</v>
      </c>
      <c r="M860">
        <v>30.5</v>
      </c>
      <c r="N860">
        <v>2023</v>
      </c>
      <c r="O860">
        <v>1</v>
      </c>
      <c r="P860" t="s">
        <v>61</v>
      </c>
      <c r="Q860">
        <v>205.55</v>
      </c>
      <c r="R860" t="s">
        <v>25</v>
      </c>
      <c r="S860">
        <v>2.283872537095597</v>
      </c>
      <c r="T860" t="s">
        <v>78</v>
      </c>
    </row>
    <row r="861" spans="1:20" x14ac:dyDescent="0.25">
      <c r="A861" s="11">
        <v>45096</v>
      </c>
      <c r="B861" t="s">
        <v>42</v>
      </c>
      <c r="C861" t="s">
        <v>43</v>
      </c>
      <c r="D861" t="s">
        <v>48</v>
      </c>
      <c r="E861" t="s">
        <v>38</v>
      </c>
      <c r="F861">
        <v>148</v>
      </c>
      <c r="G861">
        <v>3.63</v>
      </c>
      <c r="H861">
        <v>537.24</v>
      </c>
      <c r="I861" t="s">
        <v>54</v>
      </c>
      <c r="J861" t="s">
        <v>27</v>
      </c>
      <c r="K861" t="s">
        <v>28</v>
      </c>
      <c r="L861">
        <v>333.76</v>
      </c>
      <c r="M861">
        <v>37.9</v>
      </c>
      <c r="N861">
        <v>2023</v>
      </c>
      <c r="O861">
        <v>2</v>
      </c>
      <c r="P861" t="s">
        <v>70</v>
      </c>
      <c r="Q861">
        <v>203.48</v>
      </c>
      <c r="R861" t="s">
        <v>25</v>
      </c>
      <c r="S861">
        <v>1.640259484961667</v>
      </c>
      <c r="T861" t="s">
        <v>78</v>
      </c>
    </row>
    <row r="862" spans="1:20" x14ac:dyDescent="0.25">
      <c r="A862" s="11">
        <v>44999</v>
      </c>
      <c r="B862" t="s">
        <v>51</v>
      </c>
      <c r="C862" t="s">
        <v>52</v>
      </c>
      <c r="D862" t="s">
        <v>44</v>
      </c>
      <c r="E862" t="s">
        <v>38</v>
      </c>
      <c r="F862">
        <v>385</v>
      </c>
      <c r="G862">
        <v>2.83</v>
      </c>
      <c r="H862">
        <v>1089.55</v>
      </c>
      <c r="I862" t="s">
        <v>54</v>
      </c>
      <c r="J862" t="s">
        <v>27</v>
      </c>
      <c r="K862" t="s">
        <v>41</v>
      </c>
      <c r="L862">
        <v>887.71</v>
      </c>
      <c r="M862">
        <v>18.5</v>
      </c>
      <c r="N862">
        <v>2023</v>
      </c>
      <c r="O862">
        <v>1</v>
      </c>
      <c r="P862" t="s">
        <v>61</v>
      </c>
      <c r="Q862">
        <v>201.84</v>
      </c>
      <c r="R862" t="s">
        <v>29</v>
      </c>
      <c r="S862">
        <v>4.3980875941339672</v>
      </c>
      <c r="T862" t="s">
        <v>78</v>
      </c>
    </row>
    <row r="863" spans="1:20" x14ac:dyDescent="0.25">
      <c r="A863" s="11">
        <v>44943</v>
      </c>
      <c r="B863" t="s">
        <v>42</v>
      </c>
      <c r="C863" t="s">
        <v>43</v>
      </c>
      <c r="D863" t="s">
        <v>37</v>
      </c>
      <c r="E863" t="s">
        <v>38</v>
      </c>
      <c r="F863">
        <v>261</v>
      </c>
      <c r="G863">
        <v>6.89</v>
      </c>
      <c r="H863">
        <v>1798.29</v>
      </c>
      <c r="I863" t="s">
        <v>26</v>
      </c>
      <c r="J863" t="s">
        <v>27</v>
      </c>
      <c r="K863" t="s">
        <v>28</v>
      </c>
      <c r="L863">
        <v>1597.91</v>
      </c>
      <c r="M863">
        <v>11.1</v>
      </c>
      <c r="N863">
        <v>2023</v>
      </c>
      <c r="O863">
        <v>1</v>
      </c>
      <c r="P863" t="s">
        <v>24</v>
      </c>
      <c r="Q863">
        <v>200.38</v>
      </c>
      <c r="R863" t="s">
        <v>29</v>
      </c>
      <c r="S863">
        <v>7.9743986425791</v>
      </c>
      <c r="T863" t="s">
        <v>78</v>
      </c>
    </row>
    <row r="864" spans="1:20" x14ac:dyDescent="0.25">
      <c r="A864" s="11">
        <v>44946</v>
      </c>
      <c r="B864" t="s">
        <v>30</v>
      </c>
      <c r="C864" t="s">
        <v>31</v>
      </c>
      <c r="D864" t="s">
        <v>53</v>
      </c>
      <c r="E864" t="s">
        <v>50</v>
      </c>
      <c r="F864">
        <v>178</v>
      </c>
      <c r="G864">
        <v>4.57</v>
      </c>
      <c r="H864">
        <v>813.46</v>
      </c>
      <c r="I864" t="s">
        <v>54</v>
      </c>
      <c r="J864" t="s">
        <v>56</v>
      </c>
      <c r="K864" t="s">
        <v>28</v>
      </c>
      <c r="L864">
        <v>613.41</v>
      </c>
      <c r="M864">
        <v>24.6</v>
      </c>
      <c r="N864">
        <v>2023</v>
      </c>
      <c r="O864">
        <v>1</v>
      </c>
      <c r="P864" t="s">
        <v>24</v>
      </c>
      <c r="Q864">
        <v>200.05</v>
      </c>
      <c r="R864" t="s">
        <v>29</v>
      </c>
      <c r="S864">
        <v>3.0662834291427141</v>
      </c>
      <c r="T864" t="s">
        <v>78</v>
      </c>
    </row>
    <row r="865" spans="1:20" x14ac:dyDescent="0.25">
      <c r="A865" s="11">
        <v>45064</v>
      </c>
      <c r="B865" t="s">
        <v>51</v>
      </c>
      <c r="C865" t="s">
        <v>52</v>
      </c>
      <c r="D865" t="s">
        <v>32</v>
      </c>
      <c r="E865" t="s">
        <v>20</v>
      </c>
      <c r="F865">
        <v>236</v>
      </c>
      <c r="G865">
        <v>6.27</v>
      </c>
      <c r="H865">
        <v>1479.72</v>
      </c>
      <c r="I865" t="s">
        <v>46</v>
      </c>
      <c r="J865" t="s">
        <v>47</v>
      </c>
      <c r="K865" t="s">
        <v>28</v>
      </c>
      <c r="L865">
        <v>1279.8900000000001</v>
      </c>
      <c r="M865">
        <v>13.5</v>
      </c>
      <c r="N865">
        <v>2023</v>
      </c>
      <c r="O865">
        <v>2</v>
      </c>
      <c r="P865" t="s">
        <v>65</v>
      </c>
      <c r="Q865">
        <v>199.83</v>
      </c>
      <c r="R865" t="s">
        <v>29</v>
      </c>
      <c r="S865">
        <v>6.4048941600360303</v>
      </c>
      <c r="T865" t="s">
        <v>78</v>
      </c>
    </row>
    <row r="866" spans="1:20" x14ac:dyDescent="0.25">
      <c r="A866" s="11">
        <v>45029</v>
      </c>
      <c r="B866" t="s">
        <v>42</v>
      </c>
      <c r="C866" t="s">
        <v>43</v>
      </c>
      <c r="D866" t="s">
        <v>32</v>
      </c>
      <c r="E866" t="s">
        <v>20</v>
      </c>
      <c r="F866">
        <v>601</v>
      </c>
      <c r="G866">
        <v>2.2799999999999998</v>
      </c>
      <c r="H866">
        <v>1370.28</v>
      </c>
      <c r="I866" t="s">
        <v>39</v>
      </c>
      <c r="J866" t="s">
        <v>27</v>
      </c>
      <c r="K866" t="s">
        <v>23</v>
      </c>
      <c r="L866">
        <v>1171.1400000000001</v>
      </c>
      <c r="M866">
        <v>14.5</v>
      </c>
      <c r="N866">
        <v>2023</v>
      </c>
      <c r="O866">
        <v>2</v>
      </c>
      <c r="P866" t="s">
        <v>63</v>
      </c>
      <c r="Q866">
        <v>199.14</v>
      </c>
      <c r="R866" t="s">
        <v>29</v>
      </c>
      <c r="S866">
        <v>5.8809882494727335</v>
      </c>
      <c r="T866" t="s">
        <v>78</v>
      </c>
    </row>
    <row r="867" spans="1:20" x14ac:dyDescent="0.25">
      <c r="A867" s="11">
        <v>45068</v>
      </c>
      <c r="B867" t="s">
        <v>58</v>
      </c>
      <c r="C867" t="s">
        <v>59</v>
      </c>
      <c r="D867" t="s">
        <v>45</v>
      </c>
      <c r="E867" t="s">
        <v>20</v>
      </c>
      <c r="F867">
        <v>100</v>
      </c>
      <c r="G867">
        <v>5.99</v>
      </c>
      <c r="H867">
        <v>599</v>
      </c>
      <c r="I867" t="s">
        <v>26</v>
      </c>
      <c r="J867" t="s">
        <v>22</v>
      </c>
      <c r="K867" t="s">
        <v>23</v>
      </c>
      <c r="L867">
        <v>403.62</v>
      </c>
      <c r="M867">
        <v>32.6</v>
      </c>
      <c r="N867">
        <v>2023</v>
      </c>
      <c r="O867">
        <v>2</v>
      </c>
      <c r="P867" t="s">
        <v>66</v>
      </c>
      <c r="Q867">
        <v>195.38</v>
      </c>
      <c r="R867" t="s">
        <v>25</v>
      </c>
      <c r="S867">
        <v>2.0658204524516326</v>
      </c>
      <c r="T867" t="s">
        <v>78</v>
      </c>
    </row>
    <row r="868" spans="1:20" x14ac:dyDescent="0.25">
      <c r="A868" s="11">
        <v>44967</v>
      </c>
      <c r="B868" t="s">
        <v>35</v>
      </c>
      <c r="C868" t="s">
        <v>36</v>
      </c>
      <c r="D868" t="s">
        <v>44</v>
      </c>
      <c r="E868" t="s">
        <v>38</v>
      </c>
      <c r="F868">
        <v>189</v>
      </c>
      <c r="G868">
        <v>3.21</v>
      </c>
      <c r="H868">
        <v>606.69000000000005</v>
      </c>
      <c r="I868" t="s">
        <v>46</v>
      </c>
      <c r="J868" t="s">
        <v>34</v>
      </c>
      <c r="K868" t="s">
        <v>23</v>
      </c>
      <c r="L868">
        <v>411.59</v>
      </c>
      <c r="M868">
        <v>32.200000000000003</v>
      </c>
      <c r="N868">
        <v>2023</v>
      </c>
      <c r="O868">
        <v>1</v>
      </c>
      <c r="P868" t="s">
        <v>60</v>
      </c>
      <c r="Q868">
        <v>195.1</v>
      </c>
      <c r="R868" t="s">
        <v>25</v>
      </c>
      <c r="S868">
        <v>2.1096360840594568</v>
      </c>
      <c r="T868" t="s">
        <v>78</v>
      </c>
    </row>
    <row r="869" spans="1:20" x14ac:dyDescent="0.25">
      <c r="A869" s="11">
        <v>45120</v>
      </c>
      <c r="B869" t="s">
        <v>58</v>
      </c>
      <c r="C869" t="s">
        <v>59</v>
      </c>
      <c r="D869" t="s">
        <v>45</v>
      </c>
      <c r="E869" t="s">
        <v>20</v>
      </c>
      <c r="F869">
        <v>211</v>
      </c>
      <c r="G869">
        <v>5.66</v>
      </c>
      <c r="H869">
        <v>1194.26</v>
      </c>
      <c r="I869" t="s">
        <v>33</v>
      </c>
      <c r="J869" t="s">
        <v>40</v>
      </c>
      <c r="K869" t="s">
        <v>41</v>
      </c>
      <c r="L869">
        <v>1000.23</v>
      </c>
      <c r="M869">
        <v>16.2</v>
      </c>
      <c r="N869">
        <v>2024</v>
      </c>
      <c r="O869">
        <v>3</v>
      </c>
      <c r="P869" t="s">
        <v>65</v>
      </c>
      <c r="Q869">
        <v>194.03</v>
      </c>
      <c r="R869" t="s">
        <v>29</v>
      </c>
      <c r="S869">
        <v>5.1550275730557127</v>
      </c>
      <c r="T869" t="s">
        <v>78</v>
      </c>
    </row>
    <row r="870" spans="1:20" x14ac:dyDescent="0.25">
      <c r="A870" s="11">
        <v>44929</v>
      </c>
      <c r="B870" t="s">
        <v>51</v>
      </c>
      <c r="C870" t="s">
        <v>52</v>
      </c>
      <c r="D870" t="s">
        <v>53</v>
      </c>
      <c r="E870" t="s">
        <v>50</v>
      </c>
      <c r="F870">
        <v>203</v>
      </c>
      <c r="G870">
        <v>4.2300000000000004</v>
      </c>
      <c r="H870">
        <v>858.69</v>
      </c>
      <c r="I870" t="s">
        <v>54</v>
      </c>
      <c r="J870" t="s">
        <v>40</v>
      </c>
      <c r="K870" t="s">
        <v>23</v>
      </c>
      <c r="L870">
        <v>668.3</v>
      </c>
      <c r="M870">
        <v>22.2</v>
      </c>
      <c r="N870">
        <v>2023</v>
      </c>
      <c r="O870">
        <v>1</v>
      </c>
      <c r="P870" t="s">
        <v>24</v>
      </c>
      <c r="Q870">
        <v>190.39</v>
      </c>
      <c r="R870" t="s">
        <v>29</v>
      </c>
      <c r="S870">
        <v>3.5101633489153841</v>
      </c>
      <c r="T870" t="s">
        <v>78</v>
      </c>
    </row>
    <row r="871" spans="1:20" x14ac:dyDescent="0.25">
      <c r="A871" s="11">
        <v>44927</v>
      </c>
      <c r="B871" t="s">
        <v>30</v>
      </c>
      <c r="C871" t="s">
        <v>31</v>
      </c>
      <c r="D871" t="s">
        <v>32</v>
      </c>
      <c r="E871" t="s">
        <v>20</v>
      </c>
      <c r="F871">
        <v>192</v>
      </c>
      <c r="G871">
        <v>5.55</v>
      </c>
      <c r="H871">
        <v>1065.5999999999999</v>
      </c>
      <c r="I871" t="s">
        <v>33</v>
      </c>
      <c r="J871" t="s">
        <v>34</v>
      </c>
      <c r="K871" t="s">
        <v>28</v>
      </c>
      <c r="L871">
        <v>876.05</v>
      </c>
      <c r="M871">
        <v>17.8</v>
      </c>
      <c r="N871">
        <v>2023</v>
      </c>
      <c r="O871">
        <v>1</v>
      </c>
      <c r="P871" t="s">
        <v>24</v>
      </c>
      <c r="Q871">
        <v>189.55</v>
      </c>
      <c r="R871" t="s">
        <v>29</v>
      </c>
      <c r="S871">
        <v>4.6217356897916115</v>
      </c>
      <c r="T871" t="s">
        <v>78</v>
      </c>
    </row>
    <row r="872" spans="1:20" x14ac:dyDescent="0.25">
      <c r="A872" s="11">
        <v>45087</v>
      </c>
      <c r="B872" t="s">
        <v>51</v>
      </c>
      <c r="C872" t="s">
        <v>52</v>
      </c>
      <c r="D872" t="s">
        <v>19</v>
      </c>
      <c r="E872" t="s">
        <v>20</v>
      </c>
      <c r="F872">
        <v>628</v>
      </c>
      <c r="G872">
        <v>2.76</v>
      </c>
      <c r="H872">
        <v>1733.28</v>
      </c>
      <c r="I872" t="s">
        <v>26</v>
      </c>
      <c r="J872" t="s">
        <v>47</v>
      </c>
      <c r="K872" t="s">
        <v>28</v>
      </c>
      <c r="L872">
        <v>1544.53</v>
      </c>
      <c r="M872">
        <v>10.9</v>
      </c>
      <c r="N872">
        <v>2023</v>
      </c>
      <c r="O872">
        <v>2</v>
      </c>
      <c r="P872" t="s">
        <v>69</v>
      </c>
      <c r="Q872">
        <v>188.75</v>
      </c>
      <c r="R872" t="s">
        <v>29</v>
      </c>
      <c r="S872">
        <v>8.1829403973509933</v>
      </c>
      <c r="T872" t="s">
        <v>78</v>
      </c>
    </row>
    <row r="873" spans="1:20" x14ac:dyDescent="0.25">
      <c r="A873" s="11">
        <v>45043</v>
      </c>
      <c r="B873" t="s">
        <v>35</v>
      </c>
      <c r="C873" t="s">
        <v>36</v>
      </c>
      <c r="D873" t="s">
        <v>45</v>
      </c>
      <c r="E873" t="s">
        <v>20</v>
      </c>
      <c r="F873">
        <v>266</v>
      </c>
      <c r="G873">
        <v>5.3</v>
      </c>
      <c r="H873">
        <v>1409.8</v>
      </c>
      <c r="I873" t="s">
        <v>54</v>
      </c>
      <c r="J873" t="s">
        <v>34</v>
      </c>
      <c r="K873" t="s">
        <v>23</v>
      </c>
      <c r="L873">
        <v>1221.83</v>
      </c>
      <c r="M873">
        <v>13.3</v>
      </c>
      <c r="N873">
        <v>2023</v>
      </c>
      <c r="O873">
        <v>2</v>
      </c>
      <c r="P873" t="s">
        <v>64</v>
      </c>
      <c r="Q873">
        <v>187.97</v>
      </c>
      <c r="R873" t="s">
        <v>29</v>
      </c>
      <c r="S873">
        <v>6.5001329999467998</v>
      </c>
      <c r="T873" t="s">
        <v>78</v>
      </c>
    </row>
    <row r="874" spans="1:20" x14ac:dyDescent="0.25">
      <c r="A874" s="11">
        <v>45071</v>
      </c>
      <c r="B874" t="s">
        <v>42</v>
      </c>
      <c r="C874" t="s">
        <v>43</v>
      </c>
      <c r="D874" t="s">
        <v>37</v>
      </c>
      <c r="E874" t="s">
        <v>38</v>
      </c>
      <c r="F874">
        <v>248</v>
      </c>
      <c r="G874">
        <v>2.42</v>
      </c>
      <c r="H874">
        <v>600.16</v>
      </c>
      <c r="I874" t="s">
        <v>54</v>
      </c>
      <c r="J874" t="s">
        <v>22</v>
      </c>
      <c r="K874" t="s">
        <v>28</v>
      </c>
      <c r="L874">
        <v>412.23</v>
      </c>
      <c r="M874">
        <v>31.3</v>
      </c>
      <c r="N874">
        <v>2023</v>
      </c>
      <c r="O874">
        <v>2</v>
      </c>
      <c r="P874" t="s">
        <v>66</v>
      </c>
      <c r="Q874">
        <v>187.93</v>
      </c>
      <c r="R874" t="s">
        <v>25</v>
      </c>
      <c r="S874">
        <v>2.1935295056670037</v>
      </c>
      <c r="T874" t="s">
        <v>78</v>
      </c>
    </row>
    <row r="875" spans="1:20" x14ac:dyDescent="0.25">
      <c r="A875" s="11">
        <v>45037</v>
      </c>
      <c r="B875" t="s">
        <v>30</v>
      </c>
      <c r="C875" t="s">
        <v>31</v>
      </c>
      <c r="D875" t="s">
        <v>49</v>
      </c>
      <c r="E875" t="s">
        <v>50</v>
      </c>
      <c r="F875">
        <v>106</v>
      </c>
      <c r="G875">
        <v>9.64</v>
      </c>
      <c r="H875">
        <v>1021.84</v>
      </c>
      <c r="I875" t="s">
        <v>39</v>
      </c>
      <c r="J875" t="s">
        <v>22</v>
      </c>
      <c r="K875" t="s">
        <v>28</v>
      </c>
      <c r="L875">
        <v>834.04</v>
      </c>
      <c r="M875">
        <v>18.399999999999999</v>
      </c>
      <c r="N875">
        <v>2023</v>
      </c>
      <c r="O875">
        <v>2</v>
      </c>
      <c r="P875" t="s">
        <v>63</v>
      </c>
      <c r="Q875">
        <v>187.8</v>
      </c>
      <c r="R875" t="s">
        <v>29</v>
      </c>
      <c r="S875">
        <v>4.4411075612353565</v>
      </c>
      <c r="T875" t="s">
        <v>78</v>
      </c>
    </row>
    <row r="876" spans="1:20" x14ac:dyDescent="0.25">
      <c r="A876" s="11">
        <v>44955</v>
      </c>
      <c r="B876" t="s">
        <v>51</v>
      </c>
      <c r="C876" t="s">
        <v>52</v>
      </c>
      <c r="D876" t="s">
        <v>44</v>
      </c>
      <c r="E876" t="s">
        <v>38</v>
      </c>
      <c r="F876">
        <v>229</v>
      </c>
      <c r="G876">
        <v>2.5499999999999998</v>
      </c>
      <c r="H876">
        <v>583.95000000000005</v>
      </c>
      <c r="I876" t="s">
        <v>46</v>
      </c>
      <c r="J876" t="s">
        <v>22</v>
      </c>
      <c r="K876" t="s">
        <v>23</v>
      </c>
      <c r="L876">
        <v>397.97</v>
      </c>
      <c r="M876">
        <v>31.8</v>
      </c>
      <c r="N876">
        <v>2023</v>
      </c>
      <c r="O876">
        <v>1</v>
      </c>
      <c r="P876" t="s">
        <v>60</v>
      </c>
      <c r="Q876">
        <v>185.98</v>
      </c>
      <c r="R876" t="s">
        <v>25</v>
      </c>
      <c r="S876">
        <v>2.1398537477148083</v>
      </c>
      <c r="T876" t="s">
        <v>78</v>
      </c>
    </row>
    <row r="877" spans="1:20" x14ac:dyDescent="0.25">
      <c r="A877" s="11">
        <v>44938</v>
      </c>
      <c r="B877" t="s">
        <v>35</v>
      </c>
      <c r="C877" t="s">
        <v>36</v>
      </c>
      <c r="D877" t="s">
        <v>45</v>
      </c>
      <c r="E877" t="s">
        <v>20</v>
      </c>
      <c r="F877">
        <v>68</v>
      </c>
      <c r="G877">
        <v>8.14</v>
      </c>
      <c r="H877">
        <v>553.52</v>
      </c>
      <c r="I877" t="s">
        <v>33</v>
      </c>
      <c r="J877" t="s">
        <v>56</v>
      </c>
      <c r="K877" t="s">
        <v>28</v>
      </c>
      <c r="L877">
        <v>369.73</v>
      </c>
      <c r="M877">
        <v>33.200000000000003</v>
      </c>
      <c r="N877">
        <v>2023</v>
      </c>
      <c r="O877">
        <v>1</v>
      </c>
      <c r="P877" t="s">
        <v>24</v>
      </c>
      <c r="Q877">
        <v>183.79</v>
      </c>
      <c r="R877" t="s">
        <v>25</v>
      </c>
      <c r="S877">
        <v>2.0116981337395945</v>
      </c>
      <c r="T877" t="s">
        <v>78</v>
      </c>
    </row>
    <row r="878" spans="1:20" x14ac:dyDescent="0.25">
      <c r="A878" s="11">
        <v>45074</v>
      </c>
      <c r="B878" t="s">
        <v>30</v>
      </c>
      <c r="C878" t="s">
        <v>31</v>
      </c>
      <c r="D878" t="s">
        <v>53</v>
      </c>
      <c r="E878" t="s">
        <v>50</v>
      </c>
      <c r="F878">
        <v>298</v>
      </c>
      <c r="G878">
        <v>2.34</v>
      </c>
      <c r="H878">
        <v>697.32</v>
      </c>
      <c r="I878" t="s">
        <v>21</v>
      </c>
      <c r="J878" t="s">
        <v>47</v>
      </c>
      <c r="K878" t="s">
        <v>23</v>
      </c>
      <c r="L878">
        <v>514.07000000000005</v>
      </c>
      <c r="M878">
        <v>26.3</v>
      </c>
      <c r="N878">
        <v>2023</v>
      </c>
      <c r="O878">
        <v>2</v>
      </c>
      <c r="P878" t="s">
        <v>67</v>
      </c>
      <c r="Q878">
        <v>183.25</v>
      </c>
      <c r="R878" t="s">
        <v>25</v>
      </c>
      <c r="S878">
        <v>2.8052933151432473</v>
      </c>
      <c r="T878" t="s">
        <v>78</v>
      </c>
    </row>
    <row r="879" spans="1:20" x14ac:dyDescent="0.25">
      <c r="A879" s="11">
        <v>44973</v>
      </c>
      <c r="B879" t="s">
        <v>17</v>
      </c>
      <c r="C879" t="s">
        <v>18</v>
      </c>
      <c r="D879" t="s">
        <v>53</v>
      </c>
      <c r="E879" t="s">
        <v>50</v>
      </c>
      <c r="F879">
        <v>253</v>
      </c>
      <c r="G879">
        <v>2.63</v>
      </c>
      <c r="H879">
        <v>665.39</v>
      </c>
      <c r="I879" t="s">
        <v>26</v>
      </c>
      <c r="J879" t="s">
        <v>56</v>
      </c>
      <c r="K879" t="s">
        <v>41</v>
      </c>
      <c r="L879">
        <v>486.33</v>
      </c>
      <c r="M879">
        <v>26.9</v>
      </c>
      <c r="N879">
        <v>2023</v>
      </c>
      <c r="O879">
        <v>1</v>
      </c>
      <c r="P879" t="s">
        <v>60</v>
      </c>
      <c r="Q879">
        <v>179.06</v>
      </c>
      <c r="R879" t="s">
        <v>25</v>
      </c>
      <c r="S879">
        <v>2.7160169775494247</v>
      </c>
      <c r="T879" t="s">
        <v>78</v>
      </c>
    </row>
    <row r="880" spans="1:20" x14ac:dyDescent="0.25">
      <c r="A880" s="11">
        <v>44947</v>
      </c>
      <c r="B880" t="s">
        <v>51</v>
      </c>
      <c r="C880" t="s">
        <v>52</v>
      </c>
      <c r="D880" t="s">
        <v>37</v>
      </c>
      <c r="E880" t="s">
        <v>38</v>
      </c>
      <c r="F880">
        <v>459</v>
      </c>
      <c r="G880">
        <v>2.21</v>
      </c>
      <c r="H880">
        <v>1014.39</v>
      </c>
      <c r="I880" t="s">
        <v>39</v>
      </c>
      <c r="J880" t="s">
        <v>34</v>
      </c>
      <c r="K880" t="s">
        <v>23</v>
      </c>
      <c r="L880">
        <v>836.3</v>
      </c>
      <c r="M880">
        <v>17.600000000000001</v>
      </c>
      <c r="N880">
        <v>2023</v>
      </c>
      <c r="O880">
        <v>1</v>
      </c>
      <c r="P880" t="s">
        <v>24</v>
      </c>
      <c r="Q880">
        <v>178.09</v>
      </c>
      <c r="R880" t="s">
        <v>29</v>
      </c>
      <c r="S880">
        <v>4.695940254927284</v>
      </c>
      <c r="T880" t="s">
        <v>78</v>
      </c>
    </row>
    <row r="881" spans="1:20" x14ac:dyDescent="0.25">
      <c r="A881" s="11">
        <v>45092</v>
      </c>
      <c r="B881" t="s">
        <v>30</v>
      </c>
      <c r="C881" t="s">
        <v>31</v>
      </c>
      <c r="D881" t="s">
        <v>53</v>
      </c>
      <c r="E881" t="s">
        <v>50</v>
      </c>
      <c r="F881">
        <v>193</v>
      </c>
      <c r="G881">
        <v>3.82</v>
      </c>
      <c r="H881">
        <v>737.26</v>
      </c>
      <c r="I881" t="s">
        <v>54</v>
      </c>
      <c r="J881" t="s">
        <v>56</v>
      </c>
      <c r="K881" t="s">
        <v>23</v>
      </c>
      <c r="L881">
        <v>559.53</v>
      </c>
      <c r="M881">
        <v>24.1</v>
      </c>
      <c r="N881">
        <v>2023</v>
      </c>
      <c r="O881">
        <v>2</v>
      </c>
      <c r="P881" t="s">
        <v>70</v>
      </c>
      <c r="Q881">
        <v>177.73</v>
      </c>
      <c r="R881" t="s">
        <v>29</v>
      </c>
      <c r="S881">
        <v>3.1482023293760197</v>
      </c>
      <c r="T881" t="s">
        <v>78</v>
      </c>
    </row>
    <row r="882" spans="1:20" x14ac:dyDescent="0.25">
      <c r="A882" s="11">
        <v>45114</v>
      </c>
      <c r="B882" t="s">
        <v>58</v>
      </c>
      <c r="C882" t="s">
        <v>59</v>
      </c>
      <c r="D882" t="s">
        <v>19</v>
      </c>
      <c r="E882" t="s">
        <v>20</v>
      </c>
      <c r="F882">
        <v>123</v>
      </c>
      <c r="G882">
        <v>9.59</v>
      </c>
      <c r="H882">
        <v>1179.57</v>
      </c>
      <c r="I882" t="s">
        <v>39</v>
      </c>
      <c r="J882" t="s">
        <v>47</v>
      </c>
      <c r="K882" t="s">
        <v>23</v>
      </c>
      <c r="L882">
        <v>1003.96</v>
      </c>
      <c r="M882">
        <v>14.9</v>
      </c>
      <c r="N882">
        <v>2024</v>
      </c>
      <c r="O882">
        <v>3</v>
      </c>
      <c r="P882" t="s">
        <v>63</v>
      </c>
      <c r="Q882">
        <v>175.61</v>
      </c>
      <c r="R882" t="s">
        <v>29</v>
      </c>
      <c r="S882">
        <v>5.7169865041854102</v>
      </c>
      <c r="T882" t="s">
        <v>78</v>
      </c>
    </row>
    <row r="883" spans="1:20" x14ac:dyDescent="0.25">
      <c r="A883" s="11">
        <v>45132</v>
      </c>
      <c r="B883" t="s">
        <v>51</v>
      </c>
      <c r="C883" t="s">
        <v>52</v>
      </c>
      <c r="D883" t="s">
        <v>37</v>
      </c>
      <c r="E883" t="s">
        <v>38</v>
      </c>
      <c r="F883">
        <v>110</v>
      </c>
      <c r="G883">
        <v>9.7899999999999991</v>
      </c>
      <c r="H883">
        <v>1076.9000000000001</v>
      </c>
      <c r="I883" t="s">
        <v>57</v>
      </c>
      <c r="J883" t="s">
        <v>40</v>
      </c>
      <c r="K883" t="s">
        <v>23</v>
      </c>
      <c r="L883">
        <v>902.08</v>
      </c>
      <c r="M883">
        <v>16.2</v>
      </c>
      <c r="N883">
        <v>2025</v>
      </c>
      <c r="O883">
        <v>3</v>
      </c>
      <c r="P883" t="s">
        <v>65</v>
      </c>
      <c r="Q883">
        <v>174.82</v>
      </c>
      <c r="R883" t="s">
        <v>29</v>
      </c>
      <c r="S883">
        <v>5.1600503374899898</v>
      </c>
      <c r="T883" t="s">
        <v>78</v>
      </c>
    </row>
    <row r="884" spans="1:20" x14ac:dyDescent="0.25">
      <c r="A884" s="11">
        <v>45038</v>
      </c>
      <c r="B884" t="s">
        <v>51</v>
      </c>
      <c r="C884" t="s">
        <v>52</v>
      </c>
      <c r="D884" t="s">
        <v>48</v>
      </c>
      <c r="E884" t="s">
        <v>38</v>
      </c>
      <c r="F884">
        <v>414</v>
      </c>
      <c r="G884">
        <v>2.9</v>
      </c>
      <c r="H884">
        <v>1200.5999999999999</v>
      </c>
      <c r="I884" t="s">
        <v>55</v>
      </c>
      <c r="J884" t="s">
        <v>22</v>
      </c>
      <c r="K884" t="s">
        <v>41</v>
      </c>
      <c r="L884">
        <v>1026.05</v>
      </c>
      <c r="M884">
        <v>14.5</v>
      </c>
      <c r="N884">
        <v>2023</v>
      </c>
      <c r="O884">
        <v>2</v>
      </c>
      <c r="P884" t="s">
        <v>63</v>
      </c>
      <c r="Q884">
        <v>174.55</v>
      </c>
      <c r="R884" t="s">
        <v>29</v>
      </c>
      <c r="S884">
        <v>5.878258378688054</v>
      </c>
      <c r="T884" t="s">
        <v>78</v>
      </c>
    </row>
    <row r="885" spans="1:20" x14ac:dyDescent="0.25">
      <c r="A885" s="11">
        <v>45121</v>
      </c>
      <c r="B885" t="s">
        <v>17</v>
      </c>
      <c r="C885" t="s">
        <v>18</v>
      </c>
      <c r="D885" t="s">
        <v>45</v>
      </c>
      <c r="E885" t="s">
        <v>20</v>
      </c>
      <c r="F885">
        <v>283</v>
      </c>
      <c r="G885">
        <v>5.61</v>
      </c>
      <c r="H885">
        <v>1587.63</v>
      </c>
      <c r="I885" t="s">
        <v>26</v>
      </c>
      <c r="J885" t="s">
        <v>56</v>
      </c>
      <c r="K885" t="s">
        <v>28</v>
      </c>
      <c r="L885">
        <v>1415.02</v>
      </c>
      <c r="M885">
        <v>10.9</v>
      </c>
      <c r="N885">
        <v>2024</v>
      </c>
      <c r="O885">
        <v>3</v>
      </c>
      <c r="P885" t="s">
        <v>66</v>
      </c>
      <c r="Q885">
        <v>172.61</v>
      </c>
      <c r="R885" t="s">
        <v>29</v>
      </c>
      <c r="S885">
        <v>8.1977869184867611</v>
      </c>
      <c r="T885" t="s">
        <v>78</v>
      </c>
    </row>
    <row r="886" spans="1:20" x14ac:dyDescent="0.25">
      <c r="A886" s="11">
        <v>45112</v>
      </c>
      <c r="B886" t="s">
        <v>58</v>
      </c>
      <c r="C886" t="s">
        <v>59</v>
      </c>
      <c r="D886" t="s">
        <v>49</v>
      </c>
      <c r="E886" t="s">
        <v>50</v>
      </c>
      <c r="F886">
        <v>73</v>
      </c>
      <c r="G886">
        <v>10.31</v>
      </c>
      <c r="H886">
        <v>752.63</v>
      </c>
      <c r="I886" t="s">
        <v>26</v>
      </c>
      <c r="J886" t="s">
        <v>34</v>
      </c>
      <c r="K886" t="s">
        <v>41</v>
      </c>
      <c r="L886">
        <v>582.88</v>
      </c>
      <c r="M886">
        <v>22.6</v>
      </c>
      <c r="N886">
        <v>2024</v>
      </c>
      <c r="O886">
        <v>3</v>
      </c>
      <c r="P886" t="s">
        <v>62</v>
      </c>
      <c r="Q886">
        <v>169.75</v>
      </c>
      <c r="R886" t="s">
        <v>29</v>
      </c>
      <c r="S886">
        <v>3.4337555228276879</v>
      </c>
      <c r="T886" t="s">
        <v>78</v>
      </c>
    </row>
    <row r="887" spans="1:20" x14ac:dyDescent="0.25">
      <c r="A887" s="11">
        <v>45030</v>
      </c>
      <c r="B887" t="s">
        <v>58</v>
      </c>
      <c r="C887" t="s">
        <v>59</v>
      </c>
      <c r="D887" t="s">
        <v>49</v>
      </c>
      <c r="E887" t="s">
        <v>50</v>
      </c>
      <c r="F887">
        <v>104</v>
      </c>
      <c r="G887">
        <v>4.1500000000000004</v>
      </c>
      <c r="H887">
        <v>431.6</v>
      </c>
      <c r="I887" t="s">
        <v>54</v>
      </c>
      <c r="J887" t="s">
        <v>34</v>
      </c>
      <c r="K887" t="s">
        <v>28</v>
      </c>
      <c r="L887">
        <v>266.92</v>
      </c>
      <c r="M887">
        <v>38.200000000000003</v>
      </c>
      <c r="N887">
        <v>2023</v>
      </c>
      <c r="O887">
        <v>2</v>
      </c>
      <c r="P887" t="s">
        <v>63</v>
      </c>
      <c r="Q887">
        <v>164.68</v>
      </c>
      <c r="R887" t="s">
        <v>25</v>
      </c>
      <c r="S887">
        <v>1.6208404177799369</v>
      </c>
      <c r="T887" t="s">
        <v>78</v>
      </c>
    </row>
    <row r="888" spans="1:20" x14ac:dyDescent="0.25">
      <c r="A888" s="11">
        <v>45010</v>
      </c>
      <c r="B888" t="s">
        <v>51</v>
      </c>
      <c r="C888" t="s">
        <v>52</v>
      </c>
      <c r="D888" t="s">
        <v>45</v>
      </c>
      <c r="E888" t="s">
        <v>20</v>
      </c>
      <c r="F888">
        <v>295</v>
      </c>
      <c r="G888">
        <v>4.3600000000000003</v>
      </c>
      <c r="H888">
        <v>1286.2</v>
      </c>
      <c r="I888" t="s">
        <v>33</v>
      </c>
      <c r="J888" t="s">
        <v>47</v>
      </c>
      <c r="K888" t="s">
        <v>28</v>
      </c>
      <c r="L888">
        <v>1122.3599999999999</v>
      </c>
      <c r="M888">
        <v>12.7</v>
      </c>
      <c r="N888">
        <v>2023</v>
      </c>
      <c r="O888">
        <v>1</v>
      </c>
      <c r="P888" t="s">
        <v>62</v>
      </c>
      <c r="Q888">
        <v>163.84</v>
      </c>
      <c r="R888" t="s">
        <v>29</v>
      </c>
      <c r="S888">
        <v>6.8503417968749991</v>
      </c>
      <c r="T888" t="s">
        <v>78</v>
      </c>
    </row>
    <row r="889" spans="1:20" x14ac:dyDescent="0.25">
      <c r="A889" s="11">
        <v>44947</v>
      </c>
      <c r="B889" t="s">
        <v>51</v>
      </c>
      <c r="C889" t="s">
        <v>52</v>
      </c>
      <c r="D889" t="s">
        <v>37</v>
      </c>
      <c r="E889" t="s">
        <v>38</v>
      </c>
      <c r="F889">
        <v>135</v>
      </c>
      <c r="G889">
        <v>7.16</v>
      </c>
      <c r="H889">
        <v>966.6</v>
      </c>
      <c r="I889" t="s">
        <v>33</v>
      </c>
      <c r="J889" t="s">
        <v>22</v>
      </c>
      <c r="K889" t="s">
        <v>23</v>
      </c>
      <c r="L889">
        <v>803.02</v>
      </c>
      <c r="M889">
        <v>16.899999999999999</v>
      </c>
      <c r="N889">
        <v>2023</v>
      </c>
      <c r="O889">
        <v>1</v>
      </c>
      <c r="P889" t="s">
        <v>24</v>
      </c>
      <c r="Q889">
        <v>163.58000000000001</v>
      </c>
      <c r="R889" t="s">
        <v>29</v>
      </c>
      <c r="S889">
        <v>4.9090353343929571</v>
      </c>
      <c r="T889" t="s">
        <v>78</v>
      </c>
    </row>
    <row r="890" spans="1:20" x14ac:dyDescent="0.25">
      <c r="A890" s="11">
        <v>44991</v>
      </c>
      <c r="B890" t="s">
        <v>58</v>
      </c>
      <c r="C890" t="s">
        <v>59</v>
      </c>
      <c r="D890" t="s">
        <v>19</v>
      </c>
      <c r="E890" t="s">
        <v>20</v>
      </c>
      <c r="F890">
        <v>445</v>
      </c>
      <c r="G890">
        <v>2.15</v>
      </c>
      <c r="H890">
        <v>956.75</v>
      </c>
      <c r="I890" t="s">
        <v>54</v>
      </c>
      <c r="J890" t="s">
        <v>22</v>
      </c>
      <c r="K890" t="s">
        <v>41</v>
      </c>
      <c r="L890">
        <v>794.25</v>
      </c>
      <c r="M890">
        <v>17</v>
      </c>
      <c r="N890">
        <v>2023</v>
      </c>
      <c r="O890">
        <v>1</v>
      </c>
      <c r="P890" t="s">
        <v>61</v>
      </c>
      <c r="Q890">
        <v>162.5</v>
      </c>
      <c r="R890" t="s">
        <v>29</v>
      </c>
      <c r="S890">
        <v>4.8876923076923076</v>
      </c>
      <c r="T890" t="s">
        <v>78</v>
      </c>
    </row>
    <row r="891" spans="1:20" x14ac:dyDescent="0.25">
      <c r="A891" s="11">
        <v>45001</v>
      </c>
      <c r="B891" t="s">
        <v>35</v>
      </c>
      <c r="C891" t="s">
        <v>36</v>
      </c>
      <c r="D891" t="s">
        <v>49</v>
      </c>
      <c r="E891" t="s">
        <v>50</v>
      </c>
      <c r="F891">
        <v>139</v>
      </c>
      <c r="G891">
        <v>9.31</v>
      </c>
      <c r="H891">
        <v>1294.0899999999999</v>
      </c>
      <c r="I891" t="s">
        <v>33</v>
      </c>
      <c r="J891" t="s">
        <v>40</v>
      </c>
      <c r="K891" t="s">
        <v>41</v>
      </c>
      <c r="L891">
        <v>1131.6500000000001</v>
      </c>
      <c r="M891">
        <v>12.6</v>
      </c>
      <c r="N891">
        <v>2023</v>
      </c>
      <c r="O891">
        <v>1</v>
      </c>
      <c r="P891" t="s">
        <v>62</v>
      </c>
      <c r="Q891">
        <v>162.44</v>
      </c>
      <c r="R891" t="s">
        <v>29</v>
      </c>
      <c r="S891">
        <v>6.966572272839203</v>
      </c>
      <c r="T891" t="s">
        <v>78</v>
      </c>
    </row>
    <row r="892" spans="1:20" x14ac:dyDescent="0.25">
      <c r="A892" s="11">
        <v>45032</v>
      </c>
      <c r="B892" t="s">
        <v>42</v>
      </c>
      <c r="C892" t="s">
        <v>43</v>
      </c>
      <c r="D892" t="s">
        <v>48</v>
      </c>
      <c r="E892" t="s">
        <v>38</v>
      </c>
      <c r="F892">
        <v>260</v>
      </c>
      <c r="G892">
        <v>3.31</v>
      </c>
      <c r="H892">
        <v>860.6</v>
      </c>
      <c r="I892" t="s">
        <v>33</v>
      </c>
      <c r="J892" t="s">
        <v>47</v>
      </c>
      <c r="K892" t="s">
        <v>28</v>
      </c>
      <c r="L892">
        <v>698.67</v>
      </c>
      <c r="M892">
        <v>18.8</v>
      </c>
      <c r="N892">
        <v>2023</v>
      </c>
      <c r="O892">
        <v>2</v>
      </c>
      <c r="P892" t="s">
        <v>63</v>
      </c>
      <c r="Q892">
        <v>161.93</v>
      </c>
      <c r="R892" t="s">
        <v>29</v>
      </c>
      <c r="S892">
        <v>4.3146421293151356</v>
      </c>
      <c r="T892" t="s">
        <v>78</v>
      </c>
    </row>
    <row r="893" spans="1:20" x14ac:dyDescent="0.25">
      <c r="A893" s="11">
        <v>45103</v>
      </c>
      <c r="B893" t="s">
        <v>42</v>
      </c>
      <c r="C893" t="s">
        <v>43</v>
      </c>
      <c r="D893" t="s">
        <v>49</v>
      </c>
      <c r="E893" t="s">
        <v>50</v>
      </c>
      <c r="F893">
        <v>75</v>
      </c>
      <c r="G893">
        <v>7.93</v>
      </c>
      <c r="H893">
        <v>594.75</v>
      </c>
      <c r="I893" t="s">
        <v>39</v>
      </c>
      <c r="J893" t="s">
        <v>47</v>
      </c>
      <c r="K893" t="s">
        <v>23</v>
      </c>
      <c r="L893">
        <v>433.29</v>
      </c>
      <c r="M893">
        <v>27.1</v>
      </c>
      <c r="N893">
        <v>2024</v>
      </c>
      <c r="O893">
        <v>2</v>
      </c>
      <c r="P893" t="s">
        <v>24</v>
      </c>
      <c r="Q893">
        <v>161.46</v>
      </c>
      <c r="R893" t="s">
        <v>25</v>
      </c>
      <c r="S893">
        <v>2.6835748792270531</v>
      </c>
      <c r="T893" t="s">
        <v>78</v>
      </c>
    </row>
    <row r="894" spans="1:20" x14ac:dyDescent="0.25">
      <c r="A894" s="11">
        <v>45069</v>
      </c>
      <c r="B894" t="s">
        <v>17</v>
      </c>
      <c r="C894" t="s">
        <v>18</v>
      </c>
      <c r="D894" t="s">
        <v>49</v>
      </c>
      <c r="E894" t="s">
        <v>50</v>
      </c>
      <c r="F894">
        <v>125</v>
      </c>
      <c r="G894">
        <v>7.66</v>
      </c>
      <c r="H894">
        <v>957.5</v>
      </c>
      <c r="I894" t="s">
        <v>46</v>
      </c>
      <c r="J894" t="s">
        <v>40</v>
      </c>
      <c r="K894" t="s">
        <v>28</v>
      </c>
      <c r="L894">
        <v>796.13</v>
      </c>
      <c r="M894">
        <v>16.899999999999999</v>
      </c>
      <c r="N894">
        <v>2023</v>
      </c>
      <c r="O894">
        <v>2</v>
      </c>
      <c r="P894" t="s">
        <v>66</v>
      </c>
      <c r="Q894">
        <v>161.37</v>
      </c>
      <c r="R894" t="s">
        <v>29</v>
      </c>
      <c r="S894">
        <v>4.9335688170043994</v>
      </c>
      <c r="T894" t="s">
        <v>78</v>
      </c>
    </row>
    <row r="895" spans="1:20" x14ac:dyDescent="0.25">
      <c r="A895" s="11">
        <v>44951</v>
      </c>
      <c r="B895" t="s">
        <v>58</v>
      </c>
      <c r="C895" t="s">
        <v>59</v>
      </c>
      <c r="D895" t="s">
        <v>37</v>
      </c>
      <c r="E895" t="s">
        <v>38</v>
      </c>
      <c r="F895">
        <v>88</v>
      </c>
      <c r="G895">
        <v>8.92</v>
      </c>
      <c r="H895">
        <v>784.96</v>
      </c>
      <c r="I895" t="s">
        <v>26</v>
      </c>
      <c r="J895" t="s">
        <v>47</v>
      </c>
      <c r="K895" t="s">
        <v>23</v>
      </c>
      <c r="L895">
        <v>625.24</v>
      </c>
      <c r="M895">
        <v>20.3</v>
      </c>
      <c r="N895">
        <v>2023</v>
      </c>
      <c r="O895">
        <v>1</v>
      </c>
      <c r="P895" t="s">
        <v>24</v>
      </c>
      <c r="Q895">
        <v>159.72</v>
      </c>
      <c r="R895" t="s">
        <v>29</v>
      </c>
      <c r="S895">
        <v>3.9146005509641872</v>
      </c>
      <c r="T895" t="s">
        <v>78</v>
      </c>
    </row>
    <row r="896" spans="1:20" x14ac:dyDescent="0.25">
      <c r="A896" s="11">
        <v>44955</v>
      </c>
      <c r="B896" t="s">
        <v>42</v>
      </c>
      <c r="C896" t="s">
        <v>43</v>
      </c>
      <c r="D896" t="s">
        <v>49</v>
      </c>
      <c r="E896" t="s">
        <v>50</v>
      </c>
      <c r="F896">
        <v>281</v>
      </c>
      <c r="G896">
        <v>3.98</v>
      </c>
      <c r="H896">
        <v>1118.3800000000001</v>
      </c>
      <c r="I896" t="s">
        <v>55</v>
      </c>
      <c r="J896" t="s">
        <v>40</v>
      </c>
      <c r="K896" t="s">
        <v>23</v>
      </c>
      <c r="L896">
        <v>962.47</v>
      </c>
      <c r="M896">
        <v>13.9</v>
      </c>
      <c r="N896">
        <v>2023</v>
      </c>
      <c r="O896">
        <v>1</v>
      </c>
      <c r="P896" t="s">
        <v>60</v>
      </c>
      <c r="Q896">
        <v>155.91</v>
      </c>
      <c r="R896" t="s">
        <v>29</v>
      </c>
      <c r="S896">
        <v>6.1732409723558463</v>
      </c>
      <c r="T896" t="s">
        <v>78</v>
      </c>
    </row>
    <row r="897" spans="1:20" x14ac:dyDescent="0.25">
      <c r="A897" s="11">
        <v>45121</v>
      </c>
      <c r="B897" t="s">
        <v>58</v>
      </c>
      <c r="C897" t="s">
        <v>59</v>
      </c>
      <c r="D897" t="s">
        <v>48</v>
      </c>
      <c r="E897" t="s">
        <v>38</v>
      </c>
      <c r="F897">
        <v>592</v>
      </c>
      <c r="G897">
        <v>2.37</v>
      </c>
      <c r="H897">
        <v>1403.04</v>
      </c>
      <c r="I897" t="s">
        <v>57</v>
      </c>
      <c r="J897" t="s">
        <v>22</v>
      </c>
      <c r="K897" t="s">
        <v>41</v>
      </c>
      <c r="L897">
        <v>1247.57</v>
      </c>
      <c r="M897">
        <v>11.1</v>
      </c>
      <c r="N897">
        <v>2024</v>
      </c>
      <c r="O897">
        <v>3</v>
      </c>
      <c r="P897" t="s">
        <v>66</v>
      </c>
      <c r="Q897">
        <v>155.47</v>
      </c>
      <c r="R897" t="s">
        <v>29</v>
      </c>
      <c r="S897">
        <v>8.0245063356274517</v>
      </c>
      <c r="T897" t="s">
        <v>78</v>
      </c>
    </row>
    <row r="898" spans="1:20" x14ac:dyDescent="0.25">
      <c r="A898" s="11">
        <v>45014</v>
      </c>
      <c r="B898" t="s">
        <v>42</v>
      </c>
      <c r="C898" t="s">
        <v>43</v>
      </c>
      <c r="D898" t="s">
        <v>45</v>
      </c>
      <c r="E898" t="s">
        <v>20</v>
      </c>
      <c r="F898">
        <v>166</v>
      </c>
      <c r="G898">
        <v>8.64</v>
      </c>
      <c r="H898">
        <v>1434.24</v>
      </c>
      <c r="I898" t="s">
        <v>54</v>
      </c>
      <c r="J898" t="s">
        <v>56</v>
      </c>
      <c r="K898" t="s">
        <v>23</v>
      </c>
      <c r="L898">
        <v>1279.92</v>
      </c>
      <c r="M898">
        <v>10.8</v>
      </c>
      <c r="N898">
        <v>2023</v>
      </c>
      <c r="O898">
        <v>1</v>
      </c>
      <c r="P898" t="s">
        <v>62</v>
      </c>
      <c r="Q898">
        <v>154.32</v>
      </c>
      <c r="R898" t="s">
        <v>29</v>
      </c>
      <c r="S898">
        <v>8.2939346811819608</v>
      </c>
      <c r="T898" t="s">
        <v>78</v>
      </c>
    </row>
    <row r="899" spans="1:20" x14ac:dyDescent="0.25">
      <c r="A899" s="11">
        <v>45063</v>
      </c>
      <c r="B899" t="s">
        <v>42</v>
      </c>
      <c r="C899" t="s">
        <v>43</v>
      </c>
      <c r="D899" t="s">
        <v>44</v>
      </c>
      <c r="E899" t="s">
        <v>38</v>
      </c>
      <c r="F899">
        <v>65</v>
      </c>
      <c r="G899">
        <v>10.08</v>
      </c>
      <c r="H899">
        <v>655.20000000000005</v>
      </c>
      <c r="I899" t="s">
        <v>39</v>
      </c>
      <c r="J899" t="s">
        <v>56</v>
      </c>
      <c r="K899" t="s">
        <v>23</v>
      </c>
      <c r="L899">
        <v>502.94</v>
      </c>
      <c r="M899">
        <v>23.2</v>
      </c>
      <c r="N899">
        <v>2023</v>
      </c>
      <c r="O899">
        <v>2</v>
      </c>
      <c r="P899" t="s">
        <v>65</v>
      </c>
      <c r="Q899">
        <v>152.26</v>
      </c>
      <c r="R899" t="s">
        <v>29</v>
      </c>
      <c r="S899">
        <v>3.3031656377249443</v>
      </c>
      <c r="T899" t="s">
        <v>78</v>
      </c>
    </row>
    <row r="900" spans="1:20" x14ac:dyDescent="0.25">
      <c r="A900" s="11">
        <v>45060</v>
      </c>
      <c r="B900" t="s">
        <v>30</v>
      </c>
      <c r="C900" t="s">
        <v>31</v>
      </c>
      <c r="D900" t="s">
        <v>37</v>
      </c>
      <c r="E900" t="s">
        <v>38</v>
      </c>
      <c r="F900">
        <v>182</v>
      </c>
      <c r="G900">
        <v>2.36</v>
      </c>
      <c r="H900">
        <v>429.52</v>
      </c>
      <c r="I900" t="s">
        <v>39</v>
      </c>
      <c r="J900" t="s">
        <v>27</v>
      </c>
      <c r="K900" t="s">
        <v>23</v>
      </c>
      <c r="L900">
        <v>278.63</v>
      </c>
      <c r="M900">
        <v>35.1</v>
      </c>
      <c r="N900">
        <v>2023</v>
      </c>
      <c r="O900">
        <v>2</v>
      </c>
      <c r="P900" t="s">
        <v>65</v>
      </c>
      <c r="Q900">
        <v>150.88999999999999</v>
      </c>
      <c r="R900" t="s">
        <v>25</v>
      </c>
      <c r="S900">
        <v>1.8465769766054743</v>
      </c>
      <c r="T900" t="s">
        <v>78</v>
      </c>
    </row>
    <row r="901" spans="1:20" x14ac:dyDescent="0.25">
      <c r="A901" s="11">
        <v>44928</v>
      </c>
      <c r="B901" t="s">
        <v>30</v>
      </c>
      <c r="C901" t="s">
        <v>31</v>
      </c>
      <c r="D901" t="s">
        <v>45</v>
      </c>
      <c r="E901" t="s">
        <v>20</v>
      </c>
      <c r="F901">
        <v>142</v>
      </c>
      <c r="G901">
        <v>2.72</v>
      </c>
      <c r="H901">
        <v>386.24</v>
      </c>
      <c r="I901" t="s">
        <v>21</v>
      </c>
      <c r="J901" t="s">
        <v>47</v>
      </c>
      <c r="K901" t="s">
        <v>41</v>
      </c>
      <c r="L901">
        <v>235.66</v>
      </c>
      <c r="M901">
        <v>39</v>
      </c>
      <c r="N901">
        <v>2023</v>
      </c>
      <c r="O901">
        <v>1</v>
      </c>
      <c r="P901" t="s">
        <v>24</v>
      </c>
      <c r="Q901">
        <v>150.58000000000001</v>
      </c>
      <c r="R901" t="s">
        <v>25</v>
      </c>
      <c r="S901">
        <v>1.5650152742728116</v>
      </c>
      <c r="T901" t="s">
        <v>78</v>
      </c>
    </row>
    <row r="902" spans="1:20" x14ac:dyDescent="0.25">
      <c r="A902" s="11">
        <v>44934</v>
      </c>
      <c r="B902" t="s">
        <v>17</v>
      </c>
      <c r="C902" t="s">
        <v>18</v>
      </c>
      <c r="D902" t="s">
        <v>37</v>
      </c>
      <c r="E902" t="s">
        <v>38</v>
      </c>
      <c r="F902">
        <v>218</v>
      </c>
      <c r="G902">
        <v>2.79</v>
      </c>
      <c r="H902">
        <v>608.22</v>
      </c>
      <c r="I902" t="s">
        <v>39</v>
      </c>
      <c r="J902" t="s">
        <v>56</v>
      </c>
      <c r="K902" t="s">
        <v>23</v>
      </c>
      <c r="L902">
        <v>458.11</v>
      </c>
      <c r="M902">
        <v>24.7</v>
      </c>
      <c r="N902">
        <v>2023</v>
      </c>
      <c r="O902">
        <v>1</v>
      </c>
      <c r="P902" t="s">
        <v>24</v>
      </c>
      <c r="Q902">
        <v>150.11000000000001</v>
      </c>
      <c r="R902" t="s">
        <v>29</v>
      </c>
      <c r="S902">
        <v>3.0518286589834118</v>
      </c>
      <c r="T902" t="s">
        <v>78</v>
      </c>
    </row>
    <row r="903" spans="1:20" x14ac:dyDescent="0.25">
      <c r="A903" s="11">
        <v>45030</v>
      </c>
      <c r="B903" t="s">
        <v>17</v>
      </c>
      <c r="C903" t="s">
        <v>18</v>
      </c>
      <c r="D903" t="s">
        <v>32</v>
      </c>
      <c r="E903" t="s">
        <v>20</v>
      </c>
      <c r="F903">
        <v>233</v>
      </c>
      <c r="G903">
        <v>6.18</v>
      </c>
      <c r="H903">
        <v>1439.94</v>
      </c>
      <c r="I903" t="s">
        <v>46</v>
      </c>
      <c r="J903" t="s">
        <v>40</v>
      </c>
      <c r="K903" t="s">
        <v>28</v>
      </c>
      <c r="L903">
        <v>1292.8800000000001</v>
      </c>
      <c r="M903">
        <v>10.199999999999999</v>
      </c>
      <c r="N903">
        <v>2023</v>
      </c>
      <c r="O903">
        <v>2</v>
      </c>
      <c r="P903" t="s">
        <v>63</v>
      </c>
      <c r="Q903">
        <v>147.06</v>
      </c>
      <c r="R903" t="s">
        <v>29</v>
      </c>
      <c r="S903">
        <v>8.7915136678906567</v>
      </c>
      <c r="T903" t="s">
        <v>78</v>
      </c>
    </row>
    <row r="904" spans="1:20" x14ac:dyDescent="0.25">
      <c r="A904" s="11">
        <v>44987</v>
      </c>
      <c r="B904" t="s">
        <v>35</v>
      </c>
      <c r="C904" t="s">
        <v>36</v>
      </c>
      <c r="D904" t="s">
        <v>44</v>
      </c>
      <c r="E904" t="s">
        <v>38</v>
      </c>
      <c r="F904">
        <v>91</v>
      </c>
      <c r="G904">
        <v>4.68</v>
      </c>
      <c r="H904">
        <v>425.88</v>
      </c>
      <c r="I904" t="s">
        <v>39</v>
      </c>
      <c r="J904" t="s">
        <v>22</v>
      </c>
      <c r="K904" t="s">
        <v>28</v>
      </c>
      <c r="L904">
        <v>280.68</v>
      </c>
      <c r="M904">
        <v>34.1</v>
      </c>
      <c r="N904">
        <v>2023</v>
      </c>
      <c r="O904">
        <v>1</v>
      </c>
      <c r="P904" t="s">
        <v>61</v>
      </c>
      <c r="Q904">
        <v>145.19999999999999</v>
      </c>
      <c r="R904" t="s">
        <v>25</v>
      </c>
      <c r="S904">
        <v>1.9330578512396697</v>
      </c>
      <c r="T904" t="s">
        <v>78</v>
      </c>
    </row>
    <row r="905" spans="1:20" x14ac:dyDescent="0.25">
      <c r="A905" s="11">
        <v>44958</v>
      </c>
      <c r="B905" t="s">
        <v>42</v>
      </c>
      <c r="C905" t="s">
        <v>43</v>
      </c>
      <c r="D905" t="s">
        <v>53</v>
      </c>
      <c r="E905" t="s">
        <v>50</v>
      </c>
      <c r="F905">
        <v>307</v>
      </c>
      <c r="G905">
        <v>2.3199999999999998</v>
      </c>
      <c r="H905">
        <v>712.24</v>
      </c>
      <c r="I905" t="s">
        <v>21</v>
      </c>
      <c r="J905" t="s">
        <v>56</v>
      </c>
      <c r="K905" t="s">
        <v>28</v>
      </c>
      <c r="L905">
        <v>568.07000000000005</v>
      </c>
      <c r="M905">
        <v>20.2</v>
      </c>
      <c r="N905">
        <v>2023</v>
      </c>
      <c r="O905">
        <v>1</v>
      </c>
      <c r="P905" t="s">
        <v>60</v>
      </c>
      <c r="Q905">
        <v>144.16999999999999</v>
      </c>
      <c r="R905" t="s">
        <v>29</v>
      </c>
      <c r="S905">
        <v>3.9402788374835271</v>
      </c>
      <c r="T905" t="s">
        <v>78</v>
      </c>
    </row>
    <row r="906" spans="1:20" x14ac:dyDescent="0.25">
      <c r="A906" s="11">
        <v>45039</v>
      </c>
      <c r="B906" t="s">
        <v>17</v>
      </c>
      <c r="C906" t="s">
        <v>18</v>
      </c>
      <c r="D906" t="s">
        <v>44</v>
      </c>
      <c r="E906" t="s">
        <v>38</v>
      </c>
      <c r="F906">
        <v>152</v>
      </c>
      <c r="G906">
        <v>7.83</v>
      </c>
      <c r="H906">
        <v>1190.1600000000001</v>
      </c>
      <c r="I906" t="s">
        <v>33</v>
      </c>
      <c r="J906" t="s">
        <v>56</v>
      </c>
      <c r="K906" t="s">
        <v>41</v>
      </c>
      <c r="L906">
        <v>1048.1300000000001</v>
      </c>
      <c r="M906">
        <v>11.9</v>
      </c>
      <c r="N906">
        <v>2023</v>
      </c>
      <c r="O906">
        <v>2</v>
      </c>
      <c r="P906" t="s">
        <v>63</v>
      </c>
      <c r="Q906">
        <v>142.03</v>
      </c>
      <c r="R906" t="s">
        <v>29</v>
      </c>
      <c r="S906">
        <v>7.3796381046257844</v>
      </c>
      <c r="T906" t="s">
        <v>78</v>
      </c>
    </row>
    <row r="907" spans="1:20" x14ac:dyDescent="0.25">
      <c r="A907" s="11">
        <v>45060</v>
      </c>
      <c r="B907" t="s">
        <v>58</v>
      </c>
      <c r="C907" t="s">
        <v>59</v>
      </c>
      <c r="D907" t="s">
        <v>53</v>
      </c>
      <c r="E907" t="s">
        <v>50</v>
      </c>
      <c r="F907">
        <v>101</v>
      </c>
      <c r="G907">
        <v>4.04</v>
      </c>
      <c r="H907">
        <v>408.04</v>
      </c>
      <c r="I907" t="s">
        <v>54</v>
      </c>
      <c r="J907" t="s">
        <v>47</v>
      </c>
      <c r="K907" t="s">
        <v>41</v>
      </c>
      <c r="L907">
        <v>266.69</v>
      </c>
      <c r="M907">
        <v>34.6</v>
      </c>
      <c r="N907">
        <v>2023</v>
      </c>
      <c r="O907">
        <v>2</v>
      </c>
      <c r="P907" t="s">
        <v>65</v>
      </c>
      <c r="Q907">
        <v>141.35</v>
      </c>
      <c r="R907" t="s">
        <v>25</v>
      </c>
      <c r="S907">
        <v>1.8867350548284401</v>
      </c>
      <c r="T907" t="s">
        <v>78</v>
      </c>
    </row>
    <row r="908" spans="1:20" x14ac:dyDescent="0.25">
      <c r="A908" s="11">
        <v>45110</v>
      </c>
      <c r="B908" t="s">
        <v>58</v>
      </c>
      <c r="C908" t="s">
        <v>59</v>
      </c>
      <c r="D908" t="s">
        <v>53</v>
      </c>
      <c r="E908" t="s">
        <v>50</v>
      </c>
      <c r="F908">
        <v>198</v>
      </c>
      <c r="G908">
        <v>3.19</v>
      </c>
      <c r="H908">
        <v>631.62</v>
      </c>
      <c r="I908" t="s">
        <v>46</v>
      </c>
      <c r="J908" t="s">
        <v>47</v>
      </c>
      <c r="K908" t="s">
        <v>23</v>
      </c>
      <c r="L908">
        <v>490.4</v>
      </c>
      <c r="M908">
        <v>22.4</v>
      </c>
      <c r="N908">
        <v>2024</v>
      </c>
      <c r="O908">
        <v>3</v>
      </c>
      <c r="P908" t="s">
        <v>61</v>
      </c>
      <c r="Q908">
        <v>141.22</v>
      </c>
      <c r="R908" t="s">
        <v>29</v>
      </c>
      <c r="S908">
        <v>3.4725959495822121</v>
      </c>
      <c r="T908" t="s">
        <v>78</v>
      </c>
    </row>
    <row r="909" spans="1:20" x14ac:dyDescent="0.25">
      <c r="A909" s="11">
        <v>44973</v>
      </c>
      <c r="B909" t="s">
        <v>51</v>
      </c>
      <c r="C909" t="s">
        <v>52</v>
      </c>
      <c r="D909" t="s">
        <v>44</v>
      </c>
      <c r="E909" t="s">
        <v>38</v>
      </c>
      <c r="F909">
        <v>65</v>
      </c>
      <c r="G909">
        <v>8.0299999999999994</v>
      </c>
      <c r="H909">
        <v>521.95000000000005</v>
      </c>
      <c r="I909" t="s">
        <v>46</v>
      </c>
      <c r="J909" t="s">
        <v>40</v>
      </c>
      <c r="K909" t="s">
        <v>41</v>
      </c>
      <c r="L909">
        <v>382.39</v>
      </c>
      <c r="M909">
        <v>26.7</v>
      </c>
      <c r="N909">
        <v>2023</v>
      </c>
      <c r="O909">
        <v>1</v>
      </c>
      <c r="P909" t="s">
        <v>60</v>
      </c>
      <c r="Q909">
        <v>139.56</v>
      </c>
      <c r="R909" t="s">
        <v>25</v>
      </c>
      <c r="S909">
        <v>2.7399684723416451</v>
      </c>
      <c r="T909" t="s">
        <v>78</v>
      </c>
    </row>
    <row r="910" spans="1:20" x14ac:dyDescent="0.25">
      <c r="A910" s="11">
        <v>44969</v>
      </c>
      <c r="B910" t="s">
        <v>58</v>
      </c>
      <c r="C910" t="s">
        <v>59</v>
      </c>
      <c r="D910" t="s">
        <v>53</v>
      </c>
      <c r="E910" t="s">
        <v>50</v>
      </c>
      <c r="F910">
        <v>139</v>
      </c>
      <c r="G910">
        <v>5.37</v>
      </c>
      <c r="H910">
        <v>746.43</v>
      </c>
      <c r="I910" t="s">
        <v>55</v>
      </c>
      <c r="J910" t="s">
        <v>22</v>
      </c>
      <c r="K910" t="s">
        <v>23</v>
      </c>
      <c r="L910">
        <v>607.48</v>
      </c>
      <c r="M910">
        <v>18.600000000000001</v>
      </c>
      <c r="N910">
        <v>2023</v>
      </c>
      <c r="O910">
        <v>1</v>
      </c>
      <c r="P910" t="s">
        <v>60</v>
      </c>
      <c r="Q910">
        <v>138.94999999999999</v>
      </c>
      <c r="R910" t="s">
        <v>29</v>
      </c>
      <c r="S910">
        <v>4.3719323497661033</v>
      </c>
      <c r="T910" t="s">
        <v>78</v>
      </c>
    </row>
    <row r="911" spans="1:20" x14ac:dyDescent="0.25">
      <c r="A911" s="11">
        <v>45019</v>
      </c>
      <c r="B911" t="s">
        <v>58</v>
      </c>
      <c r="C911" t="s">
        <v>59</v>
      </c>
      <c r="D911" t="s">
        <v>19</v>
      </c>
      <c r="E911" t="s">
        <v>20</v>
      </c>
      <c r="F911">
        <v>118</v>
      </c>
      <c r="G911">
        <v>9.0299999999999994</v>
      </c>
      <c r="H911">
        <v>1065.54</v>
      </c>
      <c r="I911" t="s">
        <v>55</v>
      </c>
      <c r="J911" t="s">
        <v>56</v>
      </c>
      <c r="K911" t="s">
        <v>41</v>
      </c>
      <c r="L911">
        <v>927.88</v>
      </c>
      <c r="M911">
        <v>12.9</v>
      </c>
      <c r="N911">
        <v>2023</v>
      </c>
      <c r="O911">
        <v>2</v>
      </c>
      <c r="P911" t="s">
        <v>62</v>
      </c>
      <c r="Q911">
        <v>137.66</v>
      </c>
      <c r="R911" t="s">
        <v>29</v>
      </c>
      <c r="S911">
        <v>6.7403748365538281</v>
      </c>
      <c r="T911" t="s">
        <v>78</v>
      </c>
    </row>
    <row r="912" spans="1:20" x14ac:dyDescent="0.25">
      <c r="A912" s="11">
        <v>45114</v>
      </c>
      <c r="B912" t="s">
        <v>42</v>
      </c>
      <c r="C912" t="s">
        <v>43</v>
      </c>
      <c r="D912" t="s">
        <v>37</v>
      </c>
      <c r="E912" t="s">
        <v>38</v>
      </c>
      <c r="F912">
        <v>102</v>
      </c>
      <c r="G912">
        <v>5.49</v>
      </c>
      <c r="H912">
        <v>559.98</v>
      </c>
      <c r="I912" t="s">
        <v>46</v>
      </c>
      <c r="J912" t="s">
        <v>22</v>
      </c>
      <c r="K912" t="s">
        <v>23</v>
      </c>
      <c r="L912">
        <v>425.39</v>
      </c>
      <c r="M912">
        <v>24</v>
      </c>
      <c r="N912">
        <v>2024</v>
      </c>
      <c r="O912">
        <v>3</v>
      </c>
      <c r="P912" t="s">
        <v>62</v>
      </c>
      <c r="Q912">
        <v>134.59</v>
      </c>
      <c r="R912" t="s">
        <v>29</v>
      </c>
      <c r="S912">
        <v>3.1606360056467788</v>
      </c>
      <c r="T912" t="s">
        <v>78</v>
      </c>
    </row>
    <row r="913" spans="1:20" x14ac:dyDescent="0.25">
      <c r="A913" s="11">
        <v>45004</v>
      </c>
      <c r="B913" t="s">
        <v>30</v>
      </c>
      <c r="C913" t="s">
        <v>31</v>
      </c>
      <c r="D913" t="s">
        <v>37</v>
      </c>
      <c r="E913" t="s">
        <v>38</v>
      </c>
      <c r="F913">
        <v>100</v>
      </c>
      <c r="G913">
        <v>4.88</v>
      </c>
      <c r="H913">
        <v>488</v>
      </c>
      <c r="I913" t="s">
        <v>55</v>
      </c>
      <c r="J913" t="s">
        <v>40</v>
      </c>
      <c r="K913" t="s">
        <v>28</v>
      </c>
      <c r="L913">
        <v>353.65</v>
      </c>
      <c r="M913">
        <v>27.5</v>
      </c>
      <c r="N913">
        <v>2023</v>
      </c>
      <c r="O913">
        <v>1</v>
      </c>
      <c r="P913" t="s">
        <v>62</v>
      </c>
      <c r="Q913">
        <v>134.35</v>
      </c>
      <c r="R913" t="s">
        <v>25</v>
      </c>
      <c r="S913">
        <v>2.6323036844064012</v>
      </c>
      <c r="T913" t="s">
        <v>78</v>
      </c>
    </row>
    <row r="914" spans="1:20" x14ac:dyDescent="0.25">
      <c r="A914" s="11">
        <v>45041</v>
      </c>
      <c r="B914" t="s">
        <v>51</v>
      </c>
      <c r="C914" t="s">
        <v>52</v>
      </c>
      <c r="D914" t="s">
        <v>44</v>
      </c>
      <c r="E914" t="s">
        <v>38</v>
      </c>
      <c r="F914">
        <v>87</v>
      </c>
      <c r="G914">
        <v>5.09</v>
      </c>
      <c r="H914">
        <v>442.83</v>
      </c>
      <c r="I914" t="s">
        <v>33</v>
      </c>
      <c r="J914" t="s">
        <v>34</v>
      </c>
      <c r="K914" t="s">
        <v>23</v>
      </c>
      <c r="L914">
        <v>309.17</v>
      </c>
      <c r="M914">
        <v>30.2</v>
      </c>
      <c r="N914">
        <v>2023</v>
      </c>
      <c r="O914">
        <v>2</v>
      </c>
      <c r="P914" t="s">
        <v>64</v>
      </c>
      <c r="Q914">
        <v>133.66</v>
      </c>
      <c r="R914" t="s">
        <v>25</v>
      </c>
      <c r="S914">
        <v>2.313107885680084</v>
      </c>
      <c r="T914" t="s">
        <v>78</v>
      </c>
    </row>
    <row r="915" spans="1:20" x14ac:dyDescent="0.25">
      <c r="A915" s="11">
        <v>45091</v>
      </c>
      <c r="B915" t="s">
        <v>35</v>
      </c>
      <c r="C915" t="s">
        <v>36</v>
      </c>
      <c r="D915" t="s">
        <v>32</v>
      </c>
      <c r="E915" t="s">
        <v>20</v>
      </c>
      <c r="F915">
        <v>75</v>
      </c>
      <c r="G915">
        <v>9.2200000000000006</v>
      </c>
      <c r="H915">
        <v>691.5</v>
      </c>
      <c r="I915" t="s">
        <v>26</v>
      </c>
      <c r="J915" t="s">
        <v>56</v>
      </c>
      <c r="K915" t="s">
        <v>41</v>
      </c>
      <c r="L915">
        <v>558.44000000000005</v>
      </c>
      <c r="M915">
        <v>19.2</v>
      </c>
      <c r="N915">
        <v>2023</v>
      </c>
      <c r="O915">
        <v>2</v>
      </c>
      <c r="P915" t="s">
        <v>70</v>
      </c>
      <c r="Q915">
        <v>133.06</v>
      </c>
      <c r="R915" t="s">
        <v>29</v>
      </c>
      <c r="S915">
        <v>4.1969036524875998</v>
      </c>
      <c r="T915" t="s">
        <v>78</v>
      </c>
    </row>
    <row r="916" spans="1:20" x14ac:dyDescent="0.25">
      <c r="A916" s="11">
        <v>45015</v>
      </c>
      <c r="B916" t="s">
        <v>35</v>
      </c>
      <c r="C916" t="s">
        <v>36</v>
      </c>
      <c r="D916" t="s">
        <v>53</v>
      </c>
      <c r="E916" t="s">
        <v>50</v>
      </c>
      <c r="F916">
        <v>104</v>
      </c>
      <c r="G916">
        <v>3.74</v>
      </c>
      <c r="H916">
        <v>388.96</v>
      </c>
      <c r="I916" t="s">
        <v>55</v>
      </c>
      <c r="J916" t="s">
        <v>34</v>
      </c>
      <c r="K916" t="s">
        <v>41</v>
      </c>
      <c r="L916">
        <v>256.39</v>
      </c>
      <c r="M916">
        <v>34.1</v>
      </c>
      <c r="N916">
        <v>2023</v>
      </c>
      <c r="O916">
        <v>1</v>
      </c>
      <c r="P916" t="s">
        <v>62</v>
      </c>
      <c r="Q916">
        <v>132.57</v>
      </c>
      <c r="R916" t="s">
        <v>25</v>
      </c>
      <c r="S916">
        <v>1.9339971335898016</v>
      </c>
      <c r="T916" t="s">
        <v>78</v>
      </c>
    </row>
    <row r="917" spans="1:20" x14ac:dyDescent="0.25">
      <c r="A917" s="11">
        <v>44949</v>
      </c>
      <c r="B917" t="s">
        <v>30</v>
      </c>
      <c r="C917" t="s">
        <v>31</v>
      </c>
      <c r="D917" t="s">
        <v>48</v>
      </c>
      <c r="E917" t="s">
        <v>38</v>
      </c>
      <c r="F917">
        <v>169</v>
      </c>
      <c r="G917">
        <v>2.95</v>
      </c>
      <c r="H917">
        <v>498.55</v>
      </c>
      <c r="I917" t="s">
        <v>33</v>
      </c>
      <c r="J917" t="s">
        <v>56</v>
      </c>
      <c r="K917" t="s">
        <v>28</v>
      </c>
      <c r="L917">
        <v>366.82</v>
      </c>
      <c r="M917">
        <v>26.4</v>
      </c>
      <c r="N917">
        <v>2023</v>
      </c>
      <c r="O917">
        <v>1</v>
      </c>
      <c r="P917" t="s">
        <v>24</v>
      </c>
      <c r="Q917">
        <v>131.72999999999999</v>
      </c>
      <c r="R917" t="s">
        <v>25</v>
      </c>
      <c r="S917">
        <v>2.7846352387459197</v>
      </c>
      <c r="T917" t="s">
        <v>78</v>
      </c>
    </row>
    <row r="918" spans="1:20" x14ac:dyDescent="0.25">
      <c r="A918" s="11">
        <v>45023</v>
      </c>
      <c r="B918" t="s">
        <v>35</v>
      </c>
      <c r="C918" t="s">
        <v>36</v>
      </c>
      <c r="D918" t="s">
        <v>44</v>
      </c>
      <c r="E918" t="s">
        <v>38</v>
      </c>
      <c r="F918">
        <v>315</v>
      </c>
      <c r="G918">
        <v>3.83</v>
      </c>
      <c r="H918">
        <v>1206.45</v>
      </c>
      <c r="I918" t="s">
        <v>54</v>
      </c>
      <c r="J918" t="s">
        <v>22</v>
      </c>
      <c r="K918" t="s">
        <v>23</v>
      </c>
      <c r="L918">
        <v>1074.81</v>
      </c>
      <c r="M918">
        <v>10.9</v>
      </c>
      <c r="N918">
        <v>2023</v>
      </c>
      <c r="O918">
        <v>2</v>
      </c>
      <c r="P918" t="s">
        <v>63</v>
      </c>
      <c r="Q918">
        <v>131.63999999999999</v>
      </c>
      <c r="R918" t="s">
        <v>29</v>
      </c>
      <c r="S918">
        <v>8.1647675478577941</v>
      </c>
      <c r="T918" t="s">
        <v>78</v>
      </c>
    </row>
    <row r="919" spans="1:20" x14ac:dyDescent="0.25">
      <c r="A919" s="11">
        <v>45012</v>
      </c>
      <c r="B919" t="s">
        <v>30</v>
      </c>
      <c r="C919" t="s">
        <v>31</v>
      </c>
      <c r="D919" t="s">
        <v>53</v>
      </c>
      <c r="E919" t="s">
        <v>50</v>
      </c>
      <c r="F919">
        <v>86</v>
      </c>
      <c r="G919">
        <v>4.41</v>
      </c>
      <c r="H919">
        <v>379.26</v>
      </c>
      <c r="I919" t="s">
        <v>54</v>
      </c>
      <c r="J919" t="s">
        <v>22</v>
      </c>
      <c r="K919" t="s">
        <v>28</v>
      </c>
      <c r="L919">
        <v>248.61</v>
      </c>
      <c r="M919">
        <v>34.4</v>
      </c>
      <c r="N919">
        <v>2023</v>
      </c>
      <c r="O919">
        <v>1</v>
      </c>
      <c r="P919" t="s">
        <v>62</v>
      </c>
      <c r="Q919">
        <v>130.65</v>
      </c>
      <c r="R919" t="s">
        <v>25</v>
      </c>
      <c r="S919">
        <v>1.9028702640642938</v>
      </c>
      <c r="T919" t="s">
        <v>78</v>
      </c>
    </row>
    <row r="920" spans="1:20" x14ac:dyDescent="0.25">
      <c r="A920" s="11">
        <v>45126</v>
      </c>
      <c r="B920" t="s">
        <v>58</v>
      </c>
      <c r="C920" t="s">
        <v>59</v>
      </c>
      <c r="D920" t="s">
        <v>44</v>
      </c>
      <c r="E920" t="s">
        <v>38</v>
      </c>
      <c r="F920">
        <v>179</v>
      </c>
      <c r="G920">
        <v>2.46</v>
      </c>
      <c r="H920">
        <v>440.34</v>
      </c>
      <c r="I920" t="s">
        <v>39</v>
      </c>
      <c r="J920" t="s">
        <v>34</v>
      </c>
      <c r="K920" t="s">
        <v>23</v>
      </c>
      <c r="L920">
        <v>311.89999999999998</v>
      </c>
      <c r="M920">
        <v>29.2</v>
      </c>
      <c r="N920">
        <v>2024</v>
      </c>
      <c r="O920">
        <v>3</v>
      </c>
      <c r="P920" t="s">
        <v>70</v>
      </c>
      <c r="Q920">
        <v>128.44</v>
      </c>
      <c r="R920" t="s">
        <v>25</v>
      </c>
      <c r="S920">
        <v>2.4283712239177824</v>
      </c>
      <c r="T920" t="s">
        <v>78</v>
      </c>
    </row>
    <row r="921" spans="1:20" x14ac:dyDescent="0.25">
      <c r="A921" s="11">
        <v>45109</v>
      </c>
      <c r="B921" t="s">
        <v>30</v>
      </c>
      <c r="C921" t="s">
        <v>31</v>
      </c>
      <c r="D921" t="s">
        <v>53</v>
      </c>
      <c r="E921" t="s">
        <v>50</v>
      </c>
      <c r="F921">
        <v>73</v>
      </c>
      <c r="G921">
        <v>5.12</v>
      </c>
      <c r="H921">
        <v>373.76</v>
      </c>
      <c r="I921" t="s">
        <v>33</v>
      </c>
      <c r="J921" t="s">
        <v>27</v>
      </c>
      <c r="K921" t="s">
        <v>23</v>
      </c>
      <c r="L921">
        <v>245.79</v>
      </c>
      <c r="M921">
        <v>34.200000000000003</v>
      </c>
      <c r="N921">
        <v>2024</v>
      </c>
      <c r="O921">
        <v>3</v>
      </c>
      <c r="P921" t="s">
        <v>61</v>
      </c>
      <c r="Q921">
        <v>127.97</v>
      </c>
      <c r="R921" t="s">
        <v>25</v>
      </c>
      <c r="S921">
        <v>1.9206845354379933</v>
      </c>
      <c r="T921" t="s">
        <v>78</v>
      </c>
    </row>
    <row r="922" spans="1:20" x14ac:dyDescent="0.25">
      <c r="A922" s="11">
        <v>45056</v>
      </c>
      <c r="B922" t="s">
        <v>35</v>
      </c>
      <c r="C922" t="s">
        <v>36</v>
      </c>
      <c r="D922" t="s">
        <v>53</v>
      </c>
      <c r="E922" t="s">
        <v>50</v>
      </c>
      <c r="F922">
        <v>89</v>
      </c>
      <c r="G922">
        <v>5.48</v>
      </c>
      <c r="H922">
        <v>487.72</v>
      </c>
      <c r="I922" t="s">
        <v>39</v>
      </c>
      <c r="J922" t="s">
        <v>56</v>
      </c>
      <c r="K922" t="s">
        <v>23</v>
      </c>
      <c r="L922">
        <v>365.64</v>
      </c>
      <c r="M922">
        <v>25</v>
      </c>
      <c r="N922">
        <v>2023</v>
      </c>
      <c r="O922">
        <v>2</v>
      </c>
      <c r="P922" t="s">
        <v>65</v>
      </c>
      <c r="Q922">
        <v>122.08</v>
      </c>
      <c r="R922" t="s">
        <v>29</v>
      </c>
      <c r="S922">
        <v>2.9950851900393185</v>
      </c>
      <c r="T922" t="s">
        <v>78</v>
      </c>
    </row>
    <row r="923" spans="1:20" x14ac:dyDescent="0.25">
      <c r="A923" s="11">
        <v>45097</v>
      </c>
      <c r="B923" t="s">
        <v>58</v>
      </c>
      <c r="C923" t="s">
        <v>59</v>
      </c>
      <c r="D923" t="s">
        <v>53</v>
      </c>
      <c r="E923" t="s">
        <v>50</v>
      </c>
      <c r="F923">
        <v>182</v>
      </c>
      <c r="G923">
        <v>4.9400000000000004</v>
      </c>
      <c r="H923">
        <v>899.08</v>
      </c>
      <c r="I923" t="s">
        <v>39</v>
      </c>
      <c r="J923" t="s">
        <v>34</v>
      </c>
      <c r="K923" t="s">
        <v>23</v>
      </c>
      <c r="L923">
        <v>778.2</v>
      </c>
      <c r="M923">
        <v>13.4</v>
      </c>
      <c r="N923">
        <v>2023</v>
      </c>
      <c r="O923">
        <v>2</v>
      </c>
      <c r="P923" t="s">
        <v>70</v>
      </c>
      <c r="Q923">
        <v>120.88</v>
      </c>
      <c r="R923" t="s">
        <v>29</v>
      </c>
      <c r="S923">
        <v>6.4377895433487762</v>
      </c>
      <c r="T923" t="s">
        <v>78</v>
      </c>
    </row>
    <row r="924" spans="1:20" x14ac:dyDescent="0.25">
      <c r="A924" s="11">
        <v>45039</v>
      </c>
      <c r="B924" t="s">
        <v>35</v>
      </c>
      <c r="C924" t="s">
        <v>36</v>
      </c>
      <c r="D924" t="s">
        <v>45</v>
      </c>
      <c r="E924" t="s">
        <v>20</v>
      </c>
      <c r="F924">
        <v>76</v>
      </c>
      <c r="G924">
        <v>5.8</v>
      </c>
      <c r="H924">
        <v>440.8</v>
      </c>
      <c r="I924" t="s">
        <v>54</v>
      </c>
      <c r="J924" t="s">
        <v>22</v>
      </c>
      <c r="K924" t="s">
        <v>23</v>
      </c>
      <c r="L924">
        <v>320.5</v>
      </c>
      <c r="M924">
        <v>27.3</v>
      </c>
      <c r="N924">
        <v>2023</v>
      </c>
      <c r="O924">
        <v>2</v>
      </c>
      <c r="P924" t="s">
        <v>63</v>
      </c>
      <c r="Q924">
        <v>120.3</v>
      </c>
      <c r="R924" t="s">
        <v>25</v>
      </c>
      <c r="S924">
        <v>2.6641729010806317</v>
      </c>
      <c r="T924" t="s">
        <v>78</v>
      </c>
    </row>
    <row r="925" spans="1:20" x14ac:dyDescent="0.25">
      <c r="A925" s="11">
        <v>45005</v>
      </c>
      <c r="B925" t="s">
        <v>17</v>
      </c>
      <c r="C925" t="s">
        <v>18</v>
      </c>
      <c r="D925" t="s">
        <v>48</v>
      </c>
      <c r="E925" t="s">
        <v>38</v>
      </c>
      <c r="F925">
        <v>129</v>
      </c>
      <c r="G925">
        <v>5.04</v>
      </c>
      <c r="H925">
        <v>650.16</v>
      </c>
      <c r="I925" t="s">
        <v>46</v>
      </c>
      <c r="J925" t="s">
        <v>56</v>
      </c>
      <c r="K925" t="s">
        <v>28</v>
      </c>
      <c r="L925">
        <v>529.94000000000005</v>
      </c>
      <c r="M925">
        <v>18.5</v>
      </c>
      <c r="N925">
        <v>2023</v>
      </c>
      <c r="O925">
        <v>1</v>
      </c>
      <c r="P925" t="s">
        <v>62</v>
      </c>
      <c r="Q925">
        <v>120.22</v>
      </c>
      <c r="R925" t="s">
        <v>29</v>
      </c>
      <c r="S925">
        <v>4.4080851771751792</v>
      </c>
      <c r="T925" t="s">
        <v>78</v>
      </c>
    </row>
    <row r="926" spans="1:20" x14ac:dyDescent="0.25">
      <c r="A926" s="11">
        <v>45010</v>
      </c>
      <c r="B926" t="s">
        <v>30</v>
      </c>
      <c r="C926" t="s">
        <v>31</v>
      </c>
      <c r="D926" t="s">
        <v>32</v>
      </c>
      <c r="E926" t="s">
        <v>20</v>
      </c>
      <c r="F926">
        <v>200</v>
      </c>
      <c r="G926">
        <v>2.0699999999999998</v>
      </c>
      <c r="H926">
        <v>414</v>
      </c>
      <c r="I926" t="s">
        <v>39</v>
      </c>
      <c r="J926" t="s">
        <v>27</v>
      </c>
      <c r="K926" t="s">
        <v>41</v>
      </c>
      <c r="L926">
        <v>295.68</v>
      </c>
      <c r="M926">
        <v>28.6</v>
      </c>
      <c r="N926">
        <v>2023</v>
      </c>
      <c r="O926">
        <v>1</v>
      </c>
      <c r="P926" t="s">
        <v>62</v>
      </c>
      <c r="Q926">
        <v>118.32</v>
      </c>
      <c r="R926" t="s">
        <v>25</v>
      </c>
      <c r="S926">
        <v>2.4989858012170387</v>
      </c>
      <c r="T926" t="s">
        <v>78</v>
      </c>
    </row>
    <row r="927" spans="1:20" x14ac:dyDescent="0.25">
      <c r="A927" s="11">
        <v>45101</v>
      </c>
      <c r="B927" t="s">
        <v>51</v>
      </c>
      <c r="C927" t="s">
        <v>52</v>
      </c>
      <c r="D927" t="s">
        <v>49</v>
      </c>
      <c r="E927" t="s">
        <v>50</v>
      </c>
      <c r="F927">
        <v>297</v>
      </c>
      <c r="G927">
        <v>2.4300000000000002</v>
      </c>
      <c r="H927">
        <v>721.71</v>
      </c>
      <c r="I927" t="s">
        <v>21</v>
      </c>
      <c r="J927" t="s">
        <v>34</v>
      </c>
      <c r="K927" t="s">
        <v>23</v>
      </c>
      <c r="L927">
        <v>606.23</v>
      </c>
      <c r="M927">
        <v>16</v>
      </c>
      <c r="N927">
        <v>2024</v>
      </c>
      <c r="O927">
        <v>2</v>
      </c>
      <c r="P927" t="s">
        <v>24</v>
      </c>
      <c r="Q927">
        <v>115.48</v>
      </c>
      <c r="R927" t="s">
        <v>29</v>
      </c>
      <c r="S927">
        <v>5.2496536196744028</v>
      </c>
      <c r="T927" t="s">
        <v>78</v>
      </c>
    </row>
    <row r="928" spans="1:20" x14ac:dyDescent="0.25">
      <c r="A928" s="11">
        <v>45069</v>
      </c>
      <c r="B928" t="s">
        <v>17</v>
      </c>
      <c r="C928" t="s">
        <v>18</v>
      </c>
      <c r="D928" t="s">
        <v>19</v>
      </c>
      <c r="E928" t="s">
        <v>20</v>
      </c>
      <c r="F928">
        <v>238</v>
      </c>
      <c r="G928">
        <v>3.43</v>
      </c>
      <c r="H928">
        <v>816.34</v>
      </c>
      <c r="I928" t="s">
        <v>57</v>
      </c>
      <c r="J928" t="s">
        <v>40</v>
      </c>
      <c r="K928" t="s">
        <v>23</v>
      </c>
      <c r="L928">
        <v>701.58</v>
      </c>
      <c r="M928">
        <v>14.1</v>
      </c>
      <c r="N928">
        <v>2023</v>
      </c>
      <c r="O928">
        <v>2</v>
      </c>
      <c r="P928" t="s">
        <v>66</v>
      </c>
      <c r="Q928">
        <v>114.76</v>
      </c>
      <c r="R928" t="s">
        <v>29</v>
      </c>
      <c r="S928">
        <v>6.1134541652143604</v>
      </c>
      <c r="T928" t="s">
        <v>78</v>
      </c>
    </row>
    <row r="929" spans="1:20" x14ac:dyDescent="0.25">
      <c r="A929" s="11">
        <v>45055</v>
      </c>
      <c r="B929" t="s">
        <v>35</v>
      </c>
      <c r="C929" t="s">
        <v>36</v>
      </c>
      <c r="D929" t="s">
        <v>37</v>
      </c>
      <c r="E929" t="s">
        <v>38</v>
      </c>
      <c r="F929">
        <v>62</v>
      </c>
      <c r="G929">
        <v>9.6300000000000008</v>
      </c>
      <c r="H929">
        <v>597.05999999999995</v>
      </c>
      <c r="I929" t="s">
        <v>55</v>
      </c>
      <c r="J929" t="s">
        <v>34</v>
      </c>
      <c r="K929" t="s">
        <v>28</v>
      </c>
      <c r="L929">
        <v>483.71</v>
      </c>
      <c r="M929">
        <v>19</v>
      </c>
      <c r="N929">
        <v>2023</v>
      </c>
      <c r="O929">
        <v>2</v>
      </c>
      <c r="P929" t="s">
        <v>65</v>
      </c>
      <c r="Q929">
        <v>113.35</v>
      </c>
      <c r="R929" t="s">
        <v>29</v>
      </c>
      <c r="S929">
        <v>4.2674018526687254</v>
      </c>
      <c r="T929" t="s">
        <v>78</v>
      </c>
    </row>
    <row r="930" spans="1:20" x14ac:dyDescent="0.25">
      <c r="A930" s="11">
        <v>44979</v>
      </c>
      <c r="B930" t="s">
        <v>17</v>
      </c>
      <c r="C930" t="s">
        <v>18</v>
      </c>
      <c r="D930" t="s">
        <v>44</v>
      </c>
      <c r="E930" t="s">
        <v>38</v>
      </c>
      <c r="F930">
        <v>60</v>
      </c>
      <c r="G930">
        <v>6.53</v>
      </c>
      <c r="H930">
        <v>391.8</v>
      </c>
      <c r="I930" t="s">
        <v>33</v>
      </c>
      <c r="J930" t="s">
        <v>47</v>
      </c>
      <c r="K930" t="s">
        <v>28</v>
      </c>
      <c r="L930">
        <v>278.58</v>
      </c>
      <c r="M930">
        <v>28.9</v>
      </c>
      <c r="N930">
        <v>2023</v>
      </c>
      <c r="O930">
        <v>1</v>
      </c>
      <c r="P930" t="s">
        <v>61</v>
      </c>
      <c r="Q930">
        <v>113.22</v>
      </c>
      <c r="R930" t="s">
        <v>25</v>
      </c>
      <c r="S930">
        <v>2.460519342872284</v>
      </c>
      <c r="T930" t="s">
        <v>78</v>
      </c>
    </row>
    <row r="931" spans="1:20" x14ac:dyDescent="0.25">
      <c r="A931" s="11">
        <v>45090</v>
      </c>
      <c r="B931" t="s">
        <v>51</v>
      </c>
      <c r="C931" t="s">
        <v>52</v>
      </c>
      <c r="D931" t="s">
        <v>48</v>
      </c>
      <c r="E931" t="s">
        <v>38</v>
      </c>
      <c r="F931">
        <v>149</v>
      </c>
      <c r="G931">
        <v>5.08</v>
      </c>
      <c r="H931">
        <v>756.92</v>
      </c>
      <c r="I931" t="s">
        <v>57</v>
      </c>
      <c r="J931" t="s">
        <v>27</v>
      </c>
      <c r="K931" t="s">
        <v>23</v>
      </c>
      <c r="L931">
        <v>644.88</v>
      </c>
      <c r="M931">
        <v>14.8</v>
      </c>
      <c r="N931">
        <v>2023</v>
      </c>
      <c r="O931">
        <v>2</v>
      </c>
      <c r="P931" t="s">
        <v>69</v>
      </c>
      <c r="Q931">
        <v>112.04</v>
      </c>
      <c r="R931" t="s">
        <v>29</v>
      </c>
      <c r="S931">
        <v>5.7558014994644768</v>
      </c>
      <c r="T931" t="s">
        <v>78</v>
      </c>
    </row>
    <row r="932" spans="1:20" x14ac:dyDescent="0.25">
      <c r="A932" s="11">
        <v>45047</v>
      </c>
      <c r="B932" t="s">
        <v>30</v>
      </c>
      <c r="C932" t="s">
        <v>31</v>
      </c>
      <c r="D932" t="s">
        <v>49</v>
      </c>
      <c r="E932" t="s">
        <v>50</v>
      </c>
      <c r="F932">
        <v>168</v>
      </c>
      <c r="G932">
        <v>4.32</v>
      </c>
      <c r="H932">
        <v>725.76</v>
      </c>
      <c r="I932" t="s">
        <v>57</v>
      </c>
      <c r="J932" t="s">
        <v>22</v>
      </c>
      <c r="K932" t="s">
        <v>28</v>
      </c>
      <c r="L932">
        <v>613.84</v>
      </c>
      <c r="M932">
        <v>15.4</v>
      </c>
      <c r="N932">
        <v>2023</v>
      </c>
      <c r="O932">
        <v>2</v>
      </c>
      <c r="P932" t="s">
        <v>64</v>
      </c>
      <c r="Q932">
        <v>111.92</v>
      </c>
      <c r="R932" t="s">
        <v>29</v>
      </c>
      <c r="S932">
        <v>5.4846318799142244</v>
      </c>
      <c r="T932" t="s">
        <v>78</v>
      </c>
    </row>
    <row r="933" spans="1:20" x14ac:dyDescent="0.25">
      <c r="A933" s="11">
        <v>44957</v>
      </c>
      <c r="B933" t="s">
        <v>42</v>
      </c>
      <c r="C933" t="s">
        <v>43</v>
      </c>
      <c r="D933" t="s">
        <v>19</v>
      </c>
      <c r="E933" t="s">
        <v>20</v>
      </c>
      <c r="F933">
        <v>338</v>
      </c>
      <c r="G933">
        <v>2.08</v>
      </c>
      <c r="H933">
        <v>703.04</v>
      </c>
      <c r="I933" t="s">
        <v>55</v>
      </c>
      <c r="J933" t="s">
        <v>47</v>
      </c>
      <c r="K933" t="s">
        <v>28</v>
      </c>
      <c r="L933">
        <v>591.15</v>
      </c>
      <c r="M933">
        <v>15.9</v>
      </c>
      <c r="N933">
        <v>2023</v>
      </c>
      <c r="O933">
        <v>1</v>
      </c>
      <c r="P933" t="s">
        <v>60</v>
      </c>
      <c r="Q933">
        <v>111.89</v>
      </c>
      <c r="R933" t="s">
        <v>29</v>
      </c>
      <c r="S933">
        <v>5.2833139690767714</v>
      </c>
      <c r="T933" t="s">
        <v>78</v>
      </c>
    </row>
    <row r="934" spans="1:20" x14ac:dyDescent="0.25">
      <c r="A934" s="11">
        <v>45105</v>
      </c>
      <c r="B934" t="s">
        <v>17</v>
      </c>
      <c r="C934" t="s">
        <v>18</v>
      </c>
      <c r="D934" t="s">
        <v>44</v>
      </c>
      <c r="E934" t="s">
        <v>38</v>
      </c>
      <c r="F934">
        <v>153</v>
      </c>
      <c r="G934">
        <v>3.02</v>
      </c>
      <c r="H934">
        <v>462.06</v>
      </c>
      <c r="I934" t="s">
        <v>55</v>
      </c>
      <c r="J934" t="s">
        <v>40</v>
      </c>
      <c r="K934" t="s">
        <v>28</v>
      </c>
      <c r="L934">
        <v>350.82</v>
      </c>
      <c r="M934">
        <v>24.1</v>
      </c>
      <c r="N934">
        <v>2024</v>
      </c>
      <c r="O934">
        <v>2</v>
      </c>
      <c r="P934" t="s">
        <v>60</v>
      </c>
      <c r="Q934">
        <v>111.24</v>
      </c>
      <c r="R934" t="s">
        <v>29</v>
      </c>
      <c r="S934">
        <v>3.1537216828478964</v>
      </c>
      <c r="T934" t="s">
        <v>78</v>
      </c>
    </row>
    <row r="935" spans="1:20" x14ac:dyDescent="0.25">
      <c r="A935" s="11">
        <v>45030</v>
      </c>
      <c r="B935" t="s">
        <v>17</v>
      </c>
      <c r="C935" t="s">
        <v>18</v>
      </c>
      <c r="D935" t="s">
        <v>44</v>
      </c>
      <c r="E935" t="s">
        <v>38</v>
      </c>
      <c r="F935">
        <v>158</v>
      </c>
      <c r="G935">
        <v>3.79</v>
      </c>
      <c r="H935">
        <v>598.82000000000005</v>
      </c>
      <c r="I935" t="s">
        <v>33</v>
      </c>
      <c r="J935" t="s">
        <v>27</v>
      </c>
      <c r="K935" t="s">
        <v>23</v>
      </c>
      <c r="L935">
        <v>487.71</v>
      </c>
      <c r="M935">
        <v>18.600000000000001</v>
      </c>
      <c r="N935">
        <v>2023</v>
      </c>
      <c r="O935">
        <v>2</v>
      </c>
      <c r="P935" t="s">
        <v>63</v>
      </c>
      <c r="Q935">
        <v>111.11</v>
      </c>
      <c r="R935" t="s">
        <v>29</v>
      </c>
      <c r="S935">
        <v>4.3894338943389428</v>
      </c>
      <c r="T935" t="s">
        <v>78</v>
      </c>
    </row>
    <row r="936" spans="1:20" x14ac:dyDescent="0.25">
      <c r="A936" s="11">
        <v>44966</v>
      </c>
      <c r="B936" t="s">
        <v>58</v>
      </c>
      <c r="C936" t="s">
        <v>59</v>
      </c>
      <c r="D936" t="s">
        <v>32</v>
      </c>
      <c r="E936" t="s">
        <v>20</v>
      </c>
      <c r="F936">
        <v>91</v>
      </c>
      <c r="G936">
        <v>3.3</v>
      </c>
      <c r="H936">
        <v>300.3</v>
      </c>
      <c r="I936" t="s">
        <v>26</v>
      </c>
      <c r="J936" t="s">
        <v>56</v>
      </c>
      <c r="K936" t="s">
        <v>41</v>
      </c>
      <c r="L936">
        <v>189.58</v>
      </c>
      <c r="M936">
        <v>36.9</v>
      </c>
      <c r="N936">
        <v>2023</v>
      </c>
      <c r="O936">
        <v>1</v>
      </c>
      <c r="P936" t="s">
        <v>60</v>
      </c>
      <c r="Q936">
        <v>110.72</v>
      </c>
      <c r="R936" t="s">
        <v>25</v>
      </c>
      <c r="S936">
        <v>1.7122471098265897</v>
      </c>
      <c r="T936" t="s">
        <v>78</v>
      </c>
    </row>
    <row r="937" spans="1:20" x14ac:dyDescent="0.25">
      <c r="A937" s="11">
        <v>44943</v>
      </c>
      <c r="B937" t="s">
        <v>30</v>
      </c>
      <c r="C937" t="s">
        <v>31</v>
      </c>
      <c r="D937" t="s">
        <v>37</v>
      </c>
      <c r="E937" t="s">
        <v>38</v>
      </c>
      <c r="F937">
        <v>57</v>
      </c>
      <c r="G937">
        <v>11.24</v>
      </c>
      <c r="H937">
        <v>640.67999999999995</v>
      </c>
      <c r="I937" t="s">
        <v>39</v>
      </c>
      <c r="J937" t="s">
        <v>22</v>
      </c>
      <c r="K937" t="s">
        <v>41</v>
      </c>
      <c r="L937">
        <v>531.42999999999995</v>
      </c>
      <c r="M937">
        <v>17.100000000000001</v>
      </c>
      <c r="N937">
        <v>2023</v>
      </c>
      <c r="O937">
        <v>1</v>
      </c>
      <c r="P937" t="s">
        <v>24</v>
      </c>
      <c r="Q937">
        <v>109.25</v>
      </c>
      <c r="R937" t="s">
        <v>29</v>
      </c>
      <c r="S937">
        <v>4.8643478260869557</v>
      </c>
      <c r="T937" t="s">
        <v>78</v>
      </c>
    </row>
    <row r="938" spans="1:20" x14ac:dyDescent="0.25">
      <c r="A938" s="11">
        <v>45123</v>
      </c>
      <c r="B938" t="s">
        <v>30</v>
      </c>
      <c r="C938" t="s">
        <v>31</v>
      </c>
      <c r="D938" t="s">
        <v>45</v>
      </c>
      <c r="E938" t="s">
        <v>20</v>
      </c>
      <c r="F938">
        <v>100</v>
      </c>
      <c r="G938">
        <v>9.99</v>
      </c>
      <c r="H938">
        <v>999</v>
      </c>
      <c r="I938" t="s">
        <v>21</v>
      </c>
      <c r="J938" t="s">
        <v>56</v>
      </c>
      <c r="K938" t="s">
        <v>41</v>
      </c>
      <c r="L938">
        <v>889.83</v>
      </c>
      <c r="M938">
        <v>10.9</v>
      </c>
      <c r="N938">
        <v>2024</v>
      </c>
      <c r="O938">
        <v>3</v>
      </c>
      <c r="P938" t="s">
        <v>67</v>
      </c>
      <c r="Q938">
        <v>109.17</v>
      </c>
      <c r="R938" t="s">
        <v>29</v>
      </c>
      <c r="S938">
        <v>8.1508656224237424</v>
      </c>
      <c r="T938" t="s">
        <v>78</v>
      </c>
    </row>
    <row r="939" spans="1:20" x14ac:dyDescent="0.25">
      <c r="A939" s="11">
        <v>45078</v>
      </c>
      <c r="B939" t="s">
        <v>17</v>
      </c>
      <c r="C939" t="s">
        <v>18</v>
      </c>
      <c r="D939" t="s">
        <v>45</v>
      </c>
      <c r="E939" t="s">
        <v>20</v>
      </c>
      <c r="F939">
        <v>124</v>
      </c>
      <c r="G939">
        <v>7.53</v>
      </c>
      <c r="H939">
        <v>933.72</v>
      </c>
      <c r="I939" t="s">
        <v>39</v>
      </c>
      <c r="J939" t="s">
        <v>47</v>
      </c>
      <c r="K939" t="s">
        <v>23</v>
      </c>
      <c r="L939">
        <v>824.79</v>
      </c>
      <c r="M939">
        <v>11.7</v>
      </c>
      <c r="N939">
        <v>2023</v>
      </c>
      <c r="O939">
        <v>2</v>
      </c>
      <c r="P939" t="s">
        <v>67</v>
      </c>
      <c r="Q939">
        <v>108.93</v>
      </c>
      <c r="R939" t="s">
        <v>29</v>
      </c>
      <c r="S939">
        <v>7.5717433213990626</v>
      </c>
      <c r="T939" t="s">
        <v>78</v>
      </c>
    </row>
    <row r="940" spans="1:20" x14ac:dyDescent="0.25">
      <c r="A940" s="11">
        <v>45132</v>
      </c>
      <c r="B940" t="s">
        <v>58</v>
      </c>
      <c r="C940" t="s">
        <v>59</v>
      </c>
      <c r="D940" t="s">
        <v>49</v>
      </c>
      <c r="E940" t="s">
        <v>50</v>
      </c>
      <c r="F940">
        <v>66</v>
      </c>
      <c r="G940">
        <v>7.82</v>
      </c>
      <c r="H940">
        <v>516.12</v>
      </c>
      <c r="I940" t="s">
        <v>55</v>
      </c>
      <c r="J940" t="s">
        <v>47</v>
      </c>
      <c r="K940" t="s">
        <v>23</v>
      </c>
      <c r="L940">
        <v>407.7</v>
      </c>
      <c r="M940">
        <v>21</v>
      </c>
      <c r="N940">
        <v>2025</v>
      </c>
      <c r="O940">
        <v>3</v>
      </c>
      <c r="P940" t="s">
        <v>68</v>
      </c>
      <c r="Q940">
        <v>108.42</v>
      </c>
      <c r="R940" t="s">
        <v>29</v>
      </c>
      <c r="S940">
        <v>3.7603763143331488</v>
      </c>
      <c r="T940" t="s">
        <v>78</v>
      </c>
    </row>
    <row r="941" spans="1:20" x14ac:dyDescent="0.25">
      <c r="A941" s="11">
        <v>44953</v>
      </c>
      <c r="B941" t="s">
        <v>30</v>
      </c>
      <c r="C941" t="s">
        <v>31</v>
      </c>
      <c r="D941" t="s">
        <v>45</v>
      </c>
      <c r="E941" t="s">
        <v>20</v>
      </c>
      <c r="F941">
        <v>159</v>
      </c>
      <c r="G941">
        <v>2.14</v>
      </c>
      <c r="H941">
        <v>340.26</v>
      </c>
      <c r="I941" t="s">
        <v>26</v>
      </c>
      <c r="J941" t="s">
        <v>56</v>
      </c>
      <c r="K941" t="s">
        <v>28</v>
      </c>
      <c r="L941">
        <v>232.66</v>
      </c>
      <c r="M941">
        <v>31.6</v>
      </c>
      <c r="N941">
        <v>2023</v>
      </c>
      <c r="O941">
        <v>1</v>
      </c>
      <c r="P941" t="s">
        <v>24</v>
      </c>
      <c r="Q941">
        <v>107.6</v>
      </c>
      <c r="R941" t="s">
        <v>25</v>
      </c>
      <c r="S941">
        <v>2.1622676579925653</v>
      </c>
      <c r="T941" t="s">
        <v>78</v>
      </c>
    </row>
    <row r="942" spans="1:20" x14ac:dyDescent="0.25">
      <c r="A942" s="11">
        <v>44945</v>
      </c>
      <c r="B942" t="s">
        <v>35</v>
      </c>
      <c r="C942" t="s">
        <v>36</v>
      </c>
      <c r="D942" t="s">
        <v>53</v>
      </c>
      <c r="E942" t="s">
        <v>50</v>
      </c>
      <c r="F942">
        <v>265</v>
      </c>
      <c r="G942">
        <v>3.15</v>
      </c>
      <c r="H942">
        <v>834.75</v>
      </c>
      <c r="I942" t="s">
        <v>21</v>
      </c>
      <c r="J942" t="s">
        <v>56</v>
      </c>
      <c r="K942" t="s">
        <v>23</v>
      </c>
      <c r="L942">
        <v>733.01</v>
      </c>
      <c r="M942">
        <v>12.2</v>
      </c>
      <c r="N942">
        <v>2023</v>
      </c>
      <c r="O942">
        <v>1</v>
      </c>
      <c r="P942" t="s">
        <v>24</v>
      </c>
      <c r="Q942">
        <v>101.74</v>
      </c>
      <c r="R942" t="s">
        <v>29</v>
      </c>
      <c r="S942">
        <v>7.204737566345587</v>
      </c>
      <c r="T942" t="s">
        <v>78</v>
      </c>
    </row>
    <row r="943" spans="1:20" x14ac:dyDescent="0.25">
      <c r="A943" s="11">
        <v>44927</v>
      </c>
      <c r="B943" t="s">
        <v>35</v>
      </c>
      <c r="C943" t="s">
        <v>36</v>
      </c>
      <c r="D943" t="s">
        <v>37</v>
      </c>
      <c r="E943" t="s">
        <v>38</v>
      </c>
      <c r="F943">
        <v>241</v>
      </c>
      <c r="G943">
        <v>2.4900000000000002</v>
      </c>
      <c r="H943">
        <v>600.09</v>
      </c>
      <c r="I943" t="s">
        <v>39</v>
      </c>
      <c r="J943" t="s">
        <v>40</v>
      </c>
      <c r="K943" t="s">
        <v>41</v>
      </c>
      <c r="L943">
        <v>499.8</v>
      </c>
      <c r="M943">
        <v>16.7</v>
      </c>
      <c r="N943">
        <v>2023</v>
      </c>
      <c r="O943">
        <v>1</v>
      </c>
      <c r="P943" t="s">
        <v>24</v>
      </c>
      <c r="Q943">
        <v>100.29</v>
      </c>
      <c r="R943" t="s">
        <v>29</v>
      </c>
      <c r="S943">
        <v>4.9835477116362545</v>
      </c>
      <c r="T943" t="s">
        <v>78</v>
      </c>
    </row>
    <row r="944" spans="1:20" x14ac:dyDescent="0.25">
      <c r="A944" s="11">
        <v>44937</v>
      </c>
      <c r="B944" t="s">
        <v>51</v>
      </c>
      <c r="C944" t="s">
        <v>52</v>
      </c>
      <c r="D944" t="s">
        <v>48</v>
      </c>
      <c r="E944" t="s">
        <v>38</v>
      </c>
      <c r="F944">
        <v>170</v>
      </c>
      <c r="G944">
        <v>4.62</v>
      </c>
      <c r="H944">
        <v>785.4</v>
      </c>
      <c r="I944" t="s">
        <v>26</v>
      </c>
      <c r="J944" t="s">
        <v>40</v>
      </c>
      <c r="K944" t="s">
        <v>41</v>
      </c>
      <c r="L944">
        <v>686.44</v>
      </c>
      <c r="M944">
        <v>12.6</v>
      </c>
      <c r="N944">
        <v>2023</v>
      </c>
      <c r="O944">
        <v>1</v>
      </c>
      <c r="P944" t="s">
        <v>24</v>
      </c>
      <c r="Q944">
        <v>98.96</v>
      </c>
      <c r="R944" t="s">
        <v>29</v>
      </c>
      <c r="S944">
        <v>6.9365400161681494</v>
      </c>
      <c r="T944" t="s">
        <v>78</v>
      </c>
    </row>
    <row r="945" spans="1:20" x14ac:dyDescent="0.25">
      <c r="A945" s="11">
        <v>44968</v>
      </c>
      <c r="B945" t="s">
        <v>58</v>
      </c>
      <c r="C945" t="s">
        <v>59</v>
      </c>
      <c r="D945" t="s">
        <v>49</v>
      </c>
      <c r="E945" t="s">
        <v>50</v>
      </c>
      <c r="F945">
        <v>106</v>
      </c>
      <c r="G945">
        <v>2.8</v>
      </c>
      <c r="H945">
        <v>296.8</v>
      </c>
      <c r="I945" t="s">
        <v>55</v>
      </c>
      <c r="J945" t="s">
        <v>27</v>
      </c>
      <c r="K945" t="s">
        <v>28</v>
      </c>
      <c r="L945">
        <v>199.01</v>
      </c>
      <c r="M945">
        <v>32.9</v>
      </c>
      <c r="N945">
        <v>2023</v>
      </c>
      <c r="O945">
        <v>1</v>
      </c>
      <c r="P945" t="s">
        <v>60</v>
      </c>
      <c r="Q945">
        <v>97.79</v>
      </c>
      <c r="R945" t="s">
        <v>25</v>
      </c>
      <c r="S945">
        <v>2.0350751610594129</v>
      </c>
      <c r="T945" t="s">
        <v>78</v>
      </c>
    </row>
    <row r="946" spans="1:20" x14ac:dyDescent="0.25">
      <c r="A946" s="11">
        <v>45018</v>
      </c>
      <c r="B946" t="s">
        <v>17</v>
      </c>
      <c r="C946" t="s">
        <v>18</v>
      </c>
      <c r="D946" t="s">
        <v>49</v>
      </c>
      <c r="E946" t="s">
        <v>50</v>
      </c>
      <c r="F946">
        <v>134</v>
      </c>
      <c r="G946">
        <v>4.03</v>
      </c>
      <c r="H946">
        <v>540.02</v>
      </c>
      <c r="I946" t="s">
        <v>55</v>
      </c>
      <c r="J946" t="s">
        <v>22</v>
      </c>
      <c r="K946" t="s">
        <v>28</v>
      </c>
      <c r="L946">
        <v>443.28</v>
      </c>
      <c r="M946">
        <v>17.899999999999999</v>
      </c>
      <c r="N946">
        <v>2023</v>
      </c>
      <c r="O946">
        <v>2</v>
      </c>
      <c r="P946" t="s">
        <v>62</v>
      </c>
      <c r="Q946">
        <v>96.74</v>
      </c>
      <c r="R946" t="s">
        <v>29</v>
      </c>
      <c r="S946">
        <v>4.5821790365929296</v>
      </c>
      <c r="T946" t="s">
        <v>78</v>
      </c>
    </row>
    <row r="947" spans="1:20" x14ac:dyDescent="0.25">
      <c r="A947" s="11">
        <v>45066</v>
      </c>
      <c r="B947" t="s">
        <v>35</v>
      </c>
      <c r="C947" t="s">
        <v>36</v>
      </c>
      <c r="D947" t="s">
        <v>45</v>
      </c>
      <c r="E947" t="s">
        <v>20</v>
      </c>
      <c r="F947">
        <v>52</v>
      </c>
      <c r="G947">
        <v>5.86</v>
      </c>
      <c r="H947">
        <v>304.72000000000003</v>
      </c>
      <c r="I947" t="s">
        <v>46</v>
      </c>
      <c r="J947" t="s">
        <v>40</v>
      </c>
      <c r="K947" t="s">
        <v>23</v>
      </c>
      <c r="L947">
        <v>210.53</v>
      </c>
      <c r="M947">
        <v>30.9</v>
      </c>
      <c r="N947">
        <v>2023</v>
      </c>
      <c r="O947">
        <v>2</v>
      </c>
      <c r="P947" t="s">
        <v>66</v>
      </c>
      <c r="Q947">
        <v>94.19</v>
      </c>
      <c r="R947" t="s">
        <v>25</v>
      </c>
      <c r="S947">
        <v>2.2351629684679901</v>
      </c>
      <c r="T947" t="s">
        <v>78</v>
      </c>
    </row>
    <row r="948" spans="1:20" x14ac:dyDescent="0.25">
      <c r="A948" s="11">
        <v>45067</v>
      </c>
      <c r="B948" t="s">
        <v>58</v>
      </c>
      <c r="C948" t="s">
        <v>59</v>
      </c>
      <c r="D948" t="s">
        <v>49</v>
      </c>
      <c r="E948" t="s">
        <v>50</v>
      </c>
      <c r="F948">
        <v>78</v>
      </c>
      <c r="G948">
        <v>5.91</v>
      </c>
      <c r="H948">
        <v>460.98</v>
      </c>
      <c r="I948" t="s">
        <v>55</v>
      </c>
      <c r="J948" t="s">
        <v>56</v>
      </c>
      <c r="K948" t="s">
        <v>28</v>
      </c>
      <c r="L948">
        <v>369.27</v>
      </c>
      <c r="M948">
        <v>19.899999999999999</v>
      </c>
      <c r="N948">
        <v>2023</v>
      </c>
      <c r="O948">
        <v>2</v>
      </c>
      <c r="P948" t="s">
        <v>66</v>
      </c>
      <c r="Q948">
        <v>91.71</v>
      </c>
      <c r="R948" t="s">
        <v>29</v>
      </c>
      <c r="S948">
        <v>4.0264965652600591</v>
      </c>
      <c r="T948" t="s">
        <v>78</v>
      </c>
    </row>
    <row r="949" spans="1:20" x14ac:dyDescent="0.25">
      <c r="A949" s="11">
        <v>44928</v>
      </c>
      <c r="B949" t="s">
        <v>17</v>
      </c>
      <c r="C949" t="s">
        <v>18</v>
      </c>
      <c r="D949" t="s">
        <v>48</v>
      </c>
      <c r="E949" t="s">
        <v>38</v>
      </c>
      <c r="F949">
        <v>342</v>
      </c>
      <c r="G949">
        <v>2.33</v>
      </c>
      <c r="H949">
        <v>796.86</v>
      </c>
      <c r="I949" t="s">
        <v>21</v>
      </c>
      <c r="J949" t="s">
        <v>40</v>
      </c>
      <c r="K949" t="s">
        <v>41</v>
      </c>
      <c r="L949">
        <v>706.57</v>
      </c>
      <c r="M949">
        <v>11.3</v>
      </c>
      <c r="N949">
        <v>2023</v>
      </c>
      <c r="O949">
        <v>1</v>
      </c>
      <c r="P949" t="s">
        <v>24</v>
      </c>
      <c r="Q949">
        <v>90.29</v>
      </c>
      <c r="R949" t="s">
        <v>29</v>
      </c>
      <c r="S949">
        <v>7.8255620777494741</v>
      </c>
      <c r="T949" t="s">
        <v>78</v>
      </c>
    </row>
    <row r="950" spans="1:20" x14ac:dyDescent="0.25">
      <c r="A950" s="11">
        <v>44928</v>
      </c>
      <c r="B950" t="s">
        <v>42</v>
      </c>
      <c r="C950" t="s">
        <v>43</v>
      </c>
      <c r="D950" t="s">
        <v>49</v>
      </c>
      <c r="E950" t="s">
        <v>50</v>
      </c>
      <c r="F950">
        <v>58</v>
      </c>
      <c r="G950">
        <v>5.67</v>
      </c>
      <c r="H950">
        <v>328.86</v>
      </c>
      <c r="I950" t="s">
        <v>26</v>
      </c>
      <c r="J950" t="s">
        <v>34</v>
      </c>
      <c r="K950" t="s">
        <v>23</v>
      </c>
      <c r="L950">
        <v>239.36</v>
      </c>
      <c r="M950">
        <v>27.2</v>
      </c>
      <c r="N950">
        <v>2023</v>
      </c>
      <c r="O950">
        <v>1</v>
      </c>
      <c r="P950" t="s">
        <v>24</v>
      </c>
      <c r="Q950">
        <v>89.5</v>
      </c>
      <c r="R950" t="s">
        <v>25</v>
      </c>
      <c r="S950">
        <v>2.6744134078212292</v>
      </c>
      <c r="T950" t="s">
        <v>78</v>
      </c>
    </row>
    <row r="951" spans="1:20" x14ac:dyDescent="0.25">
      <c r="A951" s="11">
        <v>45128</v>
      </c>
      <c r="B951" t="s">
        <v>30</v>
      </c>
      <c r="C951" t="s">
        <v>31</v>
      </c>
      <c r="D951" t="s">
        <v>45</v>
      </c>
      <c r="E951" t="s">
        <v>20</v>
      </c>
      <c r="F951">
        <v>69</v>
      </c>
      <c r="G951">
        <v>4.4400000000000004</v>
      </c>
      <c r="H951">
        <v>306.36</v>
      </c>
      <c r="I951" t="s">
        <v>46</v>
      </c>
      <c r="J951" t="s">
        <v>27</v>
      </c>
      <c r="K951" t="s">
        <v>28</v>
      </c>
      <c r="L951">
        <v>217.28</v>
      </c>
      <c r="M951">
        <v>29.1</v>
      </c>
      <c r="N951">
        <v>2025</v>
      </c>
      <c r="O951">
        <v>3</v>
      </c>
      <c r="P951" t="s">
        <v>60</v>
      </c>
      <c r="Q951">
        <v>89.08</v>
      </c>
      <c r="R951" t="s">
        <v>25</v>
      </c>
      <c r="S951">
        <v>2.439155814997755</v>
      </c>
      <c r="T951" t="s">
        <v>78</v>
      </c>
    </row>
    <row r="952" spans="1:20" x14ac:dyDescent="0.25">
      <c r="A952" s="11">
        <v>45097</v>
      </c>
      <c r="B952" t="s">
        <v>35</v>
      </c>
      <c r="C952" t="s">
        <v>36</v>
      </c>
      <c r="D952" t="s">
        <v>53</v>
      </c>
      <c r="E952" t="s">
        <v>50</v>
      </c>
      <c r="F952">
        <v>170</v>
      </c>
      <c r="G952">
        <v>3.67</v>
      </c>
      <c r="H952">
        <v>623.9</v>
      </c>
      <c r="I952" t="s">
        <v>39</v>
      </c>
      <c r="J952" t="s">
        <v>56</v>
      </c>
      <c r="K952" t="s">
        <v>41</v>
      </c>
      <c r="L952">
        <v>535.39</v>
      </c>
      <c r="M952">
        <v>14.2</v>
      </c>
      <c r="N952">
        <v>2023</v>
      </c>
      <c r="O952">
        <v>2</v>
      </c>
      <c r="P952" t="s">
        <v>70</v>
      </c>
      <c r="Q952">
        <v>88.51</v>
      </c>
      <c r="R952" t="s">
        <v>29</v>
      </c>
      <c r="S952">
        <v>6.0489210258727821</v>
      </c>
      <c r="T952" t="s">
        <v>78</v>
      </c>
    </row>
    <row r="953" spans="1:20" x14ac:dyDescent="0.25">
      <c r="A953" s="11">
        <v>45084</v>
      </c>
      <c r="B953" t="s">
        <v>58</v>
      </c>
      <c r="C953" t="s">
        <v>59</v>
      </c>
      <c r="D953" t="s">
        <v>32</v>
      </c>
      <c r="E953" t="s">
        <v>20</v>
      </c>
      <c r="F953">
        <v>78</v>
      </c>
      <c r="G953">
        <v>6.76</v>
      </c>
      <c r="H953">
        <v>527.28</v>
      </c>
      <c r="I953" t="s">
        <v>54</v>
      </c>
      <c r="J953" t="s">
        <v>27</v>
      </c>
      <c r="K953" t="s">
        <v>41</v>
      </c>
      <c r="L953">
        <v>441.36</v>
      </c>
      <c r="M953">
        <v>16.3</v>
      </c>
      <c r="N953">
        <v>2023</v>
      </c>
      <c r="O953">
        <v>2</v>
      </c>
      <c r="P953" t="s">
        <v>68</v>
      </c>
      <c r="Q953">
        <v>85.92</v>
      </c>
      <c r="R953" t="s">
        <v>29</v>
      </c>
      <c r="S953">
        <v>5.1368715083798886</v>
      </c>
      <c r="T953" t="s">
        <v>78</v>
      </c>
    </row>
    <row r="954" spans="1:20" x14ac:dyDescent="0.25">
      <c r="A954" s="11">
        <v>45025</v>
      </c>
      <c r="B954" t="s">
        <v>58</v>
      </c>
      <c r="C954" t="s">
        <v>59</v>
      </c>
      <c r="D954" t="s">
        <v>49</v>
      </c>
      <c r="E954" t="s">
        <v>50</v>
      </c>
      <c r="F954">
        <v>129</v>
      </c>
      <c r="G954">
        <v>3.08</v>
      </c>
      <c r="H954">
        <v>397.32</v>
      </c>
      <c r="I954" t="s">
        <v>54</v>
      </c>
      <c r="J954" t="s">
        <v>27</v>
      </c>
      <c r="K954" t="s">
        <v>28</v>
      </c>
      <c r="L954">
        <v>311.79000000000002</v>
      </c>
      <c r="M954">
        <v>21.5</v>
      </c>
      <c r="N954">
        <v>2023</v>
      </c>
      <c r="O954">
        <v>2</v>
      </c>
      <c r="P954" t="s">
        <v>63</v>
      </c>
      <c r="Q954">
        <v>85.53</v>
      </c>
      <c r="R954" t="s">
        <v>29</v>
      </c>
      <c r="S954">
        <v>3.6453875833041041</v>
      </c>
      <c r="T954" t="s">
        <v>78</v>
      </c>
    </row>
    <row r="955" spans="1:20" x14ac:dyDescent="0.25">
      <c r="A955" s="11">
        <v>44999</v>
      </c>
      <c r="B955" t="s">
        <v>42</v>
      </c>
      <c r="C955" t="s">
        <v>43</v>
      </c>
      <c r="D955" t="s">
        <v>37</v>
      </c>
      <c r="E955" t="s">
        <v>38</v>
      </c>
      <c r="F955">
        <v>216</v>
      </c>
      <c r="G955">
        <v>2.4700000000000002</v>
      </c>
      <c r="H955">
        <v>533.52</v>
      </c>
      <c r="I955" t="s">
        <v>55</v>
      </c>
      <c r="J955" t="s">
        <v>27</v>
      </c>
      <c r="K955" t="s">
        <v>23</v>
      </c>
      <c r="L955">
        <v>448.85</v>
      </c>
      <c r="M955">
        <v>15.9</v>
      </c>
      <c r="N955">
        <v>2023</v>
      </c>
      <c r="O955">
        <v>1</v>
      </c>
      <c r="P955" t="s">
        <v>61</v>
      </c>
      <c r="Q955">
        <v>84.67</v>
      </c>
      <c r="R955" t="s">
        <v>29</v>
      </c>
      <c r="S955">
        <v>5.301169245305303</v>
      </c>
      <c r="T955" t="s">
        <v>78</v>
      </c>
    </row>
    <row r="956" spans="1:20" x14ac:dyDescent="0.25">
      <c r="A956" s="11">
        <v>44951</v>
      </c>
      <c r="B956" t="s">
        <v>35</v>
      </c>
      <c r="C956" t="s">
        <v>36</v>
      </c>
      <c r="D956" t="s">
        <v>32</v>
      </c>
      <c r="E956" t="s">
        <v>20</v>
      </c>
      <c r="F956">
        <v>67</v>
      </c>
      <c r="G956">
        <v>7.68</v>
      </c>
      <c r="H956">
        <v>514.55999999999995</v>
      </c>
      <c r="I956" t="s">
        <v>39</v>
      </c>
      <c r="J956" t="s">
        <v>56</v>
      </c>
      <c r="K956" t="s">
        <v>23</v>
      </c>
      <c r="L956">
        <v>432.39</v>
      </c>
      <c r="M956">
        <v>16</v>
      </c>
      <c r="N956">
        <v>2023</v>
      </c>
      <c r="O956">
        <v>1</v>
      </c>
      <c r="P956" t="s">
        <v>24</v>
      </c>
      <c r="Q956">
        <v>82.17</v>
      </c>
      <c r="R956" t="s">
        <v>29</v>
      </c>
      <c r="S956">
        <v>5.262139466958744</v>
      </c>
      <c r="T956" t="s">
        <v>78</v>
      </c>
    </row>
    <row r="957" spans="1:20" x14ac:dyDescent="0.25">
      <c r="A957" s="11">
        <v>44996</v>
      </c>
      <c r="B957" t="s">
        <v>51</v>
      </c>
      <c r="C957" t="s">
        <v>52</v>
      </c>
      <c r="D957" t="s">
        <v>32</v>
      </c>
      <c r="E957" t="s">
        <v>20</v>
      </c>
      <c r="F957">
        <v>112</v>
      </c>
      <c r="G957">
        <v>3.06</v>
      </c>
      <c r="H957">
        <v>342.72</v>
      </c>
      <c r="I957" t="s">
        <v>55</v>
      </c>
      <c r="J957" t="s">
        <v>27</v>
      </c>
      <c r="K957" t="s">
        <v>41</v>
      </c>
      <c r="L957">
        <v>260.56</v>
      </c>
      <c r="M957">
        <v>24</v>
      </c>
      <c r="N957">
        <v>2023</v>
      </c>
      <c r="O957">
        <v>1</v>
      </c>
      <c r="P957" t="s">
        <v>61</v>
      </c>
      <c r="Q957">
        <v>82.16</v>
      </c>
      <c r="R957" t="s">
        <v>29</v>
      </c>
      <c r="S957">
        <v>3.1713729308666019</v>
      </c>
      <c r="T957" t="s">
        <v>78</v>
      </c>
    </row>
    <row r="958" spans="1:20" x14ac:dyDescent="0.25">
      <c r="A958" s="11">
        <v>45125</v>
      </c>
      <c r="B958" t="s">
        <v>30</v>
      </c>
      <c r="C958" t="s">
        <v>31</v>
      </c>
      <c r="D958" t="s">
        <v>44</v>
      </c>
      <c r="E958" t="s">
        <v>38</v>
      </c>
      <c r="F958">
        <v>91</v>
      </c>
      <c r="G958">
        <v>2.25</v>
      </c>
      <c r="H958">
        <v>204.75</v>
      </c>
      <c r="I958" t="s">
        <v>33</v>
      </c>
      <c r="J958" t="s">
        <v>40</v>
      </c>
      <c r="K958" t="s">
        <v>28</v>
      </c>
      <c r="L958">
        <v>124.5</v>
      </c>
      <c r="M958">
        <v>39.200000000000003</v>
      </c>
      <c r="N958">
        <v>2024</v>
      </c>
      <c r="O958">
        <v>3</v>
      </c>
      <c r="P958" t="s">
        <v>69</v>
      </c>
      <c r="Q958">
        <v>80.25</v>
      </c>
      <c r="R958" t="s">
        <v>25</v>
      </c>
      <c r="S958">
        <v>1.5514018691588785</v>
      </c>
      <c r="T958" t="s">
        <v>78</v>
      </c>
    </row>
    <row r="959" spans="1:20" x14ac:dyDescent="0.25">
      <c r="A959" s="11">
        <v>45096</v>
      </c>
      <c r="B959" t="s">
        <v>30</v>
      </c>
      <c r="C959" t="s">
        <v>31</v>
      </c>
      <c r="D959" t="s">
        <v>48</v>
      </c>
      <c r="E959" t="s">
        <v>38</v>
      </c>
      <c r="F959">
        <v>153</v>
      </c>
      <c r="G959">
        <v>4.8499999999999996</v>
      </c>
      <c r="H959">
        <v>742.05</v>
      </c>
      <c r="I959" t="s">
        <v>55</v>
      </c>
      <c r="J959" t="s">
        <v>56</v>
      </c>
      <c r="K959" t="s">
        <v>28</v>
      </c>
      <c r="L959">
        <v>663.85</v>
      </c>
      <c r="M959">
        <v>10.5</v>
      </c>
      <c r="N959">
        <v>2023</v>
      </c>
      <c r="O959">
        <v>2</v>
      </c>
      <c r="P959" t="s">
        <v>70</v>
      </c>
      <c r="Q959">
        <v>78.2</v>
      </c>
      <c r="R959" t="s">
        <v>29</v>
      </c>
      <c r="S959">
        <v>8.4891304347826093</v>
      </c>
      <c r="T959" t="s">
        <v>78</v>
      </c>
    </row>
    <row r="960" spans="1:20" x14ac:dyDescent="0.25">
      <c r="A960" s="11">
        <v>44938</v>
      </c>
      <c r="B960" t="s">
        <v>30</v>
      </c>
      <c r="C960" t="s">
        <v>31</v>
      </c>
      <c r="D960" t="s">
        <v>45</v>
      </c>
      <c r="E960" t="s">
        <v>20</v>
      </c>
      <c r="F960">
        <v>61</v>
      </c>
      <c r="G960">
        <v>5.92</v>
      </c>
      <c r="H960">
        <v>361.12</v>
      </c>
      <c r="I960" t="s">
        <v>55</v>
      </c>
      <c r="J960" t="s">
        <v>47</v>
      </c>
      <c r="K960" t="s">
        <v>23</v>
      </c>
      <c r="L960">
        <v>283.35000000000002</v>
      </c>
      <c r="M960">
        <v>21.5</v>
      </c>
      <c r="N960">
        <v>2023</v>
      </c>
      <c r="O960">
        <v>1</v>
      </c>
      <c r="P960" t="s">
        <v>24</v>
      </c>
      <c r="Q960">
        <v>77.77</v>
      </c>
      <c r="R960" t="s">
        <v>29</v>
      </c>
      <c r="S960">
        <v>3.6434357721486439</v>
      </c>
      <c r="T960" t="s">
        <v>78</v>
      </c>
    </row>
    <row r="961" spans="1:20" x14ac:dyDescent="0.25">
      <c r="A961" s="11">
        <v>45083</v>
      </c>
      <c r="B961" t="s">
        <v>30</v>
      </c>
      <c r="C961" t="s">
        <v>31</v>
      </c>
      <c r="D961" t="s">
        <v>37</v>
      </c>
      <c r="E961" t="s">
        <v>38</v>
      </c>
      <c r="F961">
        <v>58</v>
      </c>
      <c r="G961">
        <v>7.4</v>
      </c>
      <c r="H961">
        <v>429.2</v>
      </c>
      <c r="I961" t="s">
        <v>39</v>
      </c>
      <c r="J961" t="s">
        <v>56</v>
      </c>
      <c r="K961" t="s">
        <v>28</v>
      </c>
      <c r="L961">
        <v>352.99</v>
      </c>
      <c r="M961">
        <v>17.8</v>
      </c>
      <c r="N961">
        <v>2023</v>
      </c>
      <c r="O961">
        <v>2</v>
      </c>
      <c r="P961" t="s">
        <v>68</v>
      </c>
      <c r="Q961">
        <v>76.209999999999994</v>
      </c>
      <c r="R961" t="s">
        <v>29</v>
      </c>
      <c r="S961">
        <v>4.6318068494948177</v>
      </c>
      <c r="T961" t="s">
        <v>78</v>
      </c>
    </row>
    <row r="962" spans="1:20" x14ac:dyDescent="0.25">
      <c r="A962" s="11">
        <v>45012</v>
      </c>
      <c r="B962" t="s">
        <v>51</v>
      </c>
      <c r="C962" t="s">
        <v>52</v>
      </c>
      <c r="D962" t="s">
        <v>45</v>
      </c>
      <c r="E962" t="s">
        <v>20</v>
      </c>
      <c r="F962">
        <v>194</v>
      </c>
      <c r="G962">
        <v>3.49</v>
      </c>
      <c r="H962">
        <v>677.06</v>
      </c>
      <c r="I962" t="s">
        <v>46</v>
      </c>
      <c r="J962" t="s">
        <v>40</v>
      </c>
      <c r="K962" t="s">
        <v>41</v>
      </c>
      <c r="L962">
        <v>601.16</v>
      </c>
      <c r="M962">
        <v>11.2</v>
      </c>
      <c r="N962">
        <v>2023</v>
      </c>
      <c r="O962">
        <v>1</v>
      </c>
      <c r="P962" t="s">
        <v>62</v>
      </c>
      <c r="Q962">
        <v>75.900000000000006</v>
      </c>
      <c r="R962" t="s">
        <v>29</v>
      </c>
      <c r="S962">
        <v>7.9204216073781284</v>
      </c>
      <c r="T962" t="s">
        <v>78</v>
      </c>
    </row>
    <row r="963" spans="1:20" x14ac:dyDescent="0.25">
      <c r="A963" s="11">
        <v>45067</v>
      </c>
      <c r="B963" t="s">
        <v>42</v>
      </c>
      <c r="C963" t="s">
        <v>43</v>
      </c>
      <c r="D963" t="s">
        <v>44</v>
      </c>
      <c r="E963" t="s">
        <v>38</v>
      </c>
      <c r="F963">
        <v>95</v>
      </c>
      <c r="G963">
        <v>3.24</v>
      </c>
      <c r="H963">
        <v>307.8</v>
      </c>
      <c r="I963" t="s">
        <v>33</v>
      </c>
      <c r="J963" t="s">
        <v>22</v>
      </c>
      <c r="K963" t="s">
        <v>41</v>
      </c>
      <c r="L963">
        <v>234.19</v>
      </c>
      <c r="M963">
        <v>23.9</v>
      </c>
      <c r="N963">
        <v>2023</v>
      </c>
      <c r="O963">
        <v>2</v>
      </c>
      <c r="P963" t="s">
        <v>66</v>
      </c>
      <c r="Q963">
        <v>73.61</v>
      </c>
      <c r="R963" t="s">
        <v>29</v>
      </c>
      <c r="S963">
        <v>3.1814970792011956</v>
      </c>
      <c r="T963" t="s">
        <v>78</v>
      </c>
    </row>
    <row r="964" spans="1:20" x14ac:dyDescent="0.25">
      <c r="A964" s="11">
        <v>44966</v>
      </c>
      <c r="B964" t="s">
        <v>30</v>
      </c>
      <c r="C964" t="s">
        <v>31</v>
      </c>
      <c r="D964" t="s">
        <v>49</v>
      </c>
      <c r="E964" t="s">
        <v>50</v>
      </c>
      <c r="F964">
        <v>359</v>
      </c>
      <c r="G964">
        <v>2.02</v>
      </c>
      <c r="H964">
        <v>725.18</v>
      </c>
      <c r="I964" t="s">
        <v>21</v>
      </c>
      <c r="J964" t="s">
        <v>22</v>
      </c>
      <c r="K964" t="s">
        <v>41</v>
      </c>
      <c r="L964">
        <v>652.4</v>
      </c>
      <c r="M964">
        <v>10</v>
      </c>
      <c r="N964">
        <v>2023</v>
      </c>
      <c r="O964">
        <v>1</v>
      </c>
      <c r="P964" t="s">
        <v>60</v>
      </c>
      <c r="Q964">
        <v>72.78</v>
      </c>
      <c r="R964" t="s">
        <v>29</v>
      </c>
      <c r="S964">
        <v>8.9640010992030774</v>
      </c>
      <c r="T964" t="s">
        <v>78</v>
      </c>
    </row>
    <row r="965" spans="1:20" x14ac:dyDescent="0.25">
      <c r="A965" s="11">
        <v>45040</v>
      </c>
      <c r="B965" t="s">
        <v>58</v>
      </c>
      <c r="C965" t="s">
        <v>59</v>
      </c>
      <c r="D965" t="s">
        <v>32</v>
      </c>
      <c r="E965" t="s">
        <v>20</v>
      </c>
      <c r="F965">
        <v>131</v>
      </c>
      <c r="G965">
        <v>3.34</v>
      </c>
      <c r="H965">
        <v>437.54</v>
      </c>
      <c r="I965" t="s">
        <v>21</v>
      </c>
      <c r="J965" t="s">
        <v>47</v>
      </c>
      <c r="K965" t="s">
        <v>28</v>
      </c>
      <c r="L965">
        <v>364.85</v>
      </c>
      <c r="M965">
        <v>16.600000000000001</v>
      </c>
      <c r="N965">
        <v>2023</v>
      </c>
      <c r="O965">
        <v>2</v>
      </c>
      <c r="P965" t="s">
        <v>63</v>
      </c>
      <c r="Q965">
        <v>72.69</v>
      </c>
      <c r="R965" t="s">
        <v>29</v>
      </c>
      <c r="S965">
        <v>5.0192598706837259</v>
      </c>
      <c r="T965" t="s">
        <v>78</v>
      </c>
    </row>
    <row r="966" spans="1:20" x14ac:dyDescent="0.25">
      <c r="A966" s="11">
        <v>44968</v>
      </c>
      <c r="B966" t="s">
        <v>30</v>
      </c>
      <c r="C966" t="s">
        <v>31</v>
      </c>
      <c r="D966" t="s">
        <v>49</v>
      </c>
      <c r="E966" t="s">
        <v>50</v>
      </c>
      <c r="F966">
        <v>54</v>
      </c>
      <c r="G966">
        <v>4.6100000000000003</v>
      </c>
      <c r="H966">
        <v>248.94</v>
      </c>
      <c r="I966" t="s">
        <v>39</v>
      </c>
      <c r="J966" t="s">
        <v>34</v>
      </c>
      <c r="K966" t="s">
        <v>23</v>
      </c>
      <c r="L966">
        <v>178.14</v>
      </c>
      <c r="M966">
        <v>28.4</v>
      </c>
      <c r="N966">
        <v>2023</v>
      </c>
      <c r="O966">
        <v>1</v>
      </c>
      <c r="P966" t="s">
        <v>60</v>
      </c>
      <c r="Q966">
        <v>70.8</v>
      </c>
      <c r="R966" t="s">
        <v>25</v>
      </c>
      <c r="S966">
        <v>2.5161016949152541</v>
      </c>
      <c r="T966" t="s">
        <v>78</v>
      </c>
    </row>
    <row r="967" spans="1:20" x14ac:dyDescent="0.25">
      <c r="A967" s="11">
        <v>44932</v>
      </c>
      <c r="B967" t="s">
        <v>30</v>
      </c>
      <c r="C967" t="s">
        <v>31</v>
      </c>
      <c r="D967" t="s">
        <v>53</v>
      </c>
      <c r="E967" t="s">
        <v>50</v>
      </c>
      <c r="F967">
        <v>63</v>
      </c>
      <c r="G967">
        <v>3.41</v>
      </c>
      <c r="H967">
        <v>214.83</v>
      </c>
      <c r="I967" t="s">
        <v>21</v>
      </c>
      <c r="J967" t="s">
        <v>22</v>
      </c>
      <c r="K967" t="s">
        <v>23</v>
      </c>
      <c r="L967">
        <v>144.49</v>
      </c>
      <c r="M967">
        <v>32.700000000000003</v>
      </c>
      <c r="N967">
        <v>2023</v>
      </c>
      <c r="O967">
        <v>1</v>
      </c>
      <c r="P967" t="s">
        <v>24</v>
      </c>
      <c r="Q967">
        <v>70.34</v>
      </c>
      <c r="R967" t="s">
        <v>25</v>
      </c>
      <c r="S967">
        <v>2.0541654819448394</v>
      </c>
      <c r="T967" t="s">
        <v>78</v>
      </c>
    </row>
    <row r="968" spans="1:20" x14ac:dyDescent="0.25">
      <c r="A968" s="11">
        <v>45078</v>
      </c>
      <c r="B968" t="s">
        <v>30</v>
      </c>
      <c r="C968" t="s">
        <v>31</v>
      </c>
      <c r="D968" t="s">
        <v>19</v>
      </c>
      <c r="E968" t="s">
        <v>20</v>
      </c>
      <c r="F968">
        <v>51</v>
      </c>
      <c r="G968">
        <v>11.14</v>
      </c>
      <c r="H968">
        <v>568.14</v>
      </c>
      <c r="I968" t="s">
        <v>26</v>
      </c>
      <c r="J968" t="s">
        <v>27</v>
      </c>
      <c r="K968" t="s">
        <v>28</v>
      </c>
      <c r="L968">
        <v>498.07</v>
      </c>
      <c r="M968">
        <v>12.3</v>
      </c>
      <c r="N968">
        <v>2023</v>
      </c>
      <c r="O968">
        <v>2</v>
      </c>
      <c r="P968" t="s">
        <v>68</v>
      </c>
      <c r="Q968">
        <v>70.069999999999993</v>
      </c>
      <c r="R968" t="s">
        <v>29</v>
      </c>
      <c r="S968">
        <v>7.1081775367489657</v>
      </c>
      <c r="T968" t="s">
        <v>78</v>
      </c>
    </row>
    <row r="969" spans="1:20" x14ac:dyDescent="0.25">
      <c r="A969" s="11">
        <v>44999</v>
      </c>
      <c r="B969" t="s">
        <v>51</v>
      </c>
      <c r="C969" t="s">
        <v>52</v>
      </c>
      <c r="D969" t="s">
        <v>44</v>
      </c>
      <c r="E969" t="s">
        <v>38</v>
      </c>
      <c r="F969">
        <v>77</v>
      </c>
      <c r="G969">
        <v>7.32</v>
      </c>
      <c r="H969">
        <v>563.64</v>
      </c>
      <c r="I969" t="s">
        <v>21</v>
      </c>
      <c r="J969" t="s">
        <v>40</v>
      </c>
      <c r="K969" t="s">
        <v>41</v>
      </c>
      <c r="L969">
        <v>494.28</v>
      </c>
      <c r="M969">
        <v>12.3</v>
      </c>
      <c r="N969">
        <v>2023</v>
      </c>
      <c r="O969">
        <v>1</v>
      </c>
      <c r="P969" t="s">
        <v>61</v>
      </c>
      <c r="Q969">
        <v>69.36</v>
      </c>
      <c r="R969" t="s">
        <v>29</v>
      </c>
      <c r="S969">
        <v>7.1262975778546709</v>
      </c>
      <c r="T969" t="s">
        <v>78</v>
      </c>
    </row>
    <row r="970" spans="1:20" x14ac:dyDescent="0.25">
      <c r="A970" s="11">
        <v>45088</v>
      </c>
      <c r="B970" t="s">
        <v>35</v>
      </c>
      <c r="C970" t="s">
        <v>36</v>
      </c>
      <c r="D970" t="s">
        <v>48</v>
      </c>
      <c r="E970" t="s">
        <v>38</v>
      </c>
      <c r="F970">
        <v>96</v>
      </c>
      <c r="G970">
        <v>7.01</v>
      </c>
      <c r="H970">
        <v>672.96</v>
      </c>
      <c r="I970" t="s">
        <v>57</v>
      </c>
      <c r="J970" t="s">
        <v>22</v>
      </c>
      <c r="K970" t="s">
        <v>28</v>
      </c>
      <c r="L970">
        <v>604.1</v>
      </c>
      <c r="M970">
        <v>10.199999999999999</v>
      </c>
      <c r="N970">
        <v>2023</v>
      </c>
      <c r="O970">
        <v>2</v>
      </c>
      <c r="P970" t="s">
        <v>69</v>
      </c>
      <c r="Q970">
        <v>68.86</v>
      </c>
      <c r="R970" t="s">
        <v>29</v>
      </c>
      <c r="S970">
        <v>8.7728724949172232</v>
      </c>
      <c r="T970" t="s">
        <v>78</v>
      </c>
    </row>
    <row r="971" spans="1:20" x14ac:dyDescent="0.25">
      <c r="A971" s="11">
        <v>44954</v>
      </c>
      <c r="B971" t="s">
        <v>58</v>
      </c>
      <c r="C971" t="s">
        <v>59</v>
      </c>
      <c r="D971" t="s">
        <v>45</v>
      </c>
      <c r="E971" t="s">
        <v>20</v>
      </c>
      <c r="F971">
        <v>74</v>
      </c>
      <c r="G971">
        <v>6.21</v>
      </c>
      <c r="H971">
        <v>459.54</v>
      </c>
      <c r="I971" t="s">
        <v>55</v>
      </c>
      <c r="J971" t="s">
        <v>47</v>
      </c>
      <c r="K971" t="s">
        <v>28</v>
      </c>
      <c r="L971">
        <v>392.54</v>
      </c>
      <c r="M971">
        <v>14.6</v>
      </c>
      <c r="N971">
        <v>2023</v>
      </c>
      <c r="O971">
        <v>1</v>
      </c>
      <c r="P971" t="s">
        <v>24</v>
      </c>
      <c r="Q971">
        <v>67</v>
      </c>
      <c r="R971" t="s">
        <v>29</v>
      </c>
      <c r="S971">
        <v>5.8588059701492536</v>
      </c>
      <c r="T971" t="s">
        <v>78</v>
      </c>
    </row>
    <row r="972" spans="1:20" x14ac:dyDescent="0.25">
      <c r="A972" s="11">
        <v>45099</v>
      </c>
      <c r="B972" t="s">
        <v>51</v>
      </c>
      <c r="C972" t="s">
        <v>52</v>
      </c>
      <c r="D972" t="s">
        <v>37</v>
      </c>
      <c r="E972" t="s">
        <v>38</v>
      </c>
      <c r="F972">
        <v>113</v>
      </c>
      <c r="G972">
        <v>4.38</v>
      </c>
      <c r="H972">
        <v>494.94</v>
      </c>
      <c r="I972" t="s">
        <v>55</v>
      </c>
      <c r="J972" t="s">
        <v>56</v>
      </c>
      <c r="K972" t="s">
        <v>28</v>
      </c>
      <c r="L972">
        <v>429.29</v>
      </c>
      <c r="M972">
        <v>13.3</v>
      </c>
      <c r="N972">
        <v>2024</v>
      </c>
      <c r="O972">
        <v>2</v>
      </c>
      <c r="P972" t="s">
        <v>24</v>
      </c>
      <c r="Q972">
        <v>65.650000000000006</v>
      </c>
      <c r="R972" t="s">
        <v>29</v>
      </c>
      <c r="S972">
        <v>6.5390708301599387</v>
      </c>
      <c r="T972" t="s">
        <v>78</v>
      </c>
    </row>
    <row r="973" spans="1:20" x14ac:dyDescent="0.25">
      <c r="A973" s="11">
        <v>45027</v>
      </c>
      <c r="B973" t="s">
        <v>17</v>
      </c>
      <c r="C973" t="s">
        <v>18</v>
      </c>
      <c r="D973" t="s">
        <v>44</v>
      </c>
      <c r="E973" t="s">
        <v>38</v>
      </c>
      <c r="F973">
        <v>68</v>
      </c>
      <c r="G973">
        <v>2.75</v>
      </c>
      <c r="H973">
        <v>187</v>
      </c>
      <c r="I973" t="s">
        <v>39</v>
      </c>
      <c r="J973" t="s">
        <v>40</v>
      </c>
      <c r="K973" t="s">
        <v>28</v>
      </c>
      <c r="L973">
        <v>122.31</v>
      </c>
      <c r="M973">
        <v>34.6</v>
      </c>
      <c r="N973">
        <v>2023</v>
      </c>
      <c r="O973">
        <v>2</v>
      </c>
      <c r="P973" t="s">
        <v>63</v>
      </c>
      <c r="Q973">
        <v>64.69</v>
      </c>
      <c r="R973" t="s">
        <v>25</v>
      </c>
      <c r="S973">
        <v>1.8907095377956409</v>
      </c>
      <c r="T973" t="s">
        <v>78</v>
      </c>
    </row>
    <row r="974" spans="1:20" x14ac:dyDescent="0.25">
      <c r="A974" s="11">
        <v>44988</v>
      </c>
      <c r="B974" t="s">
        <v>17</v>
      </c>
      <c r="C974" t="s">
        <v>18</v>
      </c>
      <c r="D974" t="s">
        <v>32</v>
      </c>
      <c r="E974" t="s">
        <v>20</v>
      </c>
      <c r="F974">
        <v>150</v>
      </c>
      <c r="G974">
        <v>3.27</v>
      </c>
      <c r="H974">
        <v>490.5</v>
      </c>
      <c r="I974" t="s">
        <v>57</v>
      </c>
      <c r="J974" t="s">
        <v>47</v>
      </c>
      <c r="K974" t="s">
        <v>41</v>
      </c>
      <c r="L974">
        <v>426.44</v>
      </c>
      <c r="M974">
        <v>13.1</v>
      </c>
      <c r="N974">
        <v>2023</v>
      </c>
      <c r="O974">
        <v>1</v>
      </c>
      <c r="P974" t="s">
        <v>61</v>
      </c>
      <c r="Q974">
        <v>64.06</v>
      </c>
      <c r="R974" t="s">
        <v>29</v>
      </c>
      <c r="S974">
        <v>6.6568841710896036</v>
      </c>
      <c r="T974" t="s">
        <v>78</v>
      </c>
    </row>
    <row r="975" spans="1:20" x14ac:dyDescent="0.25">
      <c r="A975" s="11">
        <v>45105</v>
      </c>
      <c r="B975" t="s">
        <v>35</v>
      </c>
      <c r="C975" t="s">
        <v>36</v>
      </c>
      <c r="D975" t="s">
        <v>37</v>
      </c>
      <c r="E975" t="s">
        <v>38</v>
      </c>
      <c r="F975">
        <v>210</v>
      </c>
      <c r="G975">
        <v>2.5099999999999998</v>
      </c>
      <c r="H975">
        <v>527.1</v>
      </c>
      <c r="I975" t="s">
        <v>26</v>
      </c>
      <c r="J975" t="s">
        <v>27</v>
      </c>
      <c r="K975" t="s">
        <v>23</v>
      </c>
      <c r="L975">
        <v>464.62</v>
      </c>
      <c r="M975">
        <v>11.9</v>
      </c>
      <c r="N975">
        <v>2024</v>
      </c>
      <c r="O975">
        <v>2</v>
      </c>
      <c r="P975" t="s">
        <v>60</v>
      </c>
      <c r="Q975">
        <v>62.48</v>
      </c>
      <c r="R975" t="s">
        <v>29</v>
      </c>
      <c r="S975">
        <v>7.4362996158770809</v>
      </c>
      <c r="T975" t="s">
        <v>78</v>
      </c>
    </row>
    <row r="976" spans="1:20" x14ac:dyDescent="0.25">
      <c r="A976" s="11">
        <v>45117</v>
      </c>
      <c r="B976" t="s">
        <v>58</v>
      </c>
      <c r="C976" t="s">
        <v>59</v>
      </c>
      <c r="D976" t="s">
        <v>53</v>
      </c>
      <c r="E976" t="s">
        <v>50</v>
      </c>
      <c r="F976">
        <v>58</v>
      </c>
      <c r="G976">
        <v>2.73</v>
      </c>
      <c r="H976">
        <v>158.34</v>
      </c>
      <c r="I976" t="s">
        <v>33</v>
      </c>
      <c r="J976" t="s">
        <v>34</v>
      </c>
      <c r="K976" t="s">
        <v>23</v>
      </c>
      <c r="L976">
        <v>99.51</v>
      </c>
      <c r="M976">
        <v>37.200000000000003</v>
      </c>
      <c r="N976">
        <v>2024</v>
      </c>
      <c r="O976">
        <v>3</v>
      </c>
      <c r="P976" t="s">
        <v>63</v>
      </c>
      <c r="Q976">
        <v>58.83</v>
      </c>
      <c r="R976" t="s">
        <v>25</v>
      </c>
      <c r="S976">
        <v>1.6914839367669559</v>
      </c>
      <c r="T976" t="s">
        <v>78</v>
      </c>
    </row>
    <row r="977" spans="1:20" x14ac:dyDescent="0.25">
      <c r="A977" s="11">
        <v>45043</v>
      </c>
      <c r="B977" t="s">
        <v>42</v>
      </c>
      <c r="C977" t="s">
        <v>43</v>
      </c>
      <c r="D977" t="s">
        <v>49</v>
      </c>
      <c r="E977" t="s">
        <v>50</v>
      </c>
      <c r="F977">
        <v>50</v>
      </c>
      <c r="G977">
        <v>11.62</v>
      </c>
      <c r="H977">
        <v>581</v>
      </c>
      <c r="I977" t="s">
        <v>26</v>
      </c>
      <c r="J977" t="s">
        <v>56</v>
      </c>
      <c r="K977" t="s">
        <v>41</v>
      </c>
      <c r="L977">
        <v>522.27</v>
      </c>
      <c r="M977">
        <v>10.1</v>
      </c>
      <c r="N977">
        <v>2023</v>
      </c>
      <c r="O977">
        <v>2</v>
      </c>
      <c r="P977" t="s">
        <v>64</v>
      </c>
      <c r="Q977">
        <v>58.73</v>
      </c>
      <c r="R977" t="s">
        <v>29</v>
      </c>
      <c r="S977">
        <v>8.8927294398092975</v>
      </c>
      <c r="T977" t="s">
        <v>78</v>
      </c>
    </row>
    <row r="978" spans="1:20" x14ac:dyDescent="0.25">
      <c r="A978" s="11">
        <v>45127</v>
      </c>
      <c r="B978" t="s">
        <v>58</v>
      </c>
      <c r="C978" t="s">
        <v>59</v>
      </c>
      <c r="D978" t="s">
        <v>45</v>
      </c>
      <c r="E978" t="s">
        <v>20</v>
      </c>
      <c r="F978">
        <v>52</v>
      </c>
      <c r="G978">
        <v>9.65</v>
      </c>
      <c r="H978">
        <v>501.8</v>
      </c>
      <c r="I978" t="s">
        <v>39</v>
      </c>
      <c r="J978" t="s">
        <v>22</v>
      </c>
      <c r="K978" t="s">
        <v>28</v>
      </c>
      <c r="L978">
        <v>445.51</v>
      </c>
      <c r="M978">
        <v>11.2</v>
      </c>
      <c r="N978">
        <v>2025</v>
      </c>
      <c r="O978">
        <v>3</v>
      </c>
      <c r="P978" t="s">
        <v>24</v>
      </c>
      <c r="Q978">
        <v>56.29</v>
      </c>
      <c r="R978" t="s">
        <v>29</v>
      </c>
      <c r="S978">
        <v>7.9145496535796767</v>
      </c>
      <c r="T978" t="s">
        <v>78</v>
      </c>
    </row>
    <row r="979" spans="1:20" x14ac:dyDescent="0.25">
      <c r="A979" s="11">
        <v>45064</v>
      </c>
      <c r="B979" t="s">
        <v>35</v>
      </c>
      <c r="C979" t="s">
        <v>36</v>
      </c>
      <c r="D979" t="s">
        <v>48</v>
      </c>
      <c r="E979" t="s">
        <v>38</v>
      </c>
      <c r="F979">
        <v>177</v>
      </c>
      <c r="G979">
        <v>2.68</v>
      </c>
      <c r="H979">
        <v>474.36</v>
      </c>
      <c r="I979" t="s">
        <v>55</v>
      </c>
      <c r="J979" t="s">
        <v>27</v>
      </c>
      <c r="K979" t="s">
        <v>28</v>
      </c>
      <c r="L979">
        <v>418.65</v>
      </c>
      <c r="M979">
        <v>11.7</v>
      </c>
      <c r="N979">
        <v>2023</v>
      </c>
      <c r="O979">
        <v>2</v>
      </c>
      <c r="P979" t="s">
        <v>65</v>
      </c>
      <c r="Q979">
        <v>55.71</v>
      </c>
      <c r="R979" t="s">
        <v>29</v>
      </c>
      <c r="S979">
        <v>7.5148088314485726</v>
      </c>
      <c r="T979" t="s">
        <v>78</v>
      </c>
    </row>
    <row r="980" spans="1:20" x14ac:dyDescent="0.25">
      <c r="A980" s="11">
        <v>44940</v>
      </c>
      <c r="B980" t="s">
        <v>51</v>
      </c>
      <c r="C980" t="s">
        <v>52</v>
      </c>
      <c r="D980" t="s">
        <v>44</v>
      </c>
      <c r="E980" t="s">
        <v>38</v>
      </c>
      <c r="F980">
        <v>51</v>
      </c>
      <c r="G980">
        <v>5.41</v>
      </c>
      <c r="H980">
        <v>275.91000000000003</v>
      </c>
      <c r="I980" t="s">
        <v>57</v>
      </c>
      <c r="J980" t="s">
        <v>40</v>
      </c>
      <c r="K980" t="s">
        <v>23</v>
      </c>
      <c r="L980">
        <v>220.91</v>
      </c>
      <c r="M980">
        <v>19.899999999999999</v>
      </c>
      <c r="N980">
        <v>2023</v>
      </c>
      <c r="O980">
        <v>1</v>
      </c>
      <c r="P980" t="s">
        <v>24</v>
      </c>
      <c r="Q980">
        <v>55</v>
      </c>
      <c r="R980" t="s">
        <v>29</v>
      </c>
      <c r="S980">
        <v>4.0165454545454544</v>
      </c>
      <c r="T980" t="s">
        <v>78</v>
      </c>
    </row>
    <row r="981" spans="1:20" x14ac:dyDescent="0.25">
      <c r="A981" s="11">
        <v>45013</v>
      </c>
      <c r="B981" t="s">
        <v>17</v>
      </c>
      <c r="C981" t="s">
        <v>18</v>
      </c>
      <c r="D981" t="s">
        <v>53</v>
      </c>
      <c r="E981" t="s">
        <v>50</v>
      </c>
      <c r="F981">
        <v>111</v>
      </c>
      <c r="G981">
        <v>4.07</v>
      </c>
      <c r="H981">
        <v>451.77</v>
      </c>
      <c r="I981" t="s">
        <v>54</v>
      </c>
      <c r="J981" t="s">
        <v>47</v>
      </c>
      <c r="K981" t="s">
        <v>41</v>
      </c>
      <c r="L981">
        <v>397.17</v>
      </c>
      <c r="M981">
        <v>12.1</v>
      </c>
      <c r="N981">
        <v>2023</v>
      </c>
      <c r="O981">
        <v>1</v>
      </c>
      <c r="P981" t="s">
        <v>62</v>
      </c>
      <c r="Q981">
        <v>54.6</v>
      </c>
      <c r="R981" t="s">
        <v>29</v>
      </c>
      <c r="S981">
        <v>7.2741758241758241</v>
      </c>
      <c r="T981" t="s">
        <v>78</v>
      </c>
    </row>
    <row r="982" spans="1:20" x14ac:dyDescent="0.25">
      <c r="A982" s="11">
        <v>45013</v>
      </c>
      <c r="B982" t="s">
        <v>51</v>
      </c>
      <c r="C982" t="s">
        <v>52</v>
      </c>
      <c r="D982" t="s">
        <v>53</v>
      </c>
      <c r="E982" t="s">
        <v>50</v>
      </c>
      <c r="F982">
        <v>56</v>
      </c>
      <c r="G982">
        <v>6.07</v>
      </c>
      <c r="H982">
        <v>339.92</v>
      </c>
      <c r="I982" t="s">
        <v>46</v>
      </c>
      <c r="J982" t="s">
        <v>56</v>
      </c>
      <c r="K982" t="s">
        <v>41</v>
      </c>
      <c r="L982">
        <v>286.89999999999998</v>
      </c>
      <c r="M982">
        <v>15.6</v>
      </c>
      <c r="N982">
        <v>2023</v>
      </c>
      <c r="O982">
        <v>1</v>
      </c>
      <c r="P982" t="s">
        <v>62</v>
      </c>
      <c r="Q982">
        <v>53.02</v>
      </c>
      <c r="R982" t="s">
        <v>29</v>
      </c>
      <c r="S982">
        <v>5.4111655978875888</v>
      </c>
      <c r="T982" t="s">
        <v>78</v>
      </c>
    </row>
    <row r="983" spans="1:20" x14ac:dyDescent="0.25">
      <c r="A983" s="11">
        <v>44945</v>
      </c>
      <c r="B983" t="s">
        <v>30</v>
      </c>
      <c r="C983" t="s">
        <v>31</v>
      </c>
      <c r="D983" t="s">
        <v>44</v>
      </c>
      <c r="E983" t="s">
        <v>38</v>
      </c>
      <c r="F983">
        <v>69</v>
      </c>
      <c r="G983">
        <v>5.15</v>
      </c>
      <c r="H983">
        <v>355.35</v>
      </c>
      <c r="I983" t="s">
        <v>54</v>
      </c>
      <c r="J983" t="s">
        <v>34</v>
      </c>
      <c r="K983" t="s">
        <v>41</v>
      </c>
      <c r="L983">
        <v>303.2</v>
      </c>
      <c r="M983">
        <v>14.7</v>
      </c>
      <c r="N983">
        <v>2023</v>
      </c>
      <c r="O983">
        <v>1</v>
      </c>
      <c r="P983" t="s">
        <v>24</v>
      </c>
      <c r="Q983">
        <v>52.15</v>
      </c>
      <c r="R983" t="s">
        <v>29</v>
      </c>
      <c r="S983">
        <v>5.8139980824544581</v>
      </c>
      <c r="T983" t="s">
        <v>78</v>
      </c>
    </row>
    <row r="984" spans="1:20" x14ac:dyDescent="0.25">
      <c r="A984" s="11">
        <v>45117</v>
      </c>
      <c r="B984" t="s">
        <v>17</v>
      </c>
      <c r="C984" t="s">
        <v>18</v>
      </c>
      <c r="D984" t="s">
        <v>45</v>
      </c>
      <c r="E984" t="s">
        <v>20</v>
      </c>
      <c r="F984">
        <v>60</v>
      </c>
      <c r="G984">
        <v>4.29</v>
      </c>
      <c r="H984">
        <v>257.39999999999998</v>
      </c>
      <c r="I984" t="s">
        <v>55</v>
      </c>
      <c r="J984" t="s">
        <v>56</v>
      </c>
      <c r="K984" t="s">
        <v>23</v>
      </c>
      <c r="L984">
        <v>208.49</v>
      </c>
      <c r="M984">
        <v>19</v>
      </c>
      <c r="N984">
        <v>2024</v>
      </c>
      <c r="O984">
        <v>3</v>
      </c>
      <c r="P984" t="s">
        <v>64</v>
      </c>
      <c r="Q984">
        <v>48.91</v>
      </c>
      <c r="R984" t="s">
        <v>29</v>
      </c>
      <c r="S984">
        <v>4.262727458597424</v>
      </c>
      <c r="T984" t="s">
        <v>78</v>
      </c>
    </row>
    <row r="985" spans="1:20" x14ac:dyDescent="0.25">
      <c r="A985" s="11">
        <v>44955</v>
      </c>
      <c r="B985" t="s">
        <v>35</v>
      </c>
      <c r="C985" t="s">
        <v>36</v>
      </c>
      <c r="D985" t="s">
        <v>48</v>
      </c>
      <c r="E985" t="s">
        <v>38</v>
      </c>
      <c r="F985">
        <v>106</v>
      </c>
      <c r="G985">
        <v>3.97</v>
      </c>
      <c r="H985">
        <v>420.82</v>
      </c>
      <c r="I985" t="s">
        <v>26</v>
      </c>
      <c r="J985" t="s">
        <v>47</v>
      </c>
      <c r="K985" t="s">
        <v>28</v>
      </c>
      <c r="L985">
        <v>372.62</v>
      </c>
      <c r="M985">
        <v>11.5</v>
      </c>
      <c r="N985">
        <v>2023</v>
      </c>
      <c r="O985">
        <v>1</v>
      </c>
      <c r="P985" t="s">
        <v>60</v>
      </c>
      <c r="Q985">
        <v>48.2</v>
      </c>
      <c r="R985" t="s">
        <v>29</v>
      </c>
      <c r="S985">
        <v>7.7307053941908714</v>
      </c>
      <c r="T985" t="s">
        <v>78</v>
      </c>
    </row>
    <row r="986" spans="1:20" x14ac:dyDescent="0.25">
      <c r="A986" s="11">
        <v>45116</v>
      </c>
      <c r="B986" t="s">
        <v>51</v>
      </c>
      <c r="C986" t="s">
        <v>52</v>
      </c>
      <c r="D986" t="s">
        <v>19</v>
      </c>
      <c r="E986" t="s">
        <v>20</v>
      </c>
      <c r="F986">
        <v>57</v>
      </c>
      <c r="G986">
        <v>3.68</v>
      </c>
      <c r="H986">
        <v>209.76</v>
      </c>
      <c r="I986" t="s">
        <v>54</v>
      </c>
      <c r="J986" t="s">
        <v>22</v>
      </c>
      <c r="K986" t="s">
        <v>28</v>
      </c>
      <c r="L986">
        <v>162.22999999999999</v>
      </c>
      <c r="M986">
        <v>22.7</v>
      </c>
      <c r="N986">
        <v>2024</v>
      </c>
      <c r="O986">
        <v>3</v>
      </c>
      <c r="P986" t="s">
        <v>63</v>
      </c>
      <c r="Q986">
        <v>47.53</v>
      </c>
      <c r="R986" t="s">
        <v>29</v>
      </c>
      <c r="S986">
        <v>3.4132127077635173</v>
      </c>
      <c r="T986" t="s">
        <v>78</v>
      </c>
    </row>
    <row r="987" spans="1:20" x14ac:dyDescent="0.25">
      <c r="A987" s="11">
        <v>45044</v>
      </c>
      <c r="B987" t="s">
        <v>30</v>
      </c>
      <c r="C987" t="s">
        <v>31</v>
      </c>
      <c r="D987" t="s">
        <v>45</v>
      </c>
      <c r="E987" t="s">
        <v>20</v>
      </c>
      <c r="F987">
        <v>66</v>
      </c>
      <c r="G987">
        <v>2.0299999999999998</v>
      </c>
      <c r="H987">
        <v>133.97999999999999</v>
      </c>
      <c r="I987" t="s">
        <v>46</v>
      </c>
      <c r="J987" t="s">
        <v>56</v>
      </c>
      <c r="K987" t="s">
        <v>41</v>
      </c>
      <c r="L987">
        <v>86.52</v>
      </c>
      <c r="M987">
        <v>35.4</v>
      </c>
      <c r="N987">
        <v>2023</v>
      </c>
      <c r="O987">
        <v>2</v>
      </c>
      <c r="P987" t="s">
        <v>64</v>
      </c>
      <c r="Q987">
        <v>47.46</v>
      </c>
      <c r="R987" t="s">
        <v>25</v>
      </c>
      <c r="S987">
        <v>1.8230088495575221</v>
      </c>
      <c r="T987" t="s">
        <v>78</v>
      </c>
    </row>
    <row r="988" spans="1:20" x14ac:dyDescent="0.25">
      <c r="A988" s="11">
        <v>45094</v>
      </c>
      <c r="B988" t="s">
        <v>51</v>
      </c>
      <c r="C988" t="s">
        <v>52</v>
      </c>
      <c r="D988" t="s">
        <v>45</v>
      </c>
      <c r="E988" t="s">
        <v>20</v>
      </c>
      <c r="F988">
        <v>119</v>
      </c>
      <c r="G988">
        <v>3.12</v>
      </c>
      <c r="H988">
        <v>371.28</v>
      </c>
      <c r="I988" t="s">
        <v>21</v>
      </c>
      <c r="J988" t="s">
        <v>27</v>
      </c>
      <c r="K988" t="s">
        <v>41</v>
      </c>
      <c r="L988">
        <v>323.86</v>
      </c>
      <c r="M988">
        <v>12.8</v>
      </c>
      <c r="N988">
        <v>2023</v>
      </c>
      <c r="O988">
        <v>2</v>
      </c>
      <c r="P988" t="s">
        <v>70</v>
      </c>
      <c r="Q988">
        <v>47.42</v>
      </c>
      <c r="R988" t="s">
        <v>29</v>
      </c>
      <c r="S988">
        <v>6.8296077604386332</v>
      </c>
      <c r="T988" t="s">
        <v>78</v>
      </c>
    </row>
    <row r="989" spans="1:20" x14ac:dyDescent="0.25">
      <c r="A989" s="11">
        <v>45042</v>
      </c>
      <c r="B989" t="s">
        <v>30</v>
      </c>
      <c r="C989" t="s">
        <v>31</v>
      </c>
      <c r="D989" t="s">
        <v>32</v>
      </c>
      <c r="E989" t="s">
        <v>20</v>
      </c>
      <c r="F989">
        <v>53</v>
      </c>
      <c r="G989">
        <v>6.14</v>
      </c>
      <c r="H989">
        <v>325.42</v>
      </c>
      <c r="I989" t="s">
        <v>39</v>
      </c>
      <c r="J989" t="s">
        <v>22</v>
      </c>
      <c r="K989" t="s">
        <v>23</v>
      </c>
      <c r="L989">
        <v>280.25</v>
      </c>
      <c r="M989">
        <v>13.9</v>
      </c>
      <c r="N989">
        <v>2023</v>
      </c>
      <c r="O989">
        <v>2</v>
      </c>
      <c r="P989" t="s">
        <v>64</v>
      </c>
      <c r="Q989">
        <v>45.17</v>
      </c>
      <c r="R989" t="s">
        <v>29</v>
      </c>
      <c r="S989">
        <v>6.2043391631613902</v>
      </c>
      <c r="T989" t="s">
        <v>78</v>
      </c>
    </row>
    <row r="990" spans="1:20" x14ac:dyDescent="0.25">
      <c r="A990" s="11">
        <v>45050</v>
      </c>
      <c r="B990" t="s">
        <v>30</v>
      </c>
      <c r="C990" t="s">
        <v>31</v>
      </c>
      <c r="D990" t="s">
        <v>53</v>
      </c>
      <c r="E990" t="s">
        <v>50</v>
      </c>
      <c r="F990">
        <v>101</v>
      </c>
      <c r="G990">
        <v>2.23</v>
      </c>
      <c r="H990">
        <v>225.23</v>
      </c>
      <c r="I990" t="s">
        <v>33</v>
      </c>
      <c r="J990" t="s">
        <v>34</v>
      </c>
      <c r="K990" t="s">
        <v>41</v>
      </c>
      <c r="L990">
        <v>180.6</v>
      </c>
      <c r="M990">
        <v>19.8</v>
      </c>
      <c r="N990">
        <v>2023</v>
      </c>
      <c r="O990">
        <v>2</v>
      </c>
      <c r="P990" t="s">
        <v>64</v>
      </c>
      <c r="Q990">
        <v>44.63</v>
      </c>
      <c r="R990" t="s">
        <v>29</v>
      </c>
      <c r="S990">
        <v>4.0466054223616394</v>
      </c>
      <c r="T990" t="s">
        <v>78</v>
      </c>
    </row>
    <row r="991" spans="1:20" x14ac:dyDescent="0.25">
      <c r="A991" s="11">
        <v>44977</v>
      </c>
      <c r="B991" t="s">
        <v>30</v>
      </c>
      <c r="C991" t="s">
        <v>31</v>
      </c>
      <c r="D991" t="s">
        <v>37</v>
      </c>
      <c r="E991" t="s">
        <v>38</v>
      </c>
      <c r="F991">
        <v>89</v>
      </c>
      <c r="G991">
        <v>3.54</v>
      </c>
      <c r="H991">
        <v>315.06</v>
      </c>
      <c r="I991" t="s">
        <v>21</v>
      </c>
      <c r="J991" t="s">
        <v>47</v>
      </c>
      <c r="K991" t="s">
        <v>28</v>
      </c>
      <c r="L991">
        <v>275.10000000000002</v>
      </c>
      <c r="M991">
        <v>12.7</v>
      </c>
      <c r="N991">
        <v>2023</v>
      </c>
      <c r="O991">
        <v>1</v>
      </c>
      <c r="P991" t="s">
        <v>60</v>
      </c>
      <c r="Q991">
        <v>39.96</v>
      </c>
      <c r="R991" t="s">
        <v>29</v>
      </c>
      <c r="S991">
        <v>6.8843843843843846</v>
      </c>
      <c r="T991" t="s">
        <v>78</v>
      </c>
    </row>
    <row r="992" spans="1:20" x14ac:dyDescent="0.25">
      <c r="A992" s="11">
        <v>45015</v>
      </c>
      <c r="B992" t="s">
        <v>17</v>
      </c>
      <c r="C992" t="s">
        <v>18</v>
      </c>
      <c r="D992" t="s">
        <v>45</v>
      </c>
      <c r="E992" t="s">
        <v>20</v>
      </c>
      <c r="F992">
        <v>91</v>
      </c>
      <c r="G992">
        <v>2.16</v>
      </c>
      <c r="H992">
        <v>196.56</v>
      </c>
      <c r="I992" t="s">
        <v>39</v>
      </c>
      <c r="J992" t="s">
        <v>40</v>
      </c>
      <c r="K992" t="s">
        <v>41</v>
      </c>
      <c r="L992">
        <v>161.65</v>
      </c>
      <c r="M992">
        <v>17.8</v>
      </c>
      <c r="N992">
        <v>2023</v>
      </c>
      <c r="O992">
        <v>1</v>
      </c>
      <c r="P992" t="s">
        <v>62</v>
      </c>
      <c r="Q992">
        <v>34.909999999999997</v>
      </c>
      <c r="R992" t="s">
        <v>29</v>
      </c>
      <c r="S992">
        <v>4.630478372959038</v>
      </c>
      <c r="T992" t="s">
        <v>78</v>
      </c>
    </row>
    <row r="993" spans="1:20" x14ac:dyDescent="0.25">
      <c r="A993" s="11">
        <v>44969</v>
      </c>
      <c r="B993" t="s">
        <v>42</v>
      </c>
      <c r="C993" t="s">
        <v>43</v>
      </c>
      <c r="D993" t="s">
        <v>19</v>
      </c>
      <c r="E993" t="s">
        <v>20</v>
      </c>
      <c r="F993">
        <v>62</v>
      </c>
      <c r="G993">
        <v>3.69</v>
      </c>
      <c r="H993">
        <v>228.78</v>
      </c>
      <c r="I993" t="s">
        <v>54</v>
      </c>
      <c r="J993" t="s">
        <v>56</v>
      </c>
      <c r="K993" t="s">
        <v>41</v>
      </c>
      <c r="L993">
        <v>196.13</v>
      </c>
      <c r="M993">
        <v>14.3</v>
      </c>
      <c r="N993">
        <v>2023</v>
      </c>
      <c r="O993">
        <v>1</v>
      </c>
      <c r="P993" t="s">
        <v>60</v>
      </c>
      <c r="Q993">
        <v>32.65</v>
      </c>
      <c r="R993" t="s">
        <v>29</v>
      </c>
      <c r="S993">
        <v>6.0070444104134761</v>
      </c>
      <c r="T993" t="s">
        <v>78</v>
      </c>
    </row>
    <row r="994" spans="1:20" x14ac:dyDescent="0.25">
      <c r="A994" s="11">
        <v>45035</v>
      </c>
      <c r="B994" t="s">
        <v>17</v>
      </c>
      <c r="C994" t="s">
        <v>18</v>
      </c>
      <c r="D994" t="s">
        <v>44</v>
      </c>
      <c r="E994" t="s">
        <v>38</v>
      </c>
      <c r="F994">
        <v>63</v>
      </c>
      <c r="G994">
        <v>3.33</v>
      </c>
      <c r="H994">
        <v>209.79</v>
      </c>
      <c r="I994" t="s">
        <v>39</v>
      </c>
      <c r="J994" t="s">
        <v>34</v>
      </c>
      <c r="K994" t="s">
        <v>28</v>
      </c>
      <c r="L994">
        <v>188.44</v>
      </c>
      <c r="M994">
        <v>10.199999999999999</v>
      </c>
      <c r="N994">
        <v>2023</v>
      </c>
      <c r="O994">
        <v>2</v>
      </c>
      <c r="P994" t="s">
        <v>63</v>
      </c>
      <c r="Q994">
        <v>21.35</v>
      </c>
      <c r="R994" t="s">
        <v>29</v>
      </c>
      <c r="S994">
        <v>8.8262295081967199</v>
      </c>
      <c r="T994" t="s">
        <v>78</v>
      </c>
    </row>
    <row r="995" spans="1:20" x14ac:dyDescent="0.25">
      <c r="O995">
        <v>1</v>
      </c>
      <c r="S995" t="e">
        <v>#DIV/0!</v>
      </c>
      <c r="T995" t="s">
        <v>82</v>
      </c>
    </row>
    <row r="996" spans="1:20" x14ac:dyDescent="0.25">
      <c r="O996">
        <v>1</v>
      </c>
      <c r="S996" t="e">
        <v>#DIV/0!</v>
      </c>
      <c r="T996" t="s">
        <v>82</v>
      </c>
    </row>
    <row r="997" spans="1:20" x14ac:dyDescent="0.25">
      <c r="O997">
        <v>1</v>
      </c>
      <c r="S997" t="e">
        <v>#DIV/0!</v>
      </c>
      <c r="T997" t="s">
        <v>82</v>
      </c>
    </row>
    <row r="998" spans="1:20" x14ac:dyDescent="0.25">
      <c r="O998">
        <v>1</v>
      </c>
      <c r="S998" t="e">
        <v>#DIV/0!</v>
      </c>
      <c r="T998" t="s">
        <v>82</v>
      </c>
    </row>
    <row r="999" spans="1:20" x14ac:dyDescent="0.25">
      <c r="O999">
        <v>1</v>
      </c>
      <c r="S999" t="e">
        <v>#DIV/0!</v>
      </c>
      <c r="T999" t="s">
        <v>82</v>
      </c>
    </row>
    <row r="1000" spans="1:20" x14ac:dyDescent="0.25">
      <c r="O1000">
        <v>1</v>
      </c>
      <c r="S1000" t="e">
        <v>#DIV/0!</v>
      </c>
      <c r="T1000" t="s">
        <v>82</v>
      </c>
    </row>
    <row r="1001" spans="1:20" x14ac:dyDescent="0.25">
      <c r="O1001">
        <v>1</v>
      </c>
      <c r="S1001" t="e">
        <v>#DIV/0!</v>
      </c>
      <c r="T1001" t="s">
        <v>82</v>
      </c>
    </row>
    <row r="1002" spans="1:20" x14ac:dyDescent="0.25">
      <c r="O1002">
        <v>1</v>
      </c>
      <c r="S1002" t="e">
        <v>#DIV/0!</v>
      </c>
      <c r="T1002" t="s">
        <v>82</v>
      </c>
    </row>
    <row r="1003" spans="1:20" x14ac:dyDescent="0.25">
      <c r="O1003">
        <v>1</v>
      </c>
      <c r="S1003" t="e">
        <v>#DIV/0!</v>
      </c>
      <c r="T1003" t="s">
        <v>82</v>
      </c>
    </row>
    <row r="1004" spans="1:20" x14ac:dyDescent="0.25">
      <c r="O1004">
        <v>1</v>
      </c>
      <c r="S1004" t="e">
        <v>#DIV/0!</v>
      </c>
      <c r="T1004" t="s">
        <v>82</v>
      </c>
    </row>
    <row r="1005" spans="1:20" x14ac:dyDescent="0.25">
      <c r="O1005">
        <v>1</v>
      </c>
      <c r="S1005" t="e">
        <v>#DIV/0!</v>
      </c>
      <c r="T1005" t="s">
        <v>82</v>
      </c>
    </row>
    <row r="1006" spans="1:20" x14ac:dyDescent="0.25">
      <c r="O1006">
        <v>1</v>
      </c>
      <c r="S1006" t="e">
        <v>#DIV/0!</v>
      </c>
      <c r="T1006" t="s">
        <v>82</v>
      </c>
    </row>
    <row r="1007" spans="1:20" x14ac:dyDescent="0.25">
      <c r="O1007">
        <v>1</v>
      </c>
      <c r="S1007" t="e">
        <v>#DIV/0!</v>
      </c>
      <c r="T1007" t="s">
        <v>82</v>
      </c>
    </row>
    <row r="1008" spans="1:20" x14ac:dyDescent="0.25">
      <c r="O1008">
        <v>1</v>
      </c>
      <c r="S1008" t="e">
        <v>#DIV/0!</v>
      </c>
      <c r="T1008" t="s">
        <v>82</v>
      </c>
    </row>
    <row r="1009" spans="15:20" x14ac:dyDescent="0.25">
      <c r="O1009">
        <v>1</v>
      </c>
      <c r="S1009" t="e">
        <v>#DIV/0!</v>
      </c>
      <c r="T1009" t="s">
        <v>82</v>
      </c>
    </row>
    <row r="1010" spans="15:20" x14ac:dyDescent="0.25">
      <c r="O1010">
        <v>1</v>
      </c>
      <c r="S1010" t="e">
        <v>#DIV/0!</v>
      </c>
      <c r="T1010" t="s">
        <v>82</v>
      </c>
    </row>
    <row r="1011" spans="15:20" x14ac:dyDescent="0.25">
      <c r="O1011">
        <v>1</v>
      </c>
      <c r="S1011" t="e">
        <v>#DIV/0!</v>
      </c>
      <c r="T1011" t="s">
        <v>82</v>
      </c>
    </row>
    <row r="1012" spans="15:20" x14ac:dyDescent="0.25">
      <c r="O1012">
        <v>1</v>
      </c>
      <c r="S1012" t="e">
        <v>#DIV/0!</v>
      </c>
      <c r="T1012" t="s">
        <v>82</v>
      </c>
    </row>
    <row r="1013" spans="15:20" x14ac:dyDescent="0.25">
      <c r="O1013">
        <v>1</v>
      </c>
      <c r="S1013" t="e">
        <v>#DIV/0!</v>
      </c>
      <c r="T1013" t="s">
        <v>82</v>
      </c>
    </row>
    <row r="1014" spans="15:20" x14ac:dyDescent="0.25">
      <c r="O1014">
        <v>1</v>
      </c>
      <c r="S1014" t="e">
        <v>#DIV/0!</v>
      </c>
      <c r="T1014" t="s">
        <v>82</v>
      </c>
    </row>
    <row r="1015" spans="15:20" x14ac:dyDescent="0.25">
      <c r="O1015">
        <v>1</v>
      </c>
      <c r="S1015" t="e">
        <v>#DIV/0!</v>
      </c>
      <c r="T1015" t="s">
        <v>82</v>
      </c>
    </row>
    <row r="1016" spans="15:20" x14ac:dyDescent="0.25">
      <c r="O1016">
        <v>1</v>
      </c>
      <c r="S1016" t="e">
        <v>#DIV/0!</v>
      </c>
      <c r="T1016" t="s">
        <v>82</v>
      </c>
    </row>
    <row r="1017" spans="15:20" x14ac:dyDescent="0.25">
      <c r="O1017">
        <v>1</v>
      </c>
      <c r="S1017" t="e">
        <v>#DIV/0!</v>
      </c>
      <c r="T1017" t="s">
        <v>82</v>
      </c>
    </row>
    <row r="1018" spans="15:20" x14ac:dyDescent="0.25">
      <c r="O1018">
        <v>1</v>
      </c>
      <c r="S1018" t="e">
        <v>#DIV/0!</v>
      </c>
      <c r="T1018" t="s">
        <v>82</v>
      </c>
    </row>
    <row r="1019" spans="15:20" x14ac:dyDescent="0.25">
      <c r="O1019">
        <v>1</v>
      </c>
      <c r="S1019" t="e">
        <v>#DIV/0!</v>
      </c>
      <c r="T1019" t="s">
        <v>82</v>
      </c>
    </row>
    <row r="1020" spans="15:20" x14ac:dyDescent="0.25">
      <c r="O1020">
        <v>1</v>
      </c>
      <c r="S1020" t="e">
        <v>#DIV/0!</v>
      </c>
      <c r="T1020" t="s">
        <v>82</v>
      </c>
    </row>
    <row r="1021" spans="15:20" x14ac:dyDescent="0.25">
      <c r="O1021">
        <v>1</v>
      </c>
      <c r="S1021" t="e">
        <v>#DIV/0!</v>
      </c>
      <c r="T1021" t="s">
        <v>82</v>
      </c>
    </row>
    <row r="1022" spans="15:20" x14ac:dyDescent="0.25">
      <c r="O1022">
        <v>1</v>
      </c>
      <c r="S1022" t="e">
        <v>#DIV/0!</v>
      </c>
      <c r="T1022" t="s">
        <v>82</v>
      </c>
    </row>
    <row r="1023" spans="15:20" x14ac:dyDescent="0.25">
      <c r="O1023">
        <v>1</v>
      </c>
      <c r="S1023" t="e">
        <v>#DIV/0!</v>
      </c>
      <c r="T1023" t="s">
        <v>82</v>
      </c>
    </row>
    <row r="1024" spans="15:20" x14ac:dyDescent="0.25">
      <c r="O1024">
        <v>1</v>
      </c>
      <c r="S1024" t="e">
        <v>#DIV/0!</v>
      </c>
      <c r="T1024" t="s">
        <v>82</v>
      </c>
    </row>
    <row r="1025" spans="15:20" x14ac:dyDescent="0.25">
      <c r="O1025">
        <v>1</v>
      </c>
      <c r="S1025" t="e">
        <v>#DIV/0!</v>
      </c>
      <c r="T1025" t="s">
        <v>82</v>
      </c>
    </row>
    <row r="1026" spans="15:20" x14ac:dyDescent="0.25">
      <c r="O1026">
        <v>1</v>
      </c>
      <c r="S1026" t="e">
        <v>#DIV/0!</v>
      </c>
      <c r="T1026" t="s">
        <v>82</v>
      </c>
    </row>
    <row r="1027" spans="15:20" x14ac:dyDescent="0.25">
      <c r="O1027">
        <v>1</v>
      </c>
      <c r="S1027" t="e">
        <v>#DIV/0!</v>
      </c>
      <c r="T1027" t="s">
        <v>82</v>
      </c>
    </row>
    <row r="1028" spans="15:20" x14ac:dyDescent="0.25">
      <c r="O1028">
        <v>1</v>
      </c>
      <c r="S1028" t="e">
        <v>#DIV/0!</v>
      </c>
      <c r="T1028" t="s">
        <v>82</v>
      </c>
    </row>
    <row r="1029" spans="15:20" x14ac:dyDescent="0.25">
      <c r="O1029">
        <v>1</v>
      </c>
      <c r="S1029" t="e">
        <v>#DIV/0!</v>
      </c>
      <c r="T1029" t="s">
        <v>82</v>
      </c>
    </row>
    <row r="1030" spans="15:20" x14ac:dyDescent="0.25">
      <c r="O1030">
        <v>1</v>
      </c>
      <c r="S1030" t="e">
        <v>#DIV/0!</v>
      </c>
      <c r="T1030" t="s">
        <v>82</v>
      </c>
    </row>
    <row r="1031" spans="15:20" x14ac:dyDescent="0.25">
      <c r="O1031">
        <v>1</v>
      </c>
      <c r="S1031" t="e">
        <v>#DIV/0!</v>
      </c>
      <c r="T1031" t="s">
        <v>82</v>
      </c>
    </row>
    <row r="1032" spans="15:20" x14ac:dyDescent="0.25">
      <c r="O1032">
        <v>1</v>
      </c>
      <c r="S1032" t="e">
        <v>#DIV/0!</v>
      </c>
      <c r="T1032" t="s">
        <v>82</v>
      </c>
    </row>
    <row r="1033" spans="15:20" x14ac:dyDescent="0.25">
      <c r="O1033">
        <v>1</v>
      </c>
      <c r="S1033" t="e">
        <v>#DIV/0!</v>
      </c>
      <c r="T1033" t="s">
        <v>82</v>
      </c>
    </row>
    <row r="1034" spans="15:20" x14ac:dyDescent="0.25">
      <c r="O1034">
        <v>1</v>
      </c>
      <c r="S1034" t="e">
        <v>#DIV/0!</v>
      </c>
      <c r="T1034" t="s">
        <v>82</v>
      </c>
    </row>
    <row r="1035" spans="15:20" x14ac:dyDescent="0.25">
      <c r="O1035">
        <v>1</v>
      </c>
      <c r="S1035" t="e">
        <v>#DIV/0!</v>
      </c>
      <c r="T1035" t="s">
        <v>82</v>
      </c>
    </row>
    <row r="1036" spans="15:20" x14ac:dyDescent="0.25">
      <c r="O1036">
        <v>1</v>
      </c>
      <c r="S1036" t="e">
        <v>#DIV/0!</v>
      </c>
      <c r="T1036" t="s">
        <v>82</v>
      </c>
    </row>
    <row r="1037" spans="15:20" x14ac:dyDescent="0.25">
      <c r="O1037">
        <v>1</v>
      </c>
      <c r="S1037" t="e">
        <v>#DIV/0!</v>
      </c>
      <c r="T1037" t="s">
        <v>82</v>
      </c>
    </row>
    <row r="1038" spans="15:20" x14ac:dyDescent="0.25">
      <c r="O1038">
        <v>1</v>
      </c>
      <c r="S1038" t="e">
        <v>#DIV/0!</v>
      </c>
      <c r="T1038" t="s">
        <v>82</v>
      </c>
    </row>
    <row r="1039" spans="15:20" x14ac:dyDescent="0.25">
      <c r="O1039">
        <v>1</v>
      </c>
      <c r="S1039" t="e">
        <v>#DIV/0!</v>
      </c>
      <c r="T1039" t="s">
        <v>82</v>
      </c>
    </row>
    <row r="1040" spans="15:20" x14ac:dyDescent="0.25">
      <c r="O1040">
        <v>1</v>
      </c>
      <c r="S1040" t="e">
        <v>#DIV/0!</v>
      </c>
      <c r="T1040" t="s">
        <v>82</v>
      </c>
    </row>
    <row r="1041" spans="15:20" x14ac:dyDescent="0.25">
      <c r="O1041">
        <v>1</v>
      </c>
      <c r="S1041" t="e">
        <v>#DIV/0!</v>
      </c>
      <c r="T1041" t="s">
        <v>82</v>
      </c>
    </row>
    <row r="1042" spans="15:20" x14ac:dyDescent="0.25">
      <c r="O1042">
        <v>1</v>
      </c>
      <c r="S1042" t="e">
        <v>#DIV/0!</v>
      </c>
      <c r="T1042" t="s">
        <v>82</v>
      </c>
    </row>
    <row r="1043" spans="15:20" x14ac:dyDescent="0.25">
      <c r="O1043">
        <v>1</v>
      </c>
      <c r="S1043" t="e">
        <v>#DIV/0!</v>
      </c>
      <c r="T1043" t="s">
        <v>82</v>
      </c>
    </row>
    <row r="1044" spans="15:20" x14ac:dyDescent="0.25">
      <c r="O1044">
        <v>1</v>
      </c>
      <c r="S1044" t="e">
        <v>#DIV/0!</v>
      </c>
      <c r="T1044" t="s">
        <v>82</v>
      </c>
    </row>
    <row r="1045" spans="15:20" x14ac:dyDescent="0.25">
      <c r="O1045">
        <v>1</v>
      </c>
      <c r="S1045" t="e">
        <v>#DIV/0!</v>
      </c>
      <c r="T1045" t="s">
        <v>82</v>
      </c>
    </row>
    <row r="1046" spans="15:20" x14ac:dyDescent="0.25">
      <c r="O1046">
        <v>1</v>
      </c>
      <c r="S1046" t="e">
        <v>#DIV/0!</v>
      </c>
      <c r="T1046" t="s">
        <v>82</v>
      </c>
    </row>
    <row r="1047" spans="15:20" x14ac:dyDescent="0.25">
      <c r="O1047">
        <v>1</v>
      </c>
      <c r="S1047" t="e">
        <v>#DIV/0!</v>
      </c>
      <c r="T1047" t="s">
        <v>82</v>
      </c>
    </row>
    <row r="1048" spans="15:20" x14ac:dyDescent="0.25">
      <c r="O1048">
        <v>1</v>
      </c>
      <c r="S1048" t="e">
        <v>#DIV/0!</v>
      </c>
      <c r="T1048" t="s">
        <v>82</v>
      </c>
    </row>
    <row r="1049" spans="15:20" x14ac:dyDescent="0.25">
      <c r="O1049">
        <v>1</v>
      </c>
      <c r="S1049" t="e">
        <v>#DIV/0!</v>
      </c>
      <c r="T1049" t="s">
        <v>82</v>
      </c>
    </row>
    <row r="1050" spans="15:20" x14ac:dyDescent="0.25">
      <c r="O1050">
        <v>1</v>
      </c>
      <c r="S1050" t="e">
        <v>#DIV/0!</v>
      </c>
      <c r="T1050" t="s">
        <v>82</v>
      </c>
    </row>
    <row r="1051" spans="15:20" x14ac:dyDescent="0.25">
      <c r="O1051">
        <v>1</v>
      </c>
      <c r="S1051" t="e">
        <v>#DIV/0!</v>
      </c>
      <c r="T1051" t="s">
        <v>82</v>
      </c>
    </row>
    <row r="1052" spans="15:20" x14ac:dyDescent="0.25">
      <c r="O1052">
        <v>1</v>
      </c>
      <c r="S1052" t="e">
        <v>#DIV/0!</v>
      </c>
      <c r="T1052" t="s">
        <v>82</v>
      </c>
    </row>
    <row r="1053" spans="15:20" x14ac:dyDescent="0.25">
      <c r="O1053">
        <v>1</v>
      </c>
      <c r="S1053" t="e">
        <v>#DIV/0!</v>
      </c>
      <c r="T1053" t="s">
        <v>82</v>
      </c>
    </row>
    <row r="1054" spans="15:20" x14ac:dyDescent="0.25">
      <c r="O1054">
        <v>1</v>
      </c>
      <c r="S1054" t="e">
        <v>#DIV/0!</v>
      </c>
      <c r="T1054" t="s">
        <v>82</v>
      </c>
    </row>
    <row r="1055" spans="15:20" x14ac:dyDescent="0.25">
      <c r="O1055">
        <v>1</v>
      </c>
      <c r="S1055" t="e">
        <v>#DIV/0!</v>
      </c>
      <c r="T1055" t="s">
        <v>82</v>
      </c>
    </row>
    <row r="1056" spans="15:20" x14ac:dyDescent="0.25">
      <c r="O1056">
        <v>1</v>
      </c>
      <c r="S1056" t="e">
        <v>#DIV/0!</v>
      </c>
      <c r="T1056" t="s">
        <v>82</v>
      </c>
    </row>
    <row r="1057" spans="15:20" x14ac:dyDescent="0.25">
      <c r="O1057">
        <v>1</v>
      </c>
      <c r="S1057" t="e">
        <v>#DIV/0!</v>
      </c>
      <c r="T1057" t="s">
        <v>82</v>
      </c>
    </row>
    <row r="1058" spans="15:20" x14ac:dyDescent="0.25">
      <c r="O1058">
        <v>1</v>
      </c>
      <c r="S1058" t="e">
        <v>#DIV/0!</v>
      </c>
      <c r="T1058" t="s">
        <v>82</v>
      </c>
    </row>
    <row r="1059" spans="15:20" x14ac:dyDescent="0.25">
      <c r="O1059">
        <v>1</v>
      </c>
      <c r="S1059" t="e">
        <v>#DIV/0!</v>
      </c>
      <c r="T1059" t="s">
        <v>82</v>
      </c>
    </row>
    <row r="1060" spans="15:20" x14ac:dyDescent="0.25">
      <c r="O1060">
        <v>1</v>
      </c>
      <c r="S1060" t="e">
        <v>#DIV/0!</v>
      </c>
      <c r="T1060" t="s">
        <v>82</v>
      </c>
    </row>
    <row r="1061" spans="15:20" x14ac:dyDescent="0.25">
      <c r="O1061">
        <v>1</v>
      </c>
      <c r="S1061" t="e">
        <v>#DIV/0!</v>
      </c>
      <c r="T1061" t="s">
        <v>82</v>
      </c>
    </row>
    <row r="1062" spans="15:20" x14ac:dyDescent="0.25">
      <c r="O1062">
        <v>1</v>
      </c>
      <c r="S1062" t="e">
        <v>#DIV/0!</v>
      </c>
      <c r="T1062" t="s">
        <v>82</v>
      </c>
    </row>
    <row r="1063" spans="15:20" x14ac:dyDescent="0.25">
      <c r="O1063">
        <v>1</v>
      </c>
      <c r="S1063" t="e">
        <v>#DIV/0!</v>
      </c>
      <c r="T1063" t="s">
        <v>82</v>
      </c>
    </row>
    <row r="1064" spans="15:20" x14ac:dyDescent="0.25">
      <c r="O1064">
        <v>1</v>
      </c>
      <c r="S1064" t="e">
        <v>#DIV/0!</v>
      </c>
      <c r="T1064" t="s">
        <v>82</v>
      </c>
    </row>
    <row r="1065" spans="15:20" x14ac:dyDescent="0.25">
      <c r="O1065">
        <v>1</v>
      </c>
      <c r="S1065" t="e">
        <v>#DIV/0!</v>
      </c>
      <c r="T1065" t="s">
        <v>82</v>
      </c>
    </row>
    <row r="1066" spans="15:20" x14ac:dyDescent="0.25">
      <c r="O1066">
        <v>1</v>
      </c>
      <c r="S1066" t="e">
        <v>#DIV/0!</v>
      </c>
      <c r="T1066" t="s">
        <v>82</v>
      </c>
    </row>
    <row r="1067" spans="15:20" x14ac:dyDescent="0.25">
      <c r="O1067">
        <v>1</v>
      </c>
      <c r="S1067" t="e">
        <v>#DIV/0!</v>
      </c>
      <c r="T1067" t="s">
        <v>82</v>
      </c>
    </row>
    <row r="1068" spans="15:20" x14ac:dyDescent="0.25">
      <c r="O1068">
        <v>1</v>
      </c>
      <c r="S1068" t="e">
        <v>#DIV/0!</v>
      </c>
      <c r="T1068" t="s">
        <v>82</v>
      </c>
    </row>
    <row r="1069" spans="15:20" x14ac:dyDescent="0.25">
      <c r="O1069">
        <v>1</v>
      </c>
      <c r="S1069" t="e">
        <v>#DIV/0!</v>
      </c>
      <c r="T1069" t="s">
        <v>82</v>
      </c>
    </row>
    <row r="1070" spans="15:20" x14ac:dyDescent="0.25">
      <c r="O1070">
        <v>1</v>
      </c>
      <c r="S1070" t="e">
        <v>#DIV/0!</v>
      </c>
      <c r="T1070" t="s">
        <v>82</v>
      </c>
    </row>
    <row r="1071" spans="15:20" x14ac:dyDescent="0.25">
      <c r="O1071">
        <v>1</v>
      </c>
      <c r="S1071" t="e">
        <v>#DIV/0!</v>
      </c>
      <c r="T1071" t="s">
        <v>82</v>
      </c>
    </row>
    <row r="1072" spans="15:20" x14ac:dyDescent="0.25">
      <c r="O1072">
        <v>1</v>
      </c>
      <c r="S1072" t="e">
        <v>#DIV/0!</v>
      </c>
      <c r="T1072" t="s">
        <v>82</v>
      </c>
    </row>
    <row r="1073" spans="15:20" x14ac:dyDescent="0.25">
      <c r="O1073">
        <v>1</v>
      </c>
      <c r="S1073" t="e">
        <v>#DIV/0!</v>
      </c>
      <c r="T1073" t="s">
        <v>82</v>
      </c>
    </row>
    <row r="1074" spans="15:20" x14ac:dyDescent="0.25">
      <c r="O1074">
        <v>1</v>
      </c>
      <c r="S1074" t="e">
        <v>#DIV/0!</v>
      </c>
      <c r="T1074" t="s">
        <v>82</v>
      </c>
    </row>
    <row r="1075" spans="15:20" x14ac:dyDescent="0.25">
      <c r="O1075">
        <v>1</v>
      </c>
      <c r="S1075" t="e">
        <v>#DIV/0!</v>
      </c>
      <c r="T1075" t="s">
        <v>82</v>
      </c>
    </row>
    <row r="1076" spans="15:20" x14ac:dyDescent="0.25">
      <c r="O1076">
        <v>1</v>
      </c>
      <c r="S1076" t="e">
        <v>#DIV/0!</v>
      </c>
      <c r="T1076" t="s">
        <v>82</v>
      </c>
    </row>
    <row r="1077" spans="15:20" x14ac:dyDescent="0.25">
      <c r="O1077">
        <v>1</v>
      </c>
      <c r="S1077" t="e">
        <v>#DIV/0!</v>
      </c>
      <c r="T1077" t="s">
        <v>82</v>
      </c>
    </row>
    <row r="1078" spans="15:20" x14ac:dyDescent="0.25">
      <c r="O1078">
        <v>1</v>
      </c>
      <c r="S1078" t="e">
        <v>#DIV/0!</v>
      </c>
      <c r="T1078" t="s">
        <v>82</v>
      </c>
    </row>
    <row r="1079" spans="15:20" x14ac:dyDescent="0.25">
      <c r="O1079">
        <v>1</v>
      </c>
      <c r="S1079" t="e">
        <v>#DIV/0!</v>
      </c>
      <c r="T1079" t="s">
        <v>82</v>
      </c>
    </row>
    <row r="1080" spans="15:20" x14ac:dyDescent="0.25">
      <c r="O1080">
        <v>1</v>
      </c>
      <c r="S1080" t="e">
        <v>#DIV/0!</v>
      </c>
      <c r="T1080" t="s">
        <v>82</v>
      </c>
    </row>
    <row r="1081" spans="15:20" x14ac:dyDescent="0.25">
      <c r="O1081">
        <v>1</v>
      </c>
      <c r="S1081" t="e">
        <v>#DIV/0!</v>
      </c>
      <c r="T1081" t="s">
        <v>82</v>
      </c>
    </row>
    <row r="1082" spans="15:20" x14ac:dyDescent="0.25">
      <c r="O1082">
        <v>1</v>
      </c>
      <c r="S1082" t="e">
        <v>#DIV/0!</v>
      </c>
      <c r="T1082" t="s">
        <v>82</v>
      </c>
    </row>
    <row r="1083" spans="15:20" x14ac:dyDescent="0.25">
      <c r="O1083">
        <v>1</v>
      </c>
      <c r="S1083" t="e">
        <v>#DIV/0!</v>
      </c>
      <c r="T1083" t="s">
        <v>82</v>
      </c>
    </row>
    <row r="1084" spans="15:20" x14ac:dyDescent="0.25">
      <c r="O1084">
        <v>1</v>
      </c>
      <c r="S1084" t="e">
        <v>#DIV/0!</v>
      </c>
      <c r="T1084" t="s">
        <v>82</v>
      </c>
    </row>
    <row r="1085" spans="15:20" x14ac:dyDescent="0.25">
      <c r="O1085">
        <v>1</v>
      </c>
      <c r="S1085" t="e">
        <v>#DIV/0!</v>
      </c>
      <c r="T1085" t="s">
        <v>82</v>
      </c>
    </row>
    <row r="1086" spans="15:20" x14ac:dyDescent="0.25">
      <c r="O1086">
        <v>1</v>
      </c>
      <c r="S1086" t="e">
        <v>#DIV/0!</v>
      </c>
      <c r="T1086" t="s">
        <v>82</v>
      </c>
    </row>
    <row r="1087" spans="15:20" x14ac:dyDescent="0.25">
      <c r="O1087">
        <v>1</v>
      </c>
      <c r="S1087" t="e">
        <v>#DIV/0!</v>
      </c>
      <c r="T1087" t="s">
        <v>82</v>
      </c>
    </row>
    <row r="1088" spans="15:20" x14ac:dyDescent="0.25">
      <c r="O1088">
        <v>1</v>
      </c>
      <c r="S1088" t="e">
        <v>#DIV/0!</v>
      </c>
      <c r="T1088" t="s">
        <v>82</v>
      </c>
    </row>
    <row r="1089" spans="15:20" x14ac:dyDescent="0.25">
      <c r="O1089">
        <v>1</v>
      </c>
      <c r="S1089" t="e">
        <v>#DIV/0!</v>
      </c>
      <c r="T1089" t="s">
        <v>82</v>
      </c>
    </row>
    <row r="1090" spans="15:20" x14ac:dyDescent="0.25">
      <c r="O1090">
        <v>1</v>
      </c>
      <c r="S1090" t="e">
        <v>#DIV/0!</v>
      </c>
      <c r="T1090" t="s">
        <v>82</v>
      </c>
    </row>
    <row r="1091" spans="15:20" x14ac:dyDescent="0.25">
      <c r="O1091">
        <v>1</v>
      </c>
      <c r="S1091" t="e">
        <v>#DIV/0!</v>
      </c>
      <c r="T1091" t="s">
        <v>82</v>
      </c>
    </row>
    <row r="1092" spans="15:20" x14ac:dyDescent="0.25">
      <c r="O1092">
        <v>1</v>
      </c>
      <c r="S1092" t="e">
        <v>#DIV/0!</v>
      </c>
      <c r="T1092" t="s">
        <v>82</v>
      </c>
    </row>
    <row r="1093" spans="15:20" x14ac:dyDescent="0.25">
      <c r="O1093">
        <v>1</v>
      </c>
      <c r="S1093" t="e">
        <v>#DIV/0!</v>
      </c>
      <c r="T1093" t="s">
        <v>82</v>
      </c>
    </row>
    <row r="1094" spans="15:20" x14ac:dyDescent="0.25">
      <c r="O1094">
        <v>1</v>
      </c>
      <c r="S1094" t="e">
        <v>#DIV/0!</v>
      </c>
      <c r="T1094" t="s">
        <v>82</v>
      </c>
    </row>
    <row r="1095" spans="15:20" x14ac:dyDescent="0.25">
      <c r="O1095">
        <v>1</v>
      </c>
      <c r="S1095" t="e">
        <v>#DIV/0!</v>
      </c>
      <c r="T1095" t="s">
        <v>82</v>
      </c>
    </row>
    <row r="1096" spans="15:20" x14ac:dyDescent="0.25">
      <c r="O1096">
        <v>1</v>
      </c>
      <c r="S1096" t="e">
        <v>#DIV/0!</v>
      </c>
      <c r="T1096" t="s">
        <v>82</v>
      </c>
    </row>
    <row r="1097" spans="15:20" x14ac:dyDescent="0.25">
      <c r="O1097">
        <v>1</v>
      </c>
      <c r="S1097" t="e">
        <v>#DIV/0!</v>
      </c>
      <c r="T1097" t="s">
        <v>82</v>
      </c>
    </row>
    <row r="1098" spans="15:20" x14ac:dyDescent="0.25">
      <c r="O1098">
        <v>1</v>
      </c>
      <c r="S1098" t="e">
        <v>#DIV/0!</v>
      </c>
      <c r="T1098" t="s">
        <v>82</v>
      </c>
    </row>
    <row r="1099" spans="15:20" x14ac:dyDescent="0.25">
      <c r="O1099">
        <v>1</v>
      </c>
      <c r="S1099" t="e">
        <v>#DIV/0!</v>
      </c>
      <c r="T1099" t="s">
        <v>82</v>
      </c>
    </row>
    <row r="1100" spans="15:20" x14ac:dyDescent="0.25">
      <c r="O1100">
        <v>1</v>
      </c>
      <c r="S1100" t="e">
        <v>#DIV/0!</v>
      </c>
      <c r="T1100" t="s">
        <v>82</v>
      </c>
    </row>
    <row r="1101" spans="15:20" x14ac:dyDescent="0.25">
      <c r="O1101">
        <v>1</v>
      </c>
      <c r="S1101" t="e">
        <v>#DIV/0!</v>
      </c>
      <c r="T1101" t="s">
        <v>82</v>
      </c>
    </row>
    <row r="1102" spans="15:20" x14ac:dyDescent="0.25">
      <c r="O1102">
        <v>1</v>
      </c>
      <c r="S1102" t="e">
        <v>#DIV/0!</v>
      </c>
      <c r="T1102" t="s">
        <v>82</v>
      </c>
    </row>
    <row r="1103" spans="15:20" x14ac:dyDescent="0.25">
      <c r="O1103">
        <v>1</v>
      </c>
      <c r="S1103" t="e">
        <v>#DIV/0!</v>
      </c>
      <c r="T1103" t="s">
        <v>82</v>
      </c>
    </row>
    <row r="1104" spans="15:20" x14ac:dyDescent="0.25">
      <c r="O1104">
        <v>1</v>
      </c>
      <c r="S1104" t="e">
        <v>#DIV/0!</v>
      </c>
      <c r="T1104" t="s">
        <v>82</v>
      </c>
    </row>
    <row r="1105" spans="15:20" x14ac:dyDescent="0.25">
      <c r="O1105">
        <v>1</v>
      </c>
      <c r="S1105" t="e">
        <v>#DIV/0!</v>
      </c>
      <c r="T1105" t="s">
        <v>82</v>
      </c>
    </row>
    <row r="1106" spans="15:20" x14ac:dyDescent="0.25">
      <c r="O1106">
        <v>1</v>
      </c>
      <c r="S1106" t="e">
        <v>#DIV/0!</v>
      </c>
      <c r="T1106" t="s">
        <v>82</v>
      </c>
    </row>
    <row r="1107" spans="15:20" x14ac:dyDescent="0.25">
      <c r="O1107">
        <v>1</v>
      </c>
      <c r="S1107" t="e">
        <v>#DIV/0!</v>
      </c>
      <c r="T1107" t="s">
        <v>82</v>
      </c>
    </row>
    <row r="1108" spans="15:20" x14ac:dyDescent="0.25">
      <c r="O1108">
        <v>1</v>
      </c>
      <c r="S1108" t="e">
        <v>#DIV/0!</v>
      </c>
      <c r="T1108" t="s">
        <v>82</v>
      </c>
    </row>
    <row r="1109" spans="15:20" x14ac:dyDescent="0.25">
      <c r="O1109">
        <v>1</v>
      </c>
      <c r="S1109" t="e">
        <v>#DIV/0!</v>
      </c>
      <c r="T1109" t="s">
        <v>82</v>
      </c>
    </row>
    <row r="1110" spans="15:20" x14ac:dyDescent="0.25">
      <c r="O1110">
        <v>1</v>
      </c>
      <c r="S1110" t="e">
        <v>#DIV/0!</v>
      </c>
      <c r="T1110" t="s">
        <v>82</v>
      </c>
    </row>
    <row r="1111" spans="15:20" x14ac:dyDescent="0.25">
      <c r="O1111">
        <v>1</v>
      </c>
      <c r="S1111" t="e">
        <v>#DIV/0!</v>
      </c>
      <c r="T1111" t="s">
        <v>82</v>
      </c>
    </row>
    <row r="1112" spans="15:20" x14ac:dyDescent="0.25">
      <c r="O1112">
        <v>1</v>
      </c>
      <c r="S1112" t="e">
        <v>#DIV/0!</v>
      </c>
      <c r="T1112" t="s">
        <v>82</v>
      </c>
    </row>
    <row r="1113" spans="15:20" x14ac:dyDescent="0.25">
      <c r="O1113">
        <v>1</v>
      </c>
      <c r="S1113" t="e">
        <v>#DIV/0!</v>
      </c>
      <c r="T1113" t="s">
        <v>82</v>
      </c>
    </row>
    <row r="1114" spans="15:20" x14ac:dyDescent="0.25">
      <c r="O1114">
        <v>1</v>
      </c>
      <c r="S1114" t="e">
        <v>#DIV/0!</v>
      </c>
      <c r="T1114" t="s">
        <v>82</v>
      </c>
    </row>
    <row r="1115" spans="15:20" x14ac:dyDescent="0.25">
      <c r="O1115">
        <v>1</v>
      </c>
      <c r="S1115" t="e">
        <v>#DIV/0!</v>
      </c>
      <c r="T1115" t="s">
        <v>82</v>
      </c>
    </row>
    <row r="1116" spans="15:20" x14ac:dyDescent="0.25">
      <c r="O1116">
        <v>1</v>
      </c>
      <c r="S1116" t="e">
        <v>#DIV/0!</v>
      </c>
      <c r="T1116" t="s">
        <v>82</v>
      </c>
    </row>
    <row r="1117" spans="15:20" x14ac:dyDescent="0.25">
      <c r="O1117">
        <v>1</v>
      </c>
      <c r="S1117" t="e">
        <v>#DIV/0!</v>
      </c>
      <c r="T1117" t="s">
        <v>82</v>
      </c>
    </row>
    <row r="1118" spans="15:20" x14ac:dyDescent="0.25">
      <c r="O1118">
        <v>1</v>
      </c>
      <c r="S1118" t="e">
        <v>#DIV/0!</v>
      </c>
      <c r="T1118" t="s">
        <v>82</v>
      </c>
    </row>
    <row r="1119" spans="15:20" x14ac:dyDescent="0.25">
      <c r="O1119">
        <v>1</v>
      </c>
      <c r="S1119" t="e">
        <v>#DIV/0!</v>
      </c>
      <c r="T1119" t="s">
        <v>82</v>
      </c>
    </row>
    <row r="1120" spans="15:20" x14ac:dyDescent="0.25">
      <c r="O1120">
        <v>1</v>
      </c>
      <c r="S1120" t="e">
        <v>#DIV/0!</v>
      </c>
      <c r="T1120" t="s">
        <v>82</v>
      </c>
    </row>
    <row r="1121" spans="15:20" x14ac:dyDescent="0.25">
      <c r="O1121">
        <v>1</v>
      </c>
      <c r="S1121" t="e">
        <v>#DIV/0!</v>
      </c>
      <c r="T1121" t="s">
        <v>82</v>
      </c>
    </row>
    <row r="1122" spans="15:20" x14ac:dyDescent="0.25">
      <c r="O1122">
        <v>1</v>
      </c>
      <c r="S1122" t="e">
        <v>#DIV/0!</v>
      </c>
      <c r="T1122" t="s">
        <v>82</v>
      </c>
    </row>
    <row r="1123" spans="15:20" x14ac:dyDescent="0.25">
      <c r="O1123">
        <v>1</v>
      </c>
      <c r="S1123" t="e">
        <v>#DIV/0!</v>
      </c>
      <c r="T1123" t="s">
        <v>82</v>
      </c>
    </row>
    <row r="1124" spans="15:20" x14ac:dyDescent="0.25">
      <c r="O1124">
        <v>1</v>
      </c>
      <c r="S1124" t="e">
        <v>#DIV/0!</v>
      </c>
      <c r="T1124" t="s">
        <v>82</v>
      </c>
    </row>
    <row r="1125" spans="15:20" x14ac:dyDescent="0.25">
      <c r="O1125">
        <v>1</v>
      </c>
      <c r="S1125" t="e">
        <v>#DIV/0!</v>
      </c>
      <c r="T1125" t="s">
        <v>82</v>
      </c>
    </row>
    <row r="1126" spans="15:20" x14ac:dyDescent="0.25">
      <c r="O1126">
        <v>1</v>
      </c>
      <c r="S1126" t="e">
        <v>#DIV/0!</v>
      </c>
      <c r="T1126" t="s">
        <v>82</v>
      </c>
    </row>
    <row r="1127" spans="15:20" x14ac:dyDescent="0.25">
      <c r="O1127">
        <v>1</v>
      </c>
      <c r="S1127" t="e">
        <v>#DIV/0!</v>
      </c>
      <c r="T1127" t="s">
        <v>82</v>
      </c>
    </row>
    <row r="1128" spans="15:20" x14ac:dyDescent="0.25">
      <c r="O1128">
        <v>1</v>
      </c>
      <c r="S1128" t="e">
        <v>#DIV/0!</v>
      </c>
      <c r="T1128" t="s">
        <v>82</v>
      </c>
    </row>
    <row r="1129" spans="15:20" x14ac:dyDescent="0.25">
      <c r="O1129">
        <v>1</v>
      </c>
      <c r="S1129" t="e">
        <v>#DIV/0!</v>
      </c>
      <c r="T1129" t="s">
        <v>82</v>
      </c>
    </row>
    <row r="1130" spans="15:20" x14ac:dyDescent="0.25">
      <c r="O1130">
        <v>1</v>
      </c>
      <c r="S1130" t="e">
        <v>#DIV/0!</v>
      </c>
      <c r="T1130" t="s">
        <v>82</v>
      </c>
    </row>
    <row r="1131" spans="15:20" x14ac:dyDescent="0.25">
      <c r="O1131">
        <v>1</v>
      </c>
      <c r="S1131" t="e">
        <v>#DIV/0!</v>
      </c>
      <c r="T1131" t="s">
        <v>82</v>
      </c>
    </row>
    <row r="1132" spans="15:20" x14ac:dyDescent="0.25">
      <c r="O1132">
        <v>1</v>
      </c>
      <c r="S1132" t="e">
        <v>#DIV/0!</v>
      </c>
      <c r="T1132" t="s">
        <v>82</v>
      </c>
    </row>
    <row r="1133" spans="15:20" x14ac:dyDescent="0.25">
      <c r="O1133">
        <v>1</v>
      </c>
      <c r="S1133" t="e">
        <v>#DIV/0!</v>
      </c>
      <c r="T1133" t="s">
        <v>82</v>
      </c>
    </row>
    <row r="1134" spans="15:20" x14ac:dyDescent="0.25">
      <c r="O1134">
        <v>1</v>
      </c>
      <c r="S1134" t="e">
        <v>#DIV/0!</v>
      </c>
      <c r="T1134" t="s">
        <v>82</v>
      </c>
    </row>
    <row r="1135" spans="15:20" x14ac:dyDescent="0.25">
      <c r="O1135">
        <v>1</v>
      </c>
      <c r="S1135" t="e">
        <v>#DIV/0!</v>
      </c>
      <c r="T1135" t="s">
        <v>82</v>
      </c>
    </row>
    <row r="1136" spans="15:20" x14ac:dyDescent="0.25">
      <c r="O1136">
        <v>1</v>
      </c>
      <c r="S1136" t="e">
        <v>#DIV/0!</v>
      </c>
      <c r="T1136" t="s">
        <v>82</v>
      </c>
    </row>
    <row r="1137" spans="15:20" x14ac:dyDescent="0.25">
      <c r="O1137">
        <v>1</v>
      </c>
      <c r="S1137" t="e">
        <v>#DIV/0!</v>
      </c>
      <c r="T1137" t="s">
        <v>82</v>
      </c>
    </row>
    <row r="1138" spans="15:20" x14ac:dyDescent="0.25">
      <c r="O1138">
        <v>1</v>
      </c>
      <c r="S1138" t="e">
        <v>#DIV/0!</v>
      </c>
      <c r="T1138" t="s">
        <v>82</v>
      </c>
    </row>
    <row r="1139" spans="15:20" x14ac:dyDescent="0.25">
      <c r="O1139">
        <v>1</v>
      </c>
      <c r="S1139" t="e">
        <v>#DIV/0!</v>
      </c>
      <c r="T1139" t="s">
        <v>82</v>
      </c>
    </row>
    <row r="1140" spans="15:20" x14ac:dyDescent="0.25">
      <c r="O1140">
        <v>1</v>
      </c>
      <c r="S1140" t="e">
        <v>#DIV/0!</v>
      </c>
      <c r="T1140" t="s">
        <v>82</v>
      </c>
    </row>
    <row r="1141" spans="15:20" x14ac:dyDescent="0.25">
      <c r="O1141">
        <v>1</v>
      </c>
      <c r="S1141" t="e">
        <v>#DIV/0!</v>
      </c>
      <c r="T1141" t="s">
        <v>82</v>
      </c>
    </row>
    <row r="1142" spans="15:20" x14ac:dyDescent="0.25">
      <c r="O1142">
        <v>1</v>
      </c>
      <c r="S1142" t="e">
        <v>#DIV/0!</v>
      </c>
      <c r="T1142" t="s">
        <v>82</v>
      </c>
    </row>
    <row r="1143" spans="15:20" x14ac:dyDescent="0.25">
      <c r="O1143">
        <v>1</v>
      </c>
      <c r="S1143" t="e">
        <v>#DIV/0!</v>
      </c>
      <c r="T1143" t="s">
        <v>82</v>
      </c>
    </row>
    <row r="1144" spans="15:20" x14ac:dyDescent="0.25">
      <c r="O1144">
        <v>1</v>
      </c>
      <c r="S1144" t="e">
        <v>#DIV/0!</v>
      </c>
      <c r="T1144" t="s">
        <v>82</v>
      </c>
    </row>
    <row r="1145" spans="15:20" x14ac:dyDescent="0.25">
      <c r="O1145">
        <v>1</v>
      </c>
      <c r="S1145" t="e">
        <v>#DIV/0!</v>
      </c>
      <c r="T1145" t="s">
        <v>82</v>
      </c>
    </row>
    <row r="1146" spans="15:20" x14ac:dyDescent="0.25">
      <c r="O1146">
        <v>1</v>
      </c>
      <c r="S1146" t="e">
        <v>#DIV/0!</v>
      </c>
      <c r="T1146" t="s">
        <v>82</v>
      </c>
    </row>
    <row r="1147" spans="15:20" x14ac:dyDescent="0.25">
      <c r="O1147">
        <v>1</v>
      </c>
      <c r="S1147" t="e">
        <v>#DIV/0!</v>
      </c>
      <c r="T1147" t="s">
        <v>82</v>
      </c>
    </row>
    <row r="1148" spans="15:20" x14ac:dyDescent="0.25">
      <c r="O1148">
        <v>1</v>
      </c>
      <c r="S1148" t="e">
        <v>#DIV/0!</v>
      </c>
      <c r="T1148" t="s">
        <v>82</v>
      </c>
    </row>
    <row r="1149" spans="15:20" x14ac:dyDescent="0.25">
      <c r="O1149">
        <v>1</v>
      </c>
      <c r="S1149" t="e">
        <v>#DIV/0!</v>
      </c>
      <c r="T1149" t="s">
        <v>82</v>
      </c>
    </row>
    <row r="1150" spans="15:20" x14ac:dyDescent="0.25">
      <c r="O1150">
        <v>1</v>
      </c>
      <c r="S1150" t="e">
        <v>#DIV/0!</v>
      </c>
      <c r="T1150" t="s">
        <v>82</v>
      </c>
    </row>
    <row r="1151" spans="15:20" x14ac:dyDescent="0.25">
      <c r="O1151">
        <v>1</v>
      </c>
      <c r="S1151" t="e">
        <v>#DIV/0!</v>
      </c>
      <c r="T1151" t="s">
        <v>82</v>
      </c>
    </row>
    <row r="1152" spans="15:20" x14ac:dyDescent="0.25">
      <c r="O1152">
        <v>1</v>
      </c>
      <c r="S1152" t="e">
        <v>#DIV/0!</v>
      </c>
      <c r="T1152" t="s">
        <v>82</v>
      </c>
    </row>
    <row r="1153" spans="15:20" x14ac:dyDescent="0.25">
      <c r="O1153">
        <v>1</v>
      </c>
      <c r="S1153" t="e">
        <v>#DIV/0!</v>
      </c>
      <c r="T1153" t="s">
        <v>82</v>
      </c>
    </row>
    <row r="1154" spans="15:20" x14ac:dyDescent="0.25">
      <c r="O1154">
        <v>1</v>
      </c>
      <c r="S1154" t="e">
        <v>#DIV/0!</v>
      </c>
      <c r="T1154" t="s">
        <v>82</v>
      </c>
    </row>
    <row r="1155" spans="15:20" x14ac:dyDescent="0.25">
      <c r="O1155">
        <v>1</v>
      </c>
      <c r="S1155" t="e">
        <v>#DIV/0!</v>
      </c>
      <c r="T1155" t="s">
        <v>82</v>
      </c>
    </row>
    <row r="1156" spans="15:20" x14ac:dyDescent="0.25">
      <c r="O1156">
        <v>1</v>
      </c>
      <c r="S1156" t="e">
        <v>#DIV/0!</v>
      </c>
      <c r="T1156" t="s">
        <v>82</v>
      </c>
    </row>
    <row r="1157" spans="15:20" x14ac:dyDescent="0.25">
      <c r="O1157">
        <v>1</v>
      </c>
      <c r="S1157" t="e">
        <v>#DIV/0!</v>
      </c>
      <c r="T1157" t="s">
        <v>82</v>
      </c>
    </row>
    <row r="1158" spans="15:20" x14ac:dyDescent="0.25">
      <c r="O1158">
        <v>1</v>
      </c>
      <c r="S1158" t="e">
        <v>#DIV/0!</v>
      </c>
      <c r="T1158" t="s">
        <v>82</v>
      </c>
    </row>
    <row r="1159" spans="15:20" x14ac:dyDescent="0.25">
      <c r="O1159">
        <v>1</v>
      </c>
      <c r="S1159" t="e">
        <v>#DIV/0!</v>
      </c>
      <c r="T1159" t="s">
        <v>82</v>
      </c>
    </row>
    <row r="1160" spans="15:20" x14ac:dyDescent="0.25">
      <c r="O1160">
        <v>1</v>
      </c>
      <c r="S1160" t="e">
        <v>#DIV/0!</v>
      </c>
      <c r="T1160" t="s">
        <v>82</v>
      </c>
    </row>
    <row r="1161" spans="15:20" x14ac:dyDescent="0.25">
      <c r="O1161">
        <v>1</v>
      </c>
      <c r="S1161" t="e">
        <v>#DIV/0!</v>
      </c>
      <c r="T1161" t="s">
        <v>82</v>
      </c>
    </row>
    <row r="1162" spans="15:20" x14ac:dyDescent="0.25">
      <c r="O1162">
        <v>1</v>
      </c>
      <c r="S1162" t="e">
        <v>#DIV/0!</v>
      </c>
      <c r="T1162" t="s">
        <v>82</v>
      </c>
    </row>
    <row r="1163" spans="15:20" x14ac:dyDescent="0.25">
      <c r="O1163">
        <v>1</v>
      </c>
      <c r="S1163" t="e">
        <v>#DIV/0!</v>
      </c>
      <c r="T1163" t="s">
        <v>82</v>
      </c>
    </row>
    <row r="1164" spans="15:20" x14ac:dyDescent="0.25">
      <c r="O1164">
        <v>1</v>
      </c>
      <c r="S1164" t="e">
        <v>#DIV/0!</v>
      </c>
      <c r="T1164" t="s">
        <v>82</v>
      </c>
    </row>
    <row r="1165" spans="15:20" x14ac:dyDescent="0.25">
      <c r="O1165">
        <v>1</v>
      </c>
      <c r="S1165" t="e">
        <v>#DIV/0!</v>
      </c>
      <c r="T1165" t="s">
        <v>82</v>
      </c>
    </row>
    <row r="1166" spans="15:20" x14ac:dyDescent="0.25">
      <c r="O1166">
        <v>1</v>
      </c>
      <c r="S1166" t="e">
        <v>#DIV/0!</v>
      </c>
      <c r="T1166" t="s">
        <v>82</v>
      </c>
    </row>
    <row r="1167" spans="15:20" x14ac:dyDescent="0.25">
      <c r="O1167">
        <v>1</v>
      </c>
      <c r="S1167" t="e">
        <v>#DIV/0!</v>
      </c>
      <c r="T1167" t="s">
        <v>82</v>
      </c>
    </row>
    <row r="1168" spans="15:20" x14ac:dyDescent="0.25">
      <c r="O1168">
        <v>1</v>
      </c>
      <c r="S1168" t="e">
        <v>#DIV/0!</v>
      </c>
      <c r="T1168" t="s">
        <v>82</v>
      </c>
    </row>
    <row r="1169" spans="15:20" x14ac:dyDescent="0.25">
      <c r="O1169">
        <v>1</v>
      </c>
      <c r="S1169" t="e">
        <v>#DIV/0!</v>
      </c>
      <c r="T1169" t="s">
        <v>82</v>
      </c>
    </row>
    <row r="1170" spans="15:20" x14ac:dyDescent="0.25">
      <c r="O1170">
        <v>1</v>
      </c>
      <c r="S1170" t="e">
        <v>#DIV/0!</v>
      </c>
      <c r="T1170" t="s">
        <v>82</v>
      </c>
    </row>
    <row r="1171" spans="15:20" x14ac:dyDescent="0.25">
      <c r="O1171">
        <v>1</v>
      </c>
      <c r="S1171" t="e">
        <v>#DIV/0!</v>
      </c>
      <c r="T1171" t="s">
        <v>82</v>
      </c>
    </row>
    <row r="1172" spans="15:20" x14ac:dyDescent="0.25">
      <c r="O1172">
        <v>1</v>
      </c>
      <c r="S1172" t="e">
        <v>#DIV/0!</v>
      </c>
      <c r="T1172" t="s">
        <v>82</v>
      </c>
    </row>
    <row r="1173" spans="15:20" x14ac:dyDescent="0.25">
      <c r="O1173">
        <v>1</v>
      </c>
      <c r="S1173" t="e">
        <v>#DIV/0!</v>
      </c>
      <c r="T1173" t="s">
        <v>82</v>
      </c>
    </row>
    <row r="1174" spans="15:20" x14ac:dyDescent="0.25">
      <c r="O1174">
        <v>1</v>
      </c>
      <c r="S1174" t="e">
        <v>#DIV/0!</v>
      </c>
      <c r="T1174" t="s">
        <v>82</v>
      </c>
    </row>
    <row r="1175" spans="15:20" x14ac:dyDescent="0.25">
      <c r="O1175">
        <v>1</v>
      </c>
      <c r="S1175" t="e">
        <v>#DIV/0!</v>
      </c>
      <c r="T1175" t="s">
        <v>82</v>
      </c>
    </row>
    <row r="1176" spans="15:20" x14ac:dyDescent="0.25">
      <c r="O1176">
        <v>1</v>
      </c>
      <c r="S1176" t="e">
        <v>#DIV/0!</v>
      </c>
      <c r="T1176" t="s">
        <v>82</v>
      </c>
    </row>
    <row r="1177" spans="15:20" x14ac:dyDescent="0.25">
      <c r="O1177">
        <v>1</v>
      </c>
      <c r="S1177" t="e">
        <v>#DIV/0!</v>
      </c>
      <c r="T1177" t="s">
        <v>82</v>
      </c>
    </row>
    <row r="1178" spans="15:20" x14ac:dyDescent="0.25">
      <c r="O1178">
        <v>1</v>
      </c>
      <c r="S1178" t="e">
        <v>#DIV/0!</v>
      </c>
      <c r="T1178" t="s">
        <v>82</v>
      </c>
    </row>
    <row r="1179" spans="15:20" x14ac:dyDescent="0.25">
      <c r="O1179">
        <v>1</v>
      </c>
      <c r="S1179" t="e">
        <v>#DIV/0!</v>
      </c>
      <c r="T1179" t="s">
        <v>82</v>
      </c>
    </row>
    <row r="1180" spans="15:20" x14ac:dyDescent="0.25">
      <c r="O1180">
        <v>1</v>
      </c>
      <c r="S1180" t="e">
        <v>#DIV/0!</v>
      </c>
      <c r="T1180" t="s">
        <v>82</v>
      </c>
    </row>
    <row r="1181" spans="15:20" x14ac:dyDescent="0.25">
      <c r="O1181">
        <v>1</v>
      </c>
      <c r="S1181" t="e">
        <v>#DIV/0!</v>
      </c>
      <c r="T1181" t="s">
        <v>82</v>
      </c>
    </row>
    <row r="1182" spans="15:20" x14ac:dyDescent="0.25">
      <c r="O1182">
        <v>1</v>
      </c>
      <c r="S1182" t="e">
        <v>#DIV/0!</v>
      </c>
      <c r="T1182" t="s">
        <v>82</v>
      </c>
    </row>
    <row r="1183" spans="15:20" x14ac:dyDescent="0.25">
      <c r="O1183">
        <v>1</v>
      </c>
      <c r="S1183" t="e">
        <v>#DIV/0!</v>
      </c>
      <c r="T1183" t="s">
        <v>82</v>
      </c>
    </row>
    <row r="1184" spans="15:20" x14ac:dyDescent="0.25">
      <c r="O1184">
        <v>1</v>
      </c>
      <c r="S1184" t="e">
        <v>#DIV/0!</v>
      </c>
      <c r="T1184" t="s">
        <v>82</v>
      </c>
    </row>
    <row r="1185" spans="15:20" x14ac:dyDescent="0.25">
      <c r="O1185">
        <v>1</v>
      </c>
      <c r="S1185" t="e">
        <v>#DIV/0!</v>
      </c>
      <c r="T1185" t="s">
        <v>82</v>
      </c>
    </row>
    <row r="1186" spans="15:20" x14ac:dyDescent="0.25">
      <c r="O1186">
        <v>1</v>
      </c>
      <c r="S1186" t="e">
        <v>#DIV/0!</v>
      </c>
      <c r="T1186" t="s">
        <v>82</v>
      </c>
    </row>
    <row r="1187" spans="15:20" x14ac:dyDescent="0.25">
      <c r="O1187">
        <v>1</v>
      </c>
      <c r="S1187" t="e">
        <v>#DIV/0!</v>
      </c>
      <c r="T1187" t="s">
        <v>82</v>
      </c>
    </row>
    <row r="1188" spans="15:20" x14ac:dyDescent="0.25">
      <c r="O1188">
        <v>1</v>
      </c>
      <c r="S1188" t="e">
        <v>#DIV/0!</v>
      </c>
      <c r="T1188" t="s">
        <v>82</v>
      </c>
    </row>
    <row r="1189" spans="15:20" x14ac:dyDescent="0.25">
      <c r="O1189">
        <v>1</v>
      </c>
      <c r="S1189" t="e">
        <v>#DIV/0!</v>
      </c>
      <c r="T1189" t="s">
        <v>82</v>
      </c>
    </row>
    <row r="1190" spans="15:20" x14ac:dyDescent="0.25">
      <c r="O1190">
        <v>1</v>
      </c>
      <c r="S1190" t="e">
        <v>#DIV/0!</v>
      </c>
      <c r="T1190" t="s">
        <v>82</v>
      </c>
    </row>
    <row r="1191" spans="15:20" x14ac:dyDescent="0.25">
      <c r="O1191">
        <v>1</v>
      </c>
      <c r="S1191" t="e">
        <v>#DIV/0!</v>
      </c>
      <c r="T1191" t="s">
        <v>82</v>
      </c>
    </row>
    <row r="1192" spans="15:20" x14ac:dyDescent="0.25">
      <c r="O1192">
        <v>1</v>
      </c>
      <c r="S1192" t="e">
        <v>#DIV/0!</v>
      </c>
      <c r="T1192" t="s">
        <v>82</v>
      </c>
    </row>
    <row r="1193" spans="15:20" x14ac:dyDescent="0.25">
      <c r="O1193">
        <v>1</v>
      </c>
      <c r="S1193" t="e">
        <v>#DIV/0!</v>
      </c>
      <c r="T1193" t="s">
        <v>82</v>
      </c>
    </row>
    <row r="1194" spans="15:20" x14ac:dyDescent="0.25">
      <c r="O1194">
        <v>1</v>
      </c>
      <c r="S1194" t="e">
        <v>#DIV/0!</v>
      </c>
      <c r="T1194" t="s">
        <v>82</v>
      </c>
    </row>
    <row r="1195" spans="15:20" x14ac:dyDescent="0.25">
      <c r="O1195">
        <v>1</v>
      </c>
      <c r="S1195" t="e">
        <v>#DIV/0!</v>
      </c>
      <c r="T1195" t="s">
        <v>82</v>
      </c>
    </row>
    <row r="1196" spans="15:20" x14ac:dyDescent="0.25">
      <c r="O1196">
        <v>1</v>
      </c>
      <c r="S1196" t="e">
        <v>#DIV/0!</v>
      </c>
      <c r="T1196" t="s">
        <v>82</v>
      </c>
    </row>
    <row r="1197" spans="15:20" x14ac:dyDescent="0.25">
      <c r="O1197">
        <v>1</v>
      </c>
      <c r="S1197" t="e">
        <v>#DIV/0!</v>
      </c>
      <c r="T1197" t="s">
        <v>82</v>
      </c>
    </row>
    <row r="1198" spans="15:20" x14ac:dyDescent="0.25">
      <c r="O1198">
        <v>1</v>
      </c>
      <c r="S1198" t="e">
        <v>#DIV/0!</v>
      </c>
      <c r="T1198" t="s">
        <v>82</v>
      </c>
    </row>
    <row r="1199" spans="15:20" x14ac:dyDescent="0.25">
      <c r="O1199">
        <v>1</v>
      </c>
      <c r="S1199" t="e">
        <v>#DIV/0!</v>
      </c>
      <c r="T1199" t="s">
        <v>82</v>
      </c>
    </row>
    <row r="1200" spans="15:20" x14ac:dyDescent="0.25">
      <c r="O1200">
        <v>1</v>
      </c>
      <c r="S1200" t="e">
        <v>#DIV/0!</v>
      </c>
      <c r="T1200" t="s">
        <v>82</v>
      </c>
    </row>
    <row r="1201" spans="15:20" x14ac:dyDescent="0.25">
      <c r="O1201">
        <v>1</v>
      </c>
      <c r="S1201" t="e">
        <v>#DIV/0!</v>
      </c>
      <c r="T1201" t="s">
        <v>82</v>
      </c>
    </row>
    <row r="1202" spans="15:20" x14ac:dyDescent="0.25">
      <c r="O1202">
        <v>1</v>
      </c>
      <c r="S1202" t="e">
        <v>#DIV/0!</v>
      </c>
      <c r="T1202" t="s">
        <v>82</v>
      </c>
    </row>
    <row r="1203" spans="15:20" x14ac:dyDescent="0.25">
      <c r="O1203">
        <v>1</v>
      </c>
      <c r="S1203" t="e">
        <v>#DIV/0!</v>
      </c>
      <c r="T1203" t="s">
        <v>82</v>
      </c>
    </row>
    <row r="1204" spans="15:20" x14ac:dyDescent="0.25">
      <c r="O1204">
        <v>1</v>
      </c>
      <c r="S1204" t="e">
        <v>#DIV/0!</v>
      </c>
      <c r="T1204" t="s">
        <v>82</v>
      </c>
    </row>
    <row r="1205" spans="15:20" x14ac:dyDescent="0.25">
      <c r="O1205">
        <v>1</v>
      </c>
      <c r="S1205" t="e">
        <v>#DIV/0!</v>
      </c>
      <c r="T1205" t="s">
        <v>82</v>
      </c>
    </row>
    <row r="1206" spans="15:20" x14ac:dyDescent="0.25">
      <c r="O1206">
        <v>1</v>
      </c>
      <c r="S1206" t="e">
        <v>#DIV/0!</v>
      </c>
      <c r="T1206" t="s">
        <v>82</v>
      </c>
    </row>
    <row r="1207" spans="15:20" x14ac:dyDescent="0.25">
      <c r="O1207">
        <v>1</v>
      </c>
      <c r="S1207" t="e">
        <v>#DIV/0!</v>
      </c>
      <c r="T1207" t="s">
        <v>82</v>
      </c>
    </row>
    <row r="1208" spans="15:20" x14ac:dyDescent="0.25">
      <c r="O1208">
        <v>1</v>
      </c>
      <c r="S1208" t="e">
        <v>#DIV/0!</v>
      </c>
      <c r="T1208" t="s">
        <v>82</v>
      </c>
    </row>
    <row r="1209" spans="15:20" x14ac:dyDescent="0.25">
      <c r="O1209">
        <v>1</v>
      </c>
      <c r="S1209" t="e">
        <v>#DIV/0!</v>
      </c>
      <c r="T1209" t="s">
        <v>82</v>
      </c>
    </row>
    <row r="1210" spans="15:20" x14ac:dyDescent="0.25">
      <c r="O1210">
        <v>1</v>
      </c>
      <c r="S1210" t="e">
        <v>#DIV/0!</v>
      </c>
      <c r="T1210" t="s">
        <v>82</v>
      </c>
    </row>
    <row r="1211" spans="15:20" x14ac:dyDescent="0.25">
      <c r="O1211">
        <v>1</v>
      </c>
      <c r="S1211" t="e">
        <v>#DIV/0!</v>
      </c>
      <c r="T1211" t="s">
        <v>82</v>
      </c>
    </row>
    <row r="1212" spans="15:20" x14ac:dyDescent="0.25">
      <c r="O1212">
        <v>1</v>
      </c>
      <c r="S1212" t="e">
        <v>#DIV/0!</v>
      </c>
      <c r="T1212" t="s">
        <v>82</v>
      </c>
    </row>
    <row r="1213" spans="15:20" x14ac:dyDescent="0.25">
      <c r="O1213">
        <v>1</v>
      </c>
      <c r="S1213" t="e">
        <v>#DIV/0!</v>
      </c>
      <c r="T1213" t="s">
        <v>82</v>
      </c>
    </row>
    <row r="1214" spans="15:20" x14ac:dyDescent="0.25">
      <c r="O1214">
        <v>1</v>
      </c>
      <c r="S1214" t="e">
        <v>#DIV/0!</v>
      </c>
      <c r="T1214" t="s">
        <v>82</v>
      </c>
    </row>
    <row r="1215" spans="15:20" x14ac:dyDescent="0.25">
      <c r="O1215">
        <v>1</v>
      </c>
      <c r="S1215" t="e">
        <v>#DIV/0!</v>
      </c>
      <c r="T1215" t="s">
        <v>82</v>
      </c>
    </row>
    <row r="1216" spans="15:20" x14ac:dyDescent="0.25">
      <c r="O1216">
        <v>1</v>
      </c>
      <c r="S1216" t="e">
        <v>#DIV/0!</v>
      </c>
      <c r="T1216" t="s">
        <v>82</v>
      </c>
    </row>
    <row r="1217" spans="15:20" x14ac:dyDescent="0.25">
      <c r="O1217">
        <v>1</v>
      </c>
      <c r="S1217" t="e">
        <v>#DIV/0!</v>
      </c>
      <c r="T1217" t="s">
        <v>82</v>
      </c>
    </row>
    <row r="1218" spans="15:20" x14ac:dyDescent="0.25">
      <c r="O1218">
        <v>1</v>
      </c>
      <c r="S1218" t="e">
        <v>#DIV/0!</v>
      </c>
      <c r="T1218" t="s">
        <v>82</v>
      </c>
    </row>
    <row r="1219" spans="15:20" x14ac:dyDescent="0.25">
      <c r="O1219">
        <v>1</v>
      </c>
      <c r="S1219" t="e">
        <v>#DIV/0!</v>
      </c>
      <c r="T1219" t="s">
        <v>82</v>
      </c>
    </row>
    <row r="1220" spans="15:20" x14ac:dyDescent="0.25">
      <c r="O1220">
        <v>1</v>
      </c>
      <c r="S1220" t="e">
        <v>#DIV/0!</v>
      </c>
      <c r="T1220" t="s">
        <v>82</v>
      </c>
    </row>
    <row r="1221" spans="15:20" x14ac:dyDescent="0.25">
      <c r="O1221">
        <v>1</v>
      </c>
      <c r="S1221" t="e">
        <v>#DIV/0!</v>
      </c>
      <c r="T1221" t="s">
        <v>82</v>
      </c>
    </row>
    <row r="1222" spans="15:20" x14ac:dyDescent="0.25">
      <c r="O1222">
        <v>1</v>
      </c>
      <c r="S1222" t="e">
        <v>#DIV/0!</v>
      </c>
      <c r="T1222" t="s">
        <v>82</v>
      </c>
    </row>
    <row r="1223" spans="15:20" x14ac:dyDescent="0.25">
      <c r="O1223">
        <v>1</v>
      </c>
      <c r="S1223" t="e">
        <v>#DIV/0!</v>
      </c>
      <c r="T1223" t="s">
        <v>82</v>
      </c>
    </row>
    <row r="1224" spans="15:20" x14ac:dyDescent="0.25">
      <c r="O1224">
        <v>1</v>
      </c>
      <c r="S1224" t="e">
        <v>#DIV/0!</v>
      </c>
      <c r="T1224" t="s">
        <v>82</v>
      </c>
    </row>
    <row r="1225" spans="15:20" x14ac:dyDescent="0.25">
      <c r="O1225">
        <v>1</v>
      </c>
      <c r="S1225" t="e">
        <v>#DIV/0!</v>
      </c>
      <c r="T1225" t="s">
        <v>82</v>
      </c>
    </row>
    <row r="1226" spans="15:20" x14ac:dyDescent="0.25">
      <c r="O1226">
        <v>1</v>
      </c>
      <c r="S1226" t="e">
        <v>#DIV/0!</v>
      </c>
      <c r="T1226" t="s">
        <v>82</v>
      </c>
    </row>
    <row r="1227" spans="15:20" x14ac:dyDescent="0.25">
      <c r="O1227">
        <v>1</v>
      </c>
      <c r="S1227" t="e">
        <v>#DIV/0!</v>
      </c>
      <c r="T1227" t="s">
        <v>82</v>
      </c>
    </row>
    <row r="1228" spans="15:20" x14ac:dyDescent="0.25">
      <c r="O1228">
        <v>1</v>
      </c>
      <c r="S1228" t="e">
        <v>#DIV/0!</v>
      </c>
      <c r="T1228" t="s">
        <v>82</v>
      </c>
    </row>
    <row r="1229" spans="15:20" x14ac:dyDescent="0.25">
      <c r="O1229">
        <v>1</v>
      </c>
      <c r="S1229" t="e">
        <v>#DIV/0!</v>
      </c>
      <c r="T1229" t="s">
        <v>82</v>
      </c>
    </row>
    <row r="1230" spans="15:20" x14ac:dyDescent="0.25">
      <c r="O1230">
        <v>1</v>
      </c>
      <c r="S1230" t="e">
        <v>#DIV/0!</v>
      </c>
      <c r="T1230" t="s">
        <v>82</v>
      </c>
    </row>
    <row r="1231" spans="15:20" x14ac:dyDescent="0.25">
      <c r="O1231">
        <v>1</v>
      </c>
      <c r="S1231" t="e">
        <v>#DIV/0!</v>
      </c>
      <c r="T1231" t="s">
        <v>82</v>
      </c>
    </row>
    <row r="1232" spans="15:20" x14ac:dyDescent="0.25">
      <c r="O1232">
        <v>1</v>
      </c>
      <c r="S1232" t="e">
        <v>#DIV/0!</v>
      </c>
      <c r="T1232" t="s">
        <v>82</v>
      </c>
    </row>
    <row r="1233" spans="15:20" x14ac:dyDescent="0.25">
      <c r="O1233">
        <v>1</v>
      </c>
      <c r="S1233" t="e">
        <v>#DIV/0!</v>
      </c>
      <c r="T1233" t="s">
        <v>82</v>
      </c>
    </row>
    <row r="1234" spans="15:20" x14ac:dyDescent="0.25">
      <c r="O1234">
        <v>1</v>
      </c>
      <c r="S1234" t="e">
        <v>#DIV/0!</v>
      </c>
      <c r="T1234" t="s">
        <v>82</v>
      </c>
    </row>
    <row r="1235" spans="15:20" x14ac:dyDescent="0.25">
      <c r="O1235">
        <v>1</v>
      </c>
      <c r="S1235" t="e">
        <v>#DIV/0!</v>
      </c>
      <c r="T1235" t="s">
        <v>82</v>
      </c>
    </row>
    <row r="1236" spans="15:20" x14ac:dyDescent="0.25">
      <c r="O1236">
        <v>1</v>
      </c>
      <c r="S1236" t="e">
        <v>#DIV/0!</v>
      </c>
      <c r="T1236" t="s">
        <v>82</v>
      </c>
    </row>
    <row r="1237" spans="15:20" x14ac:dyDescent="0.25">
      <c r="O1237">
        <v>1</v>
      </c>
      <c r="S1237" t="e">
        <v>#DIV/0!</v>
      </c>
      <c r="T1237" t="s">
        <v>82</v>
      </c>
    </row>
    <row r="1238" spans="15:20" x14ac:dyDescent="0.25">
      <c r="O1238">
        <v>1</v>
      </c>
      <c r="S1238" t="e">
        <v>#DIV/0!</v>
      </c>
      <c r="T1238" t="s">
        <v>82</v>
      </c>
    </row>
    <row r="1239" spans="15:20" x14ac:dyDescent="0.25">
      <c r="O1239">
        <v>1</v>
      </c>
      <c r="S1239" t="e">
        <v>#DIV/0!</v>
      </c>
      <c r="T1239" t="s">
        <v>82</v>
      </c>
    </row>
    <row r="1240" spans="15:20" x14ac:dyDescent="0.25">
      <c r="O1240">
        <v>1</v>
      </c>
      <c r="S1240" t="e">
        <v>#DIV/0!</v>
      </c>
      <c r="T1240" t="s">
        <v>82</v>
      </c>
    </row>
    <row r="1241" spans="15:20" x14ac:dyDescent="0.25">
      <c r="O1241">
        <v>1</v>
      </c>
      <c r="S1241" t="e">
        <v>#DIV/0!</v>
      </c>
      <c r="T1241" t="s">
        <v>82</v>
      </c>
    </row>
    <row r="1242" spans="15:20" x14ac:dyDescent="0.25">
      <c r="O1242">
        <v>1</v>
      </c>
      <c r="S1242" t="e">
        <v>#DIV/0!</v>
      </c>
      <c r="T1242" t="s">
        <v>82</v>
      </c>
    </row>
    <row r="1243" spans="15:20" x14ac:dyDescent="0.25">
      <c r="O1243">
        <v>1</v>
      </c>
      <c r="S1243" t="e">
        <v>#DIV/0!</v>
      </c>
      <c r="T1243" t="s">
        <v>82</v>
      </c>
    </row>
    <row r="1244" spans="15:20" x14ac:dyDescent="0.25">
      <c r="O1244">
        <v>1</v>
      </c>
      <c r="S1244" t="e">
        <v>#DIV/0!</v>
      </c>
      <c r="T1244" t="s">
        <v>82</v>
      </c>
    </row>
    <row r="1245" spans="15:20" x14ac:dyDescent="0.25">
      <c r="O1245">
        <v>1</v>
      </c>
      <c r="S1245" t="e">
        <v>#DIV/0!</v>
      </c>
      <c r="T1245" t="s">
        <v>82</v>
      </c>
    </row>
    <row r="1246" spans="15:20" x14ac:dyDescent="0.25">
      <c r="O1246">
        <v>1</v>
      </c>
      <c r="S1246" t="e">
        <v>#DIV/0!</v>
      </c>
      <c r="T1246" t="s">
        <v>82</v>
      </c>
    </row>
    <row r="1247" spans="15:20" x14ac:dyDescent="0.25">
      <c r="O1247">
        <v>1</v>
      </c>
      <c r="S1247" t="e">
        <v>#DIV/0!</v>
      </c>
      <c r="T1247" t="s">
        <v>82</v>
      </c>
    </row>
    <row r="1248" spans="15:20" x14ac:dyDescent="0.25">
      <c r="O1248">
        <v>1</v>
      </c>
      <c r="S1248" t="e">
        <v>#DIV/0!</v>
      </c>
      <c r="T1248" t="s">
        <v>82</v>
      </c>
    </row>
    <row r="1249" spans="15:20" x14ac:dyDescent="0.25">
      <c r="O1249">
        <v>1</v>
      </c>
      <c r="S1249" t="e">
        <v>#DIV/0!</v>
      </c>
      <c r="T1249" t="s">
        <v>82</v>
      </c>
    </row>
    <row r="1250" spans="15:20" x14ac:dyDescent="0.25">
      <c r="O1250">
        <v>1</v>
      </c>
      <c r="S1250" t="e">
        <v>#DIV/0!</v>
      </c>
      <c r="T1250" t="s">
        <v>82</v>
      </c>
    </row>
    <row r="1251" spans="15:20" x14ac:dyDescent="0.25">
      <c r="O1251">
        <v>1</v>
      </c>
      <c r="S1251" t="e">
        <v>#DIV/0!</v>
      </c>
      <c r="T1251" t="s">
        <v>82</v>
      </c>
    </row>
    <row r="1252" spans="15:20" x14ac:dyDescent="0.25">
      <c r="O1252">
        <v>1</v>
      </c>
      <c r="S1252" t="e">
        <v>#DIV/0!</v>
      </c>
      <c r="T1252" t="s">
        <v>82</v>
      </c>
    </row>
    <row r="1253" spans="15:20" x14ac:dyDescent="0.25">
      <c r="O1253">
        <v>1</v>
      </c>
      <c r="S1253" t="e">
        <v>#DIV/0!</v>
      </c>
      <c r="T1253" t="s">
        <v>82</v>
      </c>
    </row>
    <row r="1254" spans="15:20" x14ac:dyDescent="0.25">
      <c r="O1254">
        <v>1</v>
      </c>
      <c r="S1254" t="e">
        <v>#DIV/0!</v>
      </c>
      <c r="T1254" t="s">
        <v>82</v>
      </c>
    </row>
    <row r="1255" spans="15:20" x14ac:dyDescent="0.25">
      <c r="O1255">
        <v>1</v>
      </c>
      <c r="S1255" t="e">
        <v>#DIV/0!</v>
      </c>
      <c r="T1255" t="s">
        <v>82</v>
      </c>
    </row>
    <row r="1256" spans="15:20" x14ac:dyDescent="0.25">
      <c r="O1256">
        <v>1</v>
      </c>
      <c r="S1256" t="e">
        <v>#DIV/0!</v>
      </c>
      <c r="T1256" t="s">
        <v>82</v>
      </c>
    </row>
    <row r="1257" spans="15:20" x14ac:dyDescent="0.25">
      <c r="O1257">
        <v>1</v>
      </c>
      <c r="S1257" t="e">
        <v>#DIV/0!</v>
      </c>
      <c r="T1257" t="s">
        <v>82</v>
      </c>
    </row>
    <row r="1258" spans="15:20" x14ac:dyDescent="0.25">
      <c r="O1258">
        <v>1</v>
      </c>
      <c r="S1258" t="e">
        <v>#DIV/0!</v>
      </c>
      <c r="T1258" t="s">
        <v>82</v>
      </c>
    </row>
    <row r="1259" spans="15:20" x14ac:dyDescent="0.25">
      <c r="O1259">
        <v>1</v>
      </c>
      <c r="S1259" t="e">
        <v>#DIV/0!</v>
      </c>
      <c r="T1259" t="s">
        <v>82</v>
      </c>
    </row>
    <row r="1260" spans="15:20" x14ac:dyDescent="0.25">
      <c r="O1260">
        <v>1</v>
      </c>
      <c r="S1260" t="e">
        <v>#DIV/0!</v>
      </c>
      <c r="T1260" t="s">
        <v>82</v>
      </c>
    </row>
    <row r="1261" spans="15:20" x14ac:dyDescent="0.25">
      <c r="O1261">
        <v>1</v>
      </c>
      <c r="S1261" t="e">
        <v>#DIV/0!</v>
      </c>
      <c r="T1261" t="s">
        <v>82</v>
      </c>
    </row>
    <row r="1262" spans="15:20" x14ac:dyDescent="0.25">
      <c r="O1262">
        <v>1</v>
      </c>
      <c r="S1262" t="e">
        <v>#DIV/0!</v>
      </c>
      <c r="T1262" t="s">
        <v>82</v>
      </c>
    </row>
    <row r="1263" spans="15:20" x14ac:dyDescent="0.25">
      <c r="O1263">
        <v>1</v>
      </c>
      <c r="S1263" t="e">
        <v>#DIV/0!</v>
      </c>
      <c r="T1263" t="s">
        <v>82</v>
      </c>
    </row>
    <row r="1264" spans="15:20" x14ac:dyDescent="0.25">
      <c r="O1264">
        <v>1</v>
      </c>
      <c r="S1264" t="e">
        <v>#DIV/0!</v>
      </c>
      <c r="T1264" t="s">
        <v>82</v>
      </c>
    </row>
    <row r="1265" spans="15:20" x14ac:dyDescent="0.25">
      <c r="O1265">
        <v>1</v>
      </c>
      <c r="S1265" t="e">
        <v>#DIV/0!</v>
      </c>
      <c r="T1265" t="s">
        <v>82</v>
      </c>
    </row>
    <row r="1266" spans="15:20" x14ac:dyDescent="0.25">
      <c r="O1266">
        <v>1</v>
      </c>
      <c r="S1266" t="e">
        <v>#DIV/0!</v>
      </c>
      <c r="T1266" t="s">
        <v>82</v>
      </c>
    </row>
    <row r="1267" spans="15:20" x14ac:dyDescent="0.25">
      <c r="O1267">
        <v>1</v>
      </c>
      <c r="S1267" t="e">
        <v>#DIV/0!</v>
      </c>
      <c r="T1267" t="s">
        <v>82</v>
      </c>
    </row>
    <row r="1268" spans="15:20" x14ac:dyDescent="0.25">
      <c r="O1268">
        <v>1</v>
      </c>
      <c r="S1268" t="e">
        <v>#DIV/0!</v>
      </c>
      <c r="T1268" t="s">
        <v>82</v>
      </c>
    </row>
    <row r="1269" spans="15:20" x14ac:dyDescent="0.25">
      <c r="O1269">
        <v>1</v>
      </c>
      <c r="S1269" t="e">
        <v>#DIV/0!</v>
      </c>
      <c r="T1269" t="s">
        <v>82</v>
      </c>
    </row>
    <row r="1270" spans="15:20" x14ac:dyDescent="0.25">
      <c r="O1270">
        <v>1</v>
      </c>
      <c r="S1270" t="e">
        <v>#DIV/0!</v>
      </c>
      <c r="T1270" t="s">
        <v>82</v>
      </c>
    </row>
    <row r="1271" spans="15:20" x14ac:dyDescent="0.25">
      <c r="O1271">
        <v>1</v>
      </c>
      <c r="S1271" t="e">
        <v>#DIV/0!</v>
      </c>
      <c r="T1271" t="s">
        <v>82</v>
      </c>
    </row>
    <row r="1272" spans="15:20" x14ac:dyDescent="0.25">
      <c r="O1272">
        <v>1</v>
      </c>
      <c r="S1272" t="e">
        <v>#DIV/0!</v>
      </c>
      <c r="T1272" t="s">
        <v>82</v>
      </c>
    </row>
    <row r="1273" spans="15:20" x14ac:dyDescent="0.25">
      <c r="O1273">
        <v>1</v>
      </c>
      <c r="S1273" t="e">
        <v>#DIV/0!</v>
      </c>
      <c r="T1273" t="s">
        <v>82</v>
      </c>
    </row>
    <row r="1274" spans="15:20" x14ac:dyDescent="0.25">
      <c r="O1274">
        <v>1</v>
      </c>
      <c r="S1274" t="e">
        <v>#DIV/0!</v>
      </c>
      <c r="T1274" t="s">
        <v>82</v>
      </c>
    </row>
    <row r="1275" spans="15:20" x14ac:dyDescent="0.25">
      <c r="O1275">
        <v>1</v>
      </c>
      <c r="S1275" t="e">
        <v>#DIV/0!</v>
      </c>
      <c r="T1275" t="s">
        <v>82</v>
      </c>
    </row>
    <row r="1276" spans="15:20" x14ac:dyDescent="0.25">
      <c r="O1276">
        <v>1</v>
      </c>
      <c r="S1276" t="e">
        <v>#DIV/0!</v>
      </c>
      <c r="T1276" t="s">
        <v>82</v>
      </c>
    </row>
    <row r="1277" spans="15:20" x14ac:dyDescent="0.25">
      <c r="O1277">
        <v>1</v>
      </c>
      <c r="S1277" t="e">
        <v>#DIV/0!</v>
      </c>
      <c r="T1277" t="s">
        <v>82</v>
      </c>
    </row>
    <row r="1278" spans="15:20" x14ac:dyDescent="0.25">
      <c r="O1278">
        <v>1</v>
      </c>
      <c r="S1278" t="e">
        <v>#DIV/0!</v>
      </c>
      <c r="T1278" t="s">
        <v>82</v>
      </c>
    </row>
    <row r="1279" spans="15:20" x14ac:dyDescent="0.25">
      <c r="O1279">
        <v>1</v>
      </c>
      <c r="S1279" t="e">
        <v>#DIV/0!</v>
      </c>
      <c r="T1279" t="s">
        <v>82</v>
      </c>
    </row>
    <row r="1280" spans="15:20" x14ac:dyDescent="0.25">
      <c r="O1280">
        <v>1</v>
      </c>
      <c r="S1280" t="e">
        <v>#DIV/0!</v>
      </c>
      <c r="T1280" t="s">
        <v>82</v>
      </c>
    </row>
    <row r="1281" spans="15:20" x14ac:dyDescent="0.25">
      <c r="O1281">
        <v>1</v>
      </c>
      <c r="S1281" t="e">
        <v>#DIV/0!</v>
      </c>
      <c r="T1281" t="s">
        <v>82</v>
      </c>
    </row>
    <row r="1282" spans="15:20" x14ac:dyDescent="0.25">
      <c r="O1282">
        <v>1</v>
      </c>
      <c r="S1282" t="e">
        <v>#DIV/0!</v>
      </c>
      <c r="T1282" t="s">
        <v>82</v>
      </c>
    </row>
    <row r="1283" spans="15:20" x14ac:dyDescent="0.25">
      <c r="O1283">
        <v>1</v>
      </c>
      <c r="S1283" t="e">
        <v>#DIV/0!</v>
      </c>
      <c r="T1283" t="s">
        <v>82</v>
      </c>
    </row>
    <row r="1284" spans="15:20" x14ac:dyDescent="0.25">
      <c r="O1284">
        <v>1</v>
      </c>
      <c r="S1284" t="e">
        <v>#DIV/0!</v>
      </c>
      <c r="T1284" t="s">
        <v>82</v>
      </c>
    </row>
    <row r="1285" spans="15:20" x14ac:dyDescent="0.25">
      <c r="O1285">
        <v>1</v>
      </c>
      <c r="S1285" t="e">
        <v>#DIV/0!</v>
      </c>
      <c r="T1285" t="s">
        <v>82</v>
      </c>
    </row>
    <row r="1286" spans="15:20" x14ac:dyDescent="0.25">
      <c r="O1286">
        <v>1</v>
      </c>
      <c r="S1286" t="e">
        <v>#DIV/0!</v>
      </c>
      <c r="T1286" t="s">
        <v>82</v>
      </c>
    </row>
    <row r="1287" spans="15:20" x14ac:dyDescent="0.25">
      <c r="O1287">
        <v>1</v>
      </c>
      <c r="S1287" t="e">
        <v>#DIV/0!</v>
      </c>
      <c r="T1287" t="s">
        <v>82</v>
      </c>
    </row>
    <row r="1288" spans="15:20" x14ac:dyDescent="0.25">
      <c r="O1288">
        <v>1</v>
      </c>
      <c r="S1288" t="e">
        <v>#DIV/0!</v>
      </c>
      <c r="T1288" t="s">
        <v>82</v>
      </c>
    </row>
    <row r="1289" spans="15:20" x14ac:dyDescent="0.25">
      <c r="O1289">
        <v>1</v>
      </c>
      <c r="S1289" t="e">
        <v>#DIV/0!</v>
      </c>
      <c r="T1289" t="s">
        <v>82</v>
      </c>
    </row>
    <row r="1290" spans="15:20" x14ac:dyDescent="0.25">
      <c r="O1290">
        <v>1</v>
      </c>
      <c r="S1290" t="e">
        <v>#DIV/0!</v>
      </c>
      <c r="T1290" t="s">
        <v>82</v>
      </c>
    </row>
    <row r="1291" spans="15:20" x14ac:dyDescent="0.25">
      <c r="O1291">
        <v>1</v>
      </c>
      <c r="S1291" t="e">
        <v>#DIV/0!</v>
      </c>
      <c r="T1291" t="s">
        <v>82</v>
      </c>
    </row>
    <row r="1292" spans="15:20" x14ac:dyDescent="0.25">
      <c r="O1292">
        <v>1</v>
      </c>
      <c r="S1292" t="e">
        <v>#DIV/0!</v>
      </c>
      <c r="T1292" t="s">
        <v>82</v>
      </c>
    </row>
    <row r="1293" spans="15:20" x14ac:dyDescent="0.25">
      <c r="O1293">
        <v>1</v>
      </c>
      <c r="S1293" t="e">
        <v>#DIV/0!</v>
      </c>
      <c r="T1293" t="s">
        <v>82</v>
      </c>
    </row>
    <row r="1294" spans="15:20" x14ac:dyDescent="0.25">
      <c r="O1294">
        <v>1</v>
      </c>
      <c r="S1294" t="e">
        <v>#DIV/0!</v>
      </c>
      <c r="T1294" t="s">
        <v>82</v>
      </c>
    </row>
    <row r="1295" spans="15:20" x14ac:dyDescent="0.25">
      <c r="O1295">
        <v>1</v>
      </c>
      <c r="S1295" t="e">
        <v>#DIV/0!</v>
      </c>
      <c r="T1295" t="s">
        <v>82</v>
      </c>
    </row>
    <row r="1296" spans="15:20" x14ac:dyDescent="0.25">
      <c r="O1296">
        <v>1</v>
      </c>
      <c r="S1296" t="e">
        <v>#DIV/0!</v>
      </c>
      <c r="T1296" t="s">
        <v>82</v>
      </c>
    </row>
    <row r="1297" spans="15:20" x14ac:dyDescent="0.25">
      <c r="O1297">
        <v>1</v>
      </c>
      <c r="S1297" t="e">
        <v>#DIV/0!</v>
      </c>
      <c r="T1297" t="s">
        <v>82</v>
      </c>
    </row>
    <row r="1298" spans="15:20" x14ac:dyDescent="0.25">
      <c r="O1298">
        <v>1</v>
      </c>
      <c r="S1298" t="e">
        <v>#DIV/0!</v>
      </c>
      <c r="T1298" t="s">
        <v>82</v>
      </c>
    </row>
    <row r="1299" spans="15:20" x14ac:dyDescent="0.25">
      <c r="O1299">
        <v>1</v>
      </c>
      <c r="S1299" t="e">
        <v>#DIV/0!</v>
      </c>
      <c r="T1299" t="s">
        <v>82</v>
      </c>
    </row>
    <row r="1300" spans="15:20" x14ac:dyDescent="0.25">
      <c r="O1300">
        <v>1</v>
      </c>
      <c r="S1300" t="e">
        <v>#DIV/0!</v>
      </c>
      <c r="T1300" t="s">
        <v>82</v>
      </c>
    </row>
    <row r="1301" spans="15:20" x14ac:dyDescent="0.25">
      <c r="O1301">
        <v>1</v>
      </c>
      <c r="S1301" t="e">
        <v>#DIV/0!</v>
      </c>
      <c r="T1301" t="s">
        <v>82</v>
      </c>
    </row>
    <row r="1302" spans="15:20" x14ac:dyDescent="0.25">
      <c r="O1302">
        <v>1</v>
      </c>
      <c r="S1302" t="e">
        <v>#DIV/0!</v>
      </c>
      <c r="T1302" t="s">
        <v>82</v>
      </c>
    </row>
    <row r="1303" spans="15:20" x14ac:dyDescent="0.25">
      <c r="O1303">
        <v>1</v>
      </c>
      <c r="S1303" t="e">
        <v>#DIV/0!</v>
      </c>
      <c r="T1303" t="s">
        <v>82</v>
      </c>
    </row>
    <row r="1304" spans="15:20" x14ac:dyDescent="0.25">
      <c r="O1304">
        <v>1</v>
      </c>
      <c r="S1304" t="e">
        <v>#DIV/0!</v>
      </c>
      <c r="T1304" t="s">
        <v>82</v>
      </c>
    </row>
    <row r="1305" spans="15:20" x14ac:dyDescent="0.25">
      <c r="O1305">
        <v>1</v>
      </c>
      <c r="S1305" t="e">
        <v>#DIV/0!</v>
      </c>
      <c r="T1305" t="s">
        <v>82</v>
      </c>
    </row>
    <row r="1306" spans="15:20" x14ac:dyDescent="0.25">
      <c r="O1306">
        <v>1</v>
      </c>
      <c r="S1306" t="e">
        <v>#DIV/0!</v>
      </c>
      <c r="T1306" t="s">
        <v>82</v>
      </c>
    </row>
    <row r="1307" spans="15:20" x14ac:dyDescent="0.25">
      <c r="O1307">
        <v>1</v>
      </c>
      <c r="S1307" t="e">
        <v>#DIV/0!</v>
      </c>
      <c r="T1307" t="s">
        <v>82</v>
      </c>
    </row>
    <row r="1308" spans="15:20" x14ac:dyDescent="0.25">
      <c r="O1308">
        <v>1</v>
      </c>
      <c r="S1308" t="e">
        <v>#DIV/0!</v>
      </c>
      <c r="T1308" t="s">
        <v>82</v>
      </c>
    </row>
    <row r="1309" spans="15:20" x14ac:dyDescent="0.25">
      <c r="O1309">
        <v>1</v>
      </c>
      <c r="S1309" t="e">
        <v>#DIV/0!</v>
      </c>
      <c r="T1309" t="s">
        <v>82</v>
      </c>
    </row>
    <row r="1310" spans="15:20" x14ac:dyDescent="0.25">
      <c r="O1310">
        <v>1</v>
      </c>
      <c r="S1310" t="e">
        <v>#DIV/0!</v>
      </c>
      <c r="T1310" t="s">
        <v>82</v>
      </c>
    </row>
    <row r="1311" spans="15:20" x14ac:dyDescent="0.25">
      <c r="O1311">
        <v>1</v>
      </c>
      <c r="S1311" t="e">
        <v>#DIV/0!</v>
      </c>
      <c r="T1311" t="s">
        <v>82</v>
      </c>
    </row>
    <row r="1312" spans="15:20" x14ac:dyDescent="0.25">
      <c r="O1312">
        <v>1</v>
      </c>
      <c r="S1312" t="e">
        <v>#DIV/0!</v>
      </c>
      <c r="T1312" t="s">
        <v>82</v>
      </c>
    </row>
    <row r="1313" spans="15:20" x14ac:dyDescent="0.25">
      <c r="O1313">
        <v>1</v>
      </c>
      <c r="S1313" t="e">
        <v>#DIV/0!</v>
      </c>
      <c r="T1313" t="s">
        <v>82</v>
      </c>
    </row>
    <row r="1314" spans="15:20" x14ac:dyDescent="0.25">
      <c r="O1314">
        <v>1</v>
      </c>
      <c r="S1314" t="e">
        <v>#DIV/0!</v>
      </c>
      <c r="T1314" t="s">
        <v>82</v>
      </c>
    </row>
    <row r="1315" spans="15:20" x14ac:dyDescent="0.25">
      <c r="O1315">
        <v>1</v>
      </c>
      <c r="S1315" t="e">
        <v>#DIV/0!</v>
      </c>
      <c r="T1315" t="s">
        <v>82</v>
      </c>
    </row>
    <row r="1316" spans="15:20" x14ac:dyDescent="0.25">
      <c r="O1316">
        <v>1</v>
      </c>
      <c r="S1316" t="e">
        <v>#DIV/0!</v>
      </c>
      <c r="T1316" t="s">
        <v>82</v>
      </c>
    </row>
    <row r="1317" spans="15:20" x14ac:dyDescent="0.25">
      <c r="O1317">
        <v>1</v>
      </c>
      <c r="S1317" t="e">
        <v>#DIV/0!</v>
      </c>
      <c r="T1317" t="s">
        <v>82</v>
      </c>
    </row>
    <row r="1318" spans="15:20" x14ac:dyDescent="0.25">
      <c r="O1318">
        <v>1</v>
      </c>
      <c r="S1318" t="e">
        <v>#DIV/0!</v>
      </c>
      <c r="T1318" t="s">
        <v>82</v>
      </c>
    </row>
    <row r="1319" spans="15:20" x14ac:dyDescent="0.25">
      <c r="O1319">
        <v>1</v>
      </c>
      <c r="S1319" t="e">
        <v>#DIV/0!</v>
      </c>
      <c r="T1319" t="s">
        <v>82</v>
      </c>
    </row>
    <row r="1320" spans="15:20" x14ac:dyDescent="0.25">
      <c r="O1320">
        <v>1</v>
      </c>
      <c r="S1320" t="e">
        <v>#DIV/0!</v>
      </c>
      <c r="T1320" t="s">
        <v>82</v>
      </c>
    </row>
    <row r="1321" spans="15:20" x14ac:dyDescent="0.25">
      <c r="O1321">
        <v>1</v>
      </c>
      <c r="S1321" t="e">
        <v>#DIV/0!</v>
      </c>
      <c r="T1321" t="s">
        <v>82</v>
      </c>
    </row>
    <row r="1322" spans="15:20" x14ac:dyDescent="0.25">
      <c r="O1322">
        <v>1</v>
      </c>
      <c r="S1322" t="e">
        <v>#DIV/0!</v>
      </c>
      <c r="T1322" t="s">
        <v>82</v>
      </c>
    </row>
    <row r="1323" spans="15:20" x14ac:dyDescent="0.25">
      <c r="O1323">
        <v>1</v>
      </c>
      <c r="S1323" t="e">
        <v>#DIV/0!</v>
      </c>
      <c r="T1323" t="s">
        <v>82</v>
      </c>
    </row>
    <row r="1324" spans="15:20" x14ac:dyDescent="0.25">
      <c r="O1324">
        <v>1</v>
      </c>
      <c r="S1324" t="e">
        <v>#DIV/0!</v>
      </c>
      <c r="T1324" t="s">
        <v>82</v>
      </c>
    </row>
    <row r="1325" spans="15:20" x14ac:dyDescent="0.25">
      <c r="O1325">
        <v>1</v>
      </c>
      <c r="S1325" t="e">
        <v>#DIV/0!</v>
      </c>
      <c r="T1325" t="s">
        <v>82</v>
      </c>
    </row>
    <row r="1326" spans="15:20" x14ac:dyDescent="0.25">
      <c r="O1326">
        <v>1</v>
      </c>
      <c r="S1326" t="e">
        <v>#DIV/0!</v>
      </c>
      <c r="T1326" t="s">
        <v>82</v>
      </c>
    </row>
    <row r="1327" spans="15:20" x14ac:dyDescent="0.25">
      <c r="O1327">
        <v>1</v>
      </c>
      <c r="S1327" t="e">
        <v>#DIV/0!</v>
      </c>
      <c r="T1327" t="s">
        <v>82</v>
      </c>
    </row>
    <row r="1328" spans="15:20" x14ac:dyDescent="0.25">
      <c r="O1328">
        <v>1</v>
      </c>
      <c r="S1328" t="e">
        <v>#DIV/0!</v>
      </c>
      <c r="T1328" t="s">
        <v>82</v>
      </c>
    </row>
    <row r="1329" spans="15:20" x14ac:dyDescent="0.25">
      <c r="O1329">
        <v>1</v>
      </c>
      <c r="S1329" t="e">
        <v>#DIV/0!</v>
      </c>
      <c r="T1329" t="s">
        <v>82</v>
      </c>
    </row>
    <row r="1330" spans="15:20" x14ac:dyDescent="0.25">
      <c r="O1330">
        <v>1</v>
      </c>
      <c r="S1330" t="e">
        <v>#DIV/0!</v>
      </c>
      <c r="T1330" t="s">
        <v>82</v>
      </c>
    </row>
    <row r="1331" spans="15:20" x14ac:dyDescent="0.25">
      <c r="O1331">
        <v>1</v>
      </c>
      <c r="S1331" t="e">
        <v>#DIV/0!</v>
      </c>
      <c r="T1331" t="s">
        <v>82</v>
      </c>
    </row>
    <row r="1332" spans="15:20" x14ac:dyDescent="0.25">
      <c r="O1332">
        <v>1</v>
      </c>
      <c r="S1332" t="e">
        <v>#DIV/0!</v>
      </c>
      <c r="T1332" t="s">
        <v>82</v>
      </c>
    </row>
    <row r="1333" spans="15:20" x14ac:dyDescent="0.25">
      <c r="O1333">
        <v>1</v>
      </c>
      <c r="S1333" t="e">
        <v>#DIV/0!</v>
      </c>
      <c r="T1333" t="s">
        <v>82</v>
      </c>
    </row>
    <row r="1334" spans="15:20" x14ac:dyDescent="0.25">
      <c r="O1334">
        <v>1</v>
      </c>
      <c r="S1334" t="e">
        <v>#DIV/0!</v>
      </c>
      <c r="T1334" t="s">
        <v>82</v>
      </c>
    </row>
    <row r="1335" spans="15:20" x14ac:dyDescent="0.25">
      <c r="O1335">
        <v>1</v>
      </c>
      <c r="S1335" t="e">
        <v>#DIV/0!</v>
      </c>
      <c r="T1335" t="s">
        <v>82</v>
      </c>
    </row>
    <row r="1336" spans="15:20" x14ac:dyDescent="0.25">
      <c r="O1336">
        <v>1</v>
      </c>
      <c r="S1336" t="e">
        <v>#DIV/0!</v>
      </c>
      <c r="T1336" t="s">
        <v>82</v>
      </c>
    </row>
    <row r="1337" spans="15:20" x14ac:dyDescent="0.25">
      <c r="O1337">
        <v>1</v>
      </c>
      <c r="S1337" t="e">
        <v>#DIV/0!</v>
      </c>
      <c r="T1337" t="s">
        <v>82</v>
      </c>
    </row>
    <row r="1338" spans="15:20" x14ac:dyDescent="0.25">
      <c r="O1338">
        <v>1</v>
      </c>
      <c r="S1338" t="e">
        <v>#DIV/0!</v>
      </c>
      <c r="T1338" t="s">
        <v>82</v>
      </c>
    </row>
    <row r="1339" spans="15:20" x14ac:dyDescent="0.25">
      <c r="O1339">
        <v>1</v>
      </c>
      <c r="S1339" t="e">
        <v>#DIV/0!</v>
      </c>
      <c r="T1339" t="s">
        <v>82</v>
      </c>
    </row>
    <row r="1340" spans="15:20" x14ac:dyDescent="0.25">
      <c r="O1340">
        <v>1</v>
      </c>
      <c r="S1340" t="e">
        <v>#DIV/0!</v>
      </c>
      <c r="T1340" t="s">
        <v>82</v>
      </c>
    </row>
    <row r="1341" spans="15:20" x14ac:dyDescent="0.25">
      <c r="O1341">
        <v>1</v>
      </c>
      <c r="S1341" t="e">
        <v>#DIV/0!</v>
      </c>
      <c r="T1341" t="s">
        <v>82</v>
      </c>
    </row>
    <row r="1342" spans="15:20" x14ac:dyDescent="0.25">
      <c r="O1342">
        <v>1</v>
      </c>
      <c r="S1342" t="e">
        <v>#DIV/0!</v>
      </c>
      <c r="T1342" t="s">
        <v>82</v>
      </c>
    </row>
    <row r="1343" spans="15:20" x14ac:dyDescent="0.25">
      <c r="O1343">
        <v>1</v>
      </c>
      <c r="S1343" t="e">
        <v>#DIV/0!</v>
      </c>
      <c r="T1343" t="s">
        <v>82</v>
      </c>
    </row>
    <row r="1344" spans="15:20" x14ac:dyDescent="0.25">
      <c r="O1344">
        <v>1</v>
      </c>
      <c r="S1344" t="e">
        <v>#DIV/0!</v>
      </c>
      <c r="T1344" t="s">
        <v>82</v>
      </c>
    </row>
    <row r="1345" spans="15:20" x14ac:dyDescent="0.25">
      <c r="O1345">
        <v>1</v>
      </c>
      <c r="S1345" t="e">
        <v>#DIV/0!</v>
      </c>
      <c r="T1345" t="s">
        <v>82</v>
      </c>
    </row>
    <row r="1346" spans="15:20" x14ac:dyDescent="0.25">
      <c r="O1346">
        <v>1</v>
      </c>
      <c r="S1346" t="e">
        <v>#DIV/0!</v>
      </c>
      <c r="T1346" t="s">
        <v>82</v>
      </c>
    </row>
    <row r="1347" spans="15:20" x14ac:dyDescent="0.25">
      <c r="O1347">
        <v>1</v>
      </c>
      <c r="S1347" t="e">
        <v>#DIV/0!</v>
      </c>
      <c r="T1347" t="s">
        <v>82</v>
      </c>
    </row>
    <row r="1348" spans="15:20" x14ac:dyDescent="0.25">
      <c r="O1348">
        <v>1</v>
      </c>
      <c r="S1348" t="e">
        <v>#DIV/0!</v>
      </c>
      <c r="T1348" t="s">
        <v>82</v>
      </c>
    </row>
    <row r="1349" spans="15:20" x14ac:dyDescent="0.25">
      <c r="O1349">
        <v>1</v>
      </c>
      <c r="S1349" t="e">
        <v>#DIV/0!</v>
      </c>
      <c r="T1349" t="s">
        <v>82</v>
      </c>
    </row>
    <row r="1350" spans="15:20" x14ac:dyDescent="0.25">
      <c r="O1350">
        <v>1</v>
      </c>
      <c r="S1350" t="e">
        <v>#DIV/0!</v>
      </c>
      <c r="T1350" t="s">
        <v>82</v>
      </c>
    </row>
    <row r="1351" spans="15:20" x14ac:dyDescent="0.25">
      <c r="O1351">
        <v>1</v>
      </c>
      <c r="S1351" t="e">
        <v>#DIV/0!</v>
      </c>
      <c r="T1351" t="s">
        <v>82</v>
      </c>
    </row>
    <row r="1352" spans="15:20" x14ac:dyDescent="0.25">
      <c r="O1352">
        <v>1</v>
      </c>
      <c r="S1352" t="e">
        <v>#DIV/0!</v>
      </c>
      <c r="T1352" t="s">
        <v>82</v>
      </c>
    </row>
    <row r="1353" spans="15:20" x14ac:dyDescent="0.25">
      <c r="O1353">
        <v>1</v>
      </c>
      <c r="S1353" t="e">
        <v>#DIV/0!</v>
      </c>
      <c r="T1353" t="s">
        <v>82</v>
      </c>
    </row>
    <row r="1354" spans="15:20" x14ac:dyDescent="0.25">
      <c r="O1354">
        <v>1</v>
      </c>
      <c r="S1354" t="e">
        <v>#DIV/0!</v>
      </c>
      <c r="T1354" t="s">
        <v>82</v>
      </c>
    </row>
    <row r="1355" spans="15:20" x14ac:dyDescent="0.25">
      <c r="O1355">
        <v>1</v>
      </c>
      <c r="S1355" t="e">
        <v>#DIV/0!</v>
      </c>
      <c r="T1355" t="s">
        <v>82</v>
      </c>
    </row>
    <row r="1356" spans="15:20" x14ac:dyDescent="0.25">
      <c r="O1356">
        <v>1</v>
      </c>
      <c r="S1356" t="e">
        <v>#DIV/0!</v>
      </c>
      <c r="T1356" t="s">
        <v>82</v>
      </c>
    </row>
    <row r="1357" spans="15:20" x14ac:dyDescent="0.25">
      <c r="O1357">
        <v>1</v>
      </c>
      <c r="S1357" t="e">
        <v>#DIV/0!</v>
      </c>
      <c r="T1357" t="s">
        <v>82</v>
      </c>
    </row>
    <row r="1358" spans="15:20" x14ac:dyDescent="0.25">
      <c r="O1358">
        <v>1</v>
      </c>
      <c r="S1358" t="e">
        <v>#DIV/0!</v>
      </c>
      <c r="T1358" t="s">
        <v>82</v>
      </c>
    </row>
    <row r="1359" spans="15:20" x14ac:dyDescent="0.25">
      <c r="O1359">
        <v>1</v>
      </c>
      <c r="S1359" t="e">
        <v>#DIV/0!</v>
      </c>
      <c r="T1359" t="s">
        <v>82</v>
      </c>
    </row>
    <row r="1360" spans="15:20" x14ac:dyDescent="0.25">
      <c r="O1360">
        <v>1</v>
      </c>
      <c r="S1360" t="e">
        <v>#DIV/0!</v>
      </c>
      <c r="T1360" t="s">
        <v>82</v>
      </c>
    </row>
    <row r="1361" spans="15:20" x14ac:dyDescent="0.25">
      <c r="O1361">
        <v>1</v>
      </c>
      <c r="S1361" t="e">
        <v>#DIV/0!</v>
      </c>
      <c r="T1361" t="s">
        <v>82</v>
      </c>
    </row>
    <row r="1362" spans="15:20" x14ac:dyDescent="0.25">
      <c r="O1362">
        <v>1</v>
      </c>
      <c r="S1362" t="e">
        <v>#DIV/0!</v>
      </c>
      <c r="T1362" t="s">
        <v>82</v>
      </c>
    </row>
    <row r="1363" spans="15:20" x14ac:dyDescent="0.25">
      <c r="O1363">
        <v>1</v>
      </c>
      <c r="S1363" t="e">
        <v>#DIV/0!</v>
      </c>
      <c r="T1363" t="s">
        <v>82</v>
      </c>
    </row>
    <row r="1364" spans="15:20" x14ac:dyDescent="0.25">
      <c r="O1364">
        <v>1</v>
      </c>
      <c r="S1364" t="e">
        <v>#DIV/0!</v>
      </c>
      <c r="T1364" t="s">
        <v>82</v>
      </c>
    </row>
    <row r="1365" spans="15:20" x14ac:dyDescent="0.25">
      <c r="O1365">
        <v>1</v>
      </c>
      <c r="S1365" t="e">
        <v>#DIV/0!</v>
      </c>
      <c r="T1365" t="s">
        <v>82</v>
      </c>
    </row>
    <row r="1366" spans="15:20" x14ac:dyDescent="0.25">
      <c r="O1366">
        <v>1</v>
      </c>
      <c r="S1366" t="e">
        <v>#DIV/0!</v>
      </c>
      <c r="T1366" t="s">
        <v>82</v>
      </c>
    </row>
    <row r="1367" spans="15:20" x14ac:dyDescent="0.25">
      <c r="O1367">
        <v>1</v>
      </c>
      <c r="S1367" t="e">
        <v>#DIV/0!</v>
      </c>
      <c r="T1367" t="s">
        <v>82</v>
      </c>
    </row>
    <row r="1368" spans="15:20" x14ac:dyDescent="0.25">
      <c r="O1368">
        <v>1</v>
      </c>
      <c r="S1368" t="e">
        <v>#DIV/0!</v>
      </c>
      <c r="T1368" t="s">
        <v>82</v>
      </c>
    </row>
    <row r="1369" spans="15:20" x14ac:dyDescent="0.25">
      <c r="O1369">
        <v>1</v>
      </c>
      <c r="S1369" t="e">
        <v>#DIV/0!</v>
      </c>
      <c r="T1369" t="s">
        <v>82</v>
      </c>
    </row>
    <row r="1370" spans="15:20" x14ac:dyDescent="0.25">
      <c r="O1370">
        <v>1</v>
      </c>
      <c r="S1370" t="e">
        <v>#DIV/0!</v>
      </c>
      <c r="T1370" t="s">
        <v>82</v>
      </c>
    </row>
    <row r="1371" spans="15:20" x14ac:dyDescent="0.25">
      <c r="O1371">
        <v>1</v>
      </c>
      <c r="S1371" t="e">
        <v>#DIV/0!</v>
      </c>
      <c r="T1371" t="s">
        <v>82</v>
      </c>
    </row>
    <row r="1372" spans="15:20" x14ac:dyDescent="0.25">
      <c r="O1372">
        <v>1</v>
      </c>
      <c r="S1372" t="e">
        <v>#DIV/0!</v>
      </c>
      <c r="T1372" t="s">
        <v>82</v>
      </c>
    </row>
    <row r="1373" spans="15:20" x14ac:dyDescent="0.25">
      <c r="O1373">
        <v>1</v>
      </c>
      <c r="S1373" t="e">
        <v>#DIV/0!</v>
      </c>
      <c r="T1373" t="s">
        <v>82</v>
      </c>
    </row>
    <row r="1374" spans="15:20" x14ac:dyDescent="0.25">
      <c r="O1374">
        <v>1</v>
      </c>
      <c r="S1374" t="e">
        <v>#DIV/0!</v>
      </c>
      <c r="T1374" t="s">
        <v>82</v>
      </c>
    </row>
    <row r="1375" spans="15:20" x14ac:dyDescent="0.25">
      <c r="O1375">
        <v>1</v>
      </c>
      <c r="S1375" t="e">
        <v>#DIV/0!</v>
      </c>
      <c r="T1375" t="s">
        <v>82</v>
      </c>
    </row>
    <row r="1376" spans="15:20" x14ac:dyDescent="0.25">
      <c r="O1376">
        <v>1</v>
      </c>
      <c r="S1376" t="e">
        <v>#DIV/0!</v>
      </c>
      <c r="T1376" t="s">
        <v>82</v>
      </c>
    </row>
    <row r="1377" spans="15:20" x14ac:dyDescent="0.25">
      <c r="O1377">
        <v>1</v>
      </c>
      <c r="S1377" t="e">
        <v>#DIV/0!</v>
      </c>
      <c r="T1377" t="s">
        <v>82</v>
      </c>
    </row>
    <row r="1378" spans="15:20" x14ac:dyDescent="0.25">
      <c r="O1378">
        <v>1</v>
      </c>
      <c r="S1378" t="e">
        <v>#DIV/0!</v>
      </c>
      <c r="T1378" t="s">
        <v>82</v>
      </c>
    </row>
    <row r="1379" spans="15:20" x14ac:dyDescent="0.25">
      <c r="O1379">
        <v>1</v>
      </c>
      <c r="S1379" t="e">
        <v>#DIV/0!</v>
      </c>
      <c r="T1379" t="s">
        <v>82</v>
      </c>
    </row>
    <row r="1380" spans="15:20" x14ac:dyDescent="0.25">
      <c r="O1380">
        <v>1</v>
      </c>
      <c r="S1380" t="e">
        <v>#DIV/0!</v>
      </c>
      <c r="T1380" t="s">
        <v>82</v>
      </c>
    </row>
    <row r="1381" spans="15:20" x14ac:dyDescent="0.25">
      <c r="O1381">
        <v>1</v>
      </c>
      <c r="S1381" t="e">
        <v>#DIV/0!</v>
      </c>
      <c r="T1381" t="s">
        <v>82</v>
      </c>
    </row>
    <row r="1382" spans="15:20" x14ac:dyDescent="0.25">
      <c r="O1382">
        <v>1</v>
      </c>
      <c r="S1382" t="e">
        <v>#DIV/0!</v>
      </c>
      <c r="T1382" t="s">
        <v>82</v>
      </c>
    </row>
    <row r="1383" spans="15:20" x14ac:dyDescent="0.25">
      <c r="O1383">
        <v>1</v>
      </c>
      <c r="S1383" t="e">
        <v>#DIV/0!</v>
      </c>
      <c r="T1383" t="s">
        <v>82</v>
      </c>
    </row>
    <row r="1384" spans="15:20" x14ac:dyDescent="0.25">
      <c r="O1384">
        <v>1</v>
      </c>
      <c r="S1384" t="e">
        <v>#DIV/0!</v>
      </c>
      <c r="T1384" t="s">
        <v>82</v>
      </c>
    </row>
    <row r="1385" spans="15:20" x14ac:dyDescent="0.25">
      <c r="O1385">
        <v>1</v>
      </c>
      <c r="S1385" t="e">
        <v>#DIV/0!</v>
      </c>
      <c r="T1385" t="s">
        <v>82</v>
      </c>
    </row>
    <row r="1386" spans="15:20" x14ac:dyDescent="0.25">
      <c r="O1386">
        <v>1</v>
      </c>
      <c r="S1386" t="e">
        <v>#DIV/0!</v>
      </c>
      <c r="T1386" t="s">
        <v>82</v>
      </c>
    </row>
    <row r="1387" spans="15:20" x14ac:dyDescent="0.25">
      <c r="O1387">
        <v>1</v>
      </c>
      <c r="S1387" t="e">
        <v>#DIV/0!</v>
      </c>
      <c r="T1387" t="s">
        <v>82</v>
      </c>
    </row>
    <row r="1388" spans="15:20" x14ac:dyDescent="0.25">
      <c r="O1388">
        <v>1</v>
      </c>
      <c r="S1388" t="e">
        <v>#DIV/0!</v>
      </c>
      <c r="T1388" t="s">
        <v>82</v>
      </c>
    </row>
    <row r="1389" spans="15:20" x14ac:dyDescent="0.25">
      <c r="O1389">
        <v>1</v>
      </c>
      <c r="S1389" t="e">
        <v>#DIV/0!</v>
      </c>
      <c r="T1389" t="s">
        <v>82</v>
      </c>
    </row>
    <row r="1390" spans="15:20" x14ac:dyDescent="0.25">
      <c r="O1390">
        <v>1</v>
      </c>
      <c r="S1390" t="e">
        <v>#DIV/0!</v>
      </c>
      <c r="T1390" t="s">
        <v>82</v>
      </c>
    </row>
    <row r="1391" spans="15:20" x14ac:dyDescent="0.25">
      <c r="O1391">
        <v>1</v>
      </c>
      <c r="S1391" t="e">
        <v>#DIV/0!</v>
      </c>
      <c r="T1391" t="s">
        <v>82</v>
      </c>
    </row>
    <row r="1392" spans="15:20" x14ac:dyDescent="0.25">
      <c r="O1392">
        <v>1</v>
      </c>
      <c r="S1392" t="e">
        <v>#DIV/0!</v>
      </c>
      <c r="T1392" t="s">
        <v>82</v>
      </c>
    </row>
    <row r="1393" spans="15:20" x14ac:dyDescent="0.25">
      <c r="O1393">
        <v>1</v>
      </c>
      <c r="S1393" t="e">
        <v>#DIV/0!</v>
      </c>
      <c r="T1393" t="s">
        <v>82</v>
      </c>
    </row>
    <row r="1394" spans="15:20" x14ac:dyDescent="0.25">
      <c r="O1394">
        <v>1</v>
      </c>
      <c r="S1394" t="e">
        <v>#DIV/0!</v>
      </c>
      <c r="T1394" t="s">
        <v>82</v>
      </c>
    </row>
    <row r="1395" spans="15:20" x14ac:dyDescent="0.25">
      <c r="O1395">
        <v>1</v>
      </c>
      <c r="S1395" t="e">
        <v>#DIV/0!</v>
      </c>
      <c r="T1395" t="s">
        <v>82</v>
      </c>
    </row>
    <row r="1396" spans="15:20" x14ac:dyDescent="0.25">
      <c r="O1396">
        <v>1</v>
      </c>
      <c r="S1396" t="e">
        <v>#DIV/0!</v>
      </c>
      <c r="T1396" t="s">
        <v>82</v>
      </c>
    </row>
    <row r="1397" spans="15:20" x14ac:dyDescent="0.25">
      <c r="O1397">
        <v>1</v>
      </c>
      <c r="S1397" t="e">
        <v>#DIV/0!</v>
      </c>
      <c r="T1397" t="s">
        <v>82</v>
      </c>
    </row>
    <row r="1398" spans="15:20" x14ac:dyDescent="0.25">
      <c r="O1398">
        <v>1</v>
      </c>
      <c r="S1398" t="e">
        <v>#DIV/0!</v>
      </c>
      <c r="T1398" t="s">
        <v>82</v>
      </c>
    </row>
    <row r="1399" spans="15:20" x14ac:dyDescent="0.25">
      <c r="O1399">
        <v>1</v>
      </c>
      <c r="S1399" t="e">
        <v>#DIV/0!</v>
      </c>
      <c r="T1399" t="s">
        <v>82</v>
      </c>
    </row>
    <row r="1400" spans="15:20" x14ac:dyDescent="0.25">
      <c r="O1400">
        <v>1</v>
      </c>
      <c r="S1400" t="e">
        <v>#DIV/0!</v>
      </c>
      <c r="T1400" t="s">
        <v>82</v>
      </c>
    </row>
    <row r="1401" spans="15:20" x14ac:dyDescent="0.25">
      <c r="O1401">
        <v>1</v>
      </c>
      <c r="S1401" t="e">
        <v>#DIV/0!</v>
      </c>
      <c r="T1401" t="s">
        <v>82</v>
      </c>
    </row>
    <row r="1402" spans="15:20" x14ac:dyDescent="0.25">
      <c r="O1402">
        <v>1</v>
      </c>
      <c r="S1402" t="e">
        <v>#DIV/0!</v>
      </c>
      <c r="T1402" t="s">
        <v>82</v>
      </c>
    </row>
    <row r="1403" spans="15:20" x14ac:dyDescent="0.25">
      <c r="O1403">
        <v>1</v>
      </c>
      <c r="S1403" t="e">
        <v>#DIV/0!</v>
      </c>
      <c r="T1403" t="s">
        <v>82</v>
      </c>
    </row>
    <row r="1404" spans="15:20" x14ac:dyDescent="0.25">
      <c r="O1404">
        <v>1</v>
      </c>
      <c r="S1404" t="e">
        <v>#DIV/0!</v>
      </c>
      <c r="T1404" t="s">
        <v>82</v>
      </c>
    </row>
    <row r="1405" spans="15:20" x14ac:dyDescent="0.25">
      <c r="O1405">
        <v>1</v>
      </c>
      <c r="S1405" t="e">
        <v>#DIV/0!</v>
      </c>
      <c r="T1405" t="s">
        <v>82</v>
      </c>
    </row>
    <row r="1406" spans="15:20" x14ac:dyDescent="0.25">
      <c r="O1406">
        <v>1</v>
      </c>
      <c r="S1406" t="e">
        <v>#DIV/0!</v>
      </c>
      <c r="T1406" t="s">
        <v>82</v>
      </c>
    </row>
    <row r="1407" spans="15:20" x14ac:dyDescent="0.25">
      <c r="O1407">
        <v>1</v>
      </c>
      <c r="S1407" t="e">
        <v>#DIV/0!</v>
      </c>
      <c r="T1407" t="s">
        <v>82</v>
      </c>
    </row>
    <row r="1408" spans="15:20" x14ac:dyDescent="0.25">
      <c r="O1408">
        <v>1</v>
      </c>
      <c r="S1408" t="e">
        <v>#DIV/0!</v>
      </c>
      <c r="T1408" t="s">
        <v>82</v>
      </c>
    </row>
    <row r="1409" spans="15:20" x14ac:dyDescent="0.25">
      <c r="O1409">
        <v>1</v>
      </c>
      <c r="S1409" t="e">
        <v>#DIV/0!</v>
      </c>
      <c r="T1409" t="s">
        <v>82</v>
      </c>
    </row>
    <row r="1410" spans="15:20" x14ac:dyDescent="0.25">
      <c r="O1410">
        <v>1</v>
      </c>
      <c r="S1410" t="e">
        <v>#DIV/0!</v>
      </c>
      <c r="T1410" t="s">
        <v>82</v>
      </c>
    </row>
    <row r="1411" spans="15:20" x14ac:dyDescent="0.25">
      <c r="O1411">
        <v>1</v>
      </c>
      <c r="S1411" t="e">
        <v>#DIV/0!</v>
      </c>
      <c r="T1411" t="s">
        <v>82</v>
      </c>
    </row>
    <row r="1412" spans="15:20" x14ac:dyDescent="0.25">
      <c r="O1412">
        <v>1</v>
      </c>
      <c r="S1412" t="e">
        <v>#DIV/0!</v>
      </c>
      <c r="T1412" t="s">
        <v>82</v>
      </c>
    </row>
    <row r="1413" spans="15:20" x14ac:dyDescent="0.25">
      <c r="O1413">
        <v>1</v>
      </c>
      <c r="S1413" t="e">
        <v>#DIV/0!</v>
      </c>
      <c r="T1413" t="s">
        <v>82</v>
      </c>
    </row>
    <row r="1414" spans="15:20" x14ac:dyDescent="0.25">
      <c r="O1414">
        <v>1</v>
      </c>
      <c r="S1414" t="e">
        <v>#DIV/0!</v>
      </c>
      <c r="T1414" t="s">
        <v>82</v>
      </c>
    </row>
    <row r="1415" spans="15:20" x14ac:dyDescent="0.25">
      <c r="O1415">
        <v>1</v>
      </c>
      <c r="S1415" t="e">
        <v>#DIV/0!</v>
      </c>
      <c r="T1415" t="s">
        <v>82</v>
      </c>
    </row>
    <row r="1416" spans="15:20" x14ac:dyDescent="0.25">
      <c r="O1416">
        <v>1</v>
      </c>
      <c r="S1416" t="e">
        <v>#DIV/0!</v>
      </c>
      <c r="T1416" t="s">
        <v>82</v>
      </c>
    </row>
    <row r="1417" spans="15:20" x14ac:dyDescent="0.25">
      <c r="O1417">
        <v>1</v>
      </c>
      <c r="S1417" t="e">
        <v>#DIV/0!</v>
      </c>
      <c r="T1417" t="s">
        <v>82</v>
      </c>
    </row>
    <row r="1418" spans="15:20" x14ac:dyDescent="0.25">
      <c r="O1418">
        <v>1</v>
      </c>
      <c r="S1418" t="e">
        <v>#DIV/0!</v>
      </c>
      <c r="T1418" t="s">
        <v>82</v>
      </c>
    </row>
    <row r="1419" spans="15:20" x14ac:dyDescent="0.25">
      <c r="O1419">
        <v>1</v>
      </c>
      <c r="S1419" t="e">
        <v>#DIV/0!</v>
      </c>
      <c r="T1419" t="s">
        <v>82</v>
      </c>
    </row>
    <row r="1420" spans="15:20" x14ac:dyDescent="0.25">
      <c r="O1420">
        <v>1</v>
      </c>
      <c r="S1420" t="e">
        <v>#DIV/0!</v>
      </c>
      <c r="T1420" t="s">
        <v>82</v>
      </c>
    </row>
    <row r="1421" spans="15:20" x14ac:dyDescent="0.25">
      <c r="O1421">
        <v>1</v>
      </c>
      <c r="S1421" t="e">
        <v>#DIV/0!</v>
      </c>
      <c r="T1421" t="s">
        <v>82</v>
      </c>
    </row>
    <row r="1422" spans="15:20" x14ac:dyDescent="0.25">
      <c r="O1422">
        <v>1</v>
      </c>
      <c r="S1422" t="e">
        <v>#DIV/0!</v>
      </c>
      <c r="T1422" t="s">
        <v>82</v>
      </c>
    </row>
    <row r="1423" spans="15:20" x14ac:dyDescent="0.25">
      <c r="O1423">
        <v>1</v>
      </c>
      <c r="S1423" t="e">
        <v>#DIV/0!</v>
      </c>
      <c r="T1423" t="s">
        <v>82</v>
      </c>
    </row>
    <row r="1424" spans="15:20" x14ac:dyDescent="0.25">
      <c r="O1424">
        <v>1</v>
      </c>
      <c r="S1424" t="e">
        <v>#DIV/0!</v>
      </c>
      <c r="T1424" t="s">
        <v>82</v>
      </c>
    </row>
    <row r="1425" spans="15:20" x14ac:dyDescent="0.25">
      <c r="O1425">
        <v>1</v>
      </c>
      <c r="S1425" t="e">
        <v>#DIV/0!</v>
      </c>
      <c r="T1425" t="s">
        <v>82</v>
      </c>
    </row>
    <row r="1426" spans="15:20" x14ac:dyDescent="0.25">
      <c r="O1426">
        <v>1</v>
      </c>
      <c r="S1426" t="e">
        <v>#DIV/0!</v>
      </c>
      <c r="T1426" t="s">
        <v>82</v>
      </c>
    </row>
    <row r="1427" spans="15:20" x14ac:dyDescent="0.25">
      <c r="O1427">
        <v>1</v>
      </c>
      <c r="S1427" t="e">
        <v>#DIV/0!</v>
      </c>
      <c r="T1427" t="s">
        <v>82</v>
      </c>
    </row>
    <row r="1428" spans="15:20" x14ac:dyDescent="0.25">
      <c r="O1428">
        <v>1</v>
      </c>
      <c r="S1428" t="e">
        <v>#DIV/0!</v>
      </c>
      <c r="T1428" t="s">
        <v>82</v>
      </c>
    </row>
    <row r="1429" spans="15:20" x14ac:dyDescent="0.25">
      <c r="O1429">
        <v>1</v>
      </c>
      <c r="S1429" t="e">
        <v>#DIV/0!</v>
      </c>
      <c r="T1429" t="s">
        <v>82</v>
      </c>
    </row>
    <row r="1430" spans="15:20" x14ac:dyDescent="0.25">
      <c r="O1430">
        <v>1</v>
      </c>
      <c r="S1430" t="e">
        <v>#DIV/0!</v>
      </c>
      <c r="T1430" t="s">
        <v>82</v>
      </c>
    </row>
    <row r="1431" spans="15:20" x14ac:dyDescent="0.25">
      <c r="O1431">
        <v>1</v>
      </c>
      <c r="S1431" t="e">
        <v>#DIV/0!</v>
      </c>
      <c r="T1431" t="s">
        <v>82</v>
      </c>
    </row>
    <row r="1432" spans="15:20" x14ac:dyDescent="0.25">
      <c r="O1432">
        <v>1</v>
      </c>
      <c r="S1432" t="e">
        <v>#DIV/0!</v>
      </c>
      <c r="T1432" t="s">
        <v>82</v>
      </c>
    </row>
    <row r="1433" spans="15:20" x14ac:dyDescent="0.25">
      <c r="O1433">
        <v>1</v>
      </c>
      <c r="S1433" t="e">
        <v>#DIV/0!</v>
      </c>
      <c r="T1433" t="s">
        <v>82</v>
      </c>
    </row>
    <row r="1434" spans="15:20" x14ac:dyDescent="0.25">
      <c r="O1434">
        <v>1</v>
      </c>
      <c r="S1434" t="e">
        <v>#DIV/0!</v>
      </c>
      <c r="T1434" t="s">
        <v>82</v>
      </c>
    </row>
    <row r="1435" spans="15:20" x14ac:dyDescent="0.25">
      <c r="O1435">
        <v>1</v>
      </c>
      <c r="S1435" t="e">
        <v>#DIV/0!</v>
      </c>
      <c r="T1435" t="s">
        <v>82</v>
      </c>
    </row>
    <row r="1436" spans="15:20" x14ac:dyDescent="0.25">
      <c r="O1436">
        <v>1</v>
      </c>
      <c r="S1436" t="e">
        <v>#DIV/0!</v>
      </c>
      <c r="T1436" t="s">
        <v>82</v>
      </c>
    </row>
    <row r="1437" spans="15:20" x14ac:dyDescent="0.25">
      <c r="O1437">
        <v>1</v>
      </c>
      <c r="S1437" t="e">
        <v>#DIV/0!</v>
      </c>
      <c r="T1437" t="s">
        <v>82</v>
      </c>
    </row>
    <row r="1438" spans="15:20" x14ac:dyDescent="0.25">
      <c r="O1438">
        <v>1</v>
      </c>
      <c r="S1438" t="e">
        <v>#DIV/0!</v>
      </c>
      <c r="T1438" t="s">
        <v>82</v>
      </c>
    </row>
    <row r="1439" spans="15:20" x14ac:dyDescent="0.25">
      <c r="O1439">
        <v>1</v>
      </c>
      <c r="S1439" t="e">
        <v>#DIV/0!</v>
      </c>
      <c r="T1439" t="s">
        <v>82</v>
      </c>
    </row>
    <row r="1440" spans="15:20" x14ac:dyDescent="0.25">
      <c r="O1440">
        <v>1</v>
      </c>
      <c r="S1440" t="e">
        <v>#DIV/0!</v>
      </c>
      <c r="T1440" t="s">
        <v>82</v>
      </c>
    </row>
    <row r="1441" spans="15:20" x14ac:dyDescent="0.25">
      <c r="O1441">
        <v>1</v>
      </c>
      <c r="S1441" t="e">
        <v>#DIV/0!</v>
      </c>
      <c r="T1441" t="s">
        <v>82</v>
      </c>
    </row>
    <row r="1442" spans="15:20" x14ac:dyDescent="0.25">
      <c r="O1442">
        <v>1</v>
      </c>
      <c r="S1442" t="e">
        <v>#DIV/0!</v>
      </c>
      <c r="T1442" t="s">
        <v>82</v>
      </c>
    </row>
    <row r="1443" spans="15:20" x14ac:dyDescent="0.25">
      <c r="O1443">
        <v>1</v>
      </c>
      <c r="S1443" t="e">
        <v>#DIV/0!</v>
      </c>
      <c r="T1443" t="s">
        <v>82</v>
      </c>
    </row>
    <row r="1444" spans="15:20" x14ac:dyDescent="0.25">
      <c r="O1444">
        <v>1</v>
      </c>
      <c r="S1444" t="e">
        <v>#DIV/0!</v>
      </c>
      <c r="T1444" t="s">
        <v>82</v>
      </c>
    </row>
    <row r="1445" spans="15:20" x14ac:dyDescent="0.25">
      <c r="O1445">
        <v>1</v>
      </c>
      <c r="S1445" t="e">
        <v>#DIV/0!</v>
      </c>
      <c r="T1445" t="s">
        <v>82</v>
      </c>
    </row>
    <row r="1446" spans="15:20" x14ac:dyDescent="0.25">
      <c r="O1446">
        <v>1</v>
      </c>
      <c r="S1446" t="e">
        <v>#DIV/0!</v>
      </c>
      <c r="T1446" t="s">
        <v>82</v>
      </c>
    </row>
    <row r="1447" spans="15:20" x14ac:dyDescent="0.25">
      <c r="O1447">
        <v>1</v>
      </c>
      <c r="S1447" t="e">
        <v>#DIV/0!</v>
      </c>
      <c r="T1447" t="s">
        <v>82</v>
      </c>
    </row>
    <row r="1448" spans="15:20" x14ac:dyDescent="0.25">
      <c r="O1448">
        <v>1</v>
      </c>
      <c r="S1448" t="e">
        <v>#DIV/0!</v>
      </c>
      <c r="T1448" t="s">
        <v>82</v>
      </c>
    </row>
    <row r="1449" spans="15:20" x14ac:dyDescent="0.25">
      <c r="O1449">
        <v>1</v>
      </c>
      <c r="S1449" t="e">
        <v>#DIV/0!</v>
      </c>
      <c r="T1449" t="s">
        <v>82</v>
      </c>
    </row>
    <row r="1450" spans="15:20" x14ac:dyDescent="0.25">
      <c r="O1450">
        <v>1</v>
      </c>
      <c r="S1450" t="e">
        <v>#DIV/0!</v>
      </c>
      <c r="T1450" t="s">
        <v>82</v>
      </c>
    </row>
    <row r="1451" spans="15:20" x14ac:dyDescent="0.25">
      <c r="O1451">
        <v>1</v>
      </c>
      <c r="S1451" t="e">
        <v>#DIV/0!</v>
      </c>
      <c r="T1451" t="s">
        <v>82</v>
      </c>
    </row>
    <row r="1452" spans="15:20" x14ac:dyDescent="0.25">
      <c r="O1452">
        <v>1</v>
      </c>
      <c r="S1452" t="e">
        <v>#DIV/0!</v>
      </c>
      <c r="T1452" t="s">
        <v>82</v>
      </c>
    </row>
    <row r="1453" spans="15:20" x14ac:dyDescent="0.25">
      <c r="O1453">
        <v>1</v>
      </c>
      <c r="S1453" t="e">
        <v>#DIV/0!</v>
      </c>
      <c r="T1453" t="s">
        <v>82</v>
      </c>
    </row>
    <row r="1454" spans="15:20" x14ac:dyDescent="0.25">
      <c r="O1454">
        <v>1</v>
      </c>
      <c r="S1454" t="e">
        <v>#DIV/0!</v>
      </c>
      <c r="T1454" t="s">
        <v>82</v>
      </c>
    </row>
    <row r="1455" spans="15:20" x14ac:dyDescent="0.25">
      <c r="O1455">
        <v>1</v>
      </c>
      <c r="S1455" t="e">
        <v>#DIV/0!</v>
      </c>
      <c r="T1455" t="s">
        <v>82</v>
      </c>
    </row>
    <row r="1456" spans="15:20" x14ac:dyDescent="0.25">
      <c r="O1456">
        <v>1</v>
      </c>
      <c r="S1456" t="e">
        <v>#DIV/0!</v>
      </c>
      <c r="T1456" t="s">
        <v>82</v>
      </c>
    </row>
    <row r="1457" spans="15:20" x14ac:dyDescent="0.25">
      <c r="O1457">
        <v>1</v>
      </c>
      <c r="S1457" t="e">
        <v>#DIV/0!</v>
      </c>
      <c r="T1457" t="s">
        <v>82</v>
      </c>
    </row>
    <row r="1458" spans="15:20" x14ac:dyDescent="0.25">
      <c r="O1458">
        <v>1</v>
      </c>
      <c r="S1458" t="e">
        <v>#DIV/0!</v>
      </c>
      <c r="T1458" t="s">
        <v>82</v>
      </c>
    </row>
    <row r="1459" spans="15:20" x14ac:dyDescent="0.25">
      <c r="O1459">
        <v>1</v>
      </c>
      <c r="S1459" t="e">
        <v>#DIV/0!</v>
      </c>
      <c r="T1459" t="s">
        <v>82</v>
      </c>
    </row>
    <row r="1460" spans="15:20" x14ac:dyDescent="0.25">
      <c r="O1460">
        <v>1</v>
      </c>
      <c r="S1460" t="e">
        <v>#DIV/0!</v>
      </c>
      <c r="T1460" t="s">
        <v>82</v>
      </c>
    </row>
    <row r="1461" spans="15:20" x14ac:dyDescent="0.25">
      <c r="O1461">
        <v>1</v>
      </c>
      <c r="S1461" t="e">
        <v>#DIV/0!</v>
      </c>
      <c r="T1461" t="s">
        <v>82</v>
      </c>
    </row>
    <row r="1462" spans="15:20" x14ac:dyDescent="0.25">
      <c r="O1462">
        <v>1</v>
      </c>
      <c r="S1462" t="e">
        <v>#DIV/0!</v>
      </c>
      <c r="T1462" t="s">
        <v>82</v>
      </c>
    </row>
    <row r="1463" spans="15:20" x14ac:dyDescent="0.25">
      <c r="O1463">
        <v>1</v>
      </c>
      <c r="S1463" t="e">
        <v>#DIV/0!</v>
      </c>
      <c r="T1463" t="s">
        <v>82</v>
      </c>
    </row>
    <row r="1464" spans="15:20" x14ac:dyDescent="0.25">
      <c r="O1464">
        <v>1</v>
      </c>
      <c r="S1464" t="e">
        <v>#DIV/0!</v>
      </c>
      <c r="T1464" t="s">
        <v>82</v>
      </c>
    </row>
    <row r="1465" spans="15:20" x14ac:dyDescent="0.25">
      <c r="O1465">
        <v>1</v>
      </c>
      <c r="S1465" t="e">
        <v>#DIV/0!</v>
      </c>
      <c r="T1465" t="s">
        <v>82</v>
      </c>
    </row>
    <row r="1466" spans="15:20" x14ac:dyDescent="0.25">
      <c r="O1466">
        <v>1</v>
      </c>
      <c r="S1466" t="e">
        <v>#DIV/0!</v>
      </c>
      <c r="T1466" t="s">
        <v>82</v>
      </c>
    </row>
    <row r="1467" spans="15:20" x14ac:dyDescent="0.25">
      <c r="O1467">
        <v>1</v>
      </c>
      <c r="S1467" t="e">
        <v>#DIV/0!</v>
      </c>
      <c r="T1467" t="s">
        <v>82</v>
      </c>
    </row>
    <row r="1468" spans="15:20" x14ac:dyDescent="0.25">
      <c r="O1468">
        <v>1</v>
      </c>
      <c r="S1468" t="e">
        <v>#DIV/0!</v>
      </c>
      <c r="T1468" t="s">
        <v>82</v>
      </c>
    </row>
    <row r="1469" spans="15:20" x14ac:dyDescent="0.25">
      <c r="O1469">
        <v>1</v>
      </c>
      <c r="S1469" t="e">
        <v>#DIV/0!</v>
      </c>
      <c r="T1469" t="s">
        <v>82</v>
      </c>
    </row>
    <row r="1470" spans="15:20" x14ac:dyDescent="0.25">
      <c r="O1470">
        <v>1</v>
      </c>
      <c r="S1470" t="e">
        <v>#DIV/0!</v>
      </c>
      <c r="T1470" t="s">
        <v>82</v>
      </c>
    </row>
    <row r="1471" spans="15:20" x14ac:dyDescent="0.25">
      <c r="O1471">
        <v>1</v>
      </c>
      <c r="S1471" t="e">
        <v>#DIV/0!</v>
      </c>
      <c r="T1471" t="s">
        <v>82</v>
      </c>
    </row>
    <row r="1472" spans="15:20" x14ac:dyDescent="0.25">
      <c r="O1472">
        <v>1</v>
      </c>
      <c r="S1472" t="e">
        <v>#DIV/0!</v>
      </c>
      <c r="T1472" t="s">
        <v>82</v>
      </c>
    </row>
    <row r="1473" spans="15:20" x14ac:dyDescent="0.25">
      <c r="O1473">
        <v>1</v>
      </c>
      <c r="S1473" t="e">
        <v>#DIV/0!</v>
      </c>
      <c r="T1473" t="s">
        <v>82</v>
      </c>
    </row>
    <row r="1474" spans="15:20" x14ac:dyDescent="0.25">
      <c r="O1474">
        <v>1</v>
      </c>
      <c r="S1474" t="e">
        <v>#DIV/0!</v>
      </c>
      <c r="T1474" t="s">
        <v>82</v>
      </c>
    </row>
    <row r="1475" spans="15:20" x14ac:dyDescent="0.25">
      <c r="O1475">
        <v>1</v>
      </c>
      <c r="S1475" t="e">
        <v>#DIV/0!</v>
      </c>
      <c r="T1475" t="s">
        <v>82</v>
      </c>
    </row>
    <row r="1476" spans="15:20" x14ac:dyDescent="0.25">
      <c r="O1476">
        <v>1</v>
      </c>
      <c r="S1476" t="e">
        <v>#DIV/0!</v>
      </c>
      <c r="T1476" t="s">
        <v>82</v>
      </c>
    </row>
    <row r="1477" spans="15:20" x14ac:dyDescent="0.25">
      <c r="O1477">
        <v>1</v>
      </c>
      <c r="S1477" t="e">
        <v>#DIV/0!</v>
      </c>
      <c r="T1477" t="s">
        <v>82</v>
      </c>
    </row>
    <row r="1478" spans="15:20" x14ac:dyDescent="0.25">
      <c r="O1478">
        <v>1</v>
      </c>
      <c r="S1478" t="e">
        <v>#DIV/0!</v>
      </c>
      <c r="T1478" t="s">
        <v>82</v>
      </c>
    </row>
    <row r="1479" spans="15:20" x14ac:dyDescent="0.25">
      <c r="O1479">
        <v>1</v>
      </c>
      <c r="S1479" t="e">
        <v>#DIV/0!</v>
      </c>
      <c r="T1479" t="s">
        <v>82</v>
      </c>
    </row>
    <row r="1480" spans="15:20" x14ac:dyDescent="0.25">
      <c r="O1480">
        <v>1</v>
      </c>
      <c r="S1480" t="e">
        <v>#DIV/0!</v>
      </c>
      <c r="T1480" t="s">
        <v>82</v>
      </c>
    </row>
    <row r="1481" spans="15:20" x14ac:dyDescent="0.25">
      <c r="O1481">
        <v>1</v>
      </c>
      <c r="S1481" t="e">
        <v>#DIV/0!</v>
      </c>
      <c r="T1481" t="s">
        <v>82</v>
      </c>
    </row>
    <row r="1482" spans="15:20" x14ac:dyDescent="0.25">
      <c r="O1482">
        <v>1</v>
      </c>
      <c r="S1482" t="e">
        <v>#DIV/0!</v>
      </c>
      <c r="T1482" t="s">
        <v>82</v>
      </c>
    </row>
    <row r="1483" spans="15:20" x14ac:dyDescent="0.25">
      <c r="O1483">
        <v>1</v>
      </c>
      <c r="S1483" t="e">
        <v>#DIV/0!</v>
      </c>
      <c r="T1483" t="s">
        <v>82</v>
      </c>
    </row>
    <row r="1484" spans="15:20" x14ac:dyDescent="0.25">
      <c r="O1484">
        <v>1</v>
      </c>
      <c r="S1484" t="e">
        <v>#DIV/0!</v>
      </c>
      <c r="T1484" t="s">
        <v>82</v>
      </c>
    </row>
    <row r="1485" spans="15:20" x14ac:dyDescent="0.25">
      <c r="O1485">
        <v>1</v>
      </c>
      <c r="S1485" t="e">
        <v>#DIV/0!</v>
      </c>
      <c r="T1485" t="s">
        <v>82</v>
      </c>
    </row>
    <row r="1486" spans="15:20" x14ac:dyDescent="0.25">
      <c r="O1486">
        <v>1</v>
      </c>
      <c r="S1486" t="e">
        <v>#DIV/0!</v>
      </c>
      <c r="T1486" t="s">
        <v>82</v>
      </c>
    </row>
    <row r="1487" spans="15:20" x14ac:dyDescent="0.25">
      <c r="O1487">
        <v>1</v>
      </c>
      <c r="S1487" t="e">
        <v>#DIV/0!</v>
      </c>
      <c r="T1487" t="s">
        <v>82</v>
      </c>
    </row>
    <row r="1488" spans="15:20" x14ac:dyDescent="0.25">
      <c r="O1488">
        <v>1</v>
      </c>
      <c r="S1488" t="e">
        <v>#DIV/0!</v>
      </c>
      <c r="T1488" t="s">
        <v>82</v>
      </c>
    </row>
    <row r="1489" spans="15:20" x14ac:dyDescent="0.25">
      <c r="O1489">
        <v>1</v>
      </c>
      <c r="S1489" t="e">
        <v>#DIV/0!</v>
      </c>
      <c r="T1489" t="s">
        <v>82</v>
      </c>
    </row>
    <row r="1490" spans="15:20" x14ac:dyDescent="0.25">
      <c r="O1490">
        <v>1</v>
      </c>
      <c r="S1490" t="e">
        <v>#DIV/0!</v>
      </c>
      <c r="T1490" t="s">
        <v>82</v>
      </c>
    </row>
    <row r="1491" spans="15:20" x14ac:dyDescent="0.25">
      <c r="O1491">
        <v>1</v>
      </c>
      <c r="S1491" t="e">
        <v>#DIV/0!</v>
      </c>
      <c r="T1491" t="s">
        <v>82</v>
      </c>
    </row>
    <row r="1492" spans="15:20" x14ac:dyDescent="0.25">
      <c r="O1492">
        <v>1</v>
      </c>
      <c r="S1492" t="e">
        <v>#DIV/0!</v>
      </c>
      <c r="T1492" t="s">
        <v>82</v>
      </c>
    </row>
    <row r="1493" spans="15:20" x14ac:dyDescent="0.25">
      <c r="O1493">
        <v>1</v>
      </c>
      <c r="S1493" t="e">
        <v>#DIV/0!</v>
      </c>
      <c r="T1493" t="s">
        <v>82</v>
      </c>
    </row>
    <row r="1494" spans="15:20" x14ac:dyDescent="0.25">
      <c r="O1494">
        <v>1</v>
      </c>
      <c r="S1494" t="e">
        <v>#DIV/0!</v>
      </c>
      <c r="T1494" t="s">
        <v>82</v>
      </c>
    </row>
    <row r="1495" spans="15:20" x14ac:dyDescent="0.25">
      <c r="O1495">
        <v>1</v>
      </c>
      <c r="S1495" t="e">
        <v>#DIV/0!</v>
      </c>
      <c r="T1495" t="s">
        <v>82</v>
      </c>
    </row>
    <row r="1496" spans="15:20" x14ac:dyDescent="0.25">
      <c r="O1496">
        <v>1</v>
      </c>
      <c r="S1496" t="e">
        <v>#DIV/0!</v>
      </c>
      <c r="T1496" t="s">
        <v>82</v>
      </c>
    </row>
    <row r="1497" spans="15:20" x14ac:dyDescent="0.25">
      <c r="O1497">
        <v>1</v>
      </c>
      <c r="S1497" t="e">
        <v>#DIV/0!</v>
      </c>
      <c r="T1497" t="s">
        <v>82</v>
      </c>
    </row>
    <row r="1498" spans="15:20" x14ac:dyDescent="0.25">
      <c r="O1498">
        <v>1</v>
      </c>
      <c r="S1498" t="e">
        <v>#DIV/0!</v>
      </c>
      <c r="T1498" t="s">
        <v>82</v>
      </c>
    </row>
    <row r="1499" spans="15:20" x14ac:dyDescent="0.25">
      <c r="O1499">
        <v>1</v>
      </c>
      <c r="S1499" t="e">
        <v>#DIV/0!</v>
      </c>
      <c r="T1499" t="s">
        <v>82</v>
      </c>
    </row>
    <row r="1500" spans="15:20" x14ac:dyDescent="0.25">
      <c r="O1500">
        <v>1</v>
      </c>
      <c r="S1500" t="e">
        <v>#DIV/0!</v>
      </c>
      <c r="T1500" t="s">
        <v>82</v>
      </c>
    </row>
    <row r="1501" spans="15:20" x14ac:dyDescent="0.25">
      <c r="O1501">
        <v>1</v>
      </c>
      <c r="S1501" t="e">
        <v>#DIV/0!</v>
      </c>
      <c r="T1501" t="s">
        <v>82</v>
      </c>
    </row>
    <row r="1502" spans="15:20" x14ac:dyDescent="0.25">
      <c r="O1502">
        <v>1</v>
      </c>
      <c r="S1502" t="e">
        <v>#DIV/0!</v>
      </c>
      <c r="T1502" t="s">
        <v>82</v>
      </c>
    </row>
    <row r="1503" spans="15:20" x14ac:dyDescent="0.25">
      <c r="O1503">
        <v>1</v>
      </c>
      <c r="S1503" t="e">
        <v>#DIV/0!</v>
      </c>
      <c r="T1503" t="s">
        <v>82</v>
      </c>
    </row>
    <row r="1504" spans="15:20" x14ac:dyDescent="0.25">
      <c r="O1504">
        <v>1</v>
      </c>
      <c r="S1504" t="e">
        <v>#DIV/0!</v>
      </c>
      <c r="T1504" t="s">
        <v>82</v>
      </c>
    </row>
    <row r="1505" spans="15:20" x14ac:dyDescent="0.25">
      <c r="O1505">
        <v>1</v>
      </c>
      <c r="S1505" t="e">
        <v>#DIV/0!</v>
      </c>
      <c r="T1505" t="s">
        <v>82</v>
      </c>
    </row>
    <row r="1506" spans="15:20" x14ac:dyDescent="0.25">
      <c r="O1506">
        <v>1</v>
      </c>
      <c r="S1506" t="e">
        <v>#DIV/0!</v>
      </c>
      <c r="T1506" t="s">
        <v>82</v>
      </c>
    </row>
    <row r="1507" spans="15:20" x14ac:dyDescent="0.25">
      <c r="O1507">
        <v>1</v>
      </c>
      <c r="S1507" t="e">
        <v>#DIV/0!</v>
      </c>
      <c r="T1507" t="s">
        <v>82</v>
      </c>
    </row>
    <row r="1508" spans="15:20" x14ac:dyDescent="0.25">
      <c r="O1508">
        <v>1</v>
      </c>
      <c r="S1508" t="e">
        <v>#DIV/0!</v>
      </c>
      <c r="T1508" t="s">
        <v>82</v>
      </c>
    </row>
    <row r="1509" spans="15:20" x14ac:dyDescent="0.25">
      <c r="O1509">
        <v>1</v>
      </c>
      <c r="S1509" t="e">
        <v>#DIV/0!</v>
      </c>
      <c r="T1509" t="s">
        <v>82</v>
      </c>
    </row>
    <row r="1510" spans="15:20" x14ac:dyDescent="0.25">
      <c r="O1510">
        <v>1</v>
      </c>
      <c r="S1510" t="e">
        <v>#DIV/0!</v>
      </c>
      <c r="T1510" t="s">
        <v>82</v>
      </c>
    </row>
    <row r="1511" spans="15:20" x14ac:dyDescent="0.25">
      <c r="O1511">
        <v>1</v>
      </c>
      <c r="S1511" t="e">
        <v>#DIV/0!</v>
      </c>
      <c r="T1511" t="s">
        <v>82</v>
      </c>
    </row>
    <row r="1512" spans="15:20" x14ac:dyDescent="0.25">
      <c r="O1512">
        <v>1</v>
      </c>
      <c r="S1512" t="e">
        <v>#DIV/0!</v>
      </c>
      <c r="T1512" t="s">
        <v>82</v>
      </c>
    </row>
    <row r="1513" spans="15:20" x14ac:dyDescent="0.25">
      <c r="O1513">
        <v>1</v>
      </c>
      <c r="S1513" t="e">
        <v>#DIV/0!</v>
      </c>
      <c r="T1513" t="s">
        <v>82</v>
      </c>
    </row>
    <row r="1514" spans="15:20" x14ac:dyDescent="0.25">
      <c r="O1514">
        <v>1</v>
      </c>
      <c r="S1514" t="e">
        <v>#DIV/0!</v>
      </c>
      <c r="T1514" t="s">
        <v>82</v>
      </c>
    </row>
    <row r="1515" spans="15:20" x14ac:dyDescent="0.25">
      <c r="O1515">
        <v>1</v>
      </c>
      <c r="S1515" t="e">
        <v>#DIV/0!</v>
      </c>
      <c r="T1515" t="s">
        <v>82</v>
      </c>
    </row>
    <row r="1516" spans="15:20" x14ac:dyDescent="0.25">
      <c r="O1516">
        <v>1</v>
      </c>
      <c r="S1516" t="e">
        <v>#DIV/0!</v>
      </c>
      <c r="T1516" t="s">
        <v>82</v>
      </c>
    </row>
    <row r="1517" spans="15:20" x14ac:dyDescent="0.25">
      <c r="O1517">
        <v>1</v>
      </c>
      <c r="S1517" t="e">
        <v>#DIV/0!</v>
      </c>
      <c r="T1517" t="s">
        <v>82</v>
      </c>
    </row>
    <row r="1518" spans="15:20" x14ac:dyDescent="0.25">
      <c r="O1518">
        <v>1</v>
      </c>
      <c r="S1518" t="e">
        <v>#DIV/0!</v>
      </c>
      <c r="T1518" t="s">
        <v>82</v>
      </c>
    </row>
    <row r="1519" spans="15:20" x14ac:dyDescent="0.25">
      <c r="O1519">
        <v>1</v>
      </c>
      <c r="S1519" t="e">
        <v>#DIV/0!</v>
      </c>
      <c r="T1519" t="s">
        <v>82</v>
      </c>
    </row>
    <row r="1520" spans="15:20" x14ac:dyDescent="0.25">
      <c r="O1520">
        <v>1</v>
      </c>
      <c r="S1520" t="e">
        <v>#DIV/0!</v>
      </c>
      <c r="T1520" t="s">
        <v>82</v>
      </c>
    </row>
    <row r="1521" spans="15:20" x14ac:dyDescent="0.25">
      <c r="O1521">
        <v>1</v>
      </c>
      <c r="S1521" t="e">
        <v>#DIV/0!</v>
      </c>
      <c r="T1521" t="s">
        <v>82</v>
      </c>
    </row>
    <row r="1522" spans="15:20" x14ac:dyDescent="0.25">
      <c r="O1522">
        <v>1</v>
      </c>
      <c r="S1522" t="e">
        <v>#DIV/0!</v>
      </c>
      <c r="T1522" t="s">
        <v>82</v>
      </c>
    </row>
    <row r="1523" spans="15:20" x14ac:dyDescent="0.25">
      <c r="O1523">
        <v>1</v>
      </c>
      <c r="S1523" t="e">
        <v>#DIV/0!</v>
      </c>
      <c r="T1523" t="s">
        <v>82</v>
      </c>
    </row>
    <row r="1524" spans="15:20" x14ac:dyDescent="0.25">
      <c r="O1524">
        <v>1</v>
      </c>
      <c r="S1524" t="e">
        <v>#DIV/0!</v>
      </c>
      <c r="T1524" t="s">
        <v>82</v>
      </c>
    </row>
    <row r="1525" spans="15:20" x14ac:dyDescent="0.25">
      <c r="O1525">
        <v>1</v>
      </c>
      <c r="S1525" t="e">
        <v>#DIV/0!</v>
      </c>
      <c r="T1525" t="s">
        <v>82</v>
      </c>
    </row>
    <row r="1526" spans="15:20" x14ac:dyDescent="0.25">
      <c r="O1526">
        <v>1</v>
      </c>
      <c r="S1526" t="e">
        <v>#DIV/0!</v>
      </c>
      <c r="T1526" t="s">
        <v>82</v>
      </c>
    </row>
    <row r="1527" spans="15:20" x14ac:dyDescent="0.25">
      <c r="O1527">
        <v>1</v>
      </c>
      <c r="S1527" t="e">
        <v>#DIV/0!</v>
      </c>
      <c r="T1527" t="s">
        <v>82</v>
      </c>
    </row>
    <row r="1528" spans="15:20" x14ac:dyDescent="0.25">
      <c r="O1528">
        <v>1</v>
      </c>
      <c r="S1528" t="e">
        <v>#DIV/0!</v>
      </c>
      <c r="T1528" t="s">
        <v>82</v>
      </c>
    </row>
    <row r="1529" spans="15:20" x14ac:dyDescent="0.25">
      <c r="O1529">
        <v>1</v>
      </c>
      <c r="S1529" t="e">
        <v>#DIV/0!</v>
      </c>
      <c r="T1529" t="s">
        <v>82</v>
      </c>
    </row>
    <row r="1530" spans="15:20" x14ac:dyDescent="0.25">
      <c r="O1530">
        <v>1</v>
      </c>
      <c r="S1530" t="e">
        <v>#DIV/0!</v>
      </c>
      <c r="T1530" t="s">
        <v>82</v>
      </c>
    </row>
    <row r="1531" spans="15:20" x14ac:dyDescent="0.25">
      <c r="O1531">
        <v>1</v>
      </c>
      <c r="S1531" t="e">
        <v>#DIV/0!</v>
      </c>
      <c r="T1531" t="s">
        <v>82</v>
      </c>
    </row>
    <row r="1532" spans="15:20" x14ac:dyDescent="0.25">
      <c r="O1532">
        <v>1</v>
      </c>
      <c r="S1532" t="e">
        <v>#DIV/0!</v>
      </c>
      <c r="T1532" t="s">
        <v>82</v>
      </c>
    </row>
    <row r="1533" spans="15:20" x14ac:dyDescent="0.25">
      <c r="O1533">
        <v>1</v>
      </c>
      <c r="S1533" t="e">
        <v>#DIV/0!</v>
      </c>
      <c r="T1533" t="s">
        <v>82</v>
      </c>
    </row>
    <row r="1534" spans="15:20" x14ac:dyDescent="0.25">
      <c r="O1534">
        <v>1</v>
      </c>
      <c r="S1534" t="e">
        <v>#DIV/0!</v>
      </c>
      <c r="T1534" t="s">
        <v>82</v>
      </c>
    </row>
    <row r="1535" spans="15:20" x14ac:dyDescent="0.25">
      <c r="O1535">
        <v>1</v>
      </c>
      <c r="S1535" t="e">
        <v>#DIV/0!</v>
      </c>
      <c r="T1535" t="s">
        <v>82</v>
      </c>
    </row>
    <row r="1536" spans="15:20" x14ac:dyDescent="0.25">
      <c r="O1536">
        <v>1</v>
      </c>
      <c r="S1536" t="e">
        <v>#DIV/0!</v>
      </c>
      <c r="T1536" t="s">
        <v>82</v>
      </c>
    </row>
    <row r="1537" spans="15:20" x14ac:dyDescent="0.25">
      <c r="O1537">
        <v>1</v>
      </c>
      <c r="S1537" t="e">
        <v>#DIV/0!</v>
      </c>
      <c r="T1537" t="s">
        <v>82</v>
      </c>
    </row>
    <row r="1538" spans="15:20" x14ac:dyDescent="0.25">
      <c r="O1538">
        <v>1</v>
      </c>
      <c r="S1538" t="e">
        <v>#DIV/0!</v>
      </c>
      <c r="T1538" t="s">
        <v>82</v>
      </c>
    </row>
    <row r="1539" spans="15:20" x14ac:dyDescent="0.25">
      <c r="O1539">
        <v>1</v>
      </c>
      <c r="S1539" t="e">
        <v>#DIV/0!</v>
      </c>
      <c r="T1539" t="s">
        <v>82</v>
      </c>
    </row>
    <row r="1540" spans="15:20" x14ac:dyDescent="0.25">
      <c r="O1540">
        <v>1</v>
      </c>
      <c r="S1540" t="e">
        <v>#DIV/0!</v>
      </c>
      <c r="T1540" t="s">
        <v>82</v>
      </c>
    </row>
    <row r="1541" spans="15:20" x14ac:dyDescent="0.25">
      <c r="O1541">
        <v>1</v>
      </c>
      <c r="S1541" t="e">
        <v>#DIV/0!</v>
      </c>
      <c r="T1541" t="s">
        <v>82</v>
      </c>
    </row>
    <row r="1542" spans="15:20" x14ac:dyDescent="0.25">
      <c r="O1542">
        <v>1</v>
      </c>
      <c r="S1542" t="e">
        <v>#DIV/0!</v>
      </c>
      <c r="T1542" t="s">
        <v>82</v>
      </c>
    </row>
    <row r="1543" spans="15:20" x14ac:dyDescent="0.25">
      <c r="O1543">
        <v>1</v>
      </c>
      <c r="S1543" t="e">
        <v>#DIV/0!</v>
      </c>
      <c r="T1543" t="s">
        <v>82</v>
      </c>
    </row>
    <row r="1544" spans="15:20" x14ac:dyDescent="0.25">
      <c r="O1544">
        <v>1</v>
      </c>
      <c r="S1544" t="e">
        <v>#DIV/0!</v>
      </c>
      <c r="T1544" t="s">
        <v>82</v>
      </c>
    </row>
    <row r="1545" spans="15:20" x14ac:dyDescent="0.25">
      <c r="O1545">
        <v>1</v>
      </c>
      <c r="S1545" t="e">
        <v>#DIV/0!</v>
      </c>
      <c r="T1545" t="s">
        <v>82</v>
      </c>
    </row>
    <row r="1546" spans="15:20" x14ac:dyDescent="0.25">
      <c r="O1546">
        <v>1</v>
      </c>
      <c r="S1546" t="e">
        <v>#DIV/0!</v>
      </c>
      <c r="T1546" t="s">
        <v>82</v>
      </c>
    </row>
    <row r="1547" spans="15:20" x14ac:dyDescent="0.25">
      <c r="O1547">
        <v>1</v>
      </c>
      <c r="S1547" t="e">
        <v>#DIV/0!</v>
      </c>
      <c r="T1547" t="s">
        <v>82</v>
      </c>
    </row>
    <row r="1548" spans="15:20" x14ac:dyDescent="0.25">
      <c r="O1548">
        <v>1</v>
      </c>
      <c r="S1548" t="e">
        <v>#DIV/0!</v>
      </c>
      <c r="T1548" t="s">
        <v>82</v>
      </c>
    </row>
    <row r="1549" spans="15:20" x14ac:dyDescent="0.25">
      <c r="O1549">
        <v>1</v>
      </c>
      <c r="S1549" t="e">
        <v>#DIV/0!</v>
      </c>
      <c r="T1549" t="s">
        <v>82</v>
      </c>
    </row>
    <row r="1550" spans="15:20" x14ac:dyDescent="0.25">
      <c r="O1550">
        <v>1</v>
      </c>
      <c r="S1550" t="e">
        <v>#DIV/0!</v>
      </c>
      <c r="T1550" t="s">
        <v>82</v>
      </c>
    </row>
    <row r="1551" spans="15:20" x14ac:dyDescent="0.25">
      <c r="O1551">
        <v>1</v>
      </c>
      <c r="S1551" t="e">
        <v>#DIV/0!</v>
      </c>
      <c r="T1551" t="s">
        <v>82</v>
      </c>
    </row>
    <row r="1552" spans="15:20" x14ac:dyDescent="0.25">
      <c r="O1552">
        <v>1</v>
      </c>
      <c r="S1552" t="e">
        <v>#DIV/0!</v>
      </c>
      <c r="T1552" t="s">
        <v>82</v>
      </c>
    </row>
    <row r="1553" spans="15:20" x14ac:dyDescent="0.25">
      <c r="O1553">
        <v>1</v>
      </c>
      <c r="S1553" t="e">
        <v>#DIV/0!</v>
      </c>
      <c r="T1553" t="s">
        <v>82</v>
      </c>
    </row>
    <row r="1554" spans="15:20" x14ac:dyDescent="0.25">
      <c r="O1554">
        <v>1</v>
      </c>
      <c r="S1554" t="e">
        <v>#DIV/0!</v>
      </c>
      <c r="T1554" t="s">
        <v>82</v>
      </c>
    </row>
    <row r="1555" spans="15:20" x14ac:dyDescent="0.25">
      <c r="O1555">
        <v>1</v>
      </c>
      <c r="S1555" t="e">
        <v>#DIV/0!</v>
      </c>
      <c r="T1555" t="s">
        <v>82</v>
      </c>
    </row>
    <row r="1556" spans="15:20" x14ac:dyDescent="0.25">
      <c r="O1556">
        <v>1</v>
      </c>
      <c r="S1556" t="e">
        <v>#DIV/0!</v>
      </c>
      <c r="T1556" t="s">
        <v>82</v>
      </c>
    </row>
    <row r="1557" spans="15:20" x14ac:dyDescent="0.25">
      <c r="O1557">
        <v>1</v>
      </c>
      <c r="S1557" t="e">
        <v>#DIV/0!</v>
      </c>
      <c r="T1557" t="s">
        <v>82</v>
      </c>
    </row>
    <row r="1558" spans="15:20" x14ac:dyDescent="0.25">
      <c r="O1558">
        <v>1</v>
      </c>
      <c r="S1558" t="e">
        <v>#DIV/0!</v>
      </c>
      <c r="T1558" t="s">
        <v>82</v>
      </c>
    </row>
    <row r="1559" spans="15:20" x14ac:dyDescent="0.25">
      <c r="O1559">
        <v>1</v>
      </c>
      <c r="S1559" t="e">
        <v>#DIV/0!</v>
      </c>
      <c r="T1559" t="s">
        <v>82</v>
      </c>
    </row>
    <row r="1560" spans="15:20" x14ac:dyDescent="0.25">
      <c r="O1560">
        <v>1</v>
      </c>
      <c r="S1560" t="e">
        <v>#DIV/0!</v>
      </c>
      <c r="T1560" t="s">
        <v>82</v>
      </c>
    </row>
    <row r="1561" spans="15:20" x14ac:dyDescent="0.25">
      <c r="O1561">
        <v>1</v>
      </c>
      <c r="S1561" t="e">
        <v>#DIV/0!</v>
      </c>
      <c r="T1561" t="s">
        <v>82</v>
      </c>
    </row>
    <row r="1562" spans="15:20" x14ac:dyDescent="0.25">
      <c r="O1562">
        <v>1</v>
      </c>
      <c r="S1562" t="e">
        <v>#DIV/0!</v>
      </c>
      <c r="T1562" t="s">
        <v>82</v>
      </c>
    </row>
    <row r="1563" spans="15:20" x14ac:dyDescent="0.25">
      <c r="O1563">
        <v>1</v>
      </c>
      <c r="S1563" t="e">
        <v>#DIV/0!</v>
      </c>
      <c r="T1563" t="s">
        <v>82</v>
      </c>
    </row>
    <row r="1564" spans="15:20" x14ac:dyDescent="0.25">
      <c r="O1564">
        <v>1</v>
      </c>
      <c r="S1564" t="e">
        <v>#DIV/0!</v>
      </c>
      <c r="T1564" t="s">
        <v>82</v>
      </c>
    </row>
    <row r="1565" spans="15:20" x14ac:dyDescent="0.25">
      <c r="O1565">
        <v>1</v>
      </c>
      <c r="S1565" t="e">
        <v>#DIV/0!</v>
      </c>
      <c r="T1565" t="s">
        <v>82</v>
      </c>
    </row>
    <row r="1566" spans="15:20" x14ac:dyDescent="0.25">
      <c r="O1566">
        <v>1</v>
      </c>
      <c r="S1566" t="e">
        <v>#DIV/0!</v>
      </c>
      <c r="T1566" t="s">
        <v>82</v>
      </c>
    </row>
    <row r="1567" spans="15:20" x14ac:dyDescent="0.25">
      <c r="O1567">
        <v>1</v>
      </c>
      <c r="S1567" t="e">
        <v>#DIV/0!</v>
      </c>
      <c r="T1567" t="s">
        <v>82</v>
      </c>
    </row>
    <row r="1568" spans="15:20" x14ac:dyDescent="0.25">
      <c r="O1568">
        <v>1</v>
      </c>
      <c r="S1568" t="e">
        <v>#DIV/0!</v>
      </c>
      <c r="T1568" t="s">
        <v>82</v>
      </c>
    </row>
    <row r="1569" spans="15:20" x14ac:dyDescent="0.25">
      <c r="O1569">
        <v>1</v>
      </c>
      <c r="S1569" t="e">
        <v>#DIV/0!</v>
      </c>
      <c r="T1569" t="s">
        <v>82</v>
      </c>
    </row>
    <row r="1570" spans="15:20" x14ac:dyDescent="0.25">
      <c r="O1570">
        <v>1</v>
      </c>
      <c r="S1570" t="e">
        <v>#DIV/0!</v>
      </c>
      <c r="T1570" t="s">
        <v>82</v>
      </c>
    </row>
    <row r="1571" spans="15:20" x14ac:dyDescent="0.25">
      <c r="O1571">
        <v>1</v>
      </c>
      <c r="S1571" t="e">
        <v>#DIV/0!</v>
      </c>
      <c r="T1571" t="s">
        <v>82</v>
      </c>
    </row>
    <row r="1572" spans="15:20" x14ac:dyDescent="0.25">
      <c r="O1572">
        <v>1</v>
      </c>
      <c r="S1572" t="e">
        <v>#DIV/0!</v>
      </c>
      <c r="T1572" t="s">
        <v>82</v>
      </c>
    </row>
    <row r="1573" spans="15:20" x14ac:dyDescent="0.25">
      <c r="O1573">
        <v>1</v>
      </c>
      <c r="S1573" t="e">
        <v>#DIV/0!</v>
      </c>
      <c r="T1573" t="s">
        <v>82</v>
      </c>
    </row>
    <row r="1574" spans="15:20" x14ac:dyDescent="0.25">
      <c r="O1574">
        <v>1</v>
      </c>
      <c r="S1574" t="e">
        <v>#DIV/0!</v>
      </c>
      <c r="T1574" t="s">
        <v>82</v>
      </c>
    </row>
    <row r="1575" spans="15:20" x14ac:dyDescent="0.25">
      <c r="O1575">
        <v>1</v>
      </c>
      <c r="S1575" t="e">
        <v>#DIV/0!</v>
      </c>
      <c r="T1575" t="s">
        <v>82</v>
      </c>
    </row>
    <row r="1576" spans="15:20" x14ac:dyDescent="0.25">
      <c r="O1576">
        <v>1</v>
      </c>
      <c r="S1576" t="e">
        <v>#DIV/0!</v>
      </c>
      <c r="T1576" t="s">
        <v>82</v>
      </c>
    </row>
    <row r="1577" spans="15:20" x14ac:dyDescent="0.25">
      <c r="O1577">
        <v>1</v>
      </c>
      <c r="S1577" t="e">
        <v>#DIV/0!</v>
      </c>
      <c r="T1577" t="s">
        <v>82</v>
      </c>
    </row>
    <row r="1578" spans="15:20" x14ac:dyDescent="0.25">
      <c r="O1578">
        <v>1</v>
      </c>
      <c r="S1578" t="e">
        <v>#DIV/0!</v>
      </c>
      <c r="T1578" t="s">
        <v>82</v>
      </c>
    </row>
    <row r="1579" spans="15:20" x14ac:dyDescent="0.25">
      <c r="O1579">
        <v>1</v>
      </c>
      <c r="S1579" t="e">
        <v>#DIV/0!</v>
      </c>
      <c r="T1579" t="s">
        <v>82</v>
      </c>
    </row>
    <row r="1580" spans="15:20" x14ac:dyDescent="0.25">
      <c r="O1580">
        <v>1</v>
      </c>
      <c r="S1580" t="e">
        <v>#DIV/0!</v>
      </c>
      <c r="T1580" t="s">
        <v>82</v>
      </c>
    </row>
    <row r="1581" spans="15:20" x14ac:dyDescent="0.25">
      <c r="O1581">
        <v>1</v>
      </c>
      <c r="S1581" t="e">
        <v>#DIV/0!</v>
      </c>
      <c r="T1581" t="s">
        <v>82</v>
      </c>
    </row>
    <row r="1582" spans="15:20" x14ac:dyDescent="0.25">
      <c r="O1582">
        <v>1</v>
      </c>
      <c r="S1582" t="e">
        <v>#DIV/0!</v>
      </c>
      <c r="T1582" t="s">
        <v>82</v>
      </c>
    </row>
    <row r="1583" spans="15:20" x14ac:dyDescent="0.25">
      <c r="O1583">
        <v>1</v>
      </c>
      <c r="S1583" t="e">
        <v>#DIV/0!</v>
      </c>
      <c r="T1583" t="s">
        <v>82</v>
      </c>
    </row>
    <row r="1584" spans="15:20" x14ac:dyDescent="0.25">
      <c r="O1584">
        <v>1</v>
      </c>
      <c r="S1584" t="e">
        <v>#DIV/0!</v>
      </c>
      <c r="T1584" t="s">
        <v>82</v>
      </c>
    </row>
    <row r="1585" spans="15:20" x14ac:dyDescent="0.25">
      <c r="O1585">
        <v>1</v>
      </c>
      <c r="S1585" t="e">
        <v>#DIV/0!</v>
      </c>
      <c r="T1585" t="s">
        <v>82</v>
      </c>
    </row>
    <row r="1586" spans="15:20" x14ac:dyDescent="0.25">
      <c r="O1586">
        <v>1</v>
      </c>
      <c r="S1586" t="e">
        <v>#DIV/0!</v>
      </c>
      <c r="T1586" t="s">
        <v>82</v>
      </c>
    </row>
    <row r="1587" spans="15:20" x14ac:dyDescent="0.25">
      <c r="O1587">
        <v>1</v>
      </c>
      <c r="S1587" t="e">
        <v>#DIV/0!</v>
      </c>
      <c r="T1587" t="s">
        <v>82</v>
      </c>
    </row>
    <row r="1588" spans="15:20" x14ac:dyDescent="0.25">
      <c r="O1588">
        <v>1</v>
      </c>
      <c r="S1588" t="e">
        <v>#DIV/0!</v>
      </c>
      <c r="T1588" t="s">
        <v>82</v>
      </c>
    </row>
    <row r="1589" spans="15:20" x14ac:dyDescent="0.25">
      <c r="O1589">
        <v>1</v>
      </c>
      <c r="S1589" t="e">
        <v>#DIV/0!</v>
      </c>
      <c r="T1589" t="s">
        <v>82</v>
      </c>
    </row>
    <row r="1590" spans="15:20" x14ac:dyDescent="0.25">
      <c r="O1590">
        <v>1</v>
      </c>
      <c r="S1590" t="e">
        <v>#DIV/0!</v>
      </c>
      <c r="T1590" t="s">
        <v>82</v>
      </c>
    </row>
    <row r="1591" spans="15:20" x14ac:dyDescent="0.25">
      <c r="O1591">
        <v>1</v>
      </c>
      <c r="S1591" t="e">
        <v>#DIV/0!</v>
      </c>
      <c r="T1591" t="s">
        <v>82</v>
      </c>
    </row>
    <row r="1592" spans="15:20" x14ac:dyDescent="0.25">
      <c r="O1592">
        <v>1</v>
      </c>
      <c r="S1592" t="e">
        <v>#DIV/0!</v>
      </c>
      <c r="T1592" t="s">
        <v>82</v>
      </c>
    </row>
    <row r="1593" spans="15:20" x14ac:dyDescent="0.25">
      <c r="O1593">
        <v>1</v>
      </c>
      <c r="S1593" t="e">
        <v>#DIV/0!</v>
      </c>
      <c r="T1593" t="s">
        <v>82</v>
      </c>
    </row>
    <row r="1594" spans="15:20" x14ac:dyDescent="0.25">
      <c r="O1594">
        <v>1</v>
      </c>
      <c r="S1594" t="e">
        <v>#DIV/0!</v>
      </c>
      <c r="T1594" t="s">
        <v>82</v>
      </c>
    </row>
    <row r="1595" spans="15:20" x14ac:dyDescent="0.25">
      <c r="O1595">
        <v>1</v>
      </c>
      <c r="S1595" t="e">
        <v>#DIV/0!</v>
      </c>
      <c r="T1595" t="s">
        <v>82</v>
      </c>
    </row>
    <row r="1596" spans="15:20" x14ac:dyDescent="0.25">
      <c r="O1596">
        <v>1</v>
      </c>
      <c r="S1596" t="e">
        <v>#DIV/0!</v>
      </c>
      <c r="T1596" t="s">
        <v>82</v>
      </c>
    </row>
    <row r="1597" spans="15:20" x14ac:dyDescent="0.25">
      <c r="O1597">
        <v>1</v>
      </c>
      <c r="S1597" t="e">
        <v>#DIV/0!</v>
      </c>
      <c r="T1597" t="s">
        <v>82</v>
      </c>
    </row>
    <row r="1598" spans="15:20" x14ac:dyDescent="0.25">
      <c r="O1598">
        <v>1</v>
      </c>
      <c r="S1598" t="e">
        <v>#DIV/0!</v>
      </c>
      <c r="T1598" t="s">
        <v>82</v>
      </c>
    </row>
    <row r="1599" spans="15:20" x14ac:dyDescent="0.25">
      <c r="O1599">
        <v>1</v>
      </c>
      <c r="S1599" t="e">
        <v>#DIV/0!</v>
      </c>
      <c r="T1599" t="s">
        <v>82</v>
      </c>
    </row>
    <row r="1600" spans="15:20" x14ac:dyDescent="0.25">
      <c r="O1600">
        <v>1</v>
      </c>
      <c r="S1600" t="e">
        <v>#DIV/0!</v>
      </c>
      <c r="T1600" t="s">
        <v>82</v>
      </c>
    </row>
    <row r="1601" spans="15:20" x14ac:dyDescent="0.25">
      <c r="O1601">
        <v>1</v>
      </c>
      <c r="S1601" t="e">
        <v>#DIV/0!</v>
      </c>
      <c r="T1601" t="s">
        <v>82</v>
      </c>
    </row>
    <row r="1602" spans="15:20" x14ac:dyDescent="0.25">
      <c r="O1602">
        <v>1</v>
      </c>
      <c r="S1602" t="e">
        <v>#DIV/0!</v>
      </c>
      <c r="T1602" t="s">
        <v>82</v>
      </c>
    </row>
    <row r="1603" spans="15:20" x14ac:dyDescent="0.25">
      <c r="O1603">
        <v>1</v>
      </c>
      <c r="S1603" t="e">
        <v>#DIV/0!</v>
      </c>
      <c r="T1603" t="s">
        <v>82</v>
      </c>
    </row>
    <row r="1604" spans="15:20" x14ac:dyDescent="0.25">
      <c r="O1604">
        <v>1</v>
      </c>
      <c r="S1604" t="e">
        <v>#DIV/0!</v>
      </c>
      <c r="T1604" t="s">
        <v>82</v>
      </c>
    </row>
    <row r="1605" spans="15:20" x14ac:dyDescent="0.25">
      <c r="O1605">
        <v>1</v>
      </c>
      <c r="S1605" t="e">
        <v>#DIV/0!</v>
      </c>
      <c r="T1605" t="s">
        <v>82</v>
      </c>
    </row>
    <row r="1606" spans="15:20" x14ac:dyDescent="0.25">
      <c r="O1606">
        <v>1</v>
      </c>
      <c r="S1606" t="e">
        <v>#DIV/0!</v>
      </c>
      <c r="T1606" t="s">
        <v>82</v>
      </c>
    </row>
    <row r="1607" spans="15:20" x14ac:dyDescent="0.25">
      <c r="O1607">
        <v>1</v>
      </c>
      <c r="S1607" t="e">
        <v>#DIV/0!</v>
      </c>
      <c r="T1607" t="s">
        <v>82</v>
      </c>
    </row>
    <row r="1608" spans="15:20" x14ac:dyDescent="0.25">
      <c r="O1608">
        <v>1</v>
      </c>
      <c r="S1608" t="e">
        <v>#DIV/0!</v>
      </c>
      <c r="T1608" t="s">
        <v>82</v>
      </c>
    </row>
    <row r="1609" spans="15:20" x14ac:dyDescent="0.25">
      <c r="O1609">
        <v>1</v>
      </c>
      <c r="S1609" t="e">
        <v>#DIV/0!</v>
      </c>
      <c r="T1609" t="s">
        <v>82</v>
      </c>
    </row>
    <row r="1610" spans="15:20" x14ac:dyDescent="0.25">
      <c r="O1610">
        <v>1</v>
      </c>
      <c r="S1610" t="e">
        <v>#DIV/0!</v>
      </c>
      <c r="T1610" t="s">
        <v>82</v>
      </c>
    </row>
    <row r="1611" spans="15:20" x14ac:dyDescent="0.25">
      <c r="O1611">
        <v>1</v>
      </c>
      <c r="S1611" t="e">
        <v>#DIV/0!</v>
      </c>
      <c r="T1611" t="s">
        <v>82</v>
      </c>
    </row>
    <row r="1612" spans="15:20" x14ac:dyDescent="0.25">
      <c r="O1612">
        <v>1</v>
      </c>
      <c r="S1612" t="e">
        <v>#DIV/0!</v>
      </c>
      <c r="T1612" t="s">
        <v>82</v>
      </c>
    </row>
    <row r="1613" spans="15:20" x14ac:dyDescent="0.25">
      <c r="O1613">
        <v>1</v>
      </c>
      <c r="S1613" t="e">
        <v>#DIV/0!</v>
      </c>
      <c r="T1613" t="s">
        <v>82</v>
      </c>
    </row>
    <row r="1614" spans="15:20" x14ac:dyDescent="0.25">
      <c r="O1614">
        <v>1</v>
      </c>
      <c r="S1614" t="e">
        <v>#DIV/0!</v>
      </c>
      <c r="T1614" t="s">
        <v>82</v>
      </c>
    </row>
    <row r="1615" spans="15:20" x14ac:dyDescent="0.25">
      <c r="O1615">
        <v>1</v>
      </c>
      <c r="S1615" t="e">
        <v>#DIV/0!</v>
      </c>
      <c r="T1615" t="s">
        <v>82</v>
      </c>
    </row>
    <row r="1616" spans="15:20" x14ac:dyDescent="0.25">
      <c r="O1616">
        <v>1</v>
      </c>
      <c r="S1616" t="e">
        <v>#DIV/0!</v>
      </c>
      <c r="T1616" t="s">
        <v>82</v>
      </c>
    </row>
    <row r="1617" spans="15:20" x14ac:dyDescent="0.25">
      <c r="O1617">
        <v>1</v>
      </c>
      <c r="S1617" t="e">
        <v>#DIV/0!</v>
      </c>
      <c r="T1617" t="s">
        <v>82</v>
      </c>
    </row>
    <row r="1618" spans="15:20" x14ac:dyDescent="0.25">
      <c r="O1618">
        <v>1</v>
      </c>
      <c r="S1618" t="e">
        <v>#DIV/0!</v>
      </c>
      <c r="T1618" t="s">
        <v>82</v>
      </c>
    </row>
    <row r="1619" spans="15:20" x14ac:dyDescent="0.25">
      <c r="O1619">
        <v>1</v>
      </c>
      <c r="S1619" t="e">
        <v>#DIV/0!</v>
      </c>
      <c r="T1619" t="s">
        <v>82</v>
      </c>
    </row>
    <row r="1620" spans="15:20" x14ac:dyDescent="0.25">
      <c r="O1620">
        <v>1</v>
      </c>
      <c r="S1620" t="e">
        <v>#DIV/0!</v>
      </c>
      <c r="T1620" t="s">
        <v>82</v>
      </c>
    </row>
    <row r="1621" spans="15:20" x14ac:dyDescent="0.25">
      <c r="O1621">
        <v>1</v>
      </c>
      <c r="S1621" t="e">
        <v>#DIV/0!</v>
      </c>
      <c r="T1621" t="s">
        <v>82</v>
      </c>
    </row>
    <row r="1622" spans="15:20" x14ac:dyDescent="0.25">
      <c r="O1622">
        <v>1</v>
      </c>
      <c r="S1622" t="e">
        <v>#DIV/0!</v>
      </c>
      <c r="T1622" t="s">
        <v>82</v>
      </c>
    </row>
    <row r="1623" spans="15:20" x14ac:dyDescent="0.25">
      <c r="O1623">
        <v>1</v>
      </c>
      <c r="S1623" t="e">
        <v>#DIV/0!</v>
      </c>
      <c r="T1623" t="s">
        <v>82</v>
      </c>
    </row>
    <row r="1624" spans="15:20" x14ac:dyDescent="0.25">
      <c r="O1624">
        <v>1</v>
      </c>
      <c r="S1624" t="e">
        <v>#DIV/0!</v>
      </c>
      <c r="T1624" t="s">
        <v>82</v>
      </c>
    </row>
    <row r="1625" spans="15:20" x14ac:dyDescent="0.25">
      <c r="O1625">
        <v>1</v>
      </c>
      <c r="S1625" t="e">
        <v>#DIV/0!</v>
      </c>
      <c r="T1625" t="s">
        <v>82</v>
      </c>
    </row>
    <row r="1626" spans="15:20" x14ac:dyDescent="0.25">
      <c r="O1626">
        <v>1</v>
      </c>
      <c r="S1626" t="e">
        <v>#DIV/0!</v>
      </c>
      <c r="T1626" t="s">
        <v>82</v>
      </c>
    </row>
    <row r="1627" spans="15:20" x14ac:dyDescent="0.25">
      <c r="O1627">
        <v>1</v>
      </c>
      <c r="S1627" t="e">
        <v>#DIV/0!</v>
      </c>
      <c r="T1627" t="s">
        <v>82</v>
      </c>
    </row>
    <row r="1628" spans="15:20" x14ac:dyDescent="0.25">
      <c r="O1628">
        <v>1</v>
      </c>
      <c r="S1628" t="e">
        <v>#DIV/0!</v>
      </c>
      <c r="T1628" t="s">
        <v>82</v>
      </c>
    </row>
    <row r="1629" spans="15:20" x14ac:dyDescent="0.25">
      <c r="O1629">
        <v>1</v>
      </c>
      <c r="S1629" t="e">
        <v>#DIV/0!</v>
      </c>
      <c r="T1629" t="s">
        <v>82</v>
      </c>
    </row>
    <row r="1630" spans="15:20" x14ac:dyDescent="0.25">
      <c r="O1630">
        <v>1</v>
      </c>
      <c r="S1630" t="e">
        <v>#DIV/0!</v>
      </c>
      <c r="T1630" t="s">
        <v>82</v>
      </c>
    </row>
    <row r="1631" spans="15:20" x14ac:dyDescent="0.25">
      <c r="O1631">
        <v>1</v>
      </c>
      <c r="S1631" t="e">
        <v>#DIV/0!</v>
      </c>
      <c r="T1631" t="s">
        <v>82</v>
      </c>
    </row>
    <row r="1632" spans="15:20" x14ac:dyDescent="0.25">
      <c r="O1632">
        <v>1</v>
      </c>
      <c r="S1632" t="e">
        <v>#DIV/0!</v>
      </c>
      <c r="T1632" t="s">
        <v>82</v>
      </c>
    </row>
    <row r="1633" spans="15:20" x14ac:dyDescent="0.25">
      <c r="O1633">
        <v>1</v>
      </c>
      <c r="S1633" t="e">
        <v>#DIV/0!</v>
      </c>
      <c r="T1633" t="s">
        <v>82</v>
      </c>
    </row>
    <row r="1634" spans="15:20" x14ac:dyDescent="0.25">
      <c r="O1634">
        <v>1</v>
      </c>
      <c r="S1634" t="e">
        <v>#DIV/0!</v>
      </c>
      <c r="T1634" t="s">
        <v>82</v>
      </c>
    </row>
    <row r="1635" spans="15:20" x14ac:dyDescent="0.25">
      <c r="O1635">
        <v>1</v>
      </c>
      <c r="S1635" t="e">
        <v>#DIV/0!</v>
      </c>
      <c r="T1635" t="s">
        <v>82</v>
      </c>
    </row>
    <row r="1636" spans="15:20" x14ac:dyDescent="0.25">
      <c r="O1636">
        <v>1</v>
      </c>
      <c r="S1636" t="e">
        <v>#DIV/0!</v>
      </c>
      <c r="T1636" t="s">
        <v>82</v>
      </c>
    </row>
    <row r="1637" spans="15:20" x14ac:dyDescent="0.25">
      <c r="O1637">
        <v>1</v>
      </c>
      <c r="S1637" t="e">
        <v>#DIV/0!</v>
      </c>
      <c r="T1637" t="s">
        <v>82</v>
      </c>
    </row>
    <row r="1638" spans="15:20" x14ac:dyDescent="0.25">
      <c r="O1638">
        <v>1</v>
      </c>
      <c r="S1638" t="e">
        <v>#DIV/0!</v>
      </c>
      <c r="T1638" t="s">
        <v>82</v>
      </c>
    </row>
    <row r="1639" spans="15:20" x14ac:dyDescent="0.25">
      <c r="O1639">
        <v>1</v>
      </c>
      <c r="S1639" t="e">
        <v>#DIV/0!</v>
      </c>
      <c r="T1639" t="s">
        <v>82</v>
      </c>
    </row>
    <row r="1640" spans="15:20" x14ac:dyDescent="0.25">
      <c r="O1640">
        <v>1</v>
      </c>
      <c r="S1640" t="e">
        <v>#DIV/0!</v>
      </c>
      <c r="T1640" t="s">
        <v>82</v>
      </c>
    </row>
    <row r="1641" spans="15:20" x14ac:dyDescent="0.25">
      <c r="O1641">
        <v>1</v>
      </c>
      <c r="S1641" t="e">
        <v>#DIV/0!</v>
      </c>
      <c r="T1641" t="s">
        <v>82</v>
      </c>
    </row>
    <row r="1642" spans="15:20" x14ac:dyDescent="0.25">
      <c r="O1642">
        <v>1</v>
      </c>
      <c r="S1642" t="e">
        <v>#DIV/0!</v>
      </c>
      <c r="T1642" t="s">
        <v>82</v>
      </c>
    </row>
    <row r="1643" spans="15:20" x14ac:dyDescent="0.25">
      <c r="O1643">
        <v>1</v>
      </c>
      <c r="S1643" t="e">
        <v>#DIV/0!</v>
      </c>
      <c r="T1643" t="s">
        <v>82</v>
      </c>
    </row>
    <row r="1644" spans="15:20" x14ac:dyDescent="0.25">
      <c r="O1644">
        <v>1</v>
      </c>
      <c r="S1644" t="e">
        <v>#DIV/0!</v>
      </c>
      <c r="T1644" t="s">
        <v>82</v>
      </c>
    </row>
    <row r="1645" spans="15:20" x14ac:dyDescent="0.25">
      <c r="O1645">
        <v>1</v>
      </c>
      <c r="S1645" t="e">
        <v>#DIV/0!</v>
      </c>
      <c r="T1645" t="s">
        <v>82</v>
      </c>
    </row>
    <row r="1646" spans="15:20" x14ac:dyDescent="0.25">
      <c r="O1646">
        <v>1</v>
      </c>
      <c r="S1646" t="e">
        <v>#DIV/0!</v>
      </c>
      <c r="T1646" t="s">
        <v>82</v>
      </c>
    </row>
    <row r="1647" spans="15:20" x14ac:dyDescent="0.25">
      <c r="O1647">
        <v>1</v>
      </c>
      <c r="S1647" t="e">
        <v>#DIV/0!</v>
      </c>
      <c r="T1647" t="s">
        <v>82</v>
      </c>
    </row>
    <row r="1648" spans="15:20" x14ac:dyDescent="0.25">
      <c r="O1648">
        <v>1</v>
      </c>
      <c r="S1648" t="e">
        <v>#DIV/0!</v>
      </c>
      <c r="T1648" t="s">
        <v>82</v>
      </c>
    </row>
    <row r="1649" spans="15:20" x14ac:dyDescent="0.25">
      <c r="O1649">
        <v>1</v>
      </c>
      <c r="S1649" t="e">
        <v>#DIV/0!</v>
      </c>
      <c r="T1649" t="s">
        <v>82</v>
      </c>
    </row>
    <row r="1650" spans="15:20" x14ac:dyDescent="0.25">
      <c r="O1650">
        <v>1</v>
      </c>
      <c r="S1650" t="e">
        <v>#DIV/0!</v>
      </c>
      <c r="T1650" t="s">
        <v>82</v>
      </c>
    </row>
    <row r="1651" spans="15:20" x14ac:dyDescent="0.25">
      <c r="O1651">
        <v>1</v>
      </c>
      <c r="S1651" t="e">
        <v>#DIV/0!</v>
      </c>
      <c r="T1651" t="s">
        <v>82</v>
      </c>
    </row>
    <row r="1652" spans="15:20" x14ac:dyDescent="0.25">
      <c r="O1652">
        <v>1</v>
      </c>
      <c r="S1652" t="e">
        <v>#DIV/0!</v>
      </c>
      <c r="T1652" t="s">
        <v>82</v>
      </c>
    </row>
    <row r="1653" spans="15:20" x14ac:dyDescent="0.25">
      <c r="O1653">
        <v>1</v>
      </c>
      <c r="S1653" t="e">
        <v>#DIV/0!</v>
      </c>
      <c r="T1653" t="s">
        <v>82</v>
      </c>
    </row>
    <row r="1654" spans="15:20" x14ac:dyDescent="0.25">
      <c r="O1654">
        <v>1</v>
      </c>
      <c r="S1654" t="e">
        <v>#DIV/0!</v>
      </c>
      <c r="T1654" t="s">
        <v>82</v>
      </c>
    </row>
    <row r="1655" spans="15:20" x14ac:dyDescent="0.25">
      <c r="O1655">
        <v>1</v>
      </c>
      <c r="S1655" t="e">
        <v>#DIV/0!</v>
      </c>
      <c r="T1655" t="s">
        <v>82</v>
      </c>
    </row>
    <row r="1656" spans="15:20" x14ac:dyDescent="0.25">
      <c r="O1656">
        <v>1</v>
      </c>
      <c r="S1656" t="e">
        <v>#DIV/0!</v>
      </c>
      <c r="T1656" t="s">
        <v>82</v>
      </c>
    </row>
    <row r="1657" spans="15:20" x14ac:dyDescent="0.25">
      <c r="O1657">
        <v>1</v>
      </c>
      <c r="S1657" t="e">
        <v>#DIV/0!</v>
      </c>
      <c r="T1657" t="s">
        <v>82</v>
      </c>
    </row>
    <row r="1658" spans="15:20" x14ac:dyDescent="0.25">
      <c r="O1658">
        <v>1</v>
      </c>
      <c r="S1658" t="e">
        <v>#DIV/0!</v>
      </c>
      <c r="T1658" t="s">
        <v>82</v>
      </c>
    </row>
    <row r="1659" spans="15:20" x14ac:dyDescent="0.25">
      <c r="O1659">
        <v>1</v>
      </c>
      <c r="S1659" t="e">
        <v>#DIV/0!</v>
      </c>
      <c r="T1659" t="s">
        <v>82</v>
      </c>
    </row>
    <row r="1660" spans="15:20" x14ac:dyDescent="0.25">
      <c r="O1660">
        <v>1</v>
      </c>
      <c r="S1660" t="e">
        <v>#DIV/0!</v>
      </c>
      <c r="T1660" t="s">
        <v>82</v>
      </c>
    </row>
    <row r="1661" spans="15:20" x14ac:dyDescent="0.25">
      <c r="O1661">
        <v>1</v>
      </c>
      <c r="S1661" t="e">
        <v>#DIV/0!</v>
      </c>
      <c r="T1661" t="s">
        <v>82</v>
      </c>
    </row>
    <row r="1662" spans="15:20" x14ac:dyDescent="0.25">
      <c r="O1662">
        <v>1</v>
      </c>
      <c r="S1662" t="e">
        <v>#DIV/0!</v>
      </c>
      <c r="T1662" t="s">
        <v>82</v>
      </c>
    </row>
    <row r="1663" spans="15:20" x14ac:dyDescent="0.25">
      <c r="O1663">
        <v>1</v>
      </c>
      <c r="S1663" t="e">
        <v>#DIV/0!</v>
      </c>
      <c r="T1663" t="s">
        <v>82</v>
      </c>
    </row>
    <row r="1664" spans="15:20" x14ac:dyDescent="0.25">
      <c r="O1664">
        <v>1</v>
      </c>
      <c r="S1664" t="e">
        <v>#DIV/0!</v>
      </c>
      <c r="T1664" t="s">
        <v>82</v>
      </c>
    </row>
    <row r="1665" spans="15:20" x14ac:dyDescent="0.25">
      <c r="O1665">
        <v>1</v>
      </c>
      <c r="S1665" t="e">
        <v>#DIV/0!</v>
      </c>
      <c r="T1665" t="s">
        <v>82</v>
      </c>
    </row>
    <row r="1666" spans="15:20" x14ac:dyDescent="0.25">
      <c r="O1666">
        <v>1</v>
      </c>
      <c r="S1666" t="e">
        <v>#DIV/0!</v>
      </c>
      <c r="T1666" t="s">
        <v>82</v>
      </c>
    </row>
    <row r="1667" spans="15:20" x14ac:dyDescent="0.25">
      <c r="O1667">
        <v>1</v>
      </c>
      <c r="S1667" t="e">
        <v>#DIV/0!</v>
      </c>
      <c r="T1667" t="s">
        <v>82</v>
      </c>
    </row>
    <row r="1668" spans="15:20" x14ac:dyDescent="0.25">
      <c r="O1668">
        <v>1</v>
      </c>
      <c r="S1668" t="e">
        <v>#DIV/0!</v>
      </c>
      <c r="T1668" t="s">
        <v>82</v>
      </c>
    </row>
    <row r="1669" spans="15:20" x14ac:dyDescent="0.25">
      <c r="O1669">
        <v>1</v>
      </c>
      <c r="S1669" t="e">
        <v>#DIV/0!</v>
      </c>
      <c r="T1669" t="s">
        <v>82</v>
      </c>
    </row>
    <row r="1670" spans="15:20" x14ac:dyDescent="0.25">
      <c r="O1670">
        <v>1</v>
      </c>
      <c r="S1670" t="e">
        <v>#DIV/0!</v>
      </c>
      <c r="T1670" t="s">
        <v>82</v>
      </c>
    </row>
    <row r="1671" spans="15:20" x14ac:dyDescent="0.25">
      <c r="O1671">
        <v>1</v>
      </c>
      <c r="S1671" t="e">
        <v>#DIV/0!</v>
      </c>
      <c r="T1671" t="s">
        <v>82</v>
      </c>
    </row>
    <row r="1672" spans="15:20" x14ac:dyDescent="0.25">
      <c r="O1672">
        <v>1</v>
      </c>
      <c r="S1672" t="e">
        <v>#DIV/0!</v>
      </c>
      <c r="T1672" t="s">
        <v>82</v>
      </c>
    </row>
    <row r="1673" spans="15:20" x14ac:dyDescent="0.25">
      <c r="O1673">
        <v>1</v>
      </c>
      <c r="S1673" t="e">
        <v>#DIV/0!</v>
      </c>
      <c r="T1673" t="s">
        <v>82</v>
      </c>
    </row>
    <row r="1674" spans="15:20" x14ac:dyDescent="0.25">
      <c r="O1674">
        <v>1</v>
      </c>
      <c r="S1674" t="e">
        <v>#DIV/0!</v>
      </c>
      <c r="T1674" t="s">
        <v>82</v>
      </c>
    </row>
    <row r="1675" spans="15:20" x14ac:dyDescent="0.25">
      <c r="O1675">
        <v>1</v>
      </c>
      <c r="S1675" t="e">
        <v>#DIV/0!</v>
      </c>
      <c r="T1675" t="s">
        <v>82</v>
      </c>
    </row>
    <row r="1676" spans="15:20" x14ac:dyDescent="0.25">
      <c r="O1676">
        <v>1</v>
      </c>
      <c r="S1676" t="e">
        <v>#DIV/0!</v>
      </c>
      <c r="T1676" t="s">
        <v>82</v>
      </c>
    </row>
    <row r="1677" spans="15:20" x14ac:dyDescent="0.25">
      <c r="O1677">
        <v>1</v>
      </c>
      <c r="S1677" t="e">
        <v>#DIV/0!</v>
      </c>
      <c r="T1677" t="s">
        <v>82</v>
      </c>
    </row>
    <row r="1678" spans="15:20" x14ac:dyDescent="0.25">
      <c r="O1678">
        <v>1</v>
      </c>
      <c r="S1678" t="e">
        <v>#DIV/0!</v>
      </c>
      <c r="T1678" t="s">
        <v>82</v>
      </c>
    </row>
    <row r="1679" spans="15:20" x14ac:dyDescent="0.25">
      <c r="O1679">
        <v>1</v>
      </c>
      <c r="S1679" t="e">
        <v>#DIV/0!</v>
      </c>
      <c r="T1679" t="s">
        <v>82</v>
      </c>
    </row>
    <row r="1680" spans="15:20" x14ac:dyDescent="0.25">
      <c r="O1680">
        <v>1</v>
      </c>
      <c r="S1680" t="e">
        <v>#DIV/0!</v>
      </c>
      <c r="T1680" t="s">
        <v>82</v>
      </c>
    </row>
    <row r="1681" spans="15:20" x14ac:dyDescent="0.25">
      <c r="O1681">
        <v>1</v>
      </c>
      <c r="S1681" t="e">
        <v>#DIV/0!</v>
      </c>
      <c r="T1681" t="s">
        <v>82</v>
      </c>
    </row>
    <row r="1682" spans="15:20" x14ac:dyDescent="0.25">
      <c r="O1682">
        <v>1</v>
      </c>
      <c r="S1682" t="e">
        <v>#DIV/0!</v>
      </c>
      <c r="T1682" t="s">
        <v>82</v>
      </c>
    </row>
    <row r="1683" spans="15:20" x14ac:dyDescent="0.25">
      <c r="O1683">
        <v>1</v>
      </c>
      <c r="S1683" t="e">
        <v>#DIV/0!</v>
      </c>
      <c r="T1683" t="s">
        <v>82</v>
      </c>
    </row>
    <row r="1684" spans="15:20" x14ac:dyDescent="0.25">
      <c r="O1684">
        <v>1</v>
      </c>
      <c r="S1684" t="e">
        <v>#DIV/0!</v>
      </c>
      <c r="T1684" t="s">
        <v>82</v>
      </c>
    </row>
    <row r="1685" spans="15:20" x14ac:dyDescent="0.25">
      <c r="O1685">
        <v>1</v>
      </c>
      <c r="S1685" t="e">
        <v>#DIV/0!</v>
      </c>
      <c r="T1685" t="s">
        <v>82</v>
      </c>
    </row>
    <row r="1686" spans="15:20" x14ac:dyDescent="0.25">
      <c r="O1686">
        <v>1</v>
      </c>
      <c r="S1686" t="e">
        <v>#DIV/0!</v>
      </c>
      <c r="T1686" t="s">
        <v>82</v>
      </c>
    </row>
    <row r="1687" spans="15:20" x14ac:dyDescent="0.25">
      <c r="O1687">
        <v>1</v>
      </c>
      <c r="S1687" t="e">
        <v>#DIV/0!</v>
      </c>
      <c r="T1687" t="s">
        <v>82</v>
      </c>
    </row>
    <row r="1688" spans="15:20" x14ac:dyDescent="0.25">
      <c r="O1688">
        <v>1</v>
      </c>
      <c r="S1688" t="e">
        <v>#DIV/0!</v>
      </c>
      <c r="T1688" t="s">
        <v>82</v>
      </c>
    </row>
    <row r="1689" spans="15:20" x14ac:dyDescent="0.25">
      <c r="O1689">
        <v>1</v>
      </c>
      <c r="S1689" t="e">
        <v>#DIV/0!</v>
      </c>
      <c r="T1689" t="s">
        <v>82</v>
      </c>
    </row>
    <row r="1690" spans="15:20" x14ac:dyDescent="0.25">
      <c r="O1690">
        <v>1</v>
      </c>
      <c r="S1690" t="e">
        <v>#DIV/0!</v>
      </c>
      <c r="T1690" t="s">
        <v>82</v>
      </c>
    </row>
    <row r="1691" spans="15:20" x14ac:dyDescent="0.25">
      <c r="O1691">
        <v>1</v>
      </c>
      <c r="S1691" t="e">
        <v>#DIV/0!</v>
      </c>
      <c r="T1691" t="s">
        <v>82</v>
      </c>
    </row>
    <row r="1692" spans="15:20" x14ac:dyDescent="0.25">
      <c r="O1692">
        <v>1</v>
      </c>
      <c r="S1692" t="e">
        <v>#DIV/0!</v>
      </c>
      <c r="T1692" t="s">
        <v>82</v>
      </c>
    </row>
    <row r="1693" spans="15:20" x14ac:dyDescent="0.25">
      <c r="O1693">
        <v>1</v>
      </c>
      <c r="S1693" t="e">
        <v>#DIV/0!</v>
      </c>
      <c r="T1693" t="s">
        <v>82</v>
      </c>
    </row>
    <row r="1694" spans="15:20" x14ac:dyDescent="0.25">
      <c r="O1694">
        <v>1</v>
      </c>
      <c r="S1694" t="e">
        <v>#DIV/0!</v>
      </c>
      <c r="T1694" t="s">
        <v>82</v>
      </c>
    </row>
    <row r="1695" spans="15:20" x14ac:dyDescent="0.25">
      <c r="O1695">
        <v>1</v>
      </c>
      <c r="S1695" t="e">
        <v>#DIV/0!</v>
      </c>
      <c r="T1695" t="s">
        <v>82</v>
      </c>
    </row>
    <row r="1696" spans="15:20" x14ac:dyDescent="0.25">
      <c r="O1696">
        <v>1</v>
      </c>
      <c r="S1696" t="e">
        <v>#DIV/0!</v>
      </c>
      <c r="T1696" t="s">
        <v>82</v>
      </c>
    </row>
    <row r="1697" spans="15:20" x14ac:dyDescent="0.25">
      <c r="O1697">
        <v>1</v>
      </c>
      <c r="S1697" t="e">
        <v>#DIV/0!</v>
      </c>
      <c r="T1697" t="s">
        <v>82</v>
      </c>
    </row>
    <row r="1698" spans="15:20" x14ac:dyDescent="0.25">
      <c r="O1698">
        <v>1</v>
      </c>
      <c r="S1698" t="e">
        <v>#DIV/0!</v>
      </c>
      <c r="T1698" t="s">
        <v>82</v>
      </c>
    </row>
    <row r="1699" spans="15:20" x14ac:dyDescent="0.25">
      <c r="O1699">
        <v>1</v>
      </c>
      <c r="S1699" t="e">
        <v>#DIV/0!</v>
      </c>
      <c r="T1699" t="s">
        <v>82</v>
      </c>
    </row>
    <row r="1700" spans="15:20" x14ac:dyDescent="0.25">
      <c r="O1700">
        <v>1</v>
      </c>
      <c r="S1700" t="e">
        <v>#DIV/0!</v>
      </c>
      <c r="T1700" t="s">
        <v>82</v>
      </c>
    </row>
    <row r="1701" spans="15:20" x14ac:dyDescent="0.25">
      <c r="O1701">
        <v>1</v>
      </c>
      <c r="S1701" t="e">
        <v>#DIV/0!</v>
      </c>
      <c r="T1701" t="s">
        <v>82</v>
      </c>
    </row>
    <row r="1702" spans="15:20" x14ac:dyDescent="0.25">
      <c r="O1702">
        <v>1</v>
      </c>
      <c r="S1702" t="e">
        <v>#DIV/0!</v>
      </c>
      <c r="T1702" t="s">
        <v>82</v>
      </c>
    </row>
    <row r="1703" spans="15:20" x14ac:dyDescent="0.25">
      <c r="O1703">
        <v>1</v>
      </c>
      <c r="S1703" t="e">
        <v>#DIV/0!</v>
      </c>
      <c r="T1703" t="s">
        <v>82</v>
      </c>
    </row>
    <row r="1704" spans="15:20" x14ac:dyDescent="0.25">
      <c r="O1704">
        <v>1</v>
      </c>
      <c r="S1704" t="e">
        <v>#DIV/0!</v>
      </c>
      <c r="T1704" t="s">
        <v>82</v>
      </c>
    </row>
    <row r="1705" spans="15:20" x14ac:dyDescent="0.25">
      <c r="O1705">
        <v>1</v>
      </c>
      <c r="S1705" t="e">
        <v>#DIV/0!</v>
      </c>
      <c r="T1705" t="s">
        <v>82</v>
      </c>
    </row>
    <row r="1706" spans="15:20" x14ac:dyDescent="0.25">
      <c r="O1706">
        <v>1</v>
      </c>
      <c r="S1706" t="e">
        <v>#DIV/0!</v>
      </c>
      <c r="T1706" t="s">
        <v>82</v>
      </c>
    </row>
    <row r="1707" spans="15:20" x14ac:dyDescent="0.25">
      <c r="O1707">
        <v>1</v>
      </c>
      <c r="S1707" t="e">
        <v>#DIV/0!</v>
      </c>
      <c r="T1707" t="s">
        <v>82</v>
      </c>
    </row>
    <row r="1708" spans="15:20" x14ac:dyDescent="0.25">
      <c r="O1708">
        <v>1</v>
      </c>
      <c r="S1708" t="e">
        <v>#DIV/0!</v>
      </c>
      <c r="T1708" t="s">
        <v>82</v>
      </c>
    </row>
    <row r="1709" spans="15:20" x14ac:dyDescent="0.25">
      <c r="O1709">
        <v>1</v>
      </c>
      <c r="S1709" t="e">
        <v>#DIV/0!</v>
      </c>
      <c r="T1709" t="s">
        <v>82</v>
      </c>
    </row>
    <row r="1710" spans="15:20" x14ac:dyDescent="0.25">
      <c r="O1710">
        <v>1</v>
      </c>
      <c r="S1710" t="e">
        <v>#DIV/0!</v>
      </c>
      <c r="T1710" t="s">
        <v>82</v>
      </c>
    </row>
    <row r="1711" spans="15:20" x14ac:dyDescent="0.25">
      <c r="O1711">
        <v>1</v>
      </c>
      <c r="S1711" t="e">
        <v>#DIV/0!</v>
      </c>
      <c r="T1711" t="s">
        <v>82</v>
      </c>
    </row>
    <row r="1712" spans="15:20" x14ac:dyDescent="0.25">
      <c r="O1712">
        <v>1</v>
      </c>
      <c r="S1712" t="e">
        <v>#DIV/0!</v>
      </c>
      <c r="T1712" t="s">
        <v>82</v>
      </c>
    </row>
    <row r="1713" spans="15:20" x14ac:dyDescent="0.25">
      <c r="O1713">
        <v>1</v>
      </c>
      <c r="S1713" t="e">
        <v>#DIV/0!</v>
      </c>
      <c r="T1713" t="s">
        <v>82</v>
      </c>
    </row>
    <row r="1714" spans="15:20" x14ac:dyDescent="0.25">
      <c r="O1714">
        <v>1</v>
      </c>
      <c r="S1714" t="e">
        <v>#DIV/0!</v>
      </c>
      <c r="T1714" t="s">
        <v>82</v>
      </c>
    </row>
    <row r="1715" spans="15:20" x14ac:dyDescent="0.25">
      <c r="O1715">
        <v>1</v>
      </c>
      <c r="S1715" t="e">
        <v>#DIV/0!</v>
      </c>
      <c r="T1715" t="s">
        <v>82</v>
      </c>
    </row>
    <row r="1716" spans="15:20" x14ac:dyDescent="0.25">
      <c r="O1716">
        <v>1</v>
      </c>
      <c r="S1716" t="e">
        <v>#DIV/0!</v>
      </c>
      <c r="T1716" t="s">
        <v>82</v>
      </c>
    </row>
    <row r="1717" spans="15:20" x14ac:dyDescent="0.25">
      <c r="O1717">
        <v>1</v>
      </c>
      <c r="S1717" t="e">
        <v>#DIV/0!</v>
      </c>
      <c r="T1717" t="s">
        <v>82</v>
      </c>
    </row>
    <row r="1718" spans="15:20" x14ac:dyDescent="0.25">
      <c r="O1718">
        <v>1</v>
      </c>
      <c r="S1718" t="e">
        <v>#DIV/0!</v>
      </c>
      <c r="T1718" t="s">
        <v>82</v>
      </c>
    </row>
    <row r="1719" spans="15:20" x14ac:dyDescent="0.25">
      <c r="O1719">
        <v>1</v>
      </c>
      <c r="S1719" t="e">
        <v>#DIV/0!</v>
      </c>
      <c r="T1719" t="s">
        <v>82</v>
      </c>
    </row>
    <row r="1720" spans="15:20" x14ac:dyDescent="0.25">
      <c r="O1720">
        <v>1</v>
      </c>
      <c r="S1720" t="e">
        <v>#DIV/0!</v>
      </c>
      <c r="T1720" t="s">
        <v>82</v>
      </c>
    </row>
    <row r="1721" spans="15:20" x14ac:dyDescent="0.25">
      <c r="O1721">
        <v>1</v>
      </c>
      <c r="S1721" t="e">
        <v>#DIV/0!</v>
      </c>
      <c r="T1721" t="s">
        <v>82</v>
      </c>
    </row>
    <row r="1722" spans="15:20" x14ac:dyDescent="0.25">
      <c r="O1722">
        <v>1</v>
      </c>
      <c r="S1722" t="e">
        <v>#DIV/0!</v>
      </c>
      <c r="T1722" t="s">
        <v>82</v>
      </c>
    </row>
    <row r="1723" spans="15:20" x14ac:dyDescent="0.25">
      <c r="O1723">
        <v>1</v>
      </c>
      <c r="S1723" t="e">
        <v>#DIV/0!</v>
      </c>
      <c r="T1723" t="s">
        <v>82</v>
      </c>
    </row>
    <row r="1724" spans="15:20" x14ac:dyDescent="0.25">
      <c r="O1724">
        <v>1</v>
      </c>
      <c r="S1724" t="e">
        <v>#DIV/0!</v>
      </c>
      <c r="T1724" t="s">
        <v>82</v>
      </c>
    </row>
    <row r="1725" spans="15:20" x14ac:dyDescent="0.25">
      <c r="O1725">
        <v>1</v>
      </c>
      <c r="S1725" t="e">
        <v>#DIV/0!</v>
      </c>
      <c r="T1725" t="s">
        <v>82</v>
      </c>
    </row>
    <row r="1726" spans="15:20" x14ac:dyDescent="0.25">
      <c r="O1726">
        <v>1</v>
      </c>
      <c r="S1726" t="e">
        <v>#DIV/0!</v>
      </c>
      <c r="T1726" t="s">
        <v>82</v>
      </c>
    </row>
    <row r="1727" spans="15:20" x14ac:dyDescent="0.25">
      <c r="O1727">
        <v>1</v>
      </c>
      <c r="S1727" t="e">
        <v>#DIV/0!</v>
      </c>
      <c r="T1727" t="s">
        <v>82</v>
      </c>
    </row>
    <row r="1728" spans="15:20" x14ac:dyDescent="0.25">
      <c r="O1728">
        <v>1</v>
      </c>
      <c r="S1728" t="e">
        <v>#DIV/0!</v>
      </c>
      <c r="T1728" t="s">
        <v>82</v>
      </c>
    </row>
    <row r="1729" spans="15:20" x14ac:dyDescent="0.25">
      <c r="O1729">
        <v>1</v>
      </c>
      <c r="S1729" t="e">
        <v>#DIV/0!</v>
      </c>
      <c r="T1729" t="s">
        <v>82</v>
      </c>
    </row>
    <row r="1730" spans="15:20" x14ac:dyDescent="0.25">
      <c r="O1730">
        <v>1</v>
      </c>
      <c r="S1730" t="e">
        <v>#DIV/0!</v>
      </c>
      <c r="T1730" t="s">
        <v>82</v>
      </c>
    </row>
    <row r="1731" spans="15:20" x14ac:dyDescent="0.25">
      <c r="O1731">
        <v>1</v>
      </c>
      <c r="S1731" t="e">
        <v>#DIV/0!</v>
      </c>
      <c r="T1731" t="s">
        <v>82</v>
      </c>
    </row>
    <row r="1732" spans="15:20" x14ac:dyDescent="0.25">
      <c r="O1732">
        <v>1</v>
      </c>
      <c r="S1732" t="e">
        <v>#DIV/0!</v>
      </c>
      <c r="T1732" t="s">
        <v>82</v>
      </c>
    </row>
    <row r="1733" spans="15:20" x14ac:dyDescent="0.25">
      <c r="O1733">
        <v>1</v>
      </c>
      <c r="S1733" t="e">
        <v>#DIV/0!</v>
      </c>
      <c r="T1733" t="s">
        <v>82</v>
      </c>
    </row>
    <row r="1734" spans="15:20" x14ac:dyDescent="0.25">
      <c r="O1734">
        <v>1</v>
      </c>
      <c r="S1734" t="e">
        <v>#DIV/0!</v>
      </c>
      <c r="T1734" t="s">
        <v>82</v>
      </c>
    </row>
    <row r="1735" spans="15:20" x14ac:dyDescent="0.25">
      <c r="O1735">
        <v>1</v>
      </c>
      <c r="S1735" t="e">
        <v>#DIV/0!</v>
      </c>
      <c r="T1735" t="s">
        <v>82</v>
      </c>
    </row>
    <row r="1736" spans="15:20" x14ac:dyDescent="0.25">
      <c r="O1736">
        <v>1</v>
      </c>
      <c r="S1736" t="e">
        <v>#DIV/0!</v>
      </c>
      <c r="T1736" t="s">
        <v>82</v>
      </c>
    </row>
    <row r="1737" spans="15:20" x14ac:dyDescent="0.25">
      <c r="O1737">
        <v>1</v>
      </c>
      <c r="S1737" t="e">
        <v>#DIV/0!</v>
      </c>
      <c r="T1737" t="s">
        <v>82</v>
      </c>
    </row>
    <row r="1738" spans="15:20" x14ac:dyDescent="0.25">
      <c r="O1738">
        <v>1</v>
      </c>
      <c r="S1738" t="e">
        <v>#DIV/0!</v>
      </c>
      <c r="T1738" t="s">
        <v>82</v>
      </c>
    </row>
    <row r="1739" spans="15:20" x14ac:dyDescent="0.25">
      <c r="O1739">
        <v>1</v>
      </c>
      <c r="S1739" t="e">
        <v>#DIV/0!</v>
      </c>
      <c r="T1739" t="s">
        <v>82</v>
      </c>
    </row>
    <row r="1740" spans="15:20" x14ac:dyDescent="0.25">
      <c r="O1740">
        <v>1</v>
      </c>
      <c r="S1740" t="e">
        <v>#DIV/0!</v>
      </c>
      <c r="T1740" t="s">
        <v>82</v>
      </c>
    </row>
    <row r="1741" spans="15:20" x14ac:dyDescent="0.25">
      <c r="O1741">
        <v>1</v>
      </c>
      <c r="S1741" t="e">
        <v>#DIV/0!</v>
      </c>
      <c r="T1741" t="s">
        <v>82</v>
      </c>
    </row>
    <row r="1742" spans="15:20" x14ac:dyDescent="0.25">
      <c r="O1742">
        <v>1</v>
      </c>
      <c r="S1742" t="e">
        <v>#DIV/0!</v>
      </c>
      <c r="T1742" t="s">
        <v>82</v>
      </c>
    </row>
    <row r="1743" spans="15:20" x14ac:dyDescent="0.25">
      <c r="O1743">
        <v>1</v>
      </c>
      <c r="S1743" t="e">
        <v>#DIV/0!</v>
      </c>
      <c r="T1743" t="s">
        <v>82</v>
      </c>
    </row>
    <row r="1744" spans="15:20" x14ac:dyDescent="0.25">
      <c r="O1744">
        <v>1</v>
      </c>
      <c r="S1744" t="e">
        <v>#DIV/0!</v>
      </c>
      <c r="T1744" t="s">
        <v>82</v>
      </c>
    </row>
    <row r="1745" spans="15:20" x14ac:dyDescent="0.25">
      <c r="O1745">
        <v>1</v>
      </c>
      <c r="S1745" t="e">
        <v>#DIV/0!</v>
      </c>
      <c r="T1745" t="s">
        <v>82</v>
      </c>
    </row>
    <row r="1746" spans="15:20" x14ac:dyDescent="0.25">
      <c r="O1746">
        <v>1</v>
      </c>
      <c r="S1746" t="e">
        <v>#DIV/0!</v>
      </c>
      <c r="T1746" t="s">
        <v>82</v>
      </c>
    </row>
    <row r="1747" spans="15:20" x14ac:dyDescent="0.25">
      <c r="O1747">
        <v>1</v>
      </c>
      <c r="S1747" t="e">
        <v>#DIV/0!</v>
      </c>
      <c r="T1747" t="s">
        <v>82</v>
      </c>
    </row>
    <row r="1748" spans="15:20" x14ac:dyDescent="0.25">
      <c r="O1748">
        <v>1</v>
      </c>
      <c r="S1748" t="e">
        <v>#DIV/0!</v>
      </c>
      <c r="T1748" t="s">
        <v>82</v>
      </c>
    </row>
    <row r="1749" spans="15:20" x14ac:dyDescent="0.25">
      <c r="O1749">
        <v>1</v>
      </c>
      <c r="S1749" t="e">
        <v>#DIV/0!</v>
      </c>
      <c r="T1749" t="s">
        <v>82</v>
      </c>
    </row>
    <row r="1750" spans="15:20" x14ac:dyDescent="0.25">
      <c r="O1750">
        <v>1</v>
      </c>
      <c r="S1750" t="e">
        <v>#DIV/0!</v>
      </c>
      <c r="T1750" t="s">
        <v>82</v>
      </c>
    </row>
    <row r="1751" spans="15:20" x14ac:dyDescent="0.25">
      <c r="O1751">
        <v>1</v>
      </c>
      <c r="S1751" t="e">
        <v>#DIV/0!</v>
      </c>
      <c r="T1751" t="s">
        <v>82</v>
      </c>
    </row>
    <row r="1752" spans="15:20" x14ac:dyDescent="0.25">
      <c r="O1752">
        <v>1</v>
      </c>
      <c r="S1752" t="e">
        <v>#DIV/0!</v>
      </c>
      <c r="T1752" t="s">
        <v>82</v>
      </c>
    </row>
    <row r="1753" spans="15:20" x14ac:dyDescent="0.25">
      <c r="O1753">
        <v>1</v>
      </c>
      <c r="S1753" t="e">
        <v>#DIV/0!</v>
      </c>
      <c r="T1753" t="s">
        <v>82</v>
      </c>
    </row>
    <row r="1754" spans="15:20" x14ac:dyDescent="0.25">
      <c r="O1754">
        <v>1</v>
      </c>
      <c r="S1754" t="e">
        <v>#DIV/0!</v>
      </c>
      <c r="T1754" t="s">
        <v>82</v>
      </c>
    </row>
    <row r="1755" spans="15:20" x14ac:dyDescent="0.25">
      <c r="O1755">
        <v>1</v>
      </c>
      <c r="S1755" t="e">
        <v>#DIV/0!</v>
      </c>
      <c r="T1755" t="s">
        <v>82</v>
      </c>
    </row>
    <row r="1756" spans="15:20" x14ac:dyDescent="0.25">
      <c r="O1756">
        <v>1</v>
      </c>
      <c r="S1756" t="e">
        <v>#DIV/0!</v>
      </c>
      <c r="T1756" t="s">
        <v>82</v>
      </c>
    </row>
    <row r="1757" spans="15:20" x14ac:dyDescent="0.25">
      <c r="O1757">
        <v>1</v>
      </c>
      <c r="S1757" t="e">
        <v>#DIV/0!</v>
      </c>
      <c r="T1757" t="s">
        <v>82</v>
      </c>
    </row>
    <row r="1758" spans="15:20" x14ac:dyDescent="0.25">
      <c r="O1758">
        <v>1</v>
      </c>
      <c r="S1758" t="e">
        <v>#DIV/0!</v>
      </c>
      <c r="T1758" t="s">
        <v>82</v>
      </c>
    </row>
    <row r="1759" spans="15:20" x14ac:dyDescent="0.25">
      <c r="O1759">
        <v>1</v>
      </c>
      <c r="S1759" t="e">
        <v>#DIV/0!</v>
      </c>
      <c r="T1759" t="s">
        <v>82</v>
      </c>
    </row>
    <row r="1760" spans="15:20" x14ac:dyDescent="0.25">
      <c r="O1760">
        <v>1</v>
      </c>
      <c r="S1760" t="e">
        <v>#DIV/0!</v>
      </c>
      <c r="T1760" t="s">
        <v>82</v>
      </c>
    </row>
    <row r="1761" spans="15:20" x14ac:dyDescent="0.25">
      <c r="O1761">
        <v>1</v>
      </c>
      <c r="S1761" t="e">
        <v>#DIV/0!</v>
      </c>
      <c r="T1761" t="s">
        <v>82</v>
      </c>
    </row>
    <row r="1762" spans="15:20" x14ac:dyDescent="0.25">
      <c r="O1762">
        <v>1</v>
      </c>
      <c r="S1762" t="e">
        <v>#DIV/0!</v>
      </c>
      <c r="T1762" t="s">
        <v>82</v>
      </c>
    </row>
    <row r="1763" spans="15:20" x14ac:dyDescent="0.25">
      <c r="O1763">
        <v>1</v>
      </c>
      <c r="S1763" t="e">
        <v>#DIV/0!</v>
      </c>
      <c r="T1763" t="s">
        <v>82</v>
      </c>
    </row>
    <row r="1764" spans="15:20" x14ac:dyDescent="0.25">
      <c r="O1764">
        <v>1</v>
      </c>
      <c r="S1764" t="e">
        <v>#DIV/0!</v>
      </c>
      <c r="T1764" t="s">
        <v>82</v>
      </c>
    </row>
    <row r="1765" spans="15:20" x14ac:dyDescent="0.25">
      <c r="O1765">
        <v>1</v>
      </c>
      <c r="S1765" t="e">
        <v>#DIV/0!</v>
      </c>
      <c r="T1765" t="s">
        <v>82</v>
      </c>
    </row>
    <row r="1766" spans="15:20" x14ac:dyDescent="0.25">
      <c r="O1766">
        <v>1</v>
      </c>
      <c r="S1766" t="e">
        <v>#DIV/0!</v>
      </c>
      <c r="T1766" t="s">
        <v>82</v>
      </c>
    </row>
    <row r="1767" spans="15:20" x14ac:dyDescent="0.25">
      <c r="O1767">
        <v>1</v>
      </c>
      <c r="S1767" t="e">
        <v>#DIV/0!</v>
      </c>
      <c r="T1767" t="s">
        <v>82</v>
      </c>
    </row>
    <row r="1768" spans="15:20" x14ac:dyDescent="0.25">
      <c r="O1768">
        <v>1</v>
      </c>
      <c r="S1768" t="e">
        <v>#DIV/0!</v>
      </c>
      <c r="T1768" t="s">
        <v>82</v>
      </c>
    </row>
    <row r="1769" spans="15:20" x14ac:dyDescent="0.25">
      <c r="O1769">
        <v>1</v>
      </c>
      <c r="S1769" t="e">
        <v>#DIV/0!</v>
      </c>
      <c r="T1769" t="s">
        <v>82</v>
      </c>
    </row>
    <row r="1770" spans="15:20" x14ac:dyDescent="0.25">
      <c r="O1770">
        <v>1</v>
      </c>
      <c r="S1770" t="e">
        <v>#DIV/0!</v>
      </c>
      <c r="T1770" t="s">
        <v>82</v>
      </c>
    </row>
    <row r="1771" spans="15:20" x14ac:dyDescent="0.25">
      <c r="O1771">
        <v>1</v>
      </c>
      <c r="S1771" t="e">
        <v>#DIV/0!</v>
      </c>
      <c r="T1771" t="s">
        <v>82</v>
      </c>
    </row>
    <row r="1772" spans="15:20" x14ac:dyDescent="0.25">
      <c r="O1772">
        <v>1</v>
      </c>
      <c r="S1772" t="e">
        <v>#DIV/0!</v>
      </c>
      <c r="T1772" t="s">
        <v>82</v>
      </c>
    </row>
    <row r="1773" spans="15:20" x14ac:dyDescent="0.25">
      <c r="O1773">
        <v>1</v>
      </c>
      <c r="S1773" t="e">
        <v>#DIV/0!</v>
      </c>
      <c r="T1773" t="s">
        <v>82</v>
      </c>
    </row>
    <row r="1774" spans="15:20" x14ac:dyDescent="0.25">
      <c r="O1774">
        <v>1</v>
      </c>
      <c r="S1774" t="e">
        <v>#DIV/0!</v>
      </c>
      <c r="T1774" t="s">
        <v>82</v>
      </c>
    </row>
    <row r="1775" spans="15:20" x14ac:dyDescent="0.25">
      <c r="O1775">
        <v>1</v>
      </c>
      <c r="S1775" t="e">
        <v>#DIV/0!</v>
      </c>
      <c r="T1775" t="s">
        <v>82</v>
      </c>
    </row>
    <row r="1776" spans="15:20" x14ac:dyDescent="0.25">
      <c r="O1776">
        <v>1</v>
      </c>
      <c r="S1776" t="e">
        <v>#DIV/0!</v>
      </c>
      <c r="T1776" t="s">
        <v>82</v>
      </c>
    </row>
    <row r="1777" spans="15:20" x14ac:dyDescent="0.25">
      <c r="O1777">
        <v>1</v>
      </c>
      <c r="S1777" t="e">
        <v>#DIV/0!</v>
      </c>
      <c r="T1777" t="s">
        <v>82</v>
      </c>
    </row>
    <row r="1778" spans="15:20" x14ac:dyDescent="0.25">
      <c r="O1778">
        <v>1</v>
      </c>
      <c r="S1778" t="e">
        <v>#DIV/0!</v>
      </c>
      <c r="T1778" t="s">
        <v>82</v>
      </c>
    </row>
    <row r="1779" spans="15:20" x14ac:dyDescent="0.25">
      <c r="O1779">
        <v>1</v>
      </c>
      <c r="S1779" t="e">
        <v>#DIV/0!</v>
      </c>
      <c r="T1779" t="s">
        <v>82</v>
      </c>
    </row>
    <row r="1780" spans="15:20" x14ac:dyDescent="0.25">
      <c r="O1780">
        <v>1</v>
      </c>
      <c r="S1780" t="e">
        <v>#DIV/0!</v>
      </c>
      <c r="T1780" t="s">
        <v>82</v>
      </c>
    </row>
    <row r="1781" spans="15:20" x14ac:dyDescent="0.25">
      <c r="O1781">
        <v>1</v>
      </c>
      <c r="S1781" t="e">
        <v>#DIV/0!</v>
      </c>
      <c r="T1781" t="s">
        <v>82</v>
      </c>
    </row>
    <row r="1782" spans="15:20" x14ac:dyDescent="0.25">
      <c r="O1782">
        <v>1</v>
      </c>
      <c r="S1782" t="e">
        <v>#DIV/0!</v>
      </c>
      <c r="T1782" t="s">
        <v>82</v>
      </c>
    </row>
    <row r="1783" spans="15:20" x14ac:dyDescent="0.25">
      <c r="O1783">
        <v>1</v>
      </c>
      <c r="S1783" t="e">
        <v>#DIV/0!</v>
      </c>
      <c r="T1783" t="s">
        <v>82</v>
      </c>
    </row>
    <row r="1784" spans="15:20" x14ac:dyDescent="0.25">
      <c r="O1784">
        <v>1</v>
      </c>
      <c r="S1784" t="e">
        <v>#DIV/0!</v>
      </c>
      <c r="T1784" t="s">
        <v>82</v>
      </c>
    </row>
    <row r="1785" spans="15:20" x14ac:dyDescent="0.25">
      <c r="O1785">
        <v>1</v>
      </c>
      <c r="S1785" t="e">
        <v>#DIV/0!</v>
      </c>
      <c r="T1785" t="s">
        <v>82</v>
      </c>
    </row>
    <row r="1786" spans="15:20" x14ac:dyDescent="0.25">
      <c r="O1786">
        <v>1</v>
      </c>
      <c r="S1786" t="e">
        <v>#DIV/0!</v>
      </c>
      <c r="T1786" t="s">
        <v>82</v>
      </c>
    </row>
    <row r="1787" spans="15:20" x14ac:dyDescent="0.25">
      <c r="O1787">
        <v>1</v>
      </c>
      <c r="S1787" t="e">
        <v>#DIV/0!</v>
      </c>
      <c r="T1787" t="s">
        <v>82</v>
      </c>
    </row>
    <row r="1788" spans="15:20" x14ac:dyDescent="0.25">
      <c r="O1788">
        <v>1</v>
      </c>
      <c r="S1788" t="e">
        <v>#DIV/0!</v>
      </c>
      <c r="T1788" t="s">
        <v>82</v>
      </c>
    </row>
    <row r="1789" spans="15:20" x14ac:dyDescent="0.25">
      <c r="O1789">
        <v>1</v>
      </c>
      <c r="S1789" t="e">
        <v>#DIV/0!</v>
      </c>
      <c r="T1789" t="s">
        <v>82</v>
      </c>
    </row>
    <row r="1790" spans="15:20" x14ac:dyDescent="0.25">
      <c r="O1790">
        <v>1</v>
      </c>
      <c r="S1790" t="e">
        <v>#DIV/0!</v>
      </c>
      <c r="T1790" t="s">
        <v>82</v>
      </c>
    </row>
    <row r="1791" spans="15:20" x14ac:dyDescent="0.25">
      <c r="O1791">
        <v>1</v>
      </c>
      <c r="S1791" t="e">
        <v>#DIV/0!</v>
      </c>
      <c r="T1791" t="s">
        <v>82</v>
      </c>
    </row>
    <row r="1792" spans="15:20" x14ac:dyDescent="0.25">
      <c r="O1792">
        <v>1</v>
      </c>
      <c r="S1792" t="e">
        <v>#DIV/0!</v>
      </c>
      <c r="T1792" t="s">
        <v>82</v>
      </c>
    </row>
    <row r="1793" spans="15:20" x14ac:dyDescent="0.25">
      <c r="O1793">
        <v>1</v>
      </c>
      <c r="S1793" t="e">
        <v>#DIV/0!</v>
      </c>
      <c r="T1793" t="s">
        <v>82</v>
      </c>
    </row>
    <row r="1794" spans="15:20" x14ac:dyDescent="0.25">
      <c r="O1794">
        <v>1</v>
      </c>
      <c r="S1794" t="e">
        <v>#DIV/0!</v>
      </c>
      <c r="T1794" t="s">
        <v>82</v>
      </c>
    </row>
    <row r="1795" spans="15:20" x14ac:dyDescent="0.25">
      <c r="O1795">
        <v>1</v>
      </c>
      <c r="S1795" t="e">
        <v>#DIV/0!</v>
      </c>
      <c r="T1795" t="s">
        <v>82</v>
      </c>
    </row>
    <row r="1796" spans="15:20" x14ac:dyDescent="0.25">
      <c r="O1796">
        <v>1</v>
      </c>
      <c r="S1796" t="e">
        <v>#DIV/0!</v>
      </c>
      <c r="T1796" t="s">
        <v>82</v>
      </c>
    </row>
    <row r="1797" spans="15:20" x14ac:dyDescent="0.25">
      <c r="O1797">
        <v>1</v>
      </c>
      <c r="S1797" t="e">
        <v>#DIV/0!</v>
      </c>
      <c r="T1797" t="s">
        <v>82</v>
      </c>
    </row>
    <row r="1798" spans="15:20" x14ac:dyDescent="0.25">
      <c r="O1798">
        <v>1</v>
      </c>
      <c r="S1798" t="e">
        <v>#DIV/0!</v>
      </c>
      <c r="T1798" t="s">
        <v>82</v>
      </c>
    </row>
    <row r="1799" spans="15:20" x14ac:dyDescent="0.25">
      <c r="O1799">
        <v>1</v>
      </c>
      <c r="S1799" t="e">
        <v>#DIV/0!</v>
      </c>
      <c r="T1799" t="s">
        <v>82</v>
      </c>
    </row>
    <row r="1800" spans="15:20" x14ac:dyDescent="0.25">
      <c r="O1800">
        <v>1</v>
      </c>
      <c r="S1800" t="e">
        <v>#DIV/0!</v>
      </c>
      <c r="T1800" t="s">
        <v>82</v>
      </c>
    </row>
    <row r="1801" spans="15:20" x14ac:dyDescent="0.25">
      <c r="O1801">
        <v>1</v>
      </c>
      <c r="S1801" t="e">
        <v>#DIV/0!</v>
      </c>
      <c r="T1801" t="s">
        <v>82</v>
      </c>
    </row>
    <row r="1802" spans="15:20" x14ac:dyDescent="0.25">
      <c r="O1802">
        <v>1</v>
      </c>
      <c r="S1802" t="e">
        <v>#DIV/0!</v>
      </c>
      <c r="T1802" t="s">
        <v>82</v>
      </c>
    </row>
    <row r="1803" spans="15:20" x14ac:dyDescent="0.25">
      <c r="O1803">
        <v>1</v>
      </c>
      <c r="S1803" t="e">
        <v>#DIV/0!</v>
      </c>
      <c r="T1803" t="s">
        <v>82</v>
      </c>
    </row>
    <row r="1804" spans="15:20" x14ac:dyDescent="0.25">
      <c r="O1804">
        <v>1</v>
      </c>
      <c r="S1804" t="e">
        <v>#DIV/0!</v>
      </c>
      <c r="T1804" t="s">
        <v>82</v>
      </c>
    </row>
    <row r="1805" spans="15:20" x14ac:dyDescent="0.25">
      <c r="O1805">
        <v>1</v>
      </c>
      <c r="S1805" t="e">
        <v>#DIV/0!</v>
      </c>
      <c r="T1805" t="s">
        <v>82</v>
      </c>
    </row>
    <row r="1806" spans="15:20" x14ac:dyDescent="0.25">
      <c r="O1806">
        <v>1</v>
      </c>
      <c r="S1806" t="e">
        <v>#DIV/0!</v>
      </c>
      <c r="T1806" t="s">
        <v>82</v>
      </c>
    </row>
    <row r="1807" spans="15:20" x14ac:dyDescent="0.25">
      <c r="O1807">
        <v>1</v>
      </c>
      <c r="S1807" t="e">
        <v>#DIV/0!</v>
      </c>
      <c r="T1807" t="s">
        <v>82</v>
      </c>
    </row>
    <row r="1808" spans="15:20" x14ac:dyDescent="0.25">
      <c r="O1808">
        <v>1</v>
      </c>
      <c r="S1808" t="e">
        <v>#DIV/0!</v>
      </c>
      <c r="T1808" t="s">
        <v>82</v>
      </c>
    </row>
    <row r="1809" spans="15:20" x14ac:dyDescent="0.25">
      <c r="O1809">
        <v>1</v>
      </c>
      <c r="S1809" t="e">
        <v>#DIV/0!</v>
      </c>
      <c r="T1809" t="s">
        <v>82</v>
      </c>
    </row>
    <row r="1810" spans="15:20" x14ac:dyDescent="0.25">
      <c r="O1810">
        <v>1</v>
      </c>
      <c r="S1810" t="e">
        <v>#DIV/0!</v>
      </c>
      <c r="T1810" t="s">
        <v>82</v>
      </c>
    </row>
    <row r="1811" spans="15:20" x14ac:dyDescent="0.25">
      <c r="O1811">
        <v>1</v>
      </c>
      <c r="S1811" t="e">
        <v>#DIV/0!</v>
      </c>
      <c r="T1811" t="s">
        <v>82</v>
      </c>
    </row>
    <row r="1812" spans="15:20" x14ac:dyDescent="0.25">
      <c r="O1812">
        <v>1</v>
      </c>
      <c r="S1812" t="e">
        <v>#DIV/0!</v>
      </c>
      <c r="T1812" t="s">
        <v>82</v>
      </c>
    </row>
    <row r="1813" spans="15:20" x14ac:dyDescent="0.25">
      <c r="O1813">
        <v>1</v>
      </c>
      <c r="S1813" t="e">
        <v>#DIV/0!</v>
      </c>
      <c r="T1813" t="s">
        <v>82</v>
      </c>
    </row>
    <row r="1814" spans="15:20" x14ac:dyDescent="0.25">
      <c r="O1814">
        <v>1</v>
      </c>
      <c r="S1814" t="e">
        <v>#DIV/0!</v>
      </c>
      <c r="T1814" t="s">
        <v>82</v>
      </c>
    </row>
    <row r="1815" spans="15:20" x14ac:dyDescent="0.25">
      <c r="O1815">
        <v>1</v>
      </c>
      <c r="S1815" t="e">
        <v>#DIV/0!</v>
      </c>
      <c r="T1815" t="s">
        <v>82</v>
      </c>
    </row>
    <row r="1816" spans="15:20" x14ac:dyDescent="0.25">
      <c r="O1816">
        <v>1</v>
      </c>
      <c r="S1816" t="e">
        <v>#DIV/0!</v>
      </c>
      <c r="T1816" t="s">
        <v>82</v>
      </c>
    </row>
    <row r="1817" spans="15:20" x14ac:dyDescent="0.25">
      <c r="O1817">
        <v>1</v>
      </c>
      <c r="S1817" t="e">
        <v>#DIV/0!</v>
      </c>
      <c r="T1817" t="s">
        <v>82</v>
      </c>
    </row>
    <row r="1818" spans="15:20" x14ac:dyDescent="0.25">
      <c r="O1818">
        <v>1</v>
      </c>
      <c r="S1818" t="e">
        <v>#DIV/0!</v>
      </c>
      <c r="T1818" t="s">
        <v>82</v>
      </c>
    </row>
    <row r="1819" spans="15:20" x14ac:dyDescent="0.25">
      <c r="O1819">
        <v>1</v>
      </c>
      <c r="S1819" t="e">
        <v>#DIV/0!</v>
      </c>
      <c r="T1819" t="s">
        <v>82</v>
      </c>
    </row>
    <row r="1820" spans="15:20" x14ac:dyDescent="0.25">
      <c r="O1820">
        <v>1</v>
      </c>
      <c r="S1820" t="e">
        <v>#DIV/0!</v>
      </c>
      <c r="T1820" t="s">
        <v>82</v>
      </c>
    </row>
    <row r="1821" spans="15:20" x14ac:dyDescent="0.25">
      <c r="O1821">
        <v>1</v>
      </c>
      <c r="S1821" t="e">
        <v>#DIV/0!</v>
      </c>
      <c r="T1821" t="s">
        <v>82</v>
      </c>
    </row>
    <row r="1822" spans="15:20" x14ac:dyDescent="0.25">
      <c r="O1822">
        <v>1</v>
      </c>
      <c r="S1822" t="e">
        <v>#DIV/0!</v>
      </c>
      <c r="T1822" t="s">
        <v>82</v>
      </c>
    </row>
    <row r="1823" spans="15:20" x14ac:dyDescent="0.25">
      <c r="O1823">
        <v>1</v>
      </c>
      <c r="S1823" t="e">
        <v>#DIV/0!</v>
      </c>
      <c r="T1823" t="s">
        <v>82</v>
      </c>
    </row>
    <row r="1824" spans="15:20" x14ac:dyDescent="0.25">
      <c r="O1824">
        <v>1</v>
      </c>
      <c r="S1824" t="e">
        <v>#DIV/0!</v>
      </c>
      <c r="T1824" t="s">
        <v>82</v>
      </c>
    </row>
    <row r="1825" spans="15:20" x14ac:dyDescent="0.25">
      <c r="O1825">
        <v>1</v>
      </c>
      <c r="S1825" t="e">
        <v>#DIV/0!</v>
      </c>
      <c r="T1825" t="s">
        <v>82</v>
      </c>
    </row>
    <row r="1826" spans="15:20" x14ac:dyDescent="0.25">
      <c r="O1826">
        <v>1</v>
      </c>
      <c r="S1826" t="e">
        <v>#DIV/0!</v>
      </c>
      <c r="T1826" t="s">
        <v>82</v>
      </c>
    </row>
    <row r="1827" spans="15:20" x14ac:dyDescent="0.25">
      <c r="O1827">
        <v>1</v>
      </c>
      <c r="S1827" t="e">
        <v>#DIV/0!</v>
      </c>
      <c r="T1827" t="s">
        <v>82</v>
      </c>
    </row>
    <row r="1828" spans="15:20" x14ac:dyDescent="0.25">
      <c r="O1828">
        <v>1</v>
      </c>
      <c r="S1828" t="e">
        <v>#DIV/0!</v>
      </c>
      <c r="T1828" t="s">
        <v>82</v>
      </c>
    </row>
    <row r="1829" spans="15:20" x14ac:dyDescent="0.25">
      <c r="O1829">
        <v>1</v>
      </c>
      <c r="S1829" t="e">
        <v>#DIV/0!</v>
      </c>
      <c r="T1829" t="s">
        <v>82</v>
      </c>
    </row>
    <row r="1830" spans="15:20" x14ac:dyDescent="0.25">
      <c r="O1830">
        <v>1</v>
      </c>
      <c r="S1830" t="e">
        <v>#DIV/0!</v>
      </c>
      <c r="T1830" t="s">
        <v>82</v>
      </c>
    </row>
    <row r="1831" spans="15:20" x14ac:dyDescent="0.25">
      <c r="O1831">
        <v>1</v>
      </c>
      <c r="S1831" t="e">
        <v>#DIV/0!</v>
      </c>
      <c r="T1831" t="s">
        <v>82</v>
      </c>
    </row>
    <row r="1832" spans="15:20" x14ac:dyDescent="0.25">
      <c r="O1832">
        <v>1</v>
      </c>
      <c r="S1832" t="e">
        <v>#DIV/0!</v>
      </c>
      <c r="T1832" t="s">
        <v>82</v>
      </c>
    </row>
    <row r="1833" spans="15:20" x14ac:dyDescent="0.25">
      <c r="O1833">
        <v>1</v>
      </c>
      <c r="S1833" t="e">
        <v>#DIV/0!</v>
      </c>
      <c r="T1833" t="s">
        <v>82</v>
      </c>
    </row>
    <row r="1834" spans="15:20" x14ac:dyDescent="0.25">
      <c r="O1834">
        <v>1</v>
      </c>
      <c r="S1834" t="e">
        <v>#DIV/0!</v>
      </c>
      <c r="T1834" t="s">
        <v>82</v>
      </c>
    </row>
    <row r="1835" spans="15:20" x14ac:dyDescent="0.25">
      <c r="O1835">
        <v>1</v>
      </c>
      <c r="S1835" t="e">
        <v>#DIV/0!</v>
      </c>
      <c r="T1835" t="s">
        <v>82</v>
      </c>
    </row>
    <row r="1836" spans="15:20" x14ac:dyDescent="0.25">
      <c r="O1836">
        <v>1</v>
      </c>
      <c r="S1836" t="e">
        <v>#DIV/0!</v>
      </c>
      <c r="T1836" t="s">
        <v>82</v>
      </c>
    </row>
    <row r="1837" spans="15:20" x14ac:dyDescent="0.25">
      <c r="O1837">
        <v>1</v>
      </c>
      <c r="S1837" t="e">
        <v>#DIV/0!</v>
      </c>
      <c r="T1837" t="s">
        <v>82</v>
      </c>
    </row>
    <row r="1838" spans="15:20" x14ac:dyDescent="0.25">
      <c r="O1838">
        <v>1</v>
      </c>
      <c r="S1838" t="e">
        <v>#DIV/0!</v>
      </c>
      <c r="T1838" t="s">
        <v>82</v>
      </c>
    </row>
    <row r="1839" spans="15:20" x14ac:dyDescent="0.25">
      <c r="O1839">
        <v>1</v>
      </c>
      <c r="S1839" t="e">
        <v>#DIV/0!</v>
      </c>
      <c r="T1839" t="s">
        <v>82</v>
      </c>
    </row>
    <row r="1840" spans="15:20" x14ac:dyDescent="0.25">
      <c r="O1840">
        <v>1</v>
      </c>
      <c r="S1840" t="e">
        <v>#DIV/0!</v>
      </c>
      <c r="T1840" t="s">
        <v>82</v>
      </c>
    </row>
    <row r="1841" spans="15:20" x14ac:dyDescent="0.25">
      <c r="O1841">
        <v>1</v>
      </c>
      <c r="S1841" t="e">
        <v>#DIV/0!</v>
      </c>
      <c r="T1841" t="s">
        <v>82</v>
      </c>
    </row>
    <row r="1842" spans="15:20" x14ac:dyDescent="0.25">
      <c r="O1842">
        <v>1</v>
      </c>
      <c r="S1842" t="e">
        <v>#DIV/0!</v>
      </c>
      <c r="T1842" t="s">
        <v>82</v>
      </c>
    </row>
    <row r="1843" spans="15:20" x14ac:dyDescent="0.25">
      <c r="O1843">
        <v>1</v>
      </c>
      <c r="S1843" t="e">
        <v>#DIV/0!</v>
      </c>
      <c r="T1843" t="s">
        <v>82</v>
      </c>
    </row>
    <row r="1844" spans="15:20" x14ac:dyDescent="0.25">
      <c r="O1844">
        <v>1</v>
      </c>
      <c r="S1844" t="e">
        <v>#DIV/0!</v>
      </c>
      <c r="T1844" t="s">
        <v>82</v>
      </c>
    </row>
    <row r="1845" spans="15:20" x14ac:dyDescent="0.25">
      <c r="O1845">
        <v>1</v>
      </c>
      <c r="S1845" t="e">
        <v>#DIV/0!</v>
      </c>
      <c r="T1845" t="s">
        <v>82</v>
      </c>
    </row>
    <row r="1846" spans="15:20" x14ac:dyDescent="0.25">
      <c r="O1846">
        <v>1</v>
      </c>
      <c r="S1846" t="e">
        <v>#DIV/0!</v>
      </c>
      <c r="T1846" t="s">
        <v>82</v>
      </c>
    </row>
    <row r="1847" spans="15:20" x14ac:dyDescent="0.25">
      <c r="O1847">
        <v>1</v>
      </c>
      <c r="S1847" t="e">
        <v>#DIV/0!</v>
      </c>
      <c r="T1847" t="s">
        <v>82</v>
      </c>
    </row>
    <row r="1848" spans="15:20" x14ac:dyDescent="0.25">
      <c r="O1848">
        <v>1</v>
      </c>
      <c r="S1848" t="e">
        <v>#DIV/0!</v>
      </c>
      <c r="T1848" t="s">
        <v>82</v>
      </c>
    </row>
    <row r="1849" spans="15:20" x14ac:dyDescent="0.25">
      <c r="O1849">
        <v>1</v>
      </c>
      <c r="S1849" t="e">
        <v>#DIV/0!</v>
      </c>
      <c r="T1849" t="s">
        <v>82</v>
      </c>
    </row>
    <row r="1850" spans="15:20" x14ac:dyDescent="0.25">
      <c r="O1850">
        <v>1</v>
      </c>
      <c r="S1850" t="e">
        <v>#DIV/0!</v>
      </c>
      <c r="T1850" t="s">
        <v>82</v>
      </c>
    </row>
    <row r="1851" spans="15:20" x14ac:dyDescent="0.25">
      <c r="O1851">
        <v>1</v>
      </c>
      <c r="S1851" t="e">
        <v>#DIV/0!</v>
      </c>
      <c r="T1851" t="s">
        <v>82</v>
      </c>
    </row>
    <row r="1852" spans="15:20" x14ac:dyDescent="0.25">
      <c r="O1852">
        <v>1</v>
      </c>
      <c r="S1852" t="e">
        <v>#DIV/0!</v>
      </c>
      <c r="T1852" t="s">
        <v>82</v>
      </c>
    </row>
    <row r="1853" spans="15:20" x14ac:dyDescent="0.25">
      <c r="O1853">
        <v>1</v>
      </c>
      <c r="S1853" t="e">
        <v>#DIV/0!</v>
      </c>
      <c r="T1853" t="s">
        <v>82</v>
      </c>
    </row>
    <row r="1854" spans="15:20" x14ac:dyDescent="0.25">
      <c r="O1854">
        <v>1</v>
      </c>
      <c r="S1854" t="e">
        <v>#DIV/0!</v>
      </c>
      <c r="T1854" t="s">
        <v>82</v>
      </c>
    </row>
    <row r="1855" spans="15:20" x14ac:dyDescent="0.25">
      <c r="O1855">
        <v>1</v>
      </c>
      <c r="S1855" t="e">
        <v>#DIV/0!</v>
      </c>
      <c r="T1855" t="s">
        <v>82</v>
      </c>
    </row>
    <row r="1856" spans="15:20" x14ac:dyDescent="0.25">
      <c r="O1856">
        <v>1</v>
      </c>
      <c r="S1856" t="e">
        <v>#DIV/0!</v>
      </c>
      <c r="T1856" t="s">
        <v>82</v>
      </c>
    </row>
    <row r="1857" spans="15:20" x14ac:dyDescent="0.25">
      <c r="O1857">
        <v>1</v>
      </c>
      <c r="S1857" t="e">
        <v>#DIV/0!</v>
      </c>
      <c r="T1857" t="s">
        <v>82</v>
      </c>
    </row>
    <row r="1858" spans="15:20" x14ac:dyDescent="0.25">
      <c r="O1858">
        <v>1</v>
      </c>
      <c r="S1858" t="e">
        <v>#DIV/0!</v>
      </c>
      <c r="T1858" t="s">
        <v>82</v>
      </c>
    </row>
    <row r="1859" spans="15:20" x14ac:dyDescent="0.25">
      <c r="O1859">
        <v>1</v>
      </c>
      <c r="S1859" t="e">
        <v>#DIV/0!</v>
      </c>
      <c r="T1859" t="s">
        <v>82</v>
      </c>
    </row>
    <row r="1860" spans="15:20" x14ac:dyDescent="0.25">
      <c r="O1860">
        <v>1</v>
      </c>
      <c r="S1860" t="e">
        <v>#DIV/0!</v>
      </c>
      <c r="T1860" t="s">
        <v>82</v>
      </c>
    </row>
    <row r="1861" spans="15:20" x14ac:dyDescent="0.25">
      <c r="O1861">
        <v>1</v>
      </c>
      <c r="S1861" t="e">
        <v>#DIV/0!</v>
      </c>
      <c r="T1861" t="s">
        <v>82</v>
      </c>
    </row>
    <row r="1862" spans="15:20" x14ac:dyDescent="0.25">
      <c r="O1862">
        <v>1</v>
      </c>
      <c r="S1862" t="e">
        <v>#DIV/0!</v>
      </c>
      <c r="T1862" t="s">
        <v>82</v>
      </c>
    </row>
    <row r="1863" spans="15:20" x14ac:dyDescent="0.25">
      <c r="O1863">
        <v>1</v>
      </c>
      <c r="S1863" t="e">
        <v>#DIV/0!</v>
      </c>
      <c r="T1863" t="s">
        <v>82</v>
      </c>
    </row>
    <row r="1864" spans="15:20" x14ac:dyDescent="0.25">
      <c r="O1864">
        <v>1</v>
      </c>
      <c r="S1864" t="e">
        <v>#DIV/0!</v>
      </c>
      <c r="T1864" t="s">
        <v>82</v>
      </c>
    </row>
    <row r="1865" spans="15:20" x14ac:dyDescent="0.25">
      <c r="O1865">
        <v>1</v>
      </c>
      <c r="S1865" t="e">
        <v>#DIV/0!</v>
      </c>
      <c r="T1865" t="s">
        <v>82</v>
      </c>
    </row>
    <row r="1866" spans="15:20" x14ac:dyDescent="0.25">
      <c r="O1866">
        <v>1</v>
      </c>
      <c r="S1866" t="e">
        <v>#DIV/0!</v>
      </c>
      <c r="T1866" t="s">
        <v>82</v>
      </c>
    </row>
    <row r="1867" spans="15:20" x14ac:dyDescent="0.25">
      <c r="O1867">
        <v>1</v>
      </c>
      <c r="S1867" t="e">
        <v>#DIV/0!</v>
      </c>
      <c r="T1867" t="s">
        <v>82</v>
      </c>
    </row>
    <row r="1868" spans="15:20" x14ac:dyDescent="0.25">
      <c r="O1868">
        <v>1</v>
      </c>
      <c r="S1868" t="e">
        <v>#DIV/0!</v>
      </c>
      <c r="T1868" t="s">
        <v>82</v>
      </c>
    </row>
    <row r="1869" spans="15:20" x14ac:dyDescent="0.25">
      <c r="O1869">
        <v>1</v>
      </c>
      <c r="S1869" t="e">
        <v>#DIV/0!</v>
      </c>
      <c r="T1869" t="s">
        <v>82</v>
      </c>
    </row>
    <row r="1870" spans="15:20" x14ac:dyDescent="0.25">
      <c r="O1870">
        <v>1</v>
      </c>
      <c r="S1870" t="e">
        <v>#DIV/0!</v>
      </c>
      <c r="T1870" t="s">
        <v>82</v>
      </c>
    </row>
    <row r="1871" spans="15:20" x14ac:dyDescent="0.25">
      <c r="O1871">
        <v>1</v>
      </c>
      <c r="S1871" t="e">
        <v>#DIV/0!</v>
      </c>
      <c r="T1871" t="s">
        <v>82</v>
      </c>
    </row>
    <row r="1872" spans="15:20" x14ac:dyDescent="0.25">
      <c r="O1872">
        <v>1</v>
      </c>
      <c r="S1872" t="e">
        <v>#DIV/0!</v>
      </c>
      <c r="T1872" t="s">
        <v>82</v>
      </c>
    </row>
    <row r="1873" spans="15:20" x14ac:dyDescent="0.25">
      <c r="O1873">
        <v>1</v>
      </c>
      <c r="S1873" t="e">
        <v>#DIV/0!</v>
      </c>
      <c r="T1873" t="s">
        <v>82</v>
      </c>
    </row>
    <row r="1874" spans="15:20" x14ac:dyDescent="0.25">
      <c r="O1874">
        <v>1</v>
      </c>
      <c r="S1874" t="e">
        <v>#DIV/0!</v>
      </c>
      <c r="T1874" t="s">
        <v>82</v>
      </c>
    </row>
    <row r="1875" spans="15:20" x14ac:dyDescent="0.25">
      <c r="O1875">
        <v>1</v>
      </c>
      <c r="S1875" t="e">
        <v>#DIV/0!</v>
      </c>
      <c r="T1875" t="s">
        <v>82</v>
      </c>
    </row>
    <row r="1876" spans="15:20" x14ac:dyDescent="0.25">
      <c r="O1876">
        <v>1</v>
      </c>
      <c r="S1876" t="e">
        <v>#DIV/0!</v>
      </c>
      <c r="T1876" t="s">
        <v>82</v>
      </c>
    </row>
    <row r="1877" spans="15:20" x14ac:dyDescent="0.25">
      <c r="O1877">
        <v>1</v>
      </c>
      <c r="S1877" t="e">
        <v>#DIV/0!</v>
      </c>
      <c r="T1877" t="s">
        <v>82</v>
      </c>
    </row>
    <row r="1878" spans="15:20" x14ac:dyDescent="0.25">
      <c r="O1878">
        <v>1</v>
      </c>
      <c r="S1878" t="e">
        <v>#DIV/0!</v>
      </c>
      <c r="T1878" t="s">
        <v>82</v>
      </c>
    </row>
    <row r="1879" spans="15:20" x14ac:dyDescent="0.25">
      <c r="O1879">
        <v>1</v>
      </c>
      <c r="S1879" t="e">
        <v>#DIV/0!</v>
      </c>
      <c r="T1879" t="s">
        <v>82</v>
      </c>
    </row>
    <row r="1880" spans="15:20" x14ac:dyDescent="0.25">
      <c r="O1880">
        <v>1</v>
      </c>
      <c r="S1880" t="e">
        <v>#DIV/0!</v>
      </c>
      <c r="T1880" t="s">
        <v>82</v>
      </c>
    </row>
    <row r="1881" spans="15:20" x14ac:dyDescent="0.25">
      <c r="O1881">
        <v>1</v>
      </c>
      <c r="S1881" t="e">
        <v>#DIV/0!</v>
      </c>
      <c r="T1881" t="s">
        <v>82</v>
      </c>
    </row>
    <row r="1882" spans="15:20" x14ac:dyDescent="0.25">
      <c r="O1882">
        <v>1</v>
      </c>
      <c r="S1882" t="e">
        <v>#DIV/0!</v>
      </c>
      <c r="T1882" t="s">
        <v>82</v>
      </c>
    </row>
    <row r="1883" spans="15:20" x14ac:dyDescent="0.25">
      <c r="O1883">
        <v>1</v>
      </c>
      <c r="S1883" t="e">
        <v>#DIV/0!</v>
      </c>
      <c r="T1883" t="s">
        <v>82</v>
      </c>
    </row>
    <row r="1884" spans="15:20" x14ac:dyDescent="0.25">
      <c r="O1884">
        <v>1</v>
      </c>
      <c r="S1884" t="e">
        <v>#DIV/0!</v>
      </c>
      <c r="T1884" t="s">
        <v>82</v>
      </c>
    </row>
    <row r="1885" spans="15:20" x14ac:dyDescent="0.25">
      <c r="O1885">
        <v>1</v>
      </c>
      <c r="S1885" t="e">
        <v>#DIV/0!</v>
      </c>
      <c r="T1885" t="s">
        <v>82</v>
      </c>
    </row>
    <row r="1886" spans="15:20" x14ac:dyDescent="0.25">
      <c r="O1886">
        <v>1</v>
      </c>
      <c r="S1886" t="e">
        <v>#DIV/0!</v>
      </c>
      <c r="T1886" t="s">
        <v>82</v>
      </c>
    </row>
    <row r="1887" spans="15:20" x14ac:dyDescent="0.25">
      <c r="O1887">
        <v>1</v>
      </c>
      <c r="S1887" t="e">
        <v>#DIV/0!</v>
      </c>
      <c r="T1887" t="s">
        <v>82</v>
      </c>
    </row>
    <row r="1888" spans="15:20" x14ac:dyDescent="0.25">
      <c r="O1888">
        <v>1</v>
      </c>
      <c r="S1888" t="e">
        <v>#DIV/0!</v>
      </c>
      <c r="T1888" t="s">
        <v>82</v>
      </c>
    </row>
    <row r="1889" spans="15:20" x14ac:dyDescent="0.25">
      <c r="O1889">
        <v>1</v>
      </c>
      <c r="S1889" t="e">
        <v>#DIV/0!</v>
      </c>
      <c r="T1889" t="s">
        <v>82</v>
      </c>
    </row>
    <row r="1890" spans="15:20" x14ac:dyDescent="0.25">
      <c r="O1890">
        <v>1</v>
      </c>
      <c r="S1890" t="e">
        <v>#DIV/0!</v>
      </c>
      <c r="T1890" t="s">
        <v>82</v>
      </c>
    </row>
    <row r="1891" spans="15:20" x14ac:dyDescent="0.25">
      <c r="O1891">
        <v>1</v>
      </c>
      <c r="S1891" t="e">
        <v>#DIV/0!</v>
      </c>
      <c r="T1891" t="s">
        <v>82</v>
      </c>
    </row>
    <row r="1892" spans="15:20" x14ac:dyDescent="0.25">
      <c r="O1892">
        <v>1</v>
      </c>
      <c r="S1892" t="e">
        <v>#DIV/0!</v>
      </c>
      <c r="T1892" t="s">
        <v>82</v>
      </c>
    </row>
    <row r="1893" spans="15:20" x14ac:dyDescent="0.25">
      <c r="O1893">
        <v>1</v>
      </c>
      <c r="S1893" t="e">
        <v>#DIV/0!</v>
      </c>
      <c r="T1893" t="s">
        <v>82</v>
      </c>
    </row>
    <row r="1894" spans="15:20" x14ac:dyDescent="0.25">
      <c r="O1894">
        <v>1</v>
      </c>
      <c r="S1894" t="e">
        <v>#DIV/0!</v>
      </c>
      <c r="T1894" t="s">
        <v>82</v>
      </c>
    </row>
    <row r="1895" spans="15:20" x14ac:dyDescent="0.25">
      <c r="O1895">
        <v>1</v>
      </c>
      <c r="S1895" t="e">
        <v>#DIV/0!</v>
      </c>
      <c r="T1895" t="s">
        <v>82</v>
      </c>
    </row>
    <row r="1896" spans="15:20" x14ac:dyDescent="0.25">
      <c r="O1896">
        <v>1</v>
      </c>
      <c r="S1896" t="e">
        <v>#DIV/0!</v>
      </c>
      <c r="T1896" t="s">
        <v>82</v>
      </c>
    </row>
    <row r="1897" spans="15:20" x14ac:dyDescent="0.25">
      <c r="O1897">
        <v>1</v>
      </c>
      <c r="S1897" t="e">
        <v>#DIV/0!</v>
      </c>
      <c r="T1897" t="s">
        <v>82</v>
      </c>
    </row>
    <row r="1898" spans="15:20" x14ac:dyDescent="0.25">
      <c r="O1898">
        <v>1</v>
      </c>
      <c r="S1898" t="e">
        <v>#DIV/0!</v>
      </c>
      <c r="T1898" t="s">
        <v>82</v>
      </c>
    </row>
    <row r="1899" spans="15:20" x14ac:dyDescent="0.25">
      <c r="O1899">
        <v>1</v>
      </c>
      <c r="S1899" t="e">
        <v>#DIV/0!</v>
      </c>
      <c r="T1899" t="s">
        <v>82</v>
      </c>
    </row>
    <row r="1900" spans="15:20" x14ac:dyDescent="0.25">
      <c r="O1900">
        <v>1</v>
      </c>
      <c r="S1900" t="e">
        <v>#DIV/0!</v>
      </c>
      <c r="T1900" t="s">
        <v>82</v>
      </c>
    </row>
    <row r="1901" spans="15:20" x14ac:dyDescent="0.25">
      <c r="O1901">
        <v>1</v>
      </c>
      <c r="S1901" t="e">
        <v>#DIV/0!</v>
      </c>
      <c r="T1901" t="s">
        <v>82</v>
      </c>
    </row>
    <row r="1902" spans="15:20" x14ac:dyDescent="0.25">
      <c r="O1902">
        <v>1</v>
      </c>
      <c r="S1902" t="e">
        <v>#DIV/0!</v>
      </c>
      <c r="T1902" t="s">
        <v>82</v>
      </c>
    </row>
    <row r="1903" spans="15:20" x14ac:dyDescent="0.25">
      <c r="O1903">
        <v>1</v>
      </c>
      <c r="S1903" t="e">
        <v>#DIV/0!</v>
      </c>
      <c r="T1903" t="s">
        <v>82</v>
      </c>
    </row>
    <row r="1904" spans="15:20" x14ac:dyDescent="0.25">
      <c r="O1904">
        <v>1</v>
      </c>
      <c r="S1904" t="e">
        <v>#DIV/0!</v>
      </c>
      <c r="T1904" t="s">
        <v>82</v>
      </c>
    </row>
    <row r="1905" spans="15:20" x14ac:dyDescent="0.25">
      <c r="O1905">
        <v>1</v>
      </c>
      <c r="S1905" t="e">
        <v>#DIV/0!</v>
      </c>
      <c r="T1905" t="s">
        <v>82</v>
      </c>
    </row>
    <row r="1906" spans="15:20" x14ac:dyDescent="0.25">
      <c r="O1906">
        <v>1</v>
      </c>
      <c r="S1906" t="e">
        <v>#DIV/0!</v>
      </c>
      <c r="T1906" t="s">
        <v>82</v>
      </c>
    </row>
    <row r="1907" spans="15:20" x14ac:dyDescent="0.25">
      <c r="O1907">
        <v>1</v>
      </c>
      <c r="S1907" t="e">
        <v>#DIV/0!</v>
      </c>
      <c r="T1907" t="s">
        <v>82</v>
      </c>
    </row>
    <row r="1908" spans="15:20" x14ac:dyDescent="0.25">
      <c r="O1908">
        <v>1</v>
      </c>
      <c r="S1908" t="e">
        <v>#DIV/0!</v>
      </c>
      <c r="T1908" t="s">
        <v>82</v>
      </c>
    </row>
    <row r="1909" spans="15:20" x14ac:dyDescent="0.25">
      <c r="O1909">
        <v>1</v>
      </c>
      <c r="S1909" t="e">
        <v>#DIV/0!</v>
      </c>
      <c r="T1909" t="s">
        <v>82</v>
      </c>
    </row>
    <row r="1910" spans="15:20" x14ac:dyDescent="0.25">
      <c r="O1910">
        <v>1</v>
      </c>
      <c r="S1910" t="e">
        <v>#DIV/0!</v>
      </c>
      <c r="T1910" t="s">
        <v>82</v>
      </c>
    </row>
    <row r="1911" spans="15:20" x14ac:dyDescent="0.25">
      <c r="O1911">
        <v>1</v>
      </c>
      <c r="S1911" t="e">
        <v>#DIV/0!</v>
      </c>
      <c r="T1911" t="s">
        <v>82</v>
      </c>
    </row>
    <row r="1912" spans="15:20" x14ac:dyDescent="0.25">
      <c r="O1912">
        <v>1</v>
      </c>
      <c r="S1912" t="e">
        <v>#DIV/0!</v>
      </c>
      <c r="T1912" t="s">
        <v>82</v>
      </c>
    </row>
    <row r="1913" spans="15:20" x14ac:dyDescent="0.25">
      <c r="O1913">
        <v>1</v>
      </c>
      <c r="S1913" t="e">
        <v>#DIV/0!</v>
      </c>
      <c r="T1913" t="s">
        <v>82</v>
      </c>
    </row>
    <row r="1914" spans="15:20" x14ac:dyDescent="0.25">
      <c r="O1914">
        <v>1</v>
      </c>
      <c r="S1914" t="e">
        <v>#DIV/0!</v>
      </c>
      <c r="T1914" t="s">
        <v>82</v>
      </c>
    </row>
    <row r="1915" spans="15:20" x14ac:dyDescent="0.25">
      <c r="O1915">
        <v>1</v>
      </c>
      <c r="S1915" t="e">
        <v>#DIV/0!</v>
      </c>
      <c r="T1915" t="s">
        <v>82</v>
      </c>
    </row>
    <row r="1916" spans="15:20" x14ac:dyDescent="0.25">
      <c r="O1916">
        <v>1</v>
      </c>
      <c r="S1916" t="e">
        <v>#DIV/0!</v>
      </c>
      <c r="T1916" t="s">
        <v>82</v>
      </c>
    </row>
    <row r="1917" spans="15:20" x14ac:dyDescent="0.25">
      <c r="O1917">
        <v>1</v>
      </c>
      <c r="S1917" t="e">
        <v>#DIV/0!</v>
      </c>
      <c r="T1917" t="s">
        <v>82</v>
      </c>
    </row>
    <row r="1918" spans="15:20" x14ac:dyDescent="0.25">
      <c r="O1918">
        <v>1</v>
      </c>
      <c r="S1918" t="e">
        <v>#DIV/0!</v>
      </c>
      <c r="T1918" t="s">
        <v>82</v>
      </c>
    </row>
    <row r="1919" spans="15:20" x14ac:dyDescent="0.25">
      <c r="O1919">
        <v>1</v>
      </c>
      <c r="S1919" t="e">
        <v>#DIV/0!</v>
      </c>
      <c r="T1919" t="s">
        <v>82</v>
      </c>
    </row>
    <row r="1920" spans="15:20" x14ac:dyDescent="0.25">
      <c r="O1920">
        <v>1</v>
      </c>
      <c r="S1920" t="e">
        <v>#DIV/0!</v>
      </c>
      <c r="T1920" t="s">
        <v>82</v>
      </c>
    </row>
    <row r="1921" spans="15:20" x14ac:dyDescent="0.25">
      <c r="O1921">
        <v>1</v>
      </c>
      <c r="S1921" t="e">
        <v>#DIV/0!</v>
      </c>
      <c r="T1921" t="s">
        <v>82</v>
      </c>
    </row>
    <row r="1922" spans="15:20" x14ac:dyDescent="0.25">
      <c r="O1922">
        <v>1</v>
      </c>
      <c r="S1922" t="e">
        <v>#DIV/0!</v>
      </c>
      <c r="T1922" t="s">
        <v>82</v>
      </c>
    </row>
    <row r="1923" spans="15:20" x14ac:dyDescent="0.25">
      <c r="O1923">
        <v>1</v>
      </c>
      <c r="S1923" t="e">
        <v>#DIV/0!</v>
      </c>
      <c r="T1923" t="s">
        <v>82</v>
      </c>
    </row>
    <row r="1924" spans="15:20" x14ac:dyDescent="0.25">
      <c r="O1924">
        <v>1</v>
      </c>
      <c r="S1924" t="e">
        <v>#DIV/0!</v>
      </c>
      <c r="T1924" t="s">
        <v>82</v>
      </c>
    </row>
    <row r="1925" spans="15:20" x14ac:dyDescent="0.25">
      <c r="O1925">
        <v>1</v>
      </c>
      <c r="S1925" t="e">
        <v>#DIV/0!</v>
      </c>
      <c r="T1925" t="s">
        <v>82</v>
      </c>
    </row>
    <row r="1926" spans="15:20" x14ac:dyDescent="0.25">
      <c r="O1926">
        <v>1</v>
      </c>
      <c r="S1926" t="e">
        <v>#DIV/0!</v>
      </c>
      <c r="T1926" t="s">
        <v>82</v>
      </c>
    </row>
    <row r="1927" spans="15:20" x14ac:dyDescent="0.25">
      <c r="O1927">
        <v>1</v>
      </c>
      <c r="S1927" t="e">
        <v>#DIV/0!</v>
      </c>
      <c r="T1927" t="s">
        <v>82</v>
      </c>
    </row>
    <row r="1928" spans="15:20" x14ac:dyDescent="0.25">
      <c r="O1928">
        <v>1</v>
      </c>
      <c r="S1928" t="e">
        <v>#DIV/0!</v>
      </c>
      <c r="T1928" t="s">
        <v>82</v>
      </c>
    </row>
    <row r="1929" spans="15:20" x14ac:dyDescent="0.25">
      <c r="O1929">
        <v>1</v>
      </c>
      <c r="S1929" t="e">
        <v>#DIV/0!</v>
      </c>
      <c r="T1929" t="s">
        <v>82</v>
      </c>
    </row>
    <row r="1930" spans="15:20" x14ac:dyDescent="0.25">
      <c r="O1930">
        <v>1</v>
      </c>
      <c r="S1930" t="e">
        <v>#DIV/0!</v>
      </c>
      <c r="T1930" t="s">
        <v>82</v>
      </c>
    </row>
    <row r="1931" spans="15:20" x14ac:dyDescent="0.25">
      <c r="O1931">
        <v>1</v>
      </c>
      <c r="S1931" t="e">
        <v>#DIV/0!</v>
      </c>
      <c r="T1931" t="s">
        <v>82</v>
      </c>
    </row>
    <row r="1932" spans="15:20" x14ac:dyDescent="0.25">
      <c r="O1932">
        <v>1</v>
      </c>
      <c r="S1932" t="e">
        <v>#DIV/0!</v>
      </c>
      <c r="T1932" t="s">
        <v>82</v>
      </c>
    </row>
    <row r="1933" spans="15:20" x14ac:dyDescent="0.25">
      <c r="O1933">
        <v>1</v>
      </c>
      <c r="S1933" t="e">
        <v>#DIV/0!</v>
      </c>
      <c r="T1933" t="s">
        <v>82</v>
      </c>
    </row>
    <row r="1934" spans="15:20" x14ac:dyDescent="0.25">
      <c r="O1934">
        <v>1</v>
      </c>
      <c r="S1934" t="e">
        <v>#DIV/0!</v>
      </c>
      <c r="T1934" t="s">
        <v>82</v>
      </c>
    </row>
    <row r="1935" spans="15:20" x14ac:dyDescent="0.25">
      <c r="O1935">
        <v>1</v>
      </c>
      <c r="S1935" t="e">
        <v>#DIV/0!</v>
      </c>
      <c r="T1935" t="s">
        <v>82</v>
      </c>
    </row>
    <row r="1936" spans="15:20" x14ac:dyDescent="0.25">
      <c r="O1936">
        <v>1</v>
      </c>
      <c r="S1936" t="e">
        <v>#DIV/0!</v>
      </c>
      <c r="T1936" t="s">
        <v>82</v>
      </c>
    </row>
    <row r="1937" spans="15:20" x14ac:dyDescent="0.25">
      <c r="O1937">
        <v>1</v>
      </c>
      <c r="S1937" t="e">
        <v>#DIV/0!</v>
      </c>
      <c r="T1937" t="s">
        <v>82</v>
      </c>
    </row>
    <row r="1938" spans="15:20" x14ac:dyDescent="0.25">
      <c r="O1938">
        <v>1</v>
      </c>
      <c r="S1938" t="e">
        <v>#DIV/0!</v>
      </c>
      <c r="T1938" t="s">
        <v>82</v>
      </c>
    </row>
    <row r="1939" spans="15:20" x14ac:dyDescent="0.25">
      <c r="O1939">
        <v>1</v>
      </c>
      <c r="S1939" t="e">
        <v>#DIV/0!</v>
      </c>
      <c r="T1939" t="s">
        <v>82</v>
      </c>
    </row>
    <row r="1940" spans="15:20" x14ac:dyDescent="0.25">
      <c r="O1940">
        <v>1</v>
      </c>
      <c r="S1940" t="e">
        <v>#DIV/0!</v>
      </c>
      <c r="T1940" t="s">
        <v>82</v>
      </c>
    </row>
    <row r="1941" spans="15:20" x14ac:dyDescent="0.25">
      <c r="O1941">
        <v>1</v>
      </c>
      <c r="S1941" t="e">
        <v>#DIV/0!</v>
      </c>
      <c r="T1941" t="s">
        <v>82</v>
      </c>
    </row>
    <row r="1942" spans="15:20" x14ac:dyDescent="0.25">
      <c r="O1942">
        <v>1</v>
      </c>
      <c r="S1942" t="e">
        <v>#DIV/0!</v>
      </c>
      <c r="T1942" t="s">
        <v>82</v>
      </c>
    </row>
    <row r="1943" spans="15:20" x14ac:dyDescent="0.25">
      <c r="O1943">
        <v>1</v>
      </c>
      <c r="S1943" t="e">
        <v>#DIV/0!</v>
      </c>
      <c r="T1943" t="s">
        <v>82</v>
      </c>
    </row>
    <row r="1944" spans="15:20" x14ac:dyDescent="0.25">
      <c r="O1944">
        <v>1</v>
      </c>
      <c r="S1944" t="e">
        <v>#DIV/0!</v>
      </c>
      <c r="T1944" t="s">
        <v>82</v>
      </c>
    </row>
    <row r="1945" spans="15:20" x14ac:dyDescent="0.25">
      <c r="O1945">
        <v>1</v>
      </c>
      <c r="S1945" t="e">
        <v>#DIV/0!</v>
      </c>
      <c r="T1945" t="s">
        <v>82</v>
      </c>
    </row>
    <row r="1946" spans="15:20" x14ac:dyDescent="0.25">
      <c r="O1946">
        <v>1</v>
      </c>
      <c r="S1946" t="e">
        <v>#DIV/0!</v>
      </c>
      <c r="T1946" t="s">
        <v>82</v>
      </c>
    </row>
    <row r="1947" spans="15:20" x14ac:dyDescent="0.25">
      <c r="O1947">
        <v>1</v>
      </c>
      <c r="S1947" t="e">
        <v>#DIV/0!</v>
      </c>
      <c r="T1947" t="s">
        <v>82</v>
      </c>
    </row>
    <row r="1948" spans="15:20" x14ac:dyDescent="0.25">
      <c r="O1948">
        <v>1</v>
      </c>
      <c r="S1948" t="e">
        <v>#DIV/0!</v>
      </c>
      <c r="T1948" t="s">
        <v>82</v>
      </c>
    </row>
    <row r="1949" spans="15:20" x14ac:dyDescent="0.25">
      <c r="O1949">
        <v>1</v>
      </c>
      <c r="S1949" t="e">
        <v>#DIV/0!</v>
      </c>
      <c r="T1949" t="s">
        <v>82</v>
      </c>
    </row>
    <row r="1950" spans="15:20" x14ac:dyDescent="0.25">
      <c r="O1950">
        <v>1</v>
      </c>
      <c r="S1950" t="e">
        <v>#DIV/0!</v>
      </c>
      <c r="T1950" t="s">
        <v>82</v>
      </c>
    </row>
    <row r="1951" spans="15:20" x14ac:dyDescent="0.25">
      <c r="O1951">
        <v>1</v>
      </c>
      <c r="S1951" t="e">
        <v>#DIV/0!</v>
      </c>
      <c r="T1951" t="s">
        <v>82</v>
      </c>
    </row>
    <row r="1952" spans="15:20" x14ac:dyDescent="0.25">
      <c r="O1952">
        <v>1</v>
      </c>
      <c r="S1952" t="e">
        <v>#DIV/0!</v>
      </c>
      <c r="T1952" t="s">
        <v>82</v>
      </c>
    </row>
    <row r="1953" spans="15:20" x14ac:dyDescent="0.25">
      <c r="O1953">
        <v>1</v>
      </c>
      <c r="S1953" t="e">
        <v>#DIV/0!</v>
      </c>
      <c r="T1953" t="s">
        <v>82</v>
      </c>
    </row>
    <row r="1954" spans="15:20" x14ac:dyDescent="0.25">
      <c r="O1954">
        <v>1</v>
      </c>
      <c r="S1954" t="e">
        <v>#DIV/0!</v>
      </c>
      <c r="T1954" t="s">
        <v>82</v>
      </c>
    </row>
    <row r="1955" spans="15:20" x14ac:dyDescent="0.25">
      <c r="O1955">
        <v>1</v>
      </c>
      <c r="S1955" t="e">
        <v>#DIV/0!</v>
      </c>
      <c r="T1955" t="s">
        <v>82</v>
      </c>
    </row>
    <row r="1956" spans="15:20" x14ac:dyDescent="0.25">
      <c r="O1956">
        <v>1</v>
      </c>
      <c r="S1956" t="e">
        <v>#DIV/0!</v>
      </c>
      <c r="T1956" t="s">
        <v>82</v>
      </c>
    </row>
    <row r="1957" spans="15:20" x14ac:dyDescent="0.25">
      <c r="O1957">
        <v>1</v>
      </c>
      <c r="S1957" t="e">
        <v>#DIV/0!</v>
      </c>
      <c r="T1957" t="s">
        <v>82</v>
      </c>
    </row>
    <row r="1958" spans="15:20" x14ac:dyDescent="0.25">
      <c r="O1958">
        <v>1</v>
      </c>
      <c r="S1958" t="e">
        <v>#DIV/0!</v>
      </c>
      <c r="T1958" t="s">
        <v>82</v>
      </c>
    </row>
    <row r="1959" spans="15:20" x14ac:dyDescent="0.25">
      <c r="O1959">
        <v>1</v>
      </c>
      <c r="S1959" t="e">
        <v>#DIV/0!</v>
      </c>
      <c r="T1959" t="s">
        <v>82</v>
      </c>
    </row>
    <row r="1960" spans="15:20" x14ac:dyDescent="0.25">
      <c r="O1960">
        <v>1</v>
      </c>
      <c r="S1960" t="e">
        <v>#DIV/0!</v>
      </c>
      <c r="T1960" t="s">
        <v>82</v>
      </c>
    </row>
    <row r="1961" spans="15:20" x14ac:dyDescent="0.25">
      <c r="O1961">
        <v>1</v>
      </c>
      <c r="S1961" t="e">
        <v>#DIV/0!</v>
      </c>
      <c r="T1961" t="s">
        <v>82</v>
      </c>
    </row>
    <row r="1962" spans="15:20" x14ac:dyDescent="0.25">
      <c r="O1962">
        <v>1</v>
      </c>
      <c r="S1962" t="e">
        <v>#DIV/0!</v>
      </c>
      <c r="T1962" t="s">
        <v>82</v>
      </c>
    </row>
    <row r="1963" spans="15:20" x14ac:dyDescent="0.25">
      <c r="O1963">
        <v>1</v>
      </c>
      <c r="S1963" t="e">
        <v>#DIV/0!</v>
      </c>
      <c r="T1963" t="s">
        <v>82</v>
      </c>
    </row>
    <row r="1964" spans="15:20" x14ac:dyDescent="0.25">
      <c r="O1964">
        <v>1</v>
      </c>
      <c r="S1964" t="e">
        <v>#DIV/0!</v>
      </c>
      <c r="T1964" t="s">
        <v>82</v>
      </c>
    </row>
    <row r="1965" spans="15:20" x14ac:dyDescent="0.25">
      <c r="O1965">
        <v>1</v>
      </c>
      <c r="S1965" t="e">
        <v>#DIV/0!</v>
      </c>
      <c r="T1965" t="s">
        <v>82</v>
      </c>
    </row>
    <row r="1966" spans="15:20" x14ac:dyDescent="0.25">
      <c r="O1966">
        <v>1</v>
      </c>
      <c r="S1966" t="e">
        <v>#DIV/0!</v>
      </c>
      <c r="T1966" t="s">
        <v>82</v>
      </c>
    </row>
    <row r="1967" spans="15:20" x14ac:dyDescent="0.25">
      <c r="O1967">
        <v>1</v>
      </c>
      <c r="S1967" t="e">
        <v>#DIV/0!</v>
      </c>
      <c r="T1967" t="s">
        <v>82</v>
      </c>
    </row>
    <row r="1968" spans="15:20" x14ac:dyDescent="0.25">
      <c r="O1968">
        <v>1</v>
      </c>
      <c r="S1968" t="e">
        <v>#DIV/0!</v>
      </c>
      <c r="T1968" t="s">
        <v>82</v>
      </c>
    </row>
    <row r="1969" spans="15:20" x14ac:dyDescent="0.25">
      <c r="O1969">
        <v>1</v>
      </c>
      <c r="S1969" t="e">
        <v>#DIV/0!</v>
      </c>
      <c r="T1969" t="s">
        <v>82</v>
      </c>
    </row>
    <row r="1970" spans="15:20" x14ac:dyDescent="0.25">
      <c r="O1970">
        <v>1</v>
      </c>
      <c r="S1970" t="e">
        <v>#DIV/0!</v>
      </c>
      <c r="T1970" t="s">
        <v>82</v>
      </c>
    </row>
    <row r="1971" spans="15:20" x14ac:dyDescent="0.25">
      <c r="O1971">
        <v>1</v>
      </c>
      <c r="S1971" t="e">
        <v>#DIV/0!</v>
      </c>
      <c r="T1971" t="s">
        <v>82</v>
      </c>
    </row>
    <row r="1972" spans="15:20" x14ac:dyDescent="0.25">
      <c r="O1972">
        <v>1</v>
      </c>
      <c r="S1972" t="e">
        <v>#DIV/0!</v>
      </c>
      <c r="T1972" t="s">
        <v>82</v>
      </c>
    </row>
    <row r="1973" spans="15:20" x14ac:dyDescent="0.25">
      <c r="O1973">
        <v>1</v>
      </c>
      <c r="S1973" t="e">
        <v>#DIV/0!</v>
      </c>
      <c r="T1973" t="s">
        <v>82</v>
      </c>
    </row>
    <row r="1974" spans="15:20" x14ac:dyDescent="0.25">
      <c r="O1974">
        <v>1</v>
      </c>
      <c r="S1974" t="e">
        <v>#DIV/0!</v>
      </c>
      <c r="T1974" t="s">
        <v>82</v>
      </c>
    </row>
    <row r="1975" spans="15:20" x14ac:dyDescent="0.25">
      <c r="O1975">
        <v>1</v>
      </c>
      <c r="S1975" t="e">
        <v>#DIV/0!</v>
      </c>
      <c r="T1975" t="s">
        <v>82</v>
      </c>
    </row>
    <row r="1976" spans="15:20" x14ac:dyDescent="0.25">
      <c r="O1976">
        <v>1</v>
      </c>
      <c r="S1976" t="e">
        <v>#DIV/0!</v>
      </c>
      <c r="T1976" t="s">
        <v>82</v>
      </c>
    </row>
    <row r="1977" spans="15:20" x14ac:dyDescent="0.25">
      <c r="O1977">
        <v>1</v>
      </c>
      <c r="S1977" t="e">
        <v>#DIV/0!</v>
      </c>
      <c r="T1977" t="s">
        <v>82</v>
      </c>
    </row>
    <row r="1978" spans="15:20" x14ac:dyDescent="0.25">
      <c r="O1978">
        <v>1</v>
      </c>
      <c r="S1978" t="e">
        <v>#DIV/0!</v>
      </c>
      <c r="T1978" t="s">
        <v>82</v>
      </c>
    </row>
    <row r="1979" spans="15:20" x14ac:dyDescent="0.25">
      <c r="O1979">
        <v>1</v>
      </c>
      <c r="S1979" t="e">
        <v>#DIV/0!</v>
      </c>
      <c r="T1979" t="s">
        <v>82</v>
      </c>
    </row>
    <row r="1980" spans="15:20" x14ac:dyDescent="0.25">
      <c r="O1980">
        <v>1</v>
      </c>
      <c r="S1980" t="e">
        <v>#DIV/0!</v>
      </c>
      <c r="T1980" t="s">
        <v>82</v>
      </c>
    </row>
    <row r="1981" spans="15:20" x14ac:dyDescent="0.25">
      <c r="O1981">
        <v>1</v>
      </c>
      <c r="S1981" t="e">
        <v>#DIV/0!</v>
      </c>
      <c r="T1981" t="s">
        <v>82</v>
      </c>
    </row>
    <row r="1982" spans="15:20" x14ac:dyDescent="0.25">
      <c r="O1982">
        <v>1</v>
      </c>
      <c r="S1982" t="e">
        <v>#DIV/0!</v>
      </c>
      <c r="T1982" t="s">
        <v>82</v>
      </c>
    </row>
    <row r="1983" spans="15:20" x14ac:dyDescent="0.25">
      <c r="O1983">
        <v>1</v>
      </c>
      <c r="S1983" t="e">
        <v>#DIV/0!</v>
      </c>
      <c r="T1983" t="s">
        <v>82</v>
      </c>
    </row>
    <row r="1984" spans="15:20" x14ac:dyDescent="0.25">
      <c r="O1984">
        <v>1</v>
      </c>
      <c r="S1984" t="e">
        <v>#DIV/0!</v>
      </c>
      <c r="T1984" t="s">
        <v>82</v>
      </c>
    </row>
    <row r="1985" spans="15:20" x14ac:dyDescent="0.25">
      <c r="O1985">
        <v>1</v>
      </c>
      <c r="S1985" t="e">
        <v>#DIV/0!</v>
      </c>
      <c r="T1985" t="s">
        <v>82</v>
      </c>
    </row>
    <row r="1986" spans="15:20" x14ac:dyDescent="0.25">
      <c r="O1986">
        <v>1</v>
      </c>
      <c r="S1986" t="e">
        <v>#DIV/0!</v>
      </c>
      <c r="T1986" t="s">
        <v>82</v>
      </c>
    </row>
    <row r="1987" spans="15:20" x14ac:dyDescent="0.25">
      <c r="O1987">
        <v>1</v>
      </c>
      <c r="S1987" t="e">
        <v>#DIV/0!</v>
      </c>
      <c r="T1987" t="s">
        <v>82</v>
      </c>
    </row>
    <row r="1988" spans="15:20" x14ac:dyDescent="0.25">
      <c r="O1988">
        <v>1</v>
      </c>
      <c r="S1988" t="e">
        <v>#DIV/0!</v>
      </c>
      <c r="T1988" t="s">
        <v>82</v>
      </c>
    </row>
    <row r="1989" spans="15:20" x14ac:dyDescent="0.25">
      <c r="O1989">
        <v>1</v>
      </c>
      <c r="S1989" t="e">
        <v>#DIV/0!</v>
      </c>
      <c r="T1989" t="s">
        <v>82</v>
      </c>
    </row>
    <row r="1990" spans="15:20" x14ac:dyDescent="0.25">
      <c r="O1990">
        <v>1</v>
      </c>
      <c r="S1990" t="e">
        <v>#DIV/0!</v>
      </c>
      <c r="T1990" t="s">
        <v>82</v>
      </c>
    </row>
    <row r="1991" spans="15:20" x14ac:dyDescent="0.25">
      <c r="O1991">
        <v>1</v>
      </c>
      <c r="S1991" t="e">
        <v>#DIV/0!</v>
      </c>
      <c r="T1991" t="s">
        <v>82</v>
      </c>
    </row>
    <row r="1992" spans="15:20" x14ac:dyDescent="0.25">
      <c r="O1992">
        <v>1</v>
      </c>
      <c r="S1992" t="e">
        <v>#DIV/0!</v>
      </c>
      <c r="T1992" t="s">
        <v>82</v>
      </c>
    </row>
    <row r="1993" spans="15:20" x14ac:dyDescent="0.25">
      <c r="O1993">
        <v>1</v>
      </c>
      <c r="S1993" t="e">
        <v>#DIV/0!</v>
      </c>
      <c r="T1993" t="s">
        <v>82</v>
      </c>
    </row>
    <row r="1994" spans="15:20" x14ac:dyDescent="0.25">
      <c r="O1994">
        <v>1</v>
      </c>
      <c r="S1994" t="e">
        <v>#DIV/0!</v>
      </c>
      <c r="T1994" t="s">
        <v>82</v>
      </c>
    </row>
    <row r="1995" spans="15:20" x14ac:dyDescent="0.25">
      <c r="O1995">
        <v>1</v>
      </c>
      <c r="S1995" t="e">
        <v>#DIV/0!</v>
      </c>
      <c r="T1995" t="s">
        <v>82</v>
      </c>
    </row>
    <row r="1996" spans="15:20" x14ac:dyDescent="0.25">
      <c r="O1996">
        <v>1</v>
      </c>
      <c r="S1996" t="e">
        <v>#DIV/0!</v>
      </c>
      <c r="T1996" t="s">
        <v>82</v>
      </c>
    </row>
    <row r="1997" spans="15:20" x14ac:dyDescent="0.25">
      <c r="O1997">
        <v>1</v>
      </c>
      <c r="S1997" t="e">
        <v>#DIV/0!</v>
      </c>
      <c r="T1997" t="s">
        <v>82</v>
      </c>
    </row>
    <row r="1998" spans="15:20" x14ac:dyDescent="0.25">
      <c r="O1998">
        <v>1</v>
      </c>
      <c r="S1998" t="e">
        <v>#DIV/0!</v>
      </c>
      <c r="T1998" t="s">
        <v>82</v>
      </c>
    </row>
    <row r="1999" spans="15:20" x14ac:dyDescent="0.25">
      <c r="O1999">
        <v>1</v>
      </c>
      <c r="S1999" t="e">
        <v>#DIV/0!</v>
      </c>
      <c r="T1999" t="s">
        <v>82</v>
      </c>
    </row>
    <row r="2000" spans="15:20" x14ac:dyDescent="0.25">
      <c r="O2000">
        <v>1</v>
      </c>
      <c r="S2000" t="e">
        <v>#DIV/0!</v>
      </c>
      <c r="T2000" t="s">
        <v>82</v>
      </c>
    </row>
    <row r="2001" spans="15:20" x14ac:dyDescent="0.25">
      <c r="O2001">
        <v>1</v>
      </c>
      <c r="S2001" t="e">
        <v>#DIV/0!</v>
      </c>
      <c r="T2001" t="s">
        <v>82</v>
      </c>
    </row>
    <row r="2002" spans="15:20" x14ac:dyDescent="0.25">
      <c r="O2002">
        <v>1</v>
      </c>
      <c r="S2002" t="e">
        <v>#DIV/0!</v>
      </c>
      <c r="T2002" t="s">
        <v>82</v>
      </c>
    </row>
    <row r="2003" spans="15:20" x14ac:dyDescent="0.25">
      <c r="O2003">
        <v>1</v>
      </c>
      <c r="S2003" t="e">
        <v>#DIV/0!</v>
      </c>
      <c r="T2003" t="s">
        <v>82</v>
      </c>
    </row>
    <row r="2004" spans="15:20" x14ac:dyDescent="0.25">
      <c r="O2004">
        <v>1</v>
      </c>
      <c r="S2004" t="e">
        <v>#DIV/0!</v>
      </c>
      <c r="T2004" t="s">
        <v>82</v>
      </c>
    </row>
    <row r="2005" spans="15:20" x14ac:dyDescent="0.25">
      <c r="O2005">
        <v>1</v>
      </c>
      <c r="S2005" t="e">
        <v>#DIV/0!</v>
      </c>
      <c r="T2005" t="s">
        <v>82</v>
      </c>
    </row>
    <row r="2006" spans="15:20" x14ac:dyDescent="0.25">
      <c r="O2006">
        <v>1</v>
      </c>
      <c r="S2006" t="e">
        <v>#DIV/0!</v>
      </c>
      <c r="T2006" t="s">
        <v>82</v>
      </c>
    </row>
    <row r="2007" spans="15:20" x14ac:dyDescent="0.25">
      <c r="O2007">
        <v>1</v>
      </c>
      <c r="S2007" t="e">
        <v>#DIV/0!</v>
      </c>
      <c r="T2007" t="s">
        <v>82</v>
      </c>
    </row>
    <row r="2008" spans="15:20" x14ac:dyDescent="0.25">
      <c r="O2008">
        <v>1</v>
      </c>
      <c r="S2008" t="e">
        <v>#DIV/0!</v>
      </c>
      <c r="T2008" t="s">
        <v>82</v>
      </c>
    </row>
    <row r="2009" spans="15:20" x14ac:dyDescent="0.25">
      <c r="O2009">
        <v>1</v>
      </c>
      <c r="S2009" t="e">
        <v>#DIV/0!</v>
      </c>
      <c r="T2009" t="s">
        <v>82</v>
      </c>
    </row>
    <row r="2010" spans="15:20" x14ac:dyDescent="0.25">
      <c r="O2010">
        <v>1</v>
      </c>
      <c r="S2010" t="e">
        <v>#DIV/0!</v>
      </c>
      <c r="T2010" t="s">
        <v>82</v>
      </c>
    </row>
    <row r="2011" spans="15:20" x14ac:dyDescent="0.25">
      <c r="O2011">
        <v>1</v>
      </c>
      <c r="S2011" t="e">
        <v>#DIV/0!</v>
      </c>
      <c r="T2011" t="s">
        <v>82</v>
      </c>
    </row>
    <row r="2012" spans="15:20" x14ac:dyDescent="0.25">
      <c r="O2012">
        <v>1</v>
      </c>
      <c r="S2012" t="e">
        <v>#DIV/0!</v>
      </c>
      <c r="T2012" t="s">
        <v>82</v>
      </c>
    </row>
    <row r="2013" spans="15:20" x14ac:dyDescent="0.25">
      <c r="O2013">
        <v>1</v>
      </c>
      <c r="S2013" t="e">
        <v>#DIV/0!</v>
      </c>
      <c r="T2013" t="s">
        <v>82</v>
      </c>
    </row>
    <row r="2014" spans="15:20" x14ac:dyDescent="0.25">
      <c r="O2014">
        <v>1</v>
      </c>
      <c r="S2014" t="e">
        <v>#DIV/0!</v>
      </c>
      <c r="T2014" t="s">
        <v>82</v>
      </c>
    </row>
    <row r="2015" spans="15:20" x14ac:dyDescent="0.25">
      <c r="O2015">
        <v>1</v>
      </c>
      <c r="S2015" t="e">
        <v>#DIV/0!</v>
      </c>
      <c r="T2015" t="s">
        <v>82</v>
      </c>
    </row>
    <row r="2016" spans="15:20" x14ac:dyDescent="0.25">
      <c r="O2016">
        <v>1</v>
      </c>
      <c r="S2016" t="e">
        <v>#DIV/0!</v>
      </c>
      <c r="T2016" t="s">
        <v>82</v>
      </c>
    </row>
    <row r="2017" spans="15:20" x14ac:dyDescent="0.25">
      <c r="O2017">
        <v>1</v>
      </c>
      <c r="S2017" t="e">
        <v>#DIV/0!</v>
      </c>
      <c r="T2017" t="s">
        <v>82</v>
      </c>
    </row>
    <row r="2018" spans="15:20" x14ac:dyDescent="0.25">
      <c r="O2018">
        <v>1</v>
      </c>
      <c r="S2018" t="e">
        <v>#DIV/0!</v>
      </c>
      <c r="T2018" t="s">
        <v>82</v>
      </c>
    </row>
    <row r="2019" spans="15:20" x14ac:dyDescent="0.25">
      <c r="O2019">
        <v>1</v>
      </c>
      <c r="S2019" t="e">
        <v>#DIV/0!</v>
      </c>
      <c r="T2019" t="s">
        <v>82</v>
      </c>
    </row>
    <row r="2020" spans="15:20" x14ac:dyDescent="0.25">
      <c r="O2020">
        <v>1</v>
      </c>
      <c r="S2020" t="e">
        <v>#DIV/0!</v>
      </c>
      <c r="T2020" t="s">
        <v>82</v>
      </c>
    </row>
    <row r="2021" spans="15:20" x14ac:dyDescent="0.25">
      <c r="O2021">
        <v>1</v>
      </c>
      <c r="S2021" t="e">
        <v>#DIV/0!</v>
      </c>
      <c r="T2021" t="s">
        <v>82</v>
      </c>
    </row>
    <row r="2022" spans="15:20" x14ac:dyDescent="0.25">
      <c r="O2022">
        <v>1</v>
      </c>
      <c r="S2022" t="e">
        <v>#DIV/0!</v>
      </c>
      <c r="T2022" t="s">
        <v>82</v>
      </c>
    </row>
    <row r="2023" spans="15:20" x14ac:dyDescent="0.25">
      <c r="O2023">
        <v>1</v>
      </c>
      <c r="S2023" t="e">
        <v>#DIV/0!</v>
      </c>
      <c r="T2023" t="s">
        <v>82</v>
      </c>
    </row>
    <row r="2024" spans="15:20" x14ac:dyDescent="0.25">
      <c r="O2024">
        <v>1</v>
      </c>
      <c r="S2024" t="e">
        <v>#DIV/0!</v>
      </c>
      <c r="T2024" t="s">
        <v>82</v>
      </c>
    </row>
    <row r="2025" spans="15:20" x14ac:dyDescent="0.25">
      <c r="O2025">
        <v>1</v>
      </c>
      <c r="S2025" t="e">
        <v>#DIV/0!</v>
      </c>
      <c r="T2025" t="s">
        <v>82</v>
      </c>
    </row>
    <row r="2026" spans="15:20" x14ac:dyDescent="0.25">
      <c r="O2026">
        <v>1</v>
      </c>
      <c r="S2026" t="e">
        <v>#DIV/0!</v>
      </c>
      <c r="T2026" t="s">
        <v>82</v>
      </c>
    </row>
    <row r="2027" spans="15:20" x14ac:dyDescent="0.25">
      <c r="O2027">
        <v>1</v>
      </c>
      <c r="S2027" t="e">
        <v>#DIV/0!</v>
      </c>
      <c r="T2027" t="s">
        <v>82</v>
      </c>
    </row>
    <row r="2028" spans="15:20" x14ac:dyDescent="0.25">
      <c r="O2028">
        <v>1</v>
      </c>
      <c r="S2028" t="e">
        <v>#DIV/0!</v>
      </c>
      <c r="T2028" t="s">
        <v>82</v>
      </c>
    </row>
    <row r="2029" spans="15:20" x14ac:dyDescent="0.25">
      <c r="O2029">
        <v>1</v>
      </c>
      <c r="S2029" t="e">
        <v>#DIV/0!</v>
      </c>
      <c r="T2029" t="s">
        <v>82</v>
      </c>
    </row>
    <row r="2030" spans="15:20" x14ac:dyDescent="0.25">
      <c r="O2030">
        <v>1</v>
      </c>
      <c r="S2030" t="e">
        <v>#DIV/0!</v>
      </c>
      <c r="T2030" t="s">
        <v>82</v>
      </c>
    </row>
    <row r="2031" spans="15:20" x14ac:dyDescent="0.25">
      <c r="O2031">
        <v>1</v>
      </c>
      <c r="S2031" t="e">
        <v>#DIV/0!</v>
      </c>
      <c r="T2031" t="s">
        <v>82</v>
      </c>
    </row>
    <row r="2032" spans="15:20" x14ac:dyDescent="0.25">
      <c r="O2032">
        <v>1</v>
      </c>
      <c r="S2032" t="e">
        <v>#DIV/0!</v>
      </c>
      <c r="T2032" t="s">
        <v>82</v>
      </c>
    </row>
    <row r="2033" spans="15:20" x14ac:dyDescent="0.25">
      <c r="O2033">
        <v>1</v>
      </c>
      <c r="S2033" t="e">
        <v>#DIV/0!</v>
      </c>
      <c r="T2033" t="s">
        <v>82</v>
      </c>
    </row>
    <row r="2034" spans="15:20" x14ac:dyDescent="0.25">
      <c r="O2034">
        <v>1</v>
      </c>
      <c r="S2034" t="e">
        <v>#DIV/0!</v>
      </c>
      <c r="T2034" t="s">
        <v>82</v>
      </c>
    </row>
    <row r="2035" spans="15:20" x14ac:dyDescent="0.25">
      <c r="O2035">
        <v>1</v>
      </c>
      <c r="S2035" t="e">
        <v>#DIV/0!</v>
      </c>
      <c r="T2035" t="s">
        <v>82</v>
      </c>
    </row>
    <row r="2036" spans="15:20" x14ac:dyDescent="0.25">
      <c r="O2036">
        <v>1</v>
      </c>
      <c r="S2036" t="e">
        <v>#DIV/0!</v>
      </c>
      <c r="T2036" t="s">
        <v>82</v>
      </c>
    </row>
    <row r="2037" spans="15:20" x14ac:dyDescent="0.25">
      <c r="O2037">
        <v>1</v>
      </c>
      <c r="S2037" t="e">
        <v>#DIV/0!</v>
      </c>
      <c r="T2037" t="s">
        <v>82</v>
      </c>
    </row>
    <row r="2038" spans="15:20" x14ac:dyDescent="0.25">
      <c r="O2038">
        <v>1</v>
      </c>
      <c r="S2038" t="e">
        <v>#DIV/0!</v>
      </c>
      <c r="T2038" t="s">
        <v>82</v>
      </c>
    </row>
    <row r="2039" spans="15:20" x14ac:dyDescent="0.25">
      <c r="O2039">
        <v>1</v>
      </c>
      <c r="S2039" t="e">
        <v>#DIV/0!</v>
      </c>
      <c r="T2039" t="s">
        <v>82</v>
      </c>
    </row>
    <row r="2040" spans="15:20" x14ac:dyDescent="0.25">
      <c r="O2040">
        <v>1</v>
      </c>
      <c r="S2040" t="e">
        <v>#DIV/0!</v>
      </c>
      <c r="T2040" t="s">
        <v>82</v>
      </c>
    </row>
    <row r="2041" spans="15:20" x14ac:dyDescent="0.25">
      <c r="O2041">
        <v>1</v>
      </c>
      <c r="S2041" t="e">
        <v>#DIV/0!</v>
      </c>
      <c r="T2041" t="s">
        <v>82</v>
      </c>
    </row>
    <row r="2042" spans="15:20" x14ac:dyDescent="0.25">
      <c r="O2042">
        <v>1</v>
      </c>
      <c r="S2042" t="e">
        <v>#DIV/0!</v>
      </c>
      <c r="T2042" t="s">
        <v>82</v>
      </c>
    </row>
    <row r="2043" spans="15:20" x14ac:dyDescent="0.25">
      <c r="O2043">
        <v>1</v>
      </c>
      <c r="S2043" t="e">
        <v>#DIV/0!</v>
      </c>
      <c r="T2043" t="s">
        <v>82</v>
      </c>
    </row>
    <row r="2044" spans="15:20" x14ac:dyDescent="0.25">
      <c r="O2044">
        <v>1</v>
      </c>
      <c r="S2044" t="e">
        <v>#DIV/0!</v>
      </c>
      <c r="T2044" t="s">
        <v>82</v>
      </c>
    </row>
    <row r="2045" spans="15:20" x14ac:dyDescent="0.25">
      <c r="O2045">
        <v>1</v>
      </c>
      <c r="S2045" t="e">
        <v>#DIV/0!</v>
      </c>
      <c r="T2045" t="s">
        <v>82</v>
      </c>
    </row>
    <row r="2046" spans="15:20" x14ac:dyDescent="0.25">
      <c r="O2046">
        <v>1</v>
      </c>
      <c r="S2046" t="e">
        <v>#DIV/0!</v>
      </c>
      <c r="T2046" t="s">
        <v>82</v>
      </c>
    </row>
    <row r="2047" spans="15:20" x14ac:dyDescent="0.25">
      <c r="O2047">
        <v>1</v>
      </c>
      <c r="S2047" t="e">
        <v>#DIV/0!</v>
      </c>
      <c r="T2047" t="s">
        <v>82</v>
      </c>
    </row>
    <row r="2048" spans="15:20" x14ac:dyDescent="0.25">
      <c r="O2048">
        <v>1</v>
      </c>
      <c r="S2048" t="e">
        <v>#DIV/0!</v>
      </c>
      <c r="T2048" t="s">
        <v>82</v>
      </c>
    </row>
    <row r="2049" spans="15:20" x14ac:dyDescent="0.25">
      <c r="O2049">
        <v>1</v>
      </c>
      <c r="S2049" t="e">
        <v>#DIV/0!</v>
      </c>
      <c r="T2049" t="s">
        <v>82</v>
      </c>
    </row>
    <row r="2050" spans="15:20" x14ac:dyDescent="0.25">
      <c r="O2050">
        <v>1</v>
      </c>
      <c r="S2050" t="e">
        <v>#DIV/0!</v>
      </c>
      <c r="T2050" t="s">
        <v>82</v>
      </c>
    </row>
    <row r="2051" spans="15:20" x14ac:dyDescent="0.25">
      <c r="O2051">
        <v>1</v>
      </c>
      <c r="S2051" t="e">
        <v>#DIV/0!</v>
      </c>
      <c r="T2051" t="s">
        <v>82</v>
      </c>
    </row>
    <row r="2052" spans="15:20" x14ac:dyDescent="0.25">
      <c r="O2052">
        <v>1</v>
      </c>
      <c r="S2052" t="e">
        <v>#DIV/0!</v>
      </c>
      <c r="T2052" t="s">
        <v>82</v>
      </c>
    </row>
    <row r="2053" spans="15:20" x14ac:dyDescent="0.25">
      <c r="O2053">
        <v>1</v>
      </c>
      <c r="S2053" t="e">
        <v>#DIV/0!</v>
      </c>
      <c r="T2053" t="s">
        <v>82</v>
      </c>
    </row>
    <row r="2054" spans="15:20" x14ac:dyDescent="0.25">
      <c r="O2054">
        <v>1</v>
      </c>
      <c r="S2054" t="e">
        <v>#DIV/0!</v>
      </c>
      <c r="T2054" t="s">
        <v>82</v>
      </c>
    </row>
    <row r="2055" spans="15:20" x14ac:dyDescent="0.25">
      <c r="O2055">
        <v>1</v>
      </c>
      <c r="S2055" t="e">
        <v>#DIV/0!</v>
      </c>
      <c r="T2055" t="s">
        <v>82</v>
      </c>
    </row>
    <row r="2056" spans="15:20" x14ac:dyDescent="0.25">
      <c r="O2056">
        <v>1</v>
      </c>
      <c r="S2056" t="e">
        <v>#DIV/0!</v>
      </c>
      <c r="T2056" t="s">
        <v>82</v>
      </c>
    </row>
    <row r="2057" spans="15:20" x14ac:dyDescent="0.25">
      <c r="O2057">
        <v>1</v>
      </c>
      <c r="S2057" t="e">
        <v>#DIV/0!</v>
      </c>
      <c r="T2057" t="s">
        <v>82</v>
      </c>
    </row>
    <row r="2058" spans="15:20" x14ac:dyDescent="0.25">
      <c r="O2058">
        <v>1</v>
      </c>
      <c r="S2058" t="e">
        <v>#DIV/0!</v>
      </c>
      <c r="T2058" t="s">
        <v>82</v>
      </c>
    </row>
    <row r="2059" spans="15:20" x14ac:dyDescent="0.25">
      <c r="O2059">
        <v>1</v>
      </c>
      <c r="S2059" t="e">
        <v>#DIV/0!</v>
      </c>
      <c r="T2059" t="s">
        <v>82</v>
      </c>
    </row>
    <row r="2060" spans="15:20" x14ac:dyDescent="0.25">
      <c r="O2060">
        <v>1</v>
      </c>
      <c r="S2060" t="e">
        <v>#DIV/0!</v>
      </c>
      <c r="T2060" t="s">
        <v>82</v>
      </c>
    </row>
    <row r="2061" spans="15:20" x14ac:dyDescent="0.25">
      <c r="O2061">
        <v>1</v>
      </c>
      <c r="S2061" t="e">
        <v>#DIV/0!</v>
      </c>
      <c r="T2061" t="s">
        <v>82</v>
      </c>
    </row>
    <row r="2062" spans="15:20" x14ac:dyDescent="0.25">
      <c r="O2062">
        <v>1</v>
      </c>
      <c r="S2062" t="e">
        <v>#DIV/0!</v>
      </c>
      <c r="T2062" t="s">
        <v>82</v>
      </c>
    </row>
    <row r="2063" spans="15:20" x14ac:dyDescent="0.25">
      <c r="O2063">
        <v>1</v>
      </c>
      <c r="S2063" t="e">
        <v>#DIV/0!</v>
      </c>
      <c r="T2063" t="s">
        <v>82</v>
      </c>
    </row>
    <row r="2064" spans="15:20" x14ac:dyDescent="0.25">
      <c r="O2064">
        <v>1</v>
      </c>
      <c r="S2064" t="e">
        <v>#DIV/0!</v>
      </c>
      <c r="T2064" t="s">
        <v>82</v>
      </c>
    </row>
    <row r="2065" spans="15:20" x14ac:dyDescent="0.25">
      <c r="O2065">
        <v>1</v>
      </c>
      <c r="S2065" t="e">
        <v>#DIV/0!</v>
      </c>
      <c r="T2065" t="s">
        <v>82</v>
      </c>
    </row>
    <row r="2066" spans="15:20" x14ac:dyDescent="0.25">
      <c r="O2066">
        <v>1</v>
      </c>
      <c r="S2066" t="e">
        <v>#DIV/0!</v>
      </c>
      <c r="T2066" t="s">
        <v>82</v>
      </c>
    </row>
    <row r="2067" spans="15:20" x14ac:dyDescent="0.25">
      <c r="O2067">
        <v>1</v>
      </c>
      <c r="S2067" t="e">
        <v>#DIV/0!</v>
      </c>
      <c r="T2067" t="s">
        <v>82</v>
      </c>
    </row>
    <row r="2068" spans="15:20" x14ac:dyDescent="0.25">
      <c r="O2068">
        <v>1</v>
      </c>
      <c r="S2068" t="e">
        <v>#DIV/0!</v>
      </c>
      <c r="T2068" t="s">
        <v>82</v>
      </c>
    </row>
    <row r="2069" spans="15:20" x14ac:dyDescent="0.25">
      <c r="O2069">
        <v>1</v>
      </c>
      <c r="S2069" t="e">
        <v>#DIV/0!</v>
      </c>
      <c r="T2069" t="s">
        <v>82</v>
      </c>
    </row>
    <row r="2070" spans="15:20" x14ac:dyDescent="0.25">
      <c r="O2070">
        <v>1</v>
      </c>
      <c r="S2070" t="e">
        <v>#DIV/0!</v>
      </c>
      <c r="T2070" t="s">
        <v>82</v>
      </c>
    </row>
    <row r="2071" spans="15:20" x14ac:dyDescent="0.25">
      <c r="O2071">
        <v>1</v>
      </c>
      <c r="S2071" t="e">
        <v>#DIV/0!</v>
      </c>
      <c r="T2071" t="s">
        <v>82</v>
      </c>
    </row>
    <row r="2072" spans="15:20" x14ac:dyDescent="0.25">
      <c r="O2072">
        <v>1</v>
      </c>
      <c r="S2072" t="e">
        <v>#DIV/0!</v>
      </c>
      <c r="T2072" t="s">
        <v>82</v>
      </c>
    </row>
    <row r="2073" spans="15:20" x14ac:dyDescent="0.25">
      <c r="O2073">
        <v>1</v>
      </c>
      <c r="S2073" t="e">
        <v>#DIV/0!</v>
      </c>
      <c r="T2073" t="s">
        <v>82</v>
      </c>
    </row>
    <row r="2074" spans="15:20" x14ac:dyDescent="0.25">
      <c r="O2074">
        <v>1</v>
      </c>
      <c r="S2074" t="e">
        <v>#DIV/0!</v>
      </c>
      <c r="T2074" t="s">
        <v>82</v>
      </c>
    </row>
    <row r="2075" spans="15:20" x14ac:dyDescent="0.25">
      <c r="O2075">
        <v>1</v>
      </c>
      <c r="S2075" t="e">
        <v>#DIV/0!</v>
      </c>
      <c r="T2075" t="s">
        <v>82</v>
      </c>
    </row>
    <row r="2076" spans="15:20" x14ac:dyDescent="0.25">
      <c r="O2076">
        <v>1</v>
      </c>
      <c r="S2076" t="e">
        <v>#DIV/0!</v>
      </c>
      <c r="T2076" t="s">
        <v>82</v>
      </c>
    </row>
    <row r="2077" spans="15:20" x14ac:dyDescent="0.25">
      <c r="O2077">
        <v>1</v>
      </c>
      <c r="S2077" t="e">
        <v>#DIV/0!</v>
      </c>
      <c r="T2077" t="s">
        <v>82</v>
      </c>
    </row>
    <row r="2078" spans="15:20" x14ac:dyDescent="0.25">
      <c r="O2078">
        <v>1</v>
      </c>
      <c r="S2078" t="e">
        <v>#DIV/0!</v>
      </c>
      <c r="T2078" t="s">
        <v>82</v>
      </c>
    </row>
    <row r="2079" spans="15:20" x14ac:dyDescent="0.25">
      <c r="O2079">
        <v>1</v>
      </c>
      <c r="S2079" t="e">
        <v>#DIV/0!</v>
      </c>
      <c r="T2079" t="s">
        <v>82</v>
      </c>
    </row>
    <row r="2080" spans="15:20" x14ac:dyDescent="0.25">
      <c r="O2080">
        <v>1</v>
      </c>
      <c r="S2080" t="e">
        <v>#DIV/0!</v>
      </c>
      <c r="T2080" t="s">
        <v>82</v>
      </c>
    </row>
    <row r="2081" spans="15:20" x14ac:dyDescent="0.25">
      <c r="O2081">
        <v>1</v>
      </c>
      <c r="S2081" t="e">
        <v>#DIV/0!</v>
      </c>
      <c r="T2081" t="s">
        <v>82</v>
      </c>
    </row>
    <row r="2082" spans="15:20" x14ac:dyDescent="0.25">
      <c r="O2082">
        <v>1</v>
      </c>
      <c r="S2082" t="e">
        <v>#DIV/0!</v>
      </c>
      <c r="T2082" t="s">
        <v>82</v>
      </c>
    </row>
    <row r="2083" spans="15:20" x14ac:dyDescent="0.25">
      <c r="O2083">
        <v>1</v>
      </c>
      <c r="S2083" t="e">
        <v>#DIV/0!</v>
      </c>
      <c r="T2083" t="s">
        <v>82</v>
      </c>
    </row>
    <row r="2084" spans="15:20" x14ac:dyDescent="0.25">
      <c r="O2084">
        <v>1</v>
      </c>
      <c r="S2084" t="e">
        <v>#DIV/0!</v>
      </c>
      <c r="T2084" t="s">
        <v>82</v>
      </c>
    </row>
    <row r="2085" spans="15:20" x14ac:dyDescent="0.25">
      <c r="O2085">
        <v>1</v>
      </c>
      <c r="S2085" t="e">
        <v>#DIV/0!</v>
      </c>
      <c r="T2085" t="s">
        <v>82</v>
      </c>
    </row>
    <row r="2086" spans="15:20" x14ac:dyDescent="0.25">
      <c r="O2086">
        <v>1</v>
      </c>
      <c r="S2086" t="e">
        <v>#DIV/0!</v>
      </c>
      <c r="T2086" t="s">
        <v>82</v>
      </c>
    </row>
    <row r="2087" spans="15:20" x14ac:dyDescent="0.25">
      <c r="O2087">
        <v>1</v>
      </c>
      <c r="S2087" t="e">
        <v>#DIV/0!</v>
      </c>
      <c r="T2087" t="s">
        <v>82</v>
      </c>
    </row>
    <row r="2088" spans="15:20" x14ac:dyDescent="0.25">
      <c r="O2088">
        <v>1</v>
      </c>
      <c r="S2088" t="e">
        <v>#DIV/0!</v>
      </c>
      <c r="T2088" t="s">
        <v>82</v>
      </c>
    </row>
    <row r="2089" spans="15:20" x14ac:dyDescent="0.25">
      <c r="O2089">
        <v>1</v>
      </c>
      <c r="S2089" t="e">
        <v>#DIV/0!</v>
      </c>
      <c r="T2089" t="s">
        <v>82</v>
      </c>
    </row>
    <row r="2090" spans="15:20" x14ac:dyDescent="0.25">
      <c r="O2090">
        <v>1</v>
      </c>
      <c r="S2090" t="e">
        <v>#DIV/0!</v>
      </c>
      <c r="T2090" t="s">
        <v>82</v>
      </c>
    </row>
    <row r="2091" spans="15:20" x14ac:dyDescent="0.25">
      <c r="O2091">
        <v>1</v>
      </c>
      <c r="S2091" t="e">
        <v>#DIV/0!</v>
      </c>
      <c r="T2091" t="s">
        <v>82</v>
      </c>
    </row>
    <row r="2092" spans="15:20" x14ac:dyDescent="0.25">
      <c r="O2092">
        <v>1</v>
      </c>
      <c r="S2092" t="e">
        <v>#DIV/0!</v>
      </c>
      <c r="T2092" t="s">
        <v>82</v>
      </c>
    </row>
    <row r="2093" spans="15:20" x14ac:dyDescent="0.25">
      <c r="O2093">
        <v>1</v>
      </c>
      <c r="S2093" t="e">
        <v>#DIV/0!</v>
      </c>
      <c r="T2093" t="s">
        <v>82</v>
      </c>
    </row>
    <row r="2094" spans="15:20" x14ac:dyDescent="0.25">
      <c r="O2094">
        <v>1</v>
      </c>
      <c r="S2094" t="e">
        <v>#DIV/0!</v>
      </c>
      <c r="T2094" t="s">
        <v>82</v>
      </c>
    </row>
    <row r="2095" spans="15:20" x14ac:dyDescent="0.25">
      <c r="O2095">
        <v>1</v>
      </c>
      <c r="S2095" t="e">
        <v>#DIV/0!</v>
      </c>
      <c r="T2095" t="s">
        <v>82</v>
      </c>
    </row>
    <row r="2096" spans="15:20" x14ac:dyDescent="0.25">
      <c r="O2096">
        <v>1</v>
      </c>
      <c r="S2096" t="e">
        <v>#DIV/0!</v>
      </c>
      <c r="T2096" t="s">
        <v>82</v>
      </c>
    </row>
    <row r="2097" spans="15:20" x14ac:dyDescent="0.25">
      <c r="O2097">
        <v>1</v>
      </c>
      <c r="S2097" t="e">
        <v>#DIV/0!</v>
      </c>
      <c r="T2097" t="s">
        <v>82</v>
      </c>
    </row>
    <row r="2098" spans="15:20" x14ac:dyDescent="0.25">
      <c r="O2098">
        <v>1</v>
      </c>
      <c r="S2098" t="e">
        <v>#DIV/0!</v>
      </c>
      <c r="T2098" t="s">
        <v>82</v>
      </c>
    </row>
    <row r="2099" spans="15:20" x14ac:dyDescent="0.25">
      <c r="O2099">
        <v>1</v>
      </c>
      <c r="S2099" t="e">
        <v>#DIV/0!</v>
      </c>
      <c r="T2099" t="s">
        <v>82</v>
      </c>
    </row>
    <row r="2100" spans="15:20" x14ac:dyDescent="0.25">
      <c r="O2100">
        <v>1</v>
      </c>
      <c r="S2100" t="e">
        <v>#DIV/0!</v>
      </c>
      <c r="T2100" t="s">
        <v>82</v>
      </c>
    </row>
    <row r="2101" spans="15:20" x14ac:dyDescent="0.25">
      <c r="O2101">
        <v>1</v>
      </c>
      <c r="S2101" t="e">
        <v>#DIV/0!</v>
      </c>
      <c r="T2101" t="s">
        <v>82</v>
      </c>
    </row>
    <row r="2102" spans="15:20" x14ac:dyDescent="0.25">
      <c r="O2102">
        <v>1</v>
      </c>
      <c r="S2102" t="e">
        <v>#DIV/0!</v>
      </c>
      <c r="T2102" t="s">
        <v>82</v>
      </c>
    </row>
    <row r="2103" spans="15:20" x14ac:dyDescent="0.25">
      <c r="O2103">
        <v>1</v>
      </c>
      <c r="S2103" t="e">
        <v>#DIV/0!</v>
      </c>
      <c r="T2103" t="s">
        <v>82</v>
      </c>
    </row>
    <row r="2104" spans="15:20" x14ac:dyDescent="0.25">
      <c r="O2104">
        <v>1</v>
      </c>
      <c r="S2104" t="e">
        <v>#DIV/0!</v>
      </c>
      <c r="T2104" t="s">
        <v>82</v>
      </c>
    </row>
    <row r="2105" spans="15:20" x14ac:dyDescent="0.25">
      <c r="O2105">
        <v>1</v>
      </c>
      <c r="S2105" t="e">
        <v>#DIV/0!</v>
      </c>
      <c r="T2105" t="s">
        <v>82</v>
      </c>
    </row>
    <row r="2106" spans="15:20" x14ac:dyDescent="0.25">
      <c r="O2106">
        <v>1</v>
      </c>
      <c r="S2106" t="e">
        <v>#DIV/0!</v>
      </c>
      <c r="T2106" t="s">
        <v>82</v>
      </c>
    </row>
    <row r="2107" spans="15:20" x14ac:dyDescent="0.25">
      <c r="O2107">
        <v>1</v>
      </c>
      <c r="S2107" t="e">
        <v>#DIV/0!</v>
      </c>
      <c r="T2107" t="s">
        <v>82</v>
      </c>
    </row>
    <row r="2108" spans="15:20" x14ac:dyDescent="0.25">
      <c r="O2108">
        <v>1</v>
      </c>
      <c r="S2108" t="e">
        <v>#DIV/0!</v>
      </c>
      <c r="T2108" t="s">
        <v>82</v>
      </c>
    </row>
    <row r="2109" spans="15:20" x14ac:dyDescent="0.25">
      <c r="O2109">
        <v>1</v>
      </c>
      <c r="S2109" t="e">
        <v>#DIV/0!</v>
      </c>
      <c r="T2109" t="s">
        <v>82</v>
      </c>
    </row>
    <row r="2110" spans="15:20" x14ac:dyDescent="0.25">
      <c r="O2110">
        <v>1</v>
      </c>
      <c r="S2110" t="e">
        <v>#DIV/0!</v>
      </c>
      <c r="T2110" t="s">
        <v>82</v>
      </c>
    </row>
    <row r="2111" spans="15:20" x14ac:dyDescent="0.25">
      <c r="O2111">
        <v>1</v>
      </c>
      <c r="S2111" t="e">
        <v>#DIV/0!</v>
      </c>
      <c r="T2111" t="s">
        <v>82</v>
      </c>
    </row>
    <row r="2112" spans="15:20" x14ac:dyDescent="0.25">
      <c r="O2112">
        <v>1</v>
      </c>
      <c r="S2112" t="e">
        <v>#DIV/0!</v>
      </c>
      <c r="T2112" t="s">
        <v>82</v>
      </c>
    </row>
    <row r="2113" spans="15:20" x14ac:dyDescent="0.25">
      <c r="O2113">
        <v>1</v>
      </c>
      <c r="S2113" t="e">
        <v>#DIV/0!</v>
      </c>
      <c r="T2113" t="s">
        <v>82</v>
      </c>
    </row>
    <row r="2114" spans="15:20" x14ac:dyDescent="0.25">
      <c r="O2114">
        <v>1</v>
      </c>
      <c r="S2114" t="e">
        <v>#DIV/0!</v>
      </c>
      <c r="T2114" t="s">
        <v>82</v>
      </c>
    </row>
    <row r="2115" spans="15:20" x14ac:dyDescent="0.25">
      <c r="O2115">
        <v>1</v>
      </c>
      <c r="S2115" t="e">
        <v>#DIV/0!</v>
      </c>
      <c r="T2115" t="s">
        <v>82</v>
      </c>
    </row>
    <row r="2116" spans="15:20" x14ac:dyDescent="0.25">
      <c r="O2116">
        <v>1</v>
      </c>
      <c r="S2116" t="e">
        <v>#DIV/0!</v>
      </c>
      <c r="T2116" t="s">
        <v>82</v>
      </c>
    </row>
    <row r="2117" spans="15:20" x14ac:dyDescent="0.25">
      <c r="O2117">
        <v>1</v>
      </c>
      <c r="S2117" t="e">
        <v>#DIV/0!</v>
      </c>
      <c r="T2117" t="s">
        <v>82</v>
      </c>
    </row>
    <row r="2118" spans="15:20" x14ac:dyDescent="0.25">
      <c r="O2118">
        <v>1</v>
      </c>
      <c r="S2118" t="e">
        <v>#DIV/0!</v>
      </c>
      <c r="T2118" t="s">
        <v>82</v>
      </c>
    </row>
    <row r="2119" spans="15:20" x14ac:dyDescent="0.25">
      <c r="O2119">
        <v>1</v>
      </c>
      <c r="S2119" t="e">
        <v>#DIV/0!</v>
      </c>
      <c r="T2119" t="s">
        <v>82</v>
      </c>
    </row>
    <row r="2120" spans="15:20" x14ac:dyDescent="0.25">
      <c r="O2120">
        <v>1</v>
      </c>
      <c r="S2120" t="e">
        <v>#DIV/0!</v>
      </c>
      <c r="T2120" t="s">
        <v>82</v>
      </c>
    </row>
    <row r="2121" spans="15:20" x14ac:dyDescent="0.25">
      <c r="O2121">
        <v>1</v>
      </c>
      <c r="S2121" t="e">
        <v>#DIV/0!</v>
      </c>
      <c r="T2121" t="s">
        <v>82</v>
      </c>
    </row>
    <row r="2122" spans="15:20" x14ac:dyDescent="0.25">
      <c r="O2122">
        <v>1</v>
      </c>
      <c r="S2122" t="e">
        <v>#DIV/0!</v>
      </c>
      <c r="T2122" t="s">
        <v>82</v>
      </c>
    </row>
    <row r="2123" spans="15:20" x14ac:dyDescent="0.25">
      <c r="O2123">
        <v>1</v>
      </c>
      <c r="S2123" t="e">
        <v>#DIV/0!</v>
      </c>
      <c r="T2123" t="s">
        <v>82</v>
      </c>
    </row>
    <row r="2124" spans="15:20" x14ac:dyDescent="0.25">
      <c r="O2124">
        <v>1</v>
      </c>
      <c r="S2124" t="e">
        <v>#DIV/0!</v>
      </c>
      <c r="T2124" t="s">
        <v>82</v>
      </c>
    </row>
    <row r="2125" spans="15:20" x14ac:dyDescent="0.25">
      <c r="O2125">
        <v>1</v>
      </c>
      <c r="S2125" t="e">
        <v>#DIV/0!</v>
      </c>
      <c r="T2125" t="s">
        <v>82</v>
      </c>
    </row>
    <row r="2126" spans="15:20" x14ac:dyDescent="0.25">
      <c r="O2126">
        <v>1</v>
      </c>
      <c r="S2126" t="e">
        <v>#DIV/0!</v>
      </c>
      <c r="T2126" t="s">
        <v>82</v>
      </c>
    </row>
    <row r="2127" spans="15:20" x14ac:dyDescent="0.25">
      <c r="O2127">
        <v>1</v>
      </c>
      <c r="S2127" t="e">
        <v>#DIV/0!</v>
      </c>
      <c r="T2127" t="s">
        <v>82</v>
      </c>
    </row>
    <row r="2128" spans="15:20" x14ac:dyDescent="0.25">
      <c r="O2128">
        <v>1</v>
      </c>
      <c r="S2128" t="e">
        <v>#DIV/0!</v>
      </c>
      <c r="T2128" t="s">
        <v>82</v>
      </c>
    </row>
    <row r="2129" spans="15:20" x14ac:dyDescent="0.25">
      <c r="O2129">
        <v>1</v>
      </c>
      <c r="S2129" t="e">
        <v>#DIV/0!</v>
      </c>
      <c r="T2129" t="s">
        <v>82</v>
      </c>
    </row>
    <row r="2130" spans="15:20" x14ac:dyDescent="0.25">
      <c r="O2130">
        <v>1</v>
      </c>
      <c r="S2130" t="e">
        <v>#DIV/0!</v>
      </c>
      <c r="T2130" t="s">
        <v>82</v>
      </c>
    </row>
    <row r="2131" spans="15:20" x14ac:dyDescent="0.25">
      <c r="O2131">
        <v>1</v>
      </c>
      <c r="S2131" t="e">
        <v>#DIV/0!</v>
      </c>
      <c r="T2131" t="s">
        <v>82</v>
      </c>
    </row>
    <row r="2132" spans="15:20" x14ac:dyDescent="0.25">
      <c r="O2132">
        <v>1</v>
      </c>
      <c r="S2132" t="e">
        <v>#DIV/0!</v>
      </c>
      <c r="T2132" t="s">
        <v>82</v>
      </c>
    </row>
    <row r="2133" spans="15:20" x14ac:dyDescent="0.25">
      <c r="O2133">
        <v>1</v>
      </c>
      <c r="S2133" t="e">
        <v>#DIV/0!</v>
      </c>
      <c r="T2133" t="s">
        <v>82</v>
      </c>
    </row>
    <row r="2134" spans="15:20" x14ac:dyDescent="0.25">
      <c r="O2134">
        <v>1</v>
      </c>
      <c r="S2134" t="e">
        <v>#DIV/0!</v>
      </c>
      <c r="T2134" t="s">
        <v>82</v>
      </c>
    </row>
    <row r="2135" spans="15:20" x14ac:dyDescent="0.25">
      <c r="O2135">
        <v>1</v>
      </c>
      <c r="S2135" t="e">
        <v>#DIV/0!</v>
      </c>
      <c r="T2135" t="s">
        <v>82</v>
      </c>
    </row>
    <row r="2136" spans="15:20" x14ac:dyDescent="0.25">
      <c r="O2136">
        <v>1</v>
      </c>
      <c r="S2136" t="e">
        <v>#DIV/0!</v>
      </c>
      <c r="T2136" t="s">
        <v>82</v>
      </c>
    </row>
    <row r="2137" spans="15:20" x14ac:dyDescent="0.25">
      <c r="O2137">
        <v>1</v>
      </c>
      <c r="S2137" t="e">
        <v>#DIV/0!</v>
      </c>
      <c r="T2137" t="s">
        <v>82</v>
      </c>
    </row>
    <row r="2138" spans="15:20" x14ac:dyDescent="0.25">
      <c r="O2138">
        <v>1</v>
      </c>
      <c r="S2138" t="e">
        <v>#DIV/0!</v>
      </c>
      <c r="T2138" t="s">
        <v>82</v>
      </c>
    </row>
    <row r="2139" spans="15:20" x14ac:dyDescent="0.25">
      <c r="O2139">
        <v>1</v>
      </c>
      <c r="S2139" t="e">
        <v>#DIV/0!</v>
      </c>
      <c r="T2139" t="s">
        <v>82</v>
      </c>
    </row>
    <row r="2140" spans="15:20" x14ac:dyDescent="0.25">
      <c r="O2140">
        <v>1</v>
      </c>
      <c r="S2140" t="e">
        <v>#DIV/0!</v>
      </c>
      <c r="T2140" t="s">
        <v>82</v>
      </c>
    </row>
    <row r="2141" spans="15:20" x14ac:dyDescent="0.25">
      <c r="O2141">
        <v>1</v>
      </c>
      <c r="S2141" t="e">
        <v>#DIV/0!</v>
      </c>
      <c r="T2141" t="s">
        <v>82</v>
      </c>
    </row>
    <row r="2142" spans="15:20" x14ac:dyDescent="0.25">
      <c r="O2142">
        <v>1</v>
      </c>
      <c r="S2142" t="e">
        <v>#DIV/0!</v>
      </c>
      <c r="T2142" t="s">
        <v>82</v>
      </c>
    </row>
    <row r="2143" spans="15:20" x14ac:dyDescent="0.25">
      <c r="O2143">
        <v>1</v>
      </c>
      <c r="S2143" t="e">
        <v>#DIV/0!</v>
      </c>
      <c r="T2143" t="s">
        <v>82</v>
      </c>
    </row>
    <row r="2144" spans="15:20" x14ac:dyDescent="0.25">
      <c r="O2144">
        <v>1</v>
      </c>
      <c r="S2144" t="e">
        <v>#DIV/0!</v>
      </c>
      <c r="T2144" t="s">
        <v>82</v>
      </c>
    </row>
    <row r="2145" spans="15:20" x14ac:dyDescent="0.25">
      <c r="O2145">
        <v>1</v>
      </c>
      <c r="S2145" t="e">
        <v>#DIV/0!</v>
      </c>
      <c r="T2145" t="s">
        <v>82</v>
      </c>
    </row>
    <row r="2146" spans="15:20" x14ac:dyDescent="0.25">
      <c r="O2146">
        <v>1</v>
      </c>
      <c r="S2146" t="e">
        <v>#DIV/0!</v>
      </c>
      <c r="T2146" t="s">
        <v>82</v>
      </c>
    </row>
    <row r="2147" spans="15:20" x14ac:dyDescent="0.25">
      <c r="O2147">
        <v>1</v>
      </c>
      <c r="S2147" t="e">
        <v>#DIV/0!</v>
      </c>
      <c r="T2147" t="s">
        <v>82</v>
      </c>
    </row>
    <row r="2148" spans="15:20" x14ac:dyDescent="0.25">
      <c r="O2148">
        <v>1</v>
      </c>
      <c r="S2148" t="e">
        <v>#DIV/0!</v>
      </c>
      <c r="T2148" t="s">
        <v>82</v>
      </c>
    </row>
    <row r="2149" spans="15:20" x14ac:dyDescent="0.25">
      <c r="O2149">
        <v>1</v>
      </c>
      <c r="S2149" t="e">
        <v>#DIV/0!</v>
      </c>
      <c r="T2149" t="s">
        <v>82</v>
      </c>
    </row>
    <row r="2150" spans="15:20" x14ac:dyDescent="0.25">
      <c r="O2150">
        <v>1</v>
      </c>
      <c r="S2150" t="e">
        <v>#DIV/0!</v>
      </c>
      <c r="T2150" t="s">
        <v>82</v>
      </c>
    </row>
    <row r="2151" spans="15:20" x14ac:dyDescent="0.25">
      <c r="O2151">
        <v>1</v>
      </c>
      <c r="S2151" t="e">
        <v>#DIV/0!</v>
      </c>
      <c r="T2151" t="s">
        <v>82</v>
      </c>
    </row>
    <row r="2152" spans="15:20" x14ac:dyDescent="0.25">
      <c r="O2152">
        <v>1</v>
      </c>
      <c r="S2152" t="e">
        <v>#DIV/0!</v>
      </c>
      <c r="T2152" t="s">
        <v>82</v>
      </c>
    </row>
    <row r="2153" spans="15:20" x14ac:dyDescent="0.25">
      <c r="O2153">
        <v>1</v>
      </c>
      <c r="S2153" t="e">
        <v>#DIV/0!</v>
      </c>
      <c r="T2153" t="s">
        <v>82</v>
      </c>
    </row>
    <row r="2154" spans="15:20" x14ac:dyDescent="0.25">
      <c r="O2154">
        <v>1</v>
      </c>
      <c r="S2154" t="e">
        <v>#DIV/0!</v>
      </c>
      <c r="T2154" t="s">
        <v>82</v>
      </c>
    </row>
    <row r="2155" spans="15:20" x14ac:dyDescent="0.25">
      <c r="O2155">
        <v>1</v>
      </c>
      <c r="S2155" t="e">
        <v>#DIV/0!</v>
      </c>
      <c r="T2155" t="s">
        <v>82</v>
      </c>
    </row>
    <row r="2156" spans="15:20" x14ac:dyDescent="0.25">
      <c r="O2156">
        <v>1</v>
      </c>
      <c r="S2156" t="e">
        <v>#DIV/0!</v>
      </c>
      <c r="T2156" t="s">
        <v>82</v>
      </c>
    </row>
    <row r="2157" spans="15:20" x14ac:dyDescent="0.25">
      <c r="O2157">
        <v>1</v>
      </c>
      <c r="S2157" t="e">
        <v>#DIV/0!</v>
      </c>
      <c r="T2157" t="s">
        <v>82</v>
      </c>
    </row>
    <row r="2158" spans="15:20" x14ac:dyDescent="0.25">
      <c r="O2158">
        <v>1</v>
      </c>
      <c r="S2158" t="e">
        <v>#DIV/0!</v>
      </c>
      <c r="T2158" t="s">
        <v>82</v>
      </c>
    </row>
    <row r="2159" spans="15:20" x14ac:dyDescent="0.25">
      <c r="O2159">
        <v>1</v>
      </c>
      <c r="S2159" t="e">
        <v>#DIV/0!</v>
      </c>
      <c r="T2159" t="s">
        <v>82</v>
      </c>
    </row>
    <row r="2160" spans="15:20" x14ac:dyDescent="0.25">
      <c r="O2160">
        <v>1</v>
      </c>
      <c r="S2160" t="e">
        <v>#DIV/0!</v>
      </c>
      <c r="T2160" t="s">
        <v>82</v>
      </c>
    </row>
    <row r="2161" spans="15:20" x14ac:dyDescent="0.25">
      <c r="O2161">
        <v>1</v>
      </c>
      <c r="S2161" t="e">
        <v>#DIV/0!</v>
      </c>
      <c r="T2161" t="s">
        <v>82</v>
      </c>
    </row>
    <row r="2162" spans="15:20" x14ac:dyDescent="0.25">
      <c r="O2162">
        <v>1</v>
      </c>
      <c r="S2162" t="e">
        <v>#DIV/0!</v>
      </c>
      <c r="T2162" t="s">
        <v>82</v>
      </c>
    </row>
    <row r="2163" spans="15:20" x14ac:dyDescent="0.25">
      <c r="O2163">
        <v>1</v>
      </c>
      <c r="S2163" t="e">
        <v>#DIV/0!</v>
      </c>
      <c r="T2163" t="s">
        <v>82</v>
      </c>
    </row>
    <row r="2164" spans="15:20" x14ac:dyDescent="0.25">
      <c r="O2164">
        <v>1</v>
      </c>
      <c r="S2164" t="e">
        <v>#DIV/0!</v>
      </c>
      <c r="T2164" t="s">
        <v>82</v>
      </c>
    </row>
    <row r="2165" spans="15:20" x14ac:dyDescent="0.25">
      <c r="O2165">
        <v>1</v>
      </c>
      <c r="S2165" t="e">
        <v>#DIV/0!</v>
      </c>
      <c r="T2165" t="s">
        <v>82</v>
      </c>
    </row>
    <row r="2166" spans="15:20" x14ac:dyDescent="0.25">
      <c r="O2166">
        <v>1</v>
      </c>
      <c r="S2166" t="e">
        <v>#DIV/0!</v>
      </c>
      <c r="T2166" t="s">
        <v>82</v>
      </c>
    </row>
    <row r="2167" spans="15:20" x14ac:dyDescent="0.25">
      <c r="O2167">
        <v>1</v>
      </c>
      <c r="S2167" t="e">
        <v>#DIV/0!</v>
      </c>
      <c r="T2167" t="s">
        <v>82</v>
      </c>
    </row>
    <row r="2168" spans="15:20" x14ac:dyDescent="0.25">
      <c r="O2168">
        <v>1</v>
      </c>
      <c r="S2168" t="e">
        <v>#DIV/0!</v>
      </c>
      <c r="T2168" t="s">
        <v>82</v>
      </c>
    </row>
    <row r="2169" spans="15:20" x14ac:dyDescent="0.25">
      <c r="O2169">
        <v>1</v>
      </c>
      <c r="S2169" t="e">
        <v>#DIV/0!</v>
      </c>
      <c r="T2169" t="s">
        <v>82</v>
      </c>
    </row>
    <row r="2170" spans="15:20" x14ac:dyDescent="0.25">
      <c r="O2170">
        <v>1</v>
      </c>
      <c r="S2170" t="e">
        <v>#DIV/0!</v>
      </c>
      <c r="T2170" t="s">
        <v>82</v>
      </c>
    </row>
    <row r="2171" spans="15:20" x14ac:dyDescent="0.25">
      <c r="O2171">
        <v>1</v>
      </c>
      <c r="S2171" t="e">
        <v>#DIV/0!</v>
      </c>
      <c r="T2171" t="s">
        <v>82</v>
      </c>
    </row>
    <row r="2172" spans="15:20" x14ac:dyDescent="0.25">
      <c r="O2172">
        <v>1</v>
      </c>
      <c r="S2172" t="e">
        <v>#DIV/0!</v>
      </c>
      <c r="T2172" t="s">
        <v>82</v>
      </c>
    </row>
    <row r="2173" spans="15:20" x14ac:dyDescent="0.25">
      <c r="O2173">
        <v>1</v>
      </c>
      <c r="S2173" t="e">
        <v>#DIV/0!</v>
      </c>
      <c r="T2173" t="s">
        <v>82</v>
      </c>
    </row>
    <row r="2174" spans="15:20" x14ac:dyDescent="0.25">
      <c r="O2174">
        <v>1</v>
      </c>
      <c r="S2174" t="e">
        <v>#DIV/0!</v>
      </c>
      <c r="T2174" t="s">
        <v>82</v>
      </c>
    </row>
    <row r="2175" spans="15:20" x14ac:dyDescent="0.25">
      <c r="O2175">
        <v>1</v>
      </c>
      <c r="S2175" t="e">
        <v>#DIV/0!</v>
      </c>
      <c r="T2175" t="s">
        <v>82</v>
      </c>
    </row>
    <row r="2176" spans="15:20" x14ac:dyDescent="0.25">
      <c r="O2176">
        <v>1</v>
      </c>
      <c r="S2176" t="e">
        <v>#DIV/0!</v>
      </c>
      <c r="T2176" t="s">
        <v>82</v>
      </c>
    </row>
    <row r="2177" spans="15:20" x14ac:dyDescent="0.25">
      <c r="O2177">
        <v>1</v>
      </c>
      <c r="S2177" t="e">
        <v>#DIV/0!</v>
      </c>
      <c r="T2177" t="s">
        <v>82</v>
      </c>
    </row>
    <row r="2178" spans="15:20" x14ac:dyDescent="0.25">
      <c r="O2178">
        <v>1</v>
      </c>
      <c r="S2178" t="e">
        <v>#DIV/0!</v>
      </c>
      <c r="T2178" t="s">
        <v>82</v>
      </c>
    </row>
    <row r="2179" spans="15:20" x14ac:dyDescent="0.25">
      <c r="O2179">
        <v>1</v>
      </c>
      <c r="S2179" t="e">
        <v>#DIV/0!</v>
      </c>
      <c r="T2179" t="s">
        <v>82</v>
      </c>
    </row>
    <row r="2180" spans="15:20" x14ac:dyDescent="0.25">
      <c r="O2180">
        <v>1</v>
      </c>
      <c r="S2180" t="e">
        <v>#DIV/0!</v>
      </c>
      <c r="T2180" t="s">
        <v>82</v>
      </c>
    </row>
    <row r="2181" spans="15:20" x14ac:dyDescent="0.25">
      <c r="O2181">
        <v>1</v>
      </c>
      <c r="S2181" t="e">
        <v>#DIV/0!</v>
      </c>
      <c r="T2181" t="s">
        <v>82</v>
      </c>
    </row>
    <row r="2182" spans="15:20" x14ac:dyDescent="0.25">
      <c r="O2182">
        <v>1</v>
      </c>
      <c r="S2182" t="e">
        <v>#DIV/0!</v>
      </c>
      <c r="T2182" t="s">
        <v>82</v>
      </c>
    </row>
    <row r="2183" spans="15:20" x14ac:dyDescent="0.25">
      <c r="O2183">
        <v>1</v>
      </c>
      <c r="S2183" t="e">
        <v>#DIV/0!</v>
      </c>
      <c r="T2183" t="s">
        <v>82</v>
      </c>
    </row>
    <row r="2184" spans="15:20" x14ac:dyDescent="0.25">
      <c r="O2184">
        <v>1</v>
      </c>
      <c r="S2184" t="e">
        <v>#DIV/0!</v>
      </c>
      <c r="T2184" t="s">
        <v>82</v>
      </c>
    </row>
    <row r="2185" spans="15:20" x14ac:dyDescent="0.25">
      <c r="O2185">
        <v>1</v>
      </c>
      <c r="S2185" t="e">
        <v>#DIV/0!</v>
      </c>
      <c r="T2185" t="s">
        <v>82</v>
      </c>
    </row>
    <row r="2186" spans="15:20" x14ac:dyDescent="0.25">
      <c r="O2186">
        <v>1</v>
      </c>
      <c r="S2186" t="e">
        <v>#DIV/0!</v>
      </c>
      <c r="T2186" t="s">
        <v>82</v>
      </c>
    </row>
    <row r="2187" spans="15:20" x14ac:dyDescent="0.25">
      <c r="O2187">
        <v>1</v>
      </c>
      <c r="S2187" t="e">
        <v>#DIV/0!</v>
      </c>
      <c r="T2187" t="s">
        <v>82</v>
      </c>
    </row>
    <row r="2188" spans="15:20" x14ac:dyDescent="0.25">
      <c r="O2188">
        <v>1</v>
      </c>
      <c r="S2188" t="e">
        <v>#DIV/0!</v>
      </c>
      <c r="T2188" t="s">
        <v>82</v>
      </c>
    </row>
    <row r="2189" spans="15:20" x14ac:dyDescent="0.25">
      <c r="O2189">
        <v>1</v>
      </c>
      <c r="S2189" t="e">
        <v>#DIV/0!</v>
      </c>
      <c r="T2189" t="s">
        <v>82</v>
      </c>
    </row>
    <row r="2190" spans="15:20" x14ac:dyDescent="0.25">
      <c r="O2190">
        <v>1</v>
      </c>
      <c r="S2190" t="e">
        <v>#DIV/0!</v>
      </c>
      <c r="T2190" t="s">
        <v>82</v>
      </c>
    </row>
    <row r="2191" spans="15:20" x14ac:dyDescent="0.25">
      <c r="O2191">
        <v>1</v>
      </c>
      <c r="S2191" t="e">
        <v>#DIV/0!</v>
      </c>
      <c r="T2191" t="s">
        <v>82</v>
      </c>
    </row>
    <row r="2192" spans="15:20" x14ac:dyDescent="0.25">
      <c r="O2192">
        <v>1</v>
      </c>
      <c r="S2192" t="e">
        <v>#DIV/0!</v>
      </c>
      <c r="T2192" t="s">
        <v>82</v>
      </c>
    </row>
    <row r="2193" spans="15:20" x14ac:dyDescent="0.25">
      <c r="O2193">
        <v>1</v>
      </c>
      <c r="S2193" t="e">
        <v>#DIV/0!</v>
      </c>
      <c r="T2193" t="s">
        <v>82</v>
      </c>
    </row>
    <row r="2194" spans="15:20" x14ac:dyDescent="0.25">
      <c r="O2194">
        <v>1</v>
      </c>
      <c r="S2194" t="e">
        <v>#DIV/0!</v>
      </c>
      <c r="T2194" t="s">
        <v>82</v>
      </c>
    </row>
    <row r="2195" spans="15:20" x14ac:dyDescent="0.25">
      <c r="O2195">
        <v>1</v>
      </c>
      <c r="S2195" t="e">
        <v>#DIV/0!</v>
      </c>
      <c r="T2195" t="s">
        <v>82</v>
      </c>
    </row>
    <row r="2196" spans="15:20" x14ac:dyDescent="0.25">
      <c r="O2196">
        <v>1</v>
      </c>
      <c r="S2196" t="e">
        <v>#DIV/0!</v>
      </c>
      <c r="T2196" t="s">
        <v>82</v>
      </c>
    </row>
    <row r="2197" spans="15:20" x14ac:dyDescent="0.25">
      <c r="O2197">
        <v>1</v>
      </c>
      <c r="S2197" t="e">
        <v>#DIV/0!</v>
      </c>
      <c r="T2197" t="s">
        <v>82</v>
      </c>
    </row>
    <row r="2198" spans="15:20" x14ac:dyDescent="0.25">
      <c r="O2198">
        <v>1</v>
      </c>
      <c r="S2198" t="e">
        <v>#DIV/0!</v>
      </c>
      <c r="T2198" t="s">
        <v>82</v>
      </c>
    </row>
    <row r="2199" spans="15:20" x14ac:dyDescent="0.25">
      <c r="O2199">
        <v>1</v>
      </c>
      <c r="S2199" t="e">
        <v>#DIV/0!</v>
      </c>
      <c r="T2199" t="s">
        <v>82</v>
      </c>
    </row>
    <row r="2200" spans="15:20" x14ac:dyDescent="0.25">
      <c r="O2200">
        <v>1</v>
      </c>
      <c r="S2200" t="e">
        <v>#DIV/0!</v>
      </c>
      <c r="T2200" t="s">
        <v>82</v>
      </c>
    </row>
    <row r="2201" spans="15:20" x14ac:dyDescent="0.25">
      <c r="O2201">
        <v>1</v>
      </c>
      <c r="S2201" t="e">
        <v>#DIV/0!</v>
      </c>
      <c r="T2201" t="s">
        <v>82</v>
      </c>
    </row>
    <row r="2202" spans="15:20" x14ac:dyDescent="0.25">
      <c r="O2202">
        <v>1</v>
      </c>
      <c r="S2202" t="e">
        <v>#DIV/0!</v>
      </c>
      <c r="T2202" t="s">
        <v>82</v>
      </c>
    </row>
    <row r="2203" spans="15:20" x14ac:dyDescent="0.25">
      <c r="O2203">
        <v>1</v>
      </c>
      <c r="S2203" t="e">
        <v>#DIV/0!</v>
      </c>
      <c r="T2203" t="s">
        <v>82</v>
      </c>
    </row>
    <row r="2204" spans="15:20" x14ac:dyDescent="0.25">
      <c r="O2204">
        <v>1</v>
      </c>
      <c r="S2204" t="e">
        <v>#DIV/0!</v>
      </c>
      <c r="T2204" t="s">
        <v>82</v>
      </c>
    </row>
    <row r="2205" spans="15:20" x14ac:dyDescent="0.25">
      <c r="O2205">
        <v>1</v>
      </c>
      <c r="S2205" t="e">
        <v>#DIV/0!</v>
      </c>
      <c r="T2205" t="s">
        <v>82</v>
      </c>
    </row>
    <row r="2206" spans="15:20" x14ac:dyDescent="0.25">
      <c r="O2206">
        <v>1</v>
      </c>
      <c r="S2206" t="e">
        <v>#DIV/0!</v>
      </c>
      <c r="T2206" t="s">
        <v>82</v>
      </c>
    </row>
    <row r="2207" spans="15:20" x14ac:dyDescent="0.25">
      <c r="O2207">
        <v>1</v>
      </c>
      <c r="S2207" t="e">
        <v>#DIV/0!</v>
      </c>
      <c r="T2207" t="s">
        <v>82</v>
      </c>
    </row>
    <row r="2208" spans="15:20" x14ac:dyDescent="0.25">
      <c r="O2208">
        <v>1</v>
      </c>
      <c r="S2208" t="e">
        <v>#DIV/0!</v>
      </c>
      <c r="T2208" t="s">
        <v>82</v>
      </c>
    </row>
    <row r="2209" spans="15:20" x14ac:dyDescent="0.25">
      <c r="O2209">
        <v>1</v>
      </c>
      <c r="S2209" t="e">
        <v>#DIV/0!</v>
      </c>
      <c r="T2209" t="s">
        <v>82</v>
      </c>
    </row>
    <row r="2210" spans="15:20" x14ac:dyDescent="0.25">
      <c r="O2210">
        <v>1</v>
      </c>
      <c r="S2210" t="e">
        <v>#DIV/0!</v>
      </c>
      <c r="T2210" t="s">
        <v>82</v>
      </c>
    </row>
    <row r="2211" spans="15:20" x14ac:dyDescent="0.25">
      <c r="O2211">
        <v>1</v>
      </c>
      <c r="S2211" t="e">
        <v>#DIV/0!</v>
      </c>
      <c r="T2211" t="s">
        <v>82</v>
      </c>
    </row>
    <row r="2212" spans="15:20" x14ac:dyDescent="0.25">
      <c r="O2212">
        <v>1</v>
      </c>
      <c r="S2212" t="e">
        <v>#DIV/0!</v>
      </c>
      <c r="T2212" t="s">
        <v>82</v>
      </c>
    </row>
    <row r="2213" spans="15:20" x14ac:dyDescent="0.25">
      <c r="O2213">
        <v>1</v>
      </c>
      <c r="S2213" t="e">
        <v>#DIV/0!</v>
      </c>
      <c r="T2213" t="s">
        <v>82</v>
      </c>
    </row>
    <row r="2214" spans="15:20" x14ac:dyDescent="0.25">
      <c r="O2214">
        <v>1</v>
      </c>
      <c r="S2214" t="e">
        <v>#DIV/0!</v>
      </c>
      <c r="T2214" t="s">
        <v>82</v>
      </c>
    </row>
    <row r="2215" spans="15:20" x14ac:dyDescent="0.25">
      <c r="O2215">
        <v>1</v>
      </c>
      <c r="S2215" t="e">
        <v>#DIV/0!</v>
      </c>
      <c r="T2215" t="s">
        <v>82</v>
      </c>
    </row>
    <row r="2216" spans="15:20" x14ac:dyDescent="0.25">
      <c r="O2216">
        <v>1</v>
      </c>
      <c r="S2216" t="e">
        <v>#DIV/0!</v>
      </c>
      <c r="T2216" t="s">
        <v>82</v>
      </c>
    </row>
    <row r="2217" spans="15:20" x14ac:dyDescent="0.25">
      <c r="O2217">
        <v>1</v>
      </c>
      <c r="S2217" t="e">
        <v>#DIV/0!</v>
      </c>
      <c r="T2217" t="s">
        <v>82</v>
      </c>
    </row>
    <row r="2218" spans="15:20" x14ac:dyDescent="0.25">
      <c r="O2218">
        <v>1</v>
      </c>
      <c r="S2218" t="e">
        <v>#DIV/0!</v>
      </c>
      <c r="T2218" t="s">
        <v>82</v>
      </c>
    </row>
    <row r="2219" spans="15:20" x14ac:dyDescent="0.25">
      <c r="O2219">
        <v>1</v>
      </c>
      <c r="S2219" t="e">
        <v>#DIV/0!</v>
      </c>
      <c r="T2219" t="s">
        <v>82</v>
      </c>
    </row>
    <row r="2220" spans="15:20" x14ac:dyDescent="0.25">
      <c r="O2220">
        <v>1</v>
      </c>
      <c r="S2220" t="e">
        <v>#DIV/0!</v>
      </c>
      <c r="T2220" t="s">
        <v>82</v>
      </c>
    </row>
    <row r="2221" spans="15:20" x14ac:dyDescent="0.25">
      <c r="O2221">
        <v>1</v>
      </c>
      <c r="S2221" t="e">
        <v>#DIV/0!</v>
      </c>
      <c r="T2221" t="s">
        <v>82</v>
      </c>
    </row>
    <row r="2222" spans="15:20" x14ac:dyDescent="0.25">
      <c r="O2222">
        <v>1</v>
      </c>
      <c r="S2222" t="e">
        <v>#DIV/0!</v>
      </c>
      <c r="T2222" t="s">
        <v>82</v>
      </c>
    </row>
    <row r="2223" spans="15:20" x14ac:dyDescent="0.25">
      <c r="O2223">
        <v>1</v>
      </c>
      <c r="S2223" t="e">
        <v>#DIV/0!</v>
      </c>
      <c r="T2223" t="s">
        <v>82</v>
      </c>
    </row>
    <row r="2224" spans="15:20" x14ac:dyDescent="0.25">
      <c r="O2224">
        <v>1</v>
      </c>
      <c r="S2224" t="e">
        <v>#DIV/0!</v>
      </c>
      <c r="T2224" t="s">
        <v>82</v>
      </c>
    </row>
    <row r="2225" spans="15:20" x14ac:dyDescent="0.25">
      <c r="O2225">
        <v>1</v>
      </c>
      <c r="S2225" t="e">
        <v>#DIV/0!</v>
      </c>
      <c r="T2225" t="s">
        <v>82</v>
      </c>
    </row>
    <row r="2226" spans="15:20" x14ac:dyDescent="0.25">
      <c r="O2226">
        <v>1</v>
      </c>
      <c r="S2226" t="e">
        <v>#DIV/0!</v>
      </c>
      <c r="T2226" t="s">
        <v>82</v>
      </c>
    </row>
    <row r="2227" spans="15:20" x14ac:dyDescent="0.25">
      <c r="O2227">
        <v>1</v>
      </c>
      <c r="S2227" t="e">
        <v>#DIV/0!</v>
      </c>
      <c r="T2227" t="s">
        <v>82</v>
      </c>
    </row>
    <row r="2228" spans="15:20" x14ac:dyDescent="0.25">
      <c r="O2228">
        <v>1</v>
      </c>
      <c r="S2228" t="e">
        <v>#DIV/0!</v>
      </c>
      <c r="T2228" t="s">
        <v>82</v>
      </c>
    </row>
    <row r="2229" spans="15:20" x14ac:dyDescent="0.25">
      <c r="O2229">
        <v>1</v>
      </c>
      <c r="S2229" t="e">
        <v>#DIV/0!</v>
      </c>
      <c r="T2229" t="s">
        <v>82</v>
      </c>
    </row>
    <row r="2230" spans="15:20" x14ac:dyDescent="0.25">
      <c r="O2230">
        <v>1</v>
      </c>
      <c r="S2230" t="e">
        <v>#DIV/0!</v>
      </c>
      <c r="T2230" t="s">
        <v>82</v>
      </c>
    </row>
    <row r="2231" spans="15:20" x14ac:dyDescent="0.25">
      <c r="O2231">
        <v>1</v>
      </c>
      <c r="S2231" t="e">
        <v>#DIV/0!</v>
      </c>
      <c r="T2231" t="s">
        <v>82</v>
      </c>
    </row>
    <row r="2232" spans="15:20" x14ac:dyDescent="0.25">
      <c r="O2232">
        <v>1</v>
      </c>
      <c r="S2232" t="e">
        <v>#DIV/0!</v>
      </c>
      <c r="T2232" t="s">
        <v>82</v>
      </c>
    </row>
    <row r="2233" spans="15:20" x14ac:dyDescent="0.25">
      <c r="O2233">
        <v>1</v>
      </c>
      <c r="S2233" t="e">
        <v>#DIV/0!</v>
      </c>
      <c r="T2233" t="s">
        <v>82</v>
      </c>
    </row>
    <row r="2234" spans="15:20" x14ac:dyDescent="0.25">
      <c r="O2234">
        <v>1</v>
      </c>
      <c r="S2234" t="e">
        <v>#DIV/0!</v>
      </c>
      <c r="T2234" t="s">
        <v>82</v>
      </c>
    </row>
    <row r="2235" spans="15:20" x14ac:dyDescent="0.25">
      <c r="O2235">
        <v>1</v>
      </c>
      <c r="S2235" t="e">
        <v>#DIV/0!</v>
      </c>
      <c r="T2235" t="s">
        <v>82</v>
      </c>
    </row>
    <row r="2236" spans="15:20" x14ac:dyDescent="0.25">
      <c r="O2236">
        <v>1</v>
      </c>
      <c r="S2236" t="e">
        <v>#DIV/0!</v>
      </c>
      <c r="T2236" t="s">
        <v>82</v>
      </c>
    </row>
    <row r="2237" spans="15:20" x14ac:dyDescent="0.25">
      <c r="O2237">
        <v>1</v>
      </c>
      <c r="S2237" t="e">
        <v>#DIV/0!</v>
      </c>
      <c r="T2237" t="s">
        <v>82</v>
      </c>
    </row>
    <row r="2238" spans="15:20" x14ac:dyDescent="0.25">
      <c r="O2238">
        <v>1</v>
      </c>
      <c r="S2238" t="e">
        <v>#DIV/0!</v>
      </c>
      <c r="T2238" t="s">
        <v>82</v>
      </c>
    </row>
    <row r="2239" spans="15:20" x14ac:dyDescent="0.25">
      <c r="O2239">
        <v>1</v>
      </c>
      <c r="S2239" t="e">
        <v>#DIV/0!</v>
      </c>
      <c r="T2239" t="s">
        <v>82</v>
      </c>
    </row>
    <row r="2240" spans="15:20" x14ac:dyDescent="0.25">
      <c r="O2240">
        <v>1</v>
      </c>
      <c r="S2240" t="e">
        <v>#DIV/0!</v>
      </c>
      <c r="T2240" t="s">
        <v>82</v>
      </c>
    </row>
    <row r="2241" spans="15:20" x14ac:dyDescent="0.25">
      <c r="O2241">
        <v>1</v>
      </c>
      <c r="S2241" t="e">
        <v>#DIV/0!</v>
      </c>
      <c r="T2241" t="s">
        <v>82</v>
      </c>
    </row>
    <row r="2242" spans="15:20" x14ac:dyDescent="0.25">
      <c r="O2242">
        <v>1</v>
      </c>
      <c r="S2242" t="e">
        <v>#DIV/0!</v>
      </c>
      <c r="T2242" t="s">
        <v>82</v>
      </c>
    </row>
    <row r="2243" spans="15:20" x14ac:dyDescent="0.25">
      <c r="O2243">
        <v>1</v>
      </c>
      <c r="S2243" t="e">
        <v>#DIV/0!</v>
      </c>
      <c r="T2243" t="s">
        <v>82</v>
      </c>
    </row>
    <row r="2244" spans="15:20" x14ac:dyDescent="0.25">
      <c r="O2244">
        <v>1</v>
      </c>
      <c r="S2244" t="e">
        <v>#DIV/0!</v>
      </c>
      <c r="T2244" t="s">
        <v>82</v>
      </c>
    </row>
    <row r="2245" spans="15:20" x14ac:dyDescent="0.25">
      <c r="O2245">
        <v>1</v>
      </c>
      <c r="S2245" t="e">
        <v>#DIV/0!</v>
      </c>
      <c r="T2245" t="s">
        <v>82</v>
      </c>
    </row>
    <row r="2246" spans="15:20" x14ac:dyDescent="0.25">
      <c r="O2246">
        <v>1</v>
      </c>
      <c r="S2246" t="e">
        <v>#DIV/0!</v>
      </c>
      <c r="T2246" t="s">
        <v>82</v>
      </c>
    </row>
    <row r="2247" spans="15:20" x14ac:dyDescent="0.25">
      <c r="O2247">
        <v>1</v>
      </c>
      <c r="S2247" t="e">
        <v>#DIV/0!</v>
      </c>
      <c r="T2247" t="s">
        <v>82</v>
      </c>
    </row>
    <row r="2248" spans="15:20" x14ac:dyDescent="0.25">
      <c r="O2248">
        <v>1</v>
      </c>
      <c r="S2248" t="e">
        <v>#DIV/0!</v>
      </c>
      <c r="T2248" t="s">
        <v>82</v>
      </c>
    </row>
    <row r="2249" spans="15:20" x14ac:dyDescent="0.25">
      <c r="O2249">
        <v>1</v>
      </c>
      <c r="S2249" t="e">
        <v>#DIV/0!</v>
      </c>
      <c r="T2249" t="s">
        <v>82</v>
      </c>
    </row>
    <row r="2250" spans="15:20" x14ac:dyDescent="0.25">
      <c r="O2250">
        <v>1</v>
      </c>
      <c r="S2250" t="e">
        <v>#DIV/0!</v>
      </c>
      <c r="T2250" t="s">
        <v>82</v>
      </c>
    </row>
    <row r="2251" spans="15:20" x14ac:dyDescent="0.25">
      <c r="O2251">
        <v>1</v>
      </c>
      <c r="S2251" t="e">
        <v>#DIV/0!</v>
      </c>
      <c r="T2251" t="s">
        <v>82</v>
      </c>
    </row>
    <row r="2252" spans="15:20" x14ac:dyDescent="0.25">
      <c r="O2252">
        <v>1</v>
      </c>
      <c r="S2252" t="e">
        <v>#DIV/0!</v>
      </c>
      <c r="T2252" t="s">
        <v>82</v>
      </c>
    </row>
    <row r="2253" spans="15:20" x14ac:dyDescent="0.25">
      <c r="O2253">
        <v>1</v>
      </c>
      <c r="S2253" t="e">
        <v>#DIV/0!</v>
      </c>
      <c r="T2253" t="s">
        <v>82</v>
      </c>
    </row>
    <row r="2254" spans="15:20" x14ac:dyDescent="0.25">
      <c r="O2254">
        <v>1</v>
      </c>
      <c r="S2254" t="e">
        <v>#DIV/0!</v>
      </c>
      <c r="T2254" t="s">
        <v>82</v>
      </c>
    </row>
    <row r="2255" spans="15:20" x14ac:dyDescent="0.25">
      <c r="O2255">
        <v>1</v>
      </c>
      <c r="S2255" t="e">
        <v>#DIV/0!</v>
      </c>
      <c r="T2255" t="s">
        <v>82</v>
      </c>
    </row>
    <row r="2256" spans="15:20" x14ac:dyDescent="0.25">
      <c r="O2256">
        <v>1</v>
      </c>
      <c r="S2256" t="e">
        <v>#DIV/0!</v>
      </c>
      <c r="T2256" t="s">
        <v>82</v>
      </c>
    </row>
    <row r="2257" spans="15:20" x14ac:dyDescent="0.25">
      <c r="O2257">
        <v>1</v>
      </c>
      <c r="S2257" t="e">
        <v>#DIV/0!</v>
      </c>
      <c r="T2257" t="s">
        <v>82</v>
      </c>
    </row>
    <row r="2258" spans="15:20" x14ac:dyDescent="0.25">
      <c r="O2258">
        <v>1</v>
      </c>
      <c r="S2258" t="e">
        <v>#DIV/0!</v>
      </c>
      <c r="T2258" t="s">
        <v>82</v>
      </c>
    </row>
    <row r="2259" spans="15:20" x14ac:dyDescent="0.25">
      <c r="O2259">
        <v>1</v>
      </c>
      <c r="S2259" t="e">
        <v>#DIV/0!</v>
      </c>
      <c r="T2259" t="s">
        <v>82</v>
      </c>
    </row>
    <row r="2260" spans="15:20" x14ac:dyDescent="0.25">
      <c r="O2260">
        <v>1</v>
      </c>
      <c r="S2260" t="e">
        <v>#DIV/0!</v>
      </c>
      <c r="T2260" t="s">
        <v>82</v>
      </c>
    </row>
    <row r="2261" spans="15:20" x14ac:dyDescent="0.25">
      <c r="O2261">
        <v>1</v>
      </c>
      <c r="S2261" t="e">
        <v>#DIV/0!</v>
      </c>
      <c r="T2261" t="s">
        <v>82</v>
      </c>
    </row>
    <row r="2262" spans="15:20" x14ac:dyDescent="0.25">
      <c r="O2262">
        <v>1</v>
      </c>
      <c r="S2262" t="e">
        <v>#DIV/0!</v>
      </c>
      <c r="T2262" t="s">
        <v>82</v>
      </c>
    </row>
    <row r="2263" spans="15:20" x14ac:dyDescent="0.25">
      <c r="O2263">
        <v>1</v>
      </c>
      <c r="S2263" t="e">
        <v>#DIV/0!</v>
      </c>
      <c r="T2263" t="s">
        <v>82</v>
      </c>
    </row>
    <row r="2264" spans="15:20" x14ac:dyDescent="0.25">
      <c r="O2264">
        <v>1</v>
      </c>
      <c r="S2264" t="e">
        <v>#DIV/0!</v>
      </c>
      <c r="T2264" t="s">
        <v>82</v>
      </c>
    </row>
    <row r="2265" spans="15:20" x14ac:dyDescent="0.25">
      <c r="O2265">
        <v>1</v>
      </c>
      <c r="S2265" t="e">
        <v>#DIV/0!</v>
      </c>
      <c r="T2265" t="s">
        <v>82</v>
      </c>
    </row>
    <row r="2266" spans="15:20" x14ac:dyDescent="0.25">
      <c r="O2266">
        <v>1</v>
      </c>
      <c r="S2266" t="e">
        <v>#DIV/0!</v>
      </c>
      <c r="T2266" t="s">
        <v>82</v>
      </c>
    </row>
    <row r="2267" spans="15:20" x14ac:dyDescent="0.25">
      <c r="O2267">
        <v>1</v>
      </c>
      <c r="S2267" t="e">
        <v>#DIV/0!</v>
      </c>
      <c r="T2267" t="s">
        <v>82</v>
      </c>
    </row>
    <row r="2268" spans="15:20" x14ac:dyDescent="0.25">
      <c r="O2268">
        <v>1</v>
      </c>
      <c r="S2268" t="e">
        <v>#DIV/0!</v>
      </c>
      <c r="T2268" t="s">
        <v>82</v>
      </c>
    </row>
    <row r="2269" spans="15:20" x14ac:dyDescent="0.25">
      <c r="O2269">
        <v>1</v>
      </c>
      <c r="S2269" t="e">
        <v>#DIV/0!</v>
      </c>
      <c r="T2269" t="s">
        <v>82</v>
      </c>
    </row>
    <row r="2270" spans="15:20" x14ac:dyDescent="0.25">
      <c r="O2270">
        <v>1</v>
      </c>
      <c r="S2270" t="e">
        <v>#DIV/0!</v>
      </c>
      <c r="T2270" t="s">
        <v>82</v>
      </c>
    </row>
    <row r="2271" spans="15:20" x14ac:dyDescent="0.25">
      <c r="O2271">
        <v>1</v>
      </c>
      <c r="S2271" t="e">
        <v>#DIV/0!</v>
      </c>
      <c r="T2271" t="s">
        <v>82</v>
      </c>
    </row>
    <row r="2272" spans="15:20" x14ac:dyDescent="0.25">
      <c r="O2272">
        <v>1</v>
      </c>
      <c r="S2272" t="e">
        <v>#DIV/0!</v>
      </c>
      <c r="T2272" t="s">
        <v>82</v>
      </c>
    </row>
    <row r="2273" spans="15:20" x14ac:dyDescent="0.25">
      <c r="O2273">
        <v>1</v>
      </c>
      <c r="S2273" t="e">
        <v>#DIV/0!</v>
      </c>
      <c r="T2273" t="s">
        <v>82</v>
      </c>
    </row>
    <row r="2274" spans="15:20" x14ac:dyDescent="0.25">
      <c r="O2274">
        <v>1</v>
      </c>
      <c r="S2274" t="e">
        <v>#DIV/0!</v>
      </c>
      <c r="T2274" t="s">
        <v>82</v>
      </c>
    </row>
    <row r="2275" spans="15:20" x14ac:dyDescent="0.25">
      <c r="O2275">
        <v>1</v>
      </c>
      <c r="S2275" t="e">
        <v>#DIV/0!</v>
      </c>
      <c r="T2275" t="s">
        <v>82</v>
      </c>
    </row>
    <row r="2276" spans="15:20" x14ac:dyDescent="0.25">
      <c r="O2276">
        <v>1</v>
      </c>
      <c r="S2276" t="e">
        <v>#DIV/0!</v>
      </c>
      <c r="T2276" t="s">
        <v>82</v>
      </c>
    </row>
    <row r="2277" spans="15:20" x14ac:dyDescent="0.25">
      <c r="O2277">
        <v>1</v>
      </c>
      <c r="S2277" t="e">
        <v>#DIV/0!</v>
      </c>
      <c r="T2277" t="s">
        <v>82</v>
      </c>
    </row>
    <row r="2278" spans="15:20" x14ac:dyDescent="0.25">
      <c r="O2278">
        <v>1</v>
      </c>
      <c r="S2278" t="e">
        <v>#DIV/0!</v>
      </c>
      <c r="T2278" t="s">
        <v>82</v>
      </c>
    </row>
    <row r="2279" spans="15:20" x14ac:dyDescent="0.25">
      <c r="O2279">
        <v>1</v>
      </c>
      <c r="S2279" t="e">
        <v>#DIV/0!</v>
      </c>
      <c r="T2279" t="s">
        <v>82</v>
      </c>
    </row>
    <row r="2280" spans="15:20" x14ac:dyDescent="0.25">
      <c r="O2280">
        <v>1</v>
      </c>
      <c r="S2280" t="e">
        <v>#DIV/0!</v>
      </c>
      <c r="T2280" t="s">
        <v>82</v>
      </c>
    </row>
    <row r="2281" spans="15:20" x14ac:dyDescent="0.25">
      <c r="O2281">
        <v>1</v>
      </c>
      <c r="S2281" t="e">
        <v>#DIV/0!</v>
      </c>
      <c r="T2281" t="s">
        <v>82</v>
      </c>
    </row>
    <row r="2282" spans="15:20" x14ac:dyDescent="0.25">
      <c r="O2282">
        <v>1</v>
      </c>
      <c r="S2282" t="e">
        <v>#DIV/0!</v>
      </c>
      <c r="T2282" t="s">
        <v>82</v>
      </c>
    </row>
    <row r="2283" spans="15:20" x14ac:dyDescent="0.25">
      <c r="O2283">
        <v>1</v>
      </c>
      <c r="S2283" t="e">
        <v>#DIV/0!</v>
      </c>
      <c r="T2283" t="s">
        <v>82</v>
      </c>
    </row>
    <row r="2284" spans="15:20" x14ac:dyDescent="0.25">
      <c r="O2284">
        <v>1</v>
      </c>
      <c r="S2284" t="e">
        <v>#DIV/0!</v>
      </c>
      <c r="T2284" t="s">
        <v>82</v>
      </c>
    </row>
    <row r="2285" spans="15:20" x14ac:dyDescent="0.25">
      <c r="O2285">
        <v>1</v>
      </c>
      <c r="S2285" t="e">
        <v>#DIV/0!</v>
      </c>
      <c r="T2285" t="s">
        <v>82</v>
      </c>
    </row>
    <row r="2286" spans="15:20" x14ac:dyDescent="0.25">
      <c r="O2286">
        <v>1</v>
      </c>
      <c r="S2286" t="e">
        <v>#DIV/0!</v>
      </c>
      <c r="T2286" t="s">
        <v>82</v>
      </c>
    </row>
    <row r="2287" spans="15:20" x14ac:dyDescent="0.25">
      <c r="O2287">
        <v>1</v>
      </c>
      <c r="S2287" t="e">
        <v>#DIV/0!</v>
      </c>
      <c r="T2287" t="s">
        <v>82</v>
      </c>
    </row>
    <row r="2288" spans="15:20" x14ac:dyDescent="0.25">
      <c r="O2288">
        <v>1</v>
      </c>
      <c r="S2288" t="e">
        <v>#DIV/0!</v>
      </c>
      <c r="T2288" t="s">
        <v>82</v>
      </c>
    </row>
    <row r="2289" spans="15:20" x14ac:dyDescent="0.25">
      <c r="O2289">
        <v>1</v>
      </c>
      <c r="S2289" t="e">
        <v>#DIV/0!</v>
      </c>
      <c r="T2289" t="s">
        <v>82</v>
      </c>
    </row>
    <row r="2290" spans="15:20" x14ac:dyDescent="0.25">
      <c r="O2290">
        <v>1</v>
      </c>
      <c r="S2290" t="e">
        <v>#DIV/0!</v>
      </c>
      <c r="T2290" t="s">
        <v>82</v>
      </c>
    </row>
    <row r="2291" spans="15:20" x14ac:dyDescent="0.25">
      <c r="O2291">
        <v>1</v>
      </c>
      <c r="S2291" t="e">
        <v>#DIV/0!</v>
      </c>
      <c r="T2291" t="s">
        <v>82</v>
      </c>
    </row>
    <row r="2292" spans="15:20" x14ac:dyDescent="0.25">
      <c r="O2292">
        <v>1</v>
      </c>
      <c r="S2292" t="e">
        <v>#DIV/0!</v>
      </c>
      <c r="T2292" t="s">
        <v>82</v>
      </c>
    </row>
    <row r="2293" spans="15:20" x14ac:dyDescent="0.25">
      <c r="O2293">
        <v>1</v>
      </c>
      <c r="S2293" t="e">
        <v>#DIV/0!</v>
      </c>
      <c r="T2293" t="s">
        <v>82</v>
      </c>
    </row>
    <row r="2294" spans="15:20" x14ac:dyDescent="0.25">
      <c r="O2294">
        <v>1</v>
      </c>
      <c r="S2294" t="e">
        <v>#DIV/0!</v>
      </c>
      <c r="T2294" t="s">
        <v>82</v>
      </c>
    </row>
    <row r="2295" spans="15:20" x14ac:dyDescent="0.25">
      <c r="O2295">
        <v>1</v>
      </c>
      <c r="S2295" t="e">
        <v>#DIV/0!</v>
      </c>
      <c r="T2295" t="s">
        <v>82</v>
      </c>
    </row>
    <row r="2296" spans="15:20" x14ac:dyDescent="0.25">
      <c r="O2296">
        <v>1</v>
      </c>
      <c r="S2296" t="e">
        <v>#DIV/0!</v>
      </c>
      <c r="T2296" t="s">
        <v>82</v>
      </c>
    </row>
    <row r="2297" spans="15:20" x14ac:dyDescent="0.25">
      <c r="O2297">
        <v>1</v>
      </c>
      <c r="S2297" t="e">
        <v>#DIV/0!</v>
      </c>
      <c r="T2297" t="s">
        <v>82</v>
      </c>
    </row>
    <row r="2298" spans="15:20" x14ac:dyDescent="0.25">
      <c r="O2298">
        <v>1</v>
      </c>
      <c r="S2298" t="e">
        <v>#DIV/0!</v>
      </c>
      <c r="T2298" t="s">
        <v>82</v>
      </c>
    </row>
    <row r="2299" spans="15:20" x14ac:dyDescent="0.25">
      <c r="O2299">
        <v>1</v>
      </c>
      <c r="S2299" t="e">
        <v>#DIV/0!</v>
      </c>
      <c r="T2299" t="s">
        <v>82</v>
      </c>
    </row>
    <row r="2300" spans="15:20" x14ac:dyDescent="0.25">
      <c r="O2300">
        <v>1</v>
      </c>
      <c r="S2300" t="e">
        <v>#DIV/0!</v>
      </c>
      <c r="T2300" t="s">
        <v>82</v>
      </c>
    </row>
    <row r="2301" spans="15:20" x14ac:dyDescent="0.25">
      <c r="O2301">
        <v>1</v>
      </c>
      <c r="S2301" t="e">
        <v>#DIV/0!</v>
      </c>
      <c r="T2301" t="s">
        <v>82</v>
      </c>
    </row>
    <row r="2302" spans="15:20" x14ac:dyDescent="0.25">
      <c r="O2302">
        <v>1</v>
      </c>
      <c r="S2302" t="e">
        <v>#DIV/0!</v>
      </c>
      <c r="T2302" t="s">
        <v>82</v>
      </c>
    </row>
    <row r="2303" spans="15:20" x14ac:dyDescent="0.25">
      <c r="O2303">
        <v>1</v>
      </c>
      <c r="S2303" t="e">
        <v>#DIV/0!</v>
      </c>
      <c r="T2303" t="s">
        <v>82</v>
      </c>
    </row>
    <row r="2304" spans="15:20" x14ac:dyDescent="0.25">
      <c r="O2304">
        <v>1</v>
      </c>
      <c r="S2304" t="e">
        <v>#DIV/0!</v>
      </c>
      <c r="T2304" t="s">
        <v>82</v>
      </c>
    </row>
    <row r="2305" spans="15:20" x14ac:dyDescent="0.25">
      <c r="O2305">
        <v>1</v>
      </c>
      <c r="S2305" t="e">
        <v>#DIV/0!</v>
      </c>
      <c r="T2305" t="s">
        <v>82</v>
      </c>
    </row>
    <row r="2306" spans="15:20" x14ac:dyDescent="0.25">
      <c r="O2306">
        <v>1</v>
      </c>
      <c r="S2306" t="e">
        <v>#DIV/0!</v>
      </c>
      <c r="T2306" t="s">
        <v>82</v>
      </c>
    </row>
    <row r="2307" spans="15:20" x14ac:dyDescent="0.25">
      <c r="O2307">
        <v>1</v>
      </c>
      <c r="S2307" t="e">
        <v>#DIV/0!</v>
      </c>
      <c r="T2307" t="s">
        <v>82</v>
      </c>
    </row>
    <row r="2308" spans="15:20" x14ac:dyDescent="0.25">
      <c r="O2308">
        <v>1</v>
      </c>
      <c r="S2308" t="e">
        <v>#DIV/0!</v>
      </c>
      <c r="T2308" t="s">
        <v>82</v>
      </c>
    </row>
    <row r="2309" spans="15:20" x14ac:dyDescent="0.25">
      <c r="O2309">
        <v>1</v>
      </c>
      <c r="S2309" t="e">
        <v>#DIV/0!</v>
      </c>
      <c r="T2309" t="s">
        <v>82</v>
      </c>
    </row>
    <row r="2310" spans="15:20" x14ac:dyDescent="0.25">
      <c r="O2310">
        <v>1</v>
      </c>
      <c r="S2310" t="e">
        <v>#DIV/0!</v>
      </c>
      <c r="T2310" t="s">
        <v>82</v>
      </c>
    </row>
    <row r="2311" spans="15:20" x14ac:dyDescent="0.25">
      <c r="O2311">
        <v>1</v>
      </c>
      <c r="S2311" t="e">
        <v>#DIV/0!</v>
      </c>
      <c r="T2311" t="s">
        <v>82</v>
      </c>
    </row>
    <row r="2312" spans="15:20" x14ac:dyDescent="0.25">
      <c r="O2312">
        <v>1</v>
      </c>
      <c r="S2312" t="e">
        <v>#DIV/0!</v>
      </c>
      <c r="T2312" t="s">
        <v>82</v>
      </c>
    </row>
    <row r="2313" spans="15:20" x14ac:dyDescent="0.25">
      <c r="O2313">
        <v>1</v>
      </c>
      <c r="S2313" t="e">
        <v>#DIV/0!</v>
      </c>
      <c r="T2313" t="s">
        <v>82</v>
      </c>
    </row>
    <row r="2314" spans="15:20" x14ac:dyDescent="0.25">
      <c r="O2314">
        <v>1</v>
      </c>
      <c r="S2314" t="e">
        <v>#DIV/0!</v>
      </c>
      <c r="T2314" t="s">
        <v>82</v>
      </c>
    </row>
    <row r="2315" spans="15:20" x14ac:dyDescent="0.25">
      <c r="O2315">
        <v>1</v>
      </c>
      <c r="S2315" t="e">
        <v>#DIV/0!</v>
      </c>
      <c r="T2315" t="s">
        <v>82</v>
      </c>
    </row>
    <row r="2316" spans="15:20" x14ac:dyDescent="0.25">
      <c r="O2316">
        <v>1</v>
      </c>
      <c r="S2316" t="e">
        <v>#DIV/0!</v>
      </c>
      <c r="T2316" t="s">
        <v>82</v>
      </c>
    </row>
    <row r="2317" spans="15:20" x14ac:dyDescent="0.25">
      <c r="O2317">
        <v>1</v>
      </c>
      <c r="S2317" t="e">
        <v>#DIV/0!</v>
      </c>
      <c r="T2317" t="s">
        <v>82</v>
      </c>
    </row>
    <row r="2318" spans="15:20" x14ac:dyDescent="0.25">
      <c r="O2318">
        <v>1</v>
      </c>
      <c r="S2318" t="e">
        <v>#DIV/0!</v>
      </c>
      <c r="T2318" t="s">
        <v>82</v>
      </c>
    </row>
    <row r="2319" spans="15:20" x14ac:dyDescent="0.25">
      <c r="O2319">
        <v>1</v>
      </c>
      <c r="S2319" t="e">
        <v>#DIV/0!</v>
      </c>
      <c r="T2319" t="s">
        <v>82</v>
      </c>
    </row>
    <row r="2320" spans="15:20" x14ac:dyDescent="0.25">
      <c r="O2320">
        <v>1</v>
      </c>
      <c r="S2320" t="e">
        <v>#DIV/0!</v>
      </c>
      <c r="T2320" t="s">
        <v>82</v>
      </c>
    </row>
    <row r="2321" spans="15:20" x14ac:dyDescent="0.25">
      <c r="O2321">
        <v>1</v>
      </c>
      <c r="S2321" t="e">
        <v>#DIV/0!</v>
      </c>
      <c r="T2321" t="s">
        <v>82</v>
      </c>
    </row>
    <row r="2322" spans="15:20" x14ac:dyDescent="0.25">
      <c r="O2322">
        <v>1</v>
      </c>
      <c r="S2322" t="e">
        <v>#DIV/0!</v>
      </c>
      <c r="T2322" t="s">
        <v>82</v>
      </c>
    </row>
    <row r="2323" spans="15:20" x14ac:dyDescent="0.25">
      <c r="O2323">
        <v>1</v>
      </c>
      <c r="S2323" t="e">
        <v>#DIV/0!</v>
      </c>
      <c r="T2323" t="s">
        <v>82</v>
      </c>
    </row>
    <row r="2324" spans="15:20" x14ac:dyDescent="0.25">
      <c r="O2324">
        <v>1</v>
      </c>
      <c r="S2324" t="e">
        <v>#DIV/0!</v>
      </c>
      <c r="T2324" t="s">
        <v>82</v>
      </c>
    </row>
    <row r="2325" spans="15:20" x14ac:dyDescent="0.25">
      <c r="O2325">
        <v>1</v>
      </c>
      <c r="S2325" t="e">
        <v>#DIV/0!</v>
      </c>
      <c r="T2325" t="s">
        <v>82</v>
      </c>
    </row>
    <row r="2326" spans="15:20" x14ac:dyDescent="0.25">
      <c r="O2326">
        <v>1</v>
      </c>
      <c r="S2326" t="e">
        <v>#DIV/0!</v>
      </c>
      <c r="T2326" t="s">
        <v>82</v>
      </c>
    </row>
    <row r="2327" spans="15:20" x14ac:dyDescent="0.25">
      <c r="O2327">
        <v>1</v>
      </c>
      <c r="S2327" t="e">
        <v>#DIV/0!</v>
      </c>
      <c r="T2327" t="s">
        <v>82</v>
      </c>
    </row>
    <row r="2328" spans="15:20" x14ac:dyDescent="0.25">
      <c r="O2328">
        <v>1</v>
      </c>
      <c r="S2328" t="e">
        <v>#DIV/0!</v>
      </c>
      <c r="T2328" t="s">
        <v>82</v>
      </c>
    </row>
    <row r="2329" spans="15:20" x14ac:dyDescent="0.25">
      <c r="O2329">
        <v>1</v>
      </c>
      <c r="S2329" t="e">
        <v>#DIV/0!</v>
      </c>
      <c r="T2329" t="s">
        <v>82</v>
      </c>
    </row>
    <row r="2330" spans="15:20" x14ac:dyDescent="0.25">
      <c r="O2330">
        <v>1</v>
      </c>
      <c r="S2330" t="e">
        <v>#DIV/0!</v>
      </c>
      <c r="T2330" t="s">
        <v>82</v>
      </c>
    </row>
    <row r="2331" spans="15:20" x14ac:dyDescent="0.25">
      <c r="O2331">
        <v>1</v>
      </c>
      <c r="S2331" t="e">
        <v>#DIV/0!</v>
      </c>
      <c r="T2331" t="s">
        <v>82</v>
      </c>
    </row>
    <row r="2332" spans="15:20" x14ac:dyDescent="0.25">
      <c r="O2332">
        <v>1</v>
      </c>
      <c r="S2332" t="e">
        <v>#DIV/0!</v>
      </c>
      <c r="T2332" t="s">
        <v>82</v>
      </c>
    </row>
    <row r="2333" spans="15:20" x14ac:dyDescent="0.25">
      <c r="O2333">
        <v>1</v>
      </c>
      <c r="S2333" t="e">
        <v>#DIV/0!</v>
      </c>
      <c r="T2333" t="s">
        <v>82</v>
      </c>
    </row>
    <row r="2334" spans="15:20" x14ac:dyDescent="0.25">
      <c r="O2334">
        <v>1</v>
      </c>
      <c r="S2334" t="e">
        <v>#DIV/0!</v>
      </c>
      <c r="T2334" t="s">
        <v>82</v>
      </c>
    </row>
    <row r="2335" spans="15:20" x14ac:dyDescent="0.25">
      <c r="O2335">
        <v>1</v>
      </c>
      <c r="S2335" t="e">
        <v>#DIV/0!</v>
      </c>
      <c r="T2335" t="s">
        <v>82</v>
      </c>
    </row>
    <row r="2336" spans="15:20" x14ac:dyDescent="0.25">
      <c r="O2336">
        <v>1</v>
      </c>
      <c r="S2336" t="e">
        <v>#DIV/0!</v>
      </c>
      <c r="T2336" t="s">
        <v>82</v>
      </c>
    </row>
    <row r="2337" spans="15:20" x14ac:dyDescent="0.25">
      <c r="O2337">
        <v>1</v>
      </c>
      <c r="S2337" t="e">
        <v>#DIV/0!</v>
      </c>
      <c r="T2337" t="s">
        <v>82</v>
      </c>
    </row>
    <row r="2338" spans="15:20" x14ac:dyDescent="0.25">
      <c r="O2338">
        <v>1</v>
      </c>
      <c r="S2338" t="e">
        <v>#DIV/0!</v>
      </c>
      <c r="T2338" t="s">
        <v>82</v>
      </c>
    </row>
    <row r="2339" spans="15:20" x14ac:dyDescent="0.25">
      <c r="O2339">
        <v>1</v>
      </c>
      <c r="S2339" t="e">
        <v>#DIV/0!</v>
      </c>
      <c r="T2339" t="s">
        <v>82</v>
      </c>
    </row>
    <row r="2340" spans="15:20" x14ac:dyDescent="0.25">
      <c r="O2340">
        <v>1</v>
      </c>
      <c r="S2340" t="e">
        <v>#DIV/0!</v>
      </c>
      <c r="T2340" t="s">
        <v>82</v>
      </c>
    </row>
    <row r="2341" spans="15:20" x14ac:dyDescent="0.25">
      <c r="O2341">
        <v>1</v>
      </c>
      <c r="S2341" t="e">
        <v>#DIV/0!</v>
      </c>
      <c r="T2341" t="s">
        <v>82</v>
      </c>
    </row>
    <row r="2342" spans="15:20" x14ac:dyDescent="0.25">
      <c r="O2342">
        <v>1</v>
      </c>
      <c r="S2342" t="e">
        <v>#DIV/0!</v>
      </c>
      <c r="T2342" t="s">
        <v>82</v>
      </c>
    </row>
    <row r="2343" spans="15:20" x14ac:dyDescent="0.25">
      <c r="O2343">
        <v>1</v>
      </c>
      <c r="S2343" t="e">
        <v>#DIV/0!</v>
      </c>
      <c r="T2343" t="s">
        <v>82</v>
      </c>
    </row>
    <row r="2344" spans="15:20" x14ac:dyDescent="0.25">
      <c r="O2344">
        <v>1</v>
      </c>
      <c r="S2344" t="e">
        <v>#DIV/0!</v>
      </c>
      <c r="T2344" t="s">
        <v>82</v>
      </c>
    </row>
    <row r="2345" spans="15:20" x14ac:dyDescent="0.25">
      <c r="O2345">
        <v>1</v>
      </c>
      <c r="S2345" t="e">
        <v>#DIV/0!</v>
      </c>
      <c r="T2345" t="s">
        <v>82</v>
      </c>
    </row>
    <row r="2346" spans="15:20" x14ac:dyDescent="0.25">
      <c r="O2346">
        <v>1</v>
      </c>
      <c r="S2346" t="e">
        <v>#DIV/0!</v>
      </c>
      <c r="T2346" t="s">
        <v>82</v>
      </c>
    </row>
    <row r="2347" spans="15:20" x14ac:dyDescent="0.25">
      <c r="O2347">
        <v>1</v>
      </c>
      <c r="S2347" t="e">
        <v>#DIV/0!</v>
      </c>
      <c r="T2347" t="s">
        <v>82</v>
      </c>
    </row>
    <row r="2348" spans="15:20" x14ac:dyDescent="0.25">
      <c r="O2348">
        <v>1</v>
      </c>
      <c r="S2348" t="e">
        <v>#DIV/0!</v>
      </c>
      <c r="T2348" t="s">
        <v>82</v>
      </c>
    </row>
    <row r="2349" spans="15:20" x14ac:dyDescent="0.25">
      <c r="O2349">
        <v>1</v>
      </c>
      <c r="S2349" t="e">
        <v>#DIV/0!</v>
      </c>
      <c r="T2349" t="s">
        <v>82</v>
      </c>
    </row>
    <row r="2350" spans="15:20" x14ac:dyDescent="0.25">
      <c r="O2350">
        <v>1</v>
      </c>
      <c r="S2350" t="e">
        <v>#DIV/0!</v>
      </c>
      <c r="T2350" t="s">
        <v>82</v>
      </c>
    </row>
    <row r="2351" spans="15:20" x14ac:dyDescent="0.25">
      <c r="O2351">
        <v>1</v>
      </c>
      <c r="S2351" t="e">
        <v>#DIV/0!</v>
      </c>
      <c r="T2351" t="s">
        <v>82</v>
      </c>
    </row>
    <row r="2352" spans="15:20" x14ac:dyDescent="0.25">
      <c r="O2352">
        <v>1</v>
      </c>
      <c r="S2352" t="e">
        <v>#DIV/0!</v>
      </c>
      <c r="T2352" t="s">
        <v>82</v>
      </c>
    </row>
    <row r="2353" spans="15:20" x14ac:dyDescent="0.25">
      <c r="O2353">
        <v>1</v>
      </c>
      <c r="S2353" t="e">
        <v>#DIV/0!</v>
      </c>
      <c r="T2353" t="s">
        <v>82</v>
      </c>
    </row>
    <row r="2354" spans="15:20" x14ac:dyDescent="0.25">
      <c r="O2354">
        <v>1</v>
      </c>
      <c r="S2354" t="e">
        <v>#DIV/0!</v>
      </c>
      <c r="T2354" t="s">
        <v>82</v>
      </c>
    </row>
    <row r="2355" spans="15:20" x14ac:dyDescent="0.25">
      <c r="O2355">
        <v>1</v>
      </c>
      <c r="S2355" t="e">
        <v>#DIV/0!</v>
      </c>
      <c r="T2355" t="s">
        <v>82</v>
      </c>
    </row>
    <row r="2356" spans="15:20" x14ac:dyDescent="0.25">
      <c r="O2356">
        <v>1</v>
      </c>
      <c r="S2356" t="e">
        <v>#DIV/0!</v>
      </c>
      <c r="T2356" t="s">
        <v>82</v>
      </c>
    </row>
    <row r="2357" spans="15:20" x14ac:dyDescent="0.25">
      <c r="O2357">
        <v>1</v>
      </c>
      <c r="S2357" t="e">
        <v>#DIV/0!</v>
      </c>
      <c r="T2357" t="s">
        <v>82</v>
      </c>
    </row>
    <row r="2358" spans="15:20" x14ac:dyDescent="0.25">
      <c r="O2358">
        <v>1</v>
      </c>
      <c r="S2358" t="e">
        <v>#DIV/0!</v>
      </c>
      <c r="T2358" t="s">
        <v>82</v>
      </c>
    </row>
    <row r="2359" spans="15:20" x14ac:dyDescent="0.25">
      <c r="O2359">
        <v>1</v>
      </c>
      <c r="S2359" t="e">
        <v>#DIV/0!</v>
      </c>
      <c r="T2359" t="s">
        <v>82</v>
      </c>
    </row>
    <row r="2360" spans="15:20" x14ac:dyDescent="0.25">
      <c r="O2360">
        <v>1</v>
      </c>
      <c r="S2360" t="e">
        <v>#DIV/0!</v>
      </c>
      <c r="T2360" t="s">
        <v>82</v>
      </c>
    </row>
    <row r="2361" spans="15:20" x14ac:dyDescent="0.25">
      <c r="O2361">
        <v>1</v>
      </c>
      <c r="S2361" t="e">
        <v>#DIV/0!</v>
      </c>
      <c r="T2361" t="s">
        <v>82</v>
      </c>
    </row>
    <row r="2362" spans="15:20" x14ac:dyDescent="0.25">
      <c r="O2362">
        <v>1</v>
      </c>
      <c r="S2362" t="e">
        <v>#DIV/0!</v>
      </c>
      <c r="T2362" t="s">
        <v>82</v>
      </c>
    </row>
    <row r="2363" spans="15:20" x14ac:dyDescent="0.25">
      <c r="O2363">
        <v>1</v>
      </c>
      <c r="S2363" t="e">
        <v>#DIV/0!</v>
      </c>
      <c r="T2363" t="s">
        <v>82</v>
      </c>
    </row>
    <row r="2364" spans="15:20" x14ac:dyDescent="0.25">
      <c r="O2364">
        <v>1</v>
      </c>
      <c r="S2364" t="e">
        <v>#DIV/0!</v>
      </c>
      <c r="T2364" t="s">
        <v>82</v>
      </c>
    </row>
    <row r="2365" spans="15:20" x14ac:dyDescent="0.25">
      <c r="O2365">
        <v>1</v>
      </c>
      <c r="S2365" t="e">
        <v>#DIV/0!</v>
      </c>
      <c r="T2365" t="s">
        <v>82</v>
      </c>
    </row>
    <row r="2366" spans="15:20" x14ac:dyDescent="0.25">
      <c r="O2366">
        <v>1</v>
      </c>
      <c r="S2366" t="e">
        <v>#DIV/0!</v>
      </c>
      <c r="T2366" t="s">
        <v>82</v>
      </c>
    </row>
    <row r="2367" spans="15:20" x14ac:dyDescent="0.25">
      <c r="O2367">
        <v>1</v>
      </c>
      <c r="S2367" t="e">
        <v>#DIV/0!</v>
      </c>
      <c r="T2367" t="s">
        <v>82</v>
      </c>
    </row>
    <row r="2368" spans="15:20" x14ac:dyDescent="0.25">
      <c r="O2368">
        <v>1</v>
      </c>
      <c r="S2368" t="e">
        <v>#DIV/0!</v>
      </c>
      <c r="T2368" t="s">
        <v>82</v>
      </c>
    </row>
    <row r="2369" spans="15:20" x14ac:dyDescent="0.25">
      <c r="O2369">
        <v>1</v>
      </c>
      <c r="S2369" t="e">
        <v>#DIV/0!</v>
      </c>
      <c r="T2369" t="s">
        <v>82</v>
      </c>
    </row>
    <row r="2370" spans="15:20" x14ac:dyDescent="0.25">
      <c r="O2370">
        <v>1</v>
      </c>
      <c r="S2370" t="e">
        <v>#DIV/0!</v>
      </c>
      <c r="T2370" t="s">
        <v>82</v>
      </c>
    </row>
    <row r="2371" spans="15:20" x14ac:dyDescent="0.25">
      <c r="O2371">
        <v>1</v>
      </c>
      <c r="S2371" t="e">
        <v>#DIV/0!</v>
      </c>
      <c r="T2371" t="s">
        <v>82</v>
      </c>
    </row>
    <row r="2372" spans="15:20" x14ac:dyDescent="0.25">
      <c r="O2372">
        <v>1</v>
      </c>
      <c r="S2372" t="e">
        <v>#DIV/0!</v>
      </c>
      <c r="T2372" t="s">
        <v>82</v>
      </c>
    </row>
    <row r="2373" spans="15:20" x14ac:dyDescent="0.25">
      <c r="O2373">
        <v>1</v>
      </c>
      <c r="S2373" t="e">
        <v>#DIV/0!</v>
      </c>
      <c r="T2373" t="s">
        <v>82</v>
      </c>
    </row>
    <row r="2374" spans="15:20" x14ac:dyDescent="0.25">
      <c r="O2374">
        <v>1</v>
      </c>
      <c r="S2374" t="e">
        <v>#DIV/0!</v>
      </c>
      <c r="T2374" t="s">
        <v>82</v>
      </c>
    </row>
    <row r="2375" spans="15:20" x14ac:dyDescent="0.25">
      <c r="O2375">
        <v>1</v>
      </c>
      <c r="S2375" t="e">
        <v>#DIV/0!</v>
      </c>
      <c r="T2375" t="s">
        <v>82</v>
      </c>
    </row>
    <row r="2376" spans="15:20" x14ac:dyDescent="0.25">
      <c r="O2376">
        <v>1</v>
      </c>
      <c r="S2376" t="e">
        <v>#DIV/0!</v>
      </c>
      <c r="T2376" t="s">
        <v>82</v>
      </c>
    </row>
    <row r="2377" spans="15:20" x14ac:dyDescent="0.25">
      <c r="O2377">
        <v>1</v>
      </c>
      <c r="S2377" t="e">
        <v>#DIV/0!</v>
      </c>
      <c r="T2377" t="s">
        <v>82</v>
      </c>
    </row>
    <row r="2378" spans="15:20" x14ac:dyDescent="0.25">
      <c r="O2378">
        <v>1</v>
      </c>
      <c r="S2378" t="e">
        <v>#DIV/0!</v>
      </c>
      <c r="T2378" t="s">
        <v>82</v>
      </c>
    </row>
    <row r="2379" spans="15:20" x14ac:dyDescent="0.25">
      <c r="O2379">
        <v>1</v>
      </c>
      <c r="S2379" t="e">
        <v>#DIV/0!</v>
      </c>
      <c r="T2379" t="s">
        <v>82</v>
      </c>
    </row>
    <row r="2380" spans="15:20" x14ac:dyDescent="0.25">
      <c r="O2380">
        <v>1</v>
      </c>
      <c r="S2380" t="e">
        <v>#DIV/0!</v>
      </c>
      <c r="T2380" t="s">
        <v>82</v>
      </c>
    </row>
    <row r="2381" spans="15:20" x14ac:dyDescent="0.25">
      <c r="O2381">
        <v>1</v>
      </c>
      <c r="S2381" t="e">
        <v>#DIV/0!</v>
      </c>
      <c r="T2381" t="s">
        <v>82</v>
      </c>
    </row>
    <row r="2382" spans="15:20" x14ac:dyDescent="0.25">
      <c r="O2382">
        <v>1</v>
      </c>
      <c r="S2382" t="e">
        <v>#DIV/0!</v>
      </c>
      <c r="T2382" t="s">
        <v>82</v>
      </c>
    </row>
    <row r="2383" spans="15:20" x14ac:dyDescent="0.25">
      <c r="O2383">
        <v>1</v>
      </c>
      <c r="S2383" t="e">
        <v>#DIV/0!</v>
      </c>
      <c r="T2383" t="s">
        <v>82</v>
      </c>
    </row>
    <row r="2384" spans="15:20" x14ac:dyDescent="0.25">
      <c r="O2384">
        <v>1</v>
      </c>
      <c r="S2384" t="e">
        <v>#DIV/0!</v>
      </c>
      <c r="T2384" t="s">
        <v>82</v>
      </c>
    </row>
    <row r="2385" spans="15:20" x14ac:dyDescent="0.25">
      <c r="O2385">
        <v>1</v>
      </c>
      <c r="S2385" t="e">
        <v>#DIV/0!</v>
      </c>
      <c r="T2385" t="s">
        <v>82</v>
      </c>
    </row>
    <row r="2386" spans="15:20" x14ac:dyDescent="0.25">
      <c r="O2386">
        <v>1</v>
      </c>
      <c r="S2386" t="e">
        <v>#DIV/0!</v>
      </c>
      <c r="T2386" t="s">
        <v>82</v>
      </c>
    </row>
    <row r="2387" spans="15:20" x14ac:dyDescent="0.25">
      <c r="O2387">
        <v>1</v>
      </c>
      <c r="S2387" t="e">
        <v>#DIV/0!</v>
      </c>
      <c r="T2387" t="s">
        <v>82</v>
      </c>
    </row>
    <row r="2388" spans="15:20" x14ac:dyDescent="0.25">
      <c r="O2388">
        <v>1</v>
      </c>
      <c r="S2388" t="e">
        <v>#DIV/0!</v>
      </c>
      <c r="T2388" t="s">
        <v>82</v>
      </c>
    </row>
    <row r="2389" spans="15:20" x14ac:dyDescent="0.25">
      <c r="O2389">
        <v>1</v>
      </c>
      <c r="S2389" t="e">
        <v>#DIV/0!</v>
      </c>
      <c r="T2389" t="s">
        <v>82</v>
      </c>
    </row>
    <row r="2390" spans="15:20" x14ac:dyDescent="0.25">
      <c r="O2390">
        <v>1</v>
      </c>
      <c r="S2390" t="e">
        <v>#DIV/0!</v>
      </c>
      <c r="T2390" t="s">
        <v>82</v>
      </c>
    </row>
    <row r="2391" spans="15:20" x14ac:dyDescent="0.25">
      <c r="O2391">
        <v>1</v>
      </c>
      <c r="S2391" t="e">
        <v>#DIV/0!</v>
      </c>
      <c r="T2391" t="s">
        <v>82</v>
      </c>
    </row>
    <row r="2392" spans="15:20" x14ac:dyDescent="0.25">
      <c r="O2392">
        <v>1</v>
      </c>
      <c r="S2392" t="e">
        <v>#DIV/0!</v>
      </c>
      <c r="T2392" t="s">
        <v>82</v>
      </c>
    </row>
    <row r="2393" spans="15:20" x14ac:dyDescent="0.25">
      <c r="O2393">
        <v>1</v>
      </c>
      <c r="S2393" t="e">
        <v>#DIV/0!</v>
      </c>
      <c r="T2393" t="s">
        <v>82</v>
      </c>
    </row>
    <row r="2394" spans="15:20" x14ac:dyDescent="0.25">
      <c r="O2394">
        <v>1</v>
      </c>
      <c r="S2394" t="e">
        <v>#DIV/0!</v>
      </c>
      <c r="T2394" t="s">
        <v>82</v>
      </c>
    </row>
    <row r="2395" spans="15:20" x14ac:dyDescent="0.25">
      <c r="O2395">
        <v>1</v>
      </c>
      <c r="S2395" t="e">
        <v>#DIV/0!</v>
      </c>
      <c r="T2395" t="s">
        <v>82</v>
      </c>
    </row>
    <row r="2396" spans="15:20" x14ac:dyDescent="0.25">
      <c r="O2396">
        <v>1</v>
      </c>
      <c r="S2396" t="e">
        <v>#DIV/0!</v>
      </c>
      <c r="T2396" t="s">
        <v>82</v>
      </c>
    </row>
    <row r="2397" spans="15:20" x14ac:dyDescent="0.25">
      <c r="O2397">
        <v>1</v>
      </c>
      <c r="S2397" t="e">
        <v>#DIV/0!</v>
      </c>
      <c r="T2397" t="s">
        <v>82</v>
      </c>
    </row>
    <row r="2398" spans="15:20" x14ac:dyDescent="0.25">
      <c r="O2398">
        <v>1</v>
      </c>
      <c r="S2398" t="e">
        <v>#DIV/0!</v>
      </c>
      <c r="T2398" t="s">
        <v>82</v>
      </c>
    </row>
    <row r="2399" spans="15:20" x14ac:dyDescent="0.25">
      <c r="O2399">
        <v>1</v>
      </c>
      <c r="S2399" t="e">
        <v>#DIV/0!</v>
      </c>
      <c r="T2399" t="s">
        <v>82</v>
      </c>
    </row>
    <row r="2400" spans="15:20" x14ac:dyDescent="0.25">
      <c r="O2400">
        <v>1</v>
      </c>
      <c r="S2400" t="e">
        <v>#DIV/0!</v>
      </c>
      <c r="T2400" t="s">
        <v>82</v>
      </c>
    </row>
    <row r="2401" spans="15:20" x14ac:dyDescent="0.25">
      <c r="O2401">
        <v>1</v>
      </c>
      <c r="S2401" t="e">
        <v>#DIV/0!</v>
      </c>
      <c r="T2401" t="s">
        <v>82</v>
      </c>
    </row>
    <row r="2402" spans="15:20" x14ac:dyDescent="0.25">
      <c r="O2402">
        <v>1</v>
      </c>
      <c r="S2402" t="e">
        <v>#DIV/0!</v>
      </c>
      <c r="T2402" t="s">
        <v>82</v>
      </c>
    </row>
    <row r="2403" spans="15:20" x14ac:dyDescent="0.25">
      <c r="O2403">
        <v>1</v>
      </c>
      <c r="S2403" t="e">
        <v>#DIV/0!</v>
      </c>
      <c r="T2403" t="s">
        <v>82</v>
      </c>
    </row>
    <row r="2404" spans="15:20" x14ac:dyDescent="0.25">
      <c r="O2404">
        <v>1</v>
      </c>
      <c r="S2404" t="e">
        <v>#DIV/0!</v>
      </c>
      <c r="T2404" t="s">
        <v>82</v>
      </c>
    </row>
    <row r="2405" spans="15:20" x14ac:dyDescent="0.25">
      <c r="O2405">
        <v>1</v>
      </c>
      <c r="S2405" t="e">
        <v>#DIV/0!</v>
      </c>
      <c r="T2405" t="s">
        <v>82</v>
      </c>
    </row>
    <row r="2406" spans="15:20" x14ac:dyDescent="0.25">
      <c r="O2406">
        <v>1</v>
      </c>
      <c r="S2406" t="e">
        <v>#DIV/0!</v>
      </c>
      <c r="T2406" t="s">
        <v>82</v>
      </c>
    </row>
    <row r="2407" spans="15:20" x14ac:dyDescent="0.25">
      <c r="O2407">
        <v>1</v>
      </c>
      <c r="S2407" t="e">
        <v>#DIV/0!</v>
      </c>
      <c r="T2407" t="s">
        <v>82</v>
      </c>
    </row>
    <row r="2408" spans="15:20" x14ac:dyDescent="0.25">
      <c r="O2408">
        <v>1</v>
      </c>
      <c r="S2408" t="e">
        <v>#DIV/0!</v>
      </c>
      <c r="T2408" t="s">
        <v>82</v>
      </c>
    </row>
    <row r="2409" spans="15:20" x14ac:dyDescent="0.25">
      <c r="O2409">
        <v>1</v>
      </c>
      <c r="S2409" t="e">
        <v>#DIV/0!</v>
      </c>
      <c r="T2409" t="s">
        <v>82</v>
      </c>
    </row>
    <row r="2410" spans="15:20" x14ac:dyDescent="0.25">
      <c r="O2410">
        <v>1</v>
      </c>
      <c r="S2410" t="e">
        <v>#DIV/0!</v>
      </c>
      <c r="T2410" t="s">
        <v>82</v>
      </c>
    </row>
    <row r="2411" spans="15:20" x14ac:dyDescent="0.25">
      <c r="O2411">
        <v>1</v>
      </c>
      <c r="S2411" t="e">
        <v>#DIV/0!</v>
      </c>
      <c r="T2411" t="s">
        <v>82</v>
      </c>
    </row>
    <row r="2412" spans="15:20" x14ac:dyDescent="0.25">
      <c r="O2412">
        <v>1</v>
      </c>
      <c r="S2412" t="e">
        <v>#DIV/0!</v>
      </c>
      <c r="T2412" t="s">
        <v>82</v>
      </c>
    </row>
    <row r="2413" spans="15:20" x14ac:dyDescent="0.25">
      <c r="O2413">
        <v>1</v>
      </c>
      <c r="S2413" t="e">
        <v>#DIV/0!</v>
      </c>
      <c r="T2413" t="s">
        <v>82</v>
      </c>
    </row>
    <row r="2414" spans="15:20" x14ac:dyDescent="0.25">
      <c r="O2414">
        <v>1</v>
      </c>
      <c r="S2414" t="e">
        <v>#DIV/0!</v>
      </c>
      <c r="T2414" t="s">
        <v>82</v>
      </c>
    </row>
    <row r="2415" spans="15:20" x14ac:dyDescent="0.25">
      <c r="O2415">
        <v>1</v>
      </c>
      <c r="S2415" t="e">
        <v>#DIV/0!</v>
      </c>
      <c r="T2415" t="s">
        <v>82</v>
      </c>
    </row>
    <row r="2416" spans="15:20" x14ac:dyDescent="0.25">
      <c r="O2416">
        <v>1</v>
      </c>
      <c r="S2416" t="e">
        <v>#DIV/0!</v>
      </c>
      <c r="T2416" t="s">
        <v>82</v>
      </c>
    </row>
    <row r="2417" spans="15:20" x14ac:dyDescent="0.25">
      <c r="O2417">
        <v>1</v>
      </c>
      <c r="S2417" t="e">
        <v>#DIV/0!</v>
      </c>
      <c r="T2417" t="s">
        <v>82</v>
      </c>
    </row>
    <row r="2418" spans="15:20" x14ac:dyDescent="0.25">
      <c r="O2418">
        <v>1</v>
      </c>
      <c r="S2418" t="e">
        <v>#DIV/0!</v>
      </c>
      <c r="T2418" t="s">
        <v>82</v>
      </c>
    </row>
    <row r="2419" spans="15:20" x14ac:dyDescent="0.25">
      <c r="O2419">
        <v>1</v>
      </c>
      <c r="S2419" t="e">
        <v>#DIV/0!</v>
      </c>
      <c r="T2419" t="s">
        <v>82</v>
      </c>
    </row>
    <row r="2420" spans="15:20" x14ac:dyDescent="0.25">
      <c r="O2420">
        <v>1</v>
      </c>
      <c r="S2420" t="e">
        <v>#DIV/0!</v>
      </c>
      <c r="T2420" t="s">
        <v>82</v>
      </c>
    </row>
    <row r="2421" spans="15:20" x14ac:dyDescent="0.25">
      <c r="O2421">
        <v>1</v>
      </c>
      <c r="S2421" t="e">
        <v>#DIV/0!</v>
      </c>
      <c r="T2421" t="s">
        <v>82</v>
      </c>
    </row>
    <row r="2422" spans="15:20" x14ac:dyDescent="0.25">
      <c r="O2422">
        <v>1</v>
      </c>
      <c r="S2422" t="e">
        <v>#DIV/0!</v>
      </c>
      <c r="T2422" t="s">
        <v>82</v>
      </c>
    </row>
    <row r="2423" spans="15:20" x14ac:dyDescent="0.25">
      <c r="O2423">
        <v>1</v>
      </c>
      <c r="S2423" t="e">
        <v>#DIV/0!</v>
      </c>
      <c r="T2423" t="s">
        <v>82</v>
      </c>
    </row>
    <row r="2424" spans="15:20" x14ac:dyDescent="0.25">
      <c r="O2424">
        <v>1</v>
      </c>
      <c r="S2424" t="e">
        <v>#DIV/0!</v>
      </c>
      <c r="T2424" t="s">
        <v>82</v>
      </c>
    </row>
    <row r="2425" spans="15:20" x14ac:dyDescent="0.25">
      <c r="O2425">
        <v>1</v>
      </c>
      <c r="S2425" t="e">
        <v>#DIV/0!</v>
      </c>
      <c r="T2425" t="s">
        <v>82</v>
      </c>
    </row>
    <row r="2426" spans="15:20" x14ac:dyDescent="0.25">
      <c r="O2426">
        <v>1</v>
      </c>
      <c r="S2426" t="e">
        <v>#DIV/0!</v>
      </c>
      <c r="T2426" t="s">
        <v>82</v>
      </c>
    </row>
    <row r="2427" spans="15:20" x14ac:dyDescent="0.25">
      <c r="O2427">
        <v>1</v>
      </c>
      <c r="S2427" t="e">
        <v>#DIV/0!</v>
      </c>
      <c r="T2427" t="s">
        <v>82</v>
      </c>
    </row>
    <row r="2428" spans="15:20" x14ac:dyDescent="0.25">
      <c r="O2428">
        <v>1</v>
      </c>
      <c r="S2428" t="e">
        <v>#DIV/0!</v>
      </c>
      <c r="T2428" t="s">
        <v>82</v>
      </c>
    </row>
    <row r="2429" spans="15:20" x14ac:dyDescent="0.25">
      <c r="O2429">
        <v>1</v>
      </c>
      <c r="S2429" t="e">
        <v>#DIV/0!</v>
      </c>
      <c r="T2429" t="s">
        <v>82</v>
      </c>
    </row>
    <row r="2430" spans="15:20" x14ac:dyDescent="0.25">
      <c r="O2430">
        <v>1</v>
      </c>
      <c r="S2430" t="e">
        <v>#DIV/0!</v>
      </c>
      <c r="T2430" t="s">
        <v>82</v>
      </c>
    </row>
    <row r="2431" spans="15:20" x14ac:dyDescent="0.25">
      <c r="O2431">
        <v>1</v>
      </c>
      <c r="S2431" t="e">
        <v>#DIV/0!</v>
      </c>
      <c r="T2431" t="s">
        <v>82</v>
      </c>
    </row>
    <row r="2432" spans="15:20" x14ac:dyDescent="0.25">
      <c r="O2432">
        <v>1</v>
      </c>
      <c r="S2432" t="e">
        <v>#DIV/0!</v>
      </c>
      <c r="T2432" t="s">
        <v>82</v>
      </c>
    </row>
    <row r="2433" spans="15:20" x14ac:dyDescent="0.25">
      <c r="O2433">
        <v>1</v>
      </c>
      <c r="S2433" t="e">
        <v>#DIV/0!</v>
      </c>
      <c r="T2433" t="s">
        <v>82</v>
      </c>
    </row>
    <row r="2434" spans="15:20" x14ac:dyDescent="0.25">
      <c r="O2434">
        <v>1</v>
      </c>
      <c r="S2434" t="e">
        <v>#DIV/0!</v>
      </c>
      <c r="T2434" t="s">
        <v>82</v>
      </c>
    </row>
    <row r="2435" spans="15:20" x14ac:dyDescent="0.25">
      <c r="O2435">
        <v>1</v>
      </c>
      <c r="S2435" t="e">
        <v>#DIV/0!</v>
      </c>
      <c r="T2435" t="s">
        <v>82</v>
      </c>
    </row>
    <row r="2436" spans="15:20" x14ac:dyDescent="0.25">
      <c r="O2436">
        <v>1</v>
      </c>
      <c r="S2436" t="e">
        <v>#DIV/0!</v>
      </c>
      <c r="T2436" t="s">
        <v>82</v>
      </c>
    </row>
    <row r="2437" spans="15:20" x14ac:dyDescent="0.25">
      <c r="O2437">
        <v>1</v>
      </c>
      <c r="S2437" t="e">
        <v>#DIV/0!</v>
      </c>
      <c r="T2437" t="s">
        <v>82</v>
      </c>
    </row>
    <row r="2438" spans="15:20" x14ac:dyDescent="0.25">
      <c r="O2438">
        <v>1</v>
      </c>
      <c r="S2438" t="e">
        <v>#DIV/0!</v>
      </c>
      <c r="T2438" t="s">
        <v>82</v>
      </c>
    </row>
    <row r="2439" spans="15:20" x14ac:dyDescent="0.25">
      <c r="O2439">
        <v>1</v>
      </c>
      <c r="S2439" t="e">
        <v>#DIV/0!</v>
      </c>
      <c r="T2439" t="s">
        <v>82</v>
      </c>
    </row>
    <row r="2440" spans="15:20" x14ac:dyDescent="0.25">
      <c r="O2440">
        <v>1</v>
      </c>
      <c r="S2440" t="e">
        <v>#DIV/0!</v>
      </c>
      <c r="T2440" t="s">
        <v>82</v>
      </c>
    </row>
    <row r="2441" spans="15:20" x14ac:dyDescent="0.25">
      <c r="O2441">
        <v>1</v>
      </c>
      <c r="S2441" t="e">
        <v>#DIV/0!</v>
      </c>
      <c r="T2441" t="s">
        <v>82</v>
      </c>
    </row>
    <row r="2442" spans="15:20" x14ac:dyDescent="0.25">
      <c r="O2442">
        <v>1</v>
      </c>
      <c r="S2442" t="e">
        <v>#DIV/0!</v>
      </c>
      <c r="T2442" t="s">
        <v>82</v>
      </c>
    </row>
    <row r="2443" spans="15:20" x14ac:dyDescent="0.25">
      <c r="O2443">
        <v>1</v>
      </c>
      <c r="S2443" t="e">
        <v>#DIV/0!</v>
      </c>
      <c r="T2443" t="s">
        <v>82</v>
      </c>
    </row>
    <row r="2444" spans="15:20" x14ac:dyDescent="0.25">
      <c r="O2444">
        <v>1</v>
      </c>
      <c r="S2444" t="e">
        <v>#DIV/0!</v>
      </c>
      <c r="T2444" t="s">
        <v>82</v>
      </c>
    </row>
    <row r="2445" spans="15:20" x14ac:dyDescent="0.25">
      <c r="O2445">
        <v>1</v>
      </c>
      <c r="S2445" t="e">
        <v>#DIV/0!</v>
      </c>
      <c r="T2445" t="s">
        <v>82</v>
      </c>
    </row>
    <row r="2446" spans="15:20" x14ac:dyDescent="0.25">
      <c r="O2446">
        <v>1</v>
      </c>
      <c r="S2446" t="e">
        <v>#DIV/0!</v>
      </c>
      <c r="T2446" t="s">
        <v>82</v>
      </c>
    </row>
    <row r="2447" spans="15:20" x14ac:dyDescent="0.25">
      <c r="O2447">
        <v>1</v>
      </c>
      <c r="S2447" t="e">
        <v>#DIV/0!</v>
      </c>
      <c r="T2447" t="s">
        <v>82</v>
      </c>
    </row>
    <row r="2448" spans="15:20" x14ac:dyDescent="0.25">
      <c r="O2448">
        <v>1</v>
      </c>
      <c r="S2448" t="e">
        <v>#DIV/0!</v>
      </c>
      <c r="T2448" t="s">
        <v>82</v>
      </c>
    </row>
    <row r="2449" spans="15:20" x14ac:dyDescent="0.25">
      <c r="O2449">
        <v>1</v>
      </c>
      <c r="S2449" t="e">
        <v>#DIV/0!</v>
      </c>
      <c r="T2449" t="s">
        <v>82</v>
      </c>
    </row>
    <row r="2450" spans="15:20" x14ac:dyDescent="0.25">
      <c r="O2450">
        <v>1</v>
      </c>
      <c r="S2450" t="e">
        <v>#DIV/0!</v>
      </c>
      <c r="T2450" t="s">
        <v>82</v>
      </c>
    </row>
    <row r="2451" spans="15:20" x14ac:dyDescent="0.25">
      <c r="O2451">
        <v>1</v>
      </c>
      <c r="S2451" t="e">
        <v>#DIV/0!</v>
      </c>
      <c r="T2451" t="s">
        <v>82</v>
      </c>
    </row>
    <row r="2452" spans="15:20" x14ac:dyDescent="0.25">
      <c r="O2452">
        <v>1</v>
      </c>
      <c r="S2452" t="e">
        <v>#DIV/0!</v>
      </c>
      <c r="T2452" t="s">
        <v>82</v>
      </c>
    </row>
    <row r="2453" spans="15:20" x14ac:dyDescent="0.25">
      <c r="O2453">
        <v>1</v>
      </c>
      <c r="S2453" t="e">
        <v>#DIV/0!</v>
      </c>
      <c r="T2453" t="s">
        <v>82</v>
      </c>
    </row>
    <row r="2454" spans="15:20" x14ac:dyDescent="0.25">
      <c r="O2454">
        <v>1</v>
      </c>
      <c r="S2454" t="e">
        <v>#DIV/0!</v>
      </c>
      <c r="T2454" t="s">
        <v>82</v>
      </c>
    </row>
    <row r="2455" spans="15:20" x14ac:dyDescent="0.25">
      <c r="O2455">
        <v>1</v>
      </c>
      <c r="S2455" t="e">
        <v>#DIV/0!</v>
      </c>
      <c r="T2455" t="s">
        <v>82</v>
      </c>
    </row>
    <row r="2456" spans="15:20" x14ac:dyDescent="0.25">
      <c r="O2456">
        <v>1</v>
      </c>
      <c r="S2456" t="e">
        <v>#DIV/0!</v>
      </c>
      <c r="T2456" t="s">
        <v>82</v>
      </c>
    </row>
    <row r="2457" spans="15:20" x14ac:dyDescent="0.25">
      <c r="O2457">
        <v>1</v>
      </c>
      <c r="S2457" t="e">
        <v>#DIV/0!</v>
      </c>
      <c r="T2457" t="s">
        <v>82</v>
      </c>
    </row>
    <row r="2458" spans="15:20" x14ac:dyDescent="0.25">
      <c r="O2458">
        <v>1</v>
      </c>
      <c r="S2458" t="e">
        <v>#DIV/0!</v>
      </c>
      <c r="T2458" t="s">
        <v>82</v>
      </c>
    </row>
    <row r="2459" spans="15:20" x14ac:dyDescent="0.25">
      <c r="O2459">
        <v>1</v>
      </c>
      <c r="S2459" t="e">
        <v>#DIV/0!</v>
      </c>
      <c r="T2459" t="s">
        <v>82</v>
      </c>
    </row>
    <row r="2460" spans="15:20" x14ac:dyDescent="0.25">
      <c r="O2460">
        <v>1</v>
      </c>
      <c r="S2460" t="e">
        <v>#DIV/0!</v>
      </c>
      <c r="T2460" t="s">
        <v>82</v>
      </c>
    </row>
    <row r="2461" spans="15:20" x14ac:dyDescent="0.25">
      <c r="O2461">
        <v>1</v>
      </c>
      <c r="S2461" t="e">
        <v>#DIV/0!</v>
      </c>
      <c r="T2461" t="s">
        <v>82</v>
      </c>
    </row>
    <row r="2462" spans="15:20" x14ac:dyDescent="0.25">
      <c r="O2462">
        <v>1</v>
      </c>
      <c r="S2462" t="e">
        <v>#DIV/0!</v>
      </c>
      <c r="T2462" t="s">
        <v>82</v>
      </c>
    </row>
    <row r="2463" spans="15:20" x14ac:dyDescent="0.25">
      <c r="O2463">
        <v>1</v>
      </c>
      <c r="S2463" t="e">
        <v>#DIV/0!</v>
      </c>
      <c r="T2463" t="s">
        <v>82</v>
      </c>
    </row>
    <row r="2464" spans="15:20" x14ac:dyDescent="0.25">
      <c r="O2464">
        <v>1</v>
      </c>
      <c r="S2464" t="e">
        <v>#DIV/0!</v>
      </c>
      <c r="T2464" t="s">
        <v>82</v>
      </c>
    </row>
    <row r="2465" spans="15:20" x14ac:dyDescent="0.25">
      <c r="O2465">
        <v>1</v>
      </c>
      <c r="S2465" t="e">
        <v>#DIV/0!</v>
      </c>
      <c r="T2465" t="s">
        <v>82</v>
      </c>
    </row>
    <row r="2466" spans="15:20" x14ac:dyDescent="0.25">
      <c r="O2466">
        <v>1</v>
      </c>
      <c r="S2466" t="e">
        <v>#DIV/0!</v>
      </c>
      <c r="T2466" t="s">
        <v>82</v>
      </c>
    </row>
    <row r="2467" spans="15:20" x14ac:dyDescent="0.25">
      <c r="O2467">
        <v>1</v>
      </c>
      <c r="S2467" t="e">
        <v>#DIV/0!</v>
      </c>
      <c r="T2467" t="s">
        <v>82</v>
      </c>
    </row>
    <row r="2468" spans="15:20" x14ac:dyDescent="0.25">
      <c r="O2468">
        <v>1</v>
      </c>
      <c r="S2468" t="e">
        <v>#DIV/0!</v>
      </c>
      <c r="T2468" t="s">
        <v>82</v>
      </c>
    </row>
    <row r="2469" spans="15:20" x14ac:dyDescent="0.25">
      <c r="O2469">
        <v>1</v>
      </c>
      <c r="S2469" t="e">
        <v>#DIV/0!</v>
      </c>
      <c r="T2469" t="s">
        <v>82</v>
      </c>
    </row>
    <row r="2470" spans="15:20" x14ac:dyDescent="0.25">
      <c r="O2470">
        <v>1</v>
      </c>
      <c r="S2470" t="e">
        <v>#DIV/0!</v>
      </c>
      <c r="T2470" t="s">
        <v>82</v>
      </c>
    </row>
    <row r="2471" spans="15:20" x14ac:dyDescent="0.25">
      <c r="O2471">
        <v>1</v>
      </c>
      <c r="S2471" t="e">
        <v>#DIV/0!</v>
      </c>
      <c r="T2471" t="s">
        <v>82</v>
      </c>
    </row>
    <row r="2472" spans="15:20" x14ac:dyDescent="0.25">
      <c r="O2472">
        <v>1</v>
      </c>
      <c r="S2472" t="e">
        <v>#DIV/0!</v>
      </c>
      <c r="T2472" t="s">
        <v>82</v>
      </c>
    </row>
    <row r="2473" spans="15:20" x14ac:dyDescent="0.25">
      <c r="O2473">
        <v>1</v>
      </c>
      <c r="S2473" t="e">
        <v>#DIV/0!</v>
      </c>
      <c r="T2473" t="s">
        <v>82</v>
      </c>
    </row>
    <row r="2474" spans="15:20" x14ac:dyDescent="0.25">
      <c r="O2474">
        <v>1</v>
      </c>
      <c r="S2474" t="e">
        <v>#DIV/0!</v>
      </c>
      <c r="T2474" t="s">
        <v>82</v>
      </c>
    </row>
    <row r="2475" spans="15:20" x14ac:dyDescent="0.25">
      <c r="O2475">
        <v>1</v>
      </c>
      <c r="S2475" t="e">
        <v>#DIV/0!</v>
      </c>
      <c r="T2475" t="s">
        <v>82</v>
      </c>
    </row>
    <row r="2476" spans="15:20" x14ac:dyDescent="0.25">
      <c r="O2476">
        <v>1</v>
      </c>
      <c r="S2476" t="e">
        <v>#DIV/0!</v>
      </c>
      <c r="T2476" t="s">
        <v>82</v>
      </c>
    </row>
    <row r="2477" spans="15:20" x14ac:dyDescent="0.25">
      <c r="O2477">
        <v>1</v>
      </c>
      <c r="S2477" t="e">
        <v>#DIV/0!</v>
      </c>
      <c r="T2477" t="s">
        <v>82</v>
      </c>
    </row>
    <row r="2478" spans="15:20" x14ac:dyDescent="0.25">
      <c r="O2478">
        <v>1</v>
      </c>
      <c r="S2478" t="e">
        <v>#DIV/0!</v>
      </c>
      <c r="T2478" t="s">
        <v>82</v>
      </c>
    </row>
    <row r="2479" spans="15:20" x14ac:dyDescent="0.25">
      <c r="O2479">
        <v>1</v>
      </c>
      <c r="S2479" t="e">
        <v>#DIV/0!</v>
      </c>
      <c r="T2479" t="s">
        <v>82</v>
      </c>
    </row>
    <row r="2480" spans="15:20" x14ac:dyDescent="0.25">
      <c r="O2480">
        <v>1</v>
      </c>
      <c r="S2480" t="e">
        <v>#DIV/0!</v>
      </c>
      <c r="T2480" t="s">
        <v>82</v>
      </c>
    </row>
    <row r="2481" spans="15:20" x14ac:dyDescent="0.25">
      <c r="O2481">
        <v>1</v>
      </c>
      <c r="S2481" t="e">
        <v>#DIV/0!</v>
      </c>
      <c r="T2481" t="s">
        <v>82</v>
      </c>
    </row>
    <row r="2482" spans="15:20" x14ac:dyDescent="0.25">
      <c r="O2482">
        <v>1</v>
      </c>
      <c r="S2482" t="e">
        <v>#DIV/0!</v>
      </c>
      <c r="T2482" t="s">
        <v>82</v>
      </c>
    </row>
    <row r="2483" spans="15:20" x14ac:dyDescent="0.25">
      <c r="O2483">
        <v>1</v>
      </c>
      <c r="S2483" t="e">
        <v>#DIV/0!</v>
      </c>
      <c r="T2483" t="s">
        <v>82</v>
      </c>
    </row>
    <row r="2484" spans="15:20" x14ac:dyDescent="0.25">
      <c r="O2484">
        <v>1</v>
      </c>
      <c r="S2484" t="e">
        <v>#DIV/0!</v>
      </c>
      <c r="T2484" t="s">
        <v>82</v>
      </c>
    </row>
    <row r="2485" spans="15:20" x14ac:dyDescent="0.25">
      <c r="O2485">
        <v>1</v>
      </c>
      <c r="S2485" t="e">
        <v>#DIV/0!</v>
      </c>
      <c r="T2485" t="s">
        <v>82</v>
      </c>
    </row>
    <row r="2486" spans="15:20" x14ac:dyDescent="0.25">
      <c r="O2486">
        <v>1</v>
      </c>
      <c r="S2486" t="e">
        <v>#DIV/0!</v>
      </c>
      <c r="T2486" t="s">
        <v>82</v>
      </c>
    </row>
    <row r="2487" spans="15:20" x14ac:dyDescent="0.25">
      <c r="O2487">
        <v>1</v>
      </c>
      <c r="S2487" t="e">
        <v>#DIV/0!</v>
      </c>
      <c r="T2487" t="s">
        <v>82</v>
      </c>
    </row>
    <row r="2488" spans="15:20" x14ac:dyDescent="0.25">
      <c r="O2488">
        <v>1</v>
      </c>
      <c r="S2488" t="e">
        <v>#DIV/0!</v>
      </c>
      <c r="T2488" t="s">
        <v>82</v>
      </c>
    </row>
    <row r="2489" spans="15:20" x14ac:dyDescent="0.25">
      <c r="O2489">
        <v>1</v>
      </c>
      <c r="S2489" t="e">
        <v>#DIV/0!</v>
      </c>
      <c r="T2489" t="s">
        <v>82</v>
      </c>
    </row>
    <row r="2490" spans="15:20" x14ac:dyDescent="0.25">
      <c r="O2490">
        <v>1</v>
      </c>
      <c r="S2490" t="e">
        <v>#DIV/0!</v>
      </c>
      <c r="T2490" t="s">
        <v>82</v>
      </c>
    </row>
    <row r="2491" spans="15:20" x14ac:dyDescent="0.25">
      <c r="O2491">
        <v>1</v>
      </c>
      <c r="S2491" t="e">
        <v>#DIV/0!</v>
      </c>
      <c r="T2491" t="s">
        <v>82</v>
      </c>
    </row>
    <row r="2492" spans="15:20" x14ac:dyDescent="0.25">
      <c r="O2492">
        <v>1</v>
      </c>
      <c r="S2492" t="e">
        <v>#DIV/0!</v>
      </c>
      <c r="T2492" t="s">
        <v>82</v>
      </c>
    </row>
    <row r="2493" spans="15:20" x14ac:dyDescent="0.25">
      <c r="O2493">
        <v>1</v>
      </c>
      <c r="S2493" t="e">
        <v>#DIV/0!</v>
      </c>
      <c r="T2493" t="s">
        <v>82</v>
      </c>
    </row>
    <row r="2494" spans="15:20" x14ac:dyDescent="0.25">
      <c r="O2494">
        <v>1</v>
      </c>
      <c r="S2494" t="e">
        <v>#DIV/0!</v>
      </c>
      <c r="T2494" t="s">
        <v>82</v>
      </c>
    </row>
    <row r="2495" spans="15:20" x14ac:dyDescent="0.25">
      <c r="O2495">
        <v>1</v>
      </c>
      <c r="S2495" t="e">
        <v>#DIV/0!</v>
      </c>
      <c r="T2495" t="s">
        <v>82</v>
      </c>
    </row>
    <row r="2496" spans="15:20" x14ac:dyDescent="0.25">
      <c r="O2496">
        <v>1</v>
      </c>
      <c r="S2496" t="e">
        <v>#DIV/0!</v>
      </c>
      <c r="T2496" t="s">
        <v>82</v>
      </c>
    </row>
    <row r="2497" spans="15:20" x14ac:dyDescent="0.25">
      <c r="O2497">
        <v>1</v>
      </c>
      <c r="S2497" t="e">
        <v>#DIV/0!</v>
      </c>
      <c r="T2497" t="s">
        <v>82</v>
      </c>
    </row>
    <row r="2498" spans="15:20" x14ac:dyDescent="0.25">
      <c r="O2498">
        <v>1</v>
      </c>
      <c r="S2498" t="e">
        <v>#DIV/0!</v>
      </c>
      <c r="T2498" t="s">
        <v>82</v>
      </c>
    </row>
    <row r="2499" spans="15:20" x14ac:dyDescent="0.25">
      <c r="O2499">
        <v>1</v>
      </c>
      <c r="S2499" t="e">
        <v>#DIV/0!</v>
      </c>
      <c r="T2499" t="s">
        <v>82</v>
      </c>
    </row>
    <row r="2500" spans="15:20" x14ac:dyDescent="0.25">
      <c r="O2500">
        <v>1</v>
      </c>
      <c r="S2500" t="e">
        <v>#DIV/0!</v>
      </c>
      <c r="T2500" t="s">
        <v>82</v>
      </c>
    </row>
    <row r="2501" spans="15:20" x14ac:dyDescent="0.25">
      <c r="O2501">
        <v>1</v>
      </c>
      <c r="S2501" t="e">
        <v>#DIV/0!</v>
      </c>
      <c r="T2501" t="s">
        <v>82</v>
      </c>
    </row>
    <row r="2502" spans="15:20" x14ac:dyDescent="0.25">
      <c r="O2502">
        <v>1</v>
      </c>
      <c r="S2502" t="e">
        <v>#DIV/0!</v>
      </c>
      <c r="T2502" t="s">
        <v>82</v>
      </c>
    </row>
    <row r="2503" spans="15:20" x14ac:dyDescent="0.25">
      <c r="O2503">
        <v>1</v>
      </c>
      <c r="S2503" t="e">
        <v>#DIV/0!</v>
      </c>
      <c r="T2503" t="s">
        <v>82</v>
      </c>
    </row>
    <row r="2504" spans="15:20" x14ac:dyDescent="0.25">
      <c r="O2504">
        <v>1</v>
      </c>
      <c r="S2504" t="e">
        <v>#DIV/0!</v>
      </c>
      <c r="T2504" t="s">
        <v>82</v>
      </c>
    </row>
    <row r="2505" spans="15:20" x14ac:dyDescent="0.25">
      <c r="O2505">
        <v>1</v>
      </c>
      <c r="S2505" t="e">
        <v>#DIV/0!</v>
      </c>
      <c r="T2505" t="s">
        <v>82</v>
      </c>
    </row>
    <row r="2506" spans="15:20" x14ac:dyDescent="0.25">
      <c r="O2506">
        <v>1</v>
      </c>
      <c r="S2506" t="e">
        <v>#DIV/0!</v>
      </c>
      <c r="T2506" t="s">
        <v>82</v>
      </c>
    </row>
    <row r="2507" spans="15:20" x14ac:dyDescent="0.25">
      <c r="O2507">
        <v>1</v>
      </c>
      <c r="S2507" t="e">
        <v>#DIV/0!</v>
      </c>
      <c r="T2507" t="s">
        <v>82</v>
      </c>
    </row>
    <row r="2508" spans="15:20" x14ac:dyDescent="0.25">
      <c r="O2508">
        <v>1</v>
      </c>
      <c r="S2508" t="e">
        <v>#DIV/0!</v>
      </c>
      <c r="T2508" t="s">
        <v>82</v>
      </c>
    </row>
    <row r="2509" spans="15:20" x14ac:dyDescent="0.25">
      <c r="O2509">
        <v>1</v>
      </c>
      <c r="S2509" t="e">
        <v>#DIV/0!</v>
      </c>
      <c r="T2509" t="s">
        <v>82</v>
      </c>
    </row>
    <row r="2510" spans="15:20" x14ac:dyDescent="0.25">
      <c r="O2510">
        <v>1</v>
      </c>
      <c r="S2510" t="e">
        <v>#DIV/0!</v>
      </c>
      <c r="T2510" t="s">
        <v>82</v>
      </c>
    </row>
    <row r="2511" spans="15:20" x14ac:dyDescent="0.25">
      <c r="O2511">
        <v>1</v>
      </c>
      <c r="S2511" t="e">
        <v>#DIV/0!</v>
      </c>
      <c r="T2511" t="s">
        <v>82</v>
      </c>
    </row>
    <row r="2512" spans="15:20" x14ac:dyDescent="0.25">
      <c r="O2512">
        <v>1</v>
      </c>
      <c r="S2512" t="e">
        <v>#DIV/0!</v>
      </c>
      <c r="T2512" t="s">
        <v>82</v>
      </c>
    </row>
    <row r="2513" spans="15:20" x14ac:dyDescent="0.25">
      <c r="O2513">
        <v>1</v>
      </c>
      <c r="S2513" t="e">
        <v>#DIV/0!</v>
      </c>
      <c r="T2513" t="s">
        <v>82</v>
      </c>
    </row>
    <row r="2514" spans="15:20" x14ac:dyDescent="0.25">
      <c r="O2514">
        <v>1</v>
      </c>
      <c r="S2514" t="e">
        <v>#DIV/0!</v>
      </c>
      <c r="T2514" t="s">
        <v>82</v>
      </c>
    </row>
    <row r="2515" spans="15:20" x14ac:dyDescent="0.25">
      <c r="O2515">
        <v>1</v>
      </c>
      <c r="S2515" t="e">
        <v>#DIV/0!</v>
      </c>
      <c r="T2515" t="s">
        <v>82</v>
      </c>
    </row>
    <row r="2516" spans="15:20" x14ac:dyDescent="0.25">
      <c r="O2516">
        <v>1</v>
      </c>
      <c r="S2516" t="e">
        <v>#DIV/0!</v>
      </c>
      <c r="T2516" t="s">
        <v>82</v>
      </c>
    </row>
    <row r="2517" spans="15:20" x14ac:dyDescent="0.25">
      <c r="O2517">
        <v>1</v>
      </c>
      <c r="S2517" t="e">
        <v>#DIV/0!</v>
      </c>
      <c r="T2517" t="s">
        <v>82</v>
      </c>
    </row>
    <row r="2518" spans="15:20" x14ac:dyDescent="0.25">
      <c r="O2518">
        <v>1</v>
      </c>
      <c r="S2518" t="e">
        <v>#DIV/0!</v>
      </c>
      <c r="T2518" t="s">
        <v>82</v>
      </c>
    </row>
    <row r="2519" spans="15:20" x14ac:dyDescent="0.25">
      <c r="O2519">
        <v>1</v>
      </c>
      <c r="S2519" t="e">
        <v>#DIV/0!</v>
      </c>
      <c r="T2519" t="s">
        <v>82</v>
      </c>
    </row>
    <row r="2520" spans="15:20" x14ac:dyDescent="0.25">
      <c r="O2520">
        <v>1</v>
      </c>
      <c r="S2520" t="e">
        <v>#DIV/0!</v>
      </c>
      <c r="T2520" t="s">
        <v>82</v>
      </c>
    </row>
    <row r="2521" spans="15:20" x14ac:dyDescent="0.25">
      <c r="O2521">
        <v>1</v>
      </c>
      <c r="S2521" t="e">
        <v>#DIV/0!</v>
      </c>
      <c r="T2521" t="s">
        <v>82</v>
      </c>
    </row>
    <row r="2522" spans="15:20" x14ac:dyDescent="0.25">
      <c r="O2522">
        <v>1</v>
      </c>
      <c r="S2522" t="e">
        <v>#DIV/0!</v>
      </c>
      <c r="T2522" t="s">
        <v>82</v>
      </c>
    </row>
    <row r="2523" spans="15:20" x14ac:dyDescent="0.25">
      <c r="O2523">
        <v>1</v>
      </c>
      <c r="S2523" t="e">
        <v>#DIV/0!</v>
      </c>
      <c r="T2523" t="s">
        <v>82</v>
      </c>
    </row>
    <row r="2524" spans="15:20" x14ac:dyDescent="0.25">
      <c r="O2524">
        <v>1</v>
      </c>
      <c r="S2524" t="e">
        <v>#DIV/0!</v>
      </c>
      <c r="T2524" t="s">
        <v>82</v>
      </c>
    </row>
    <row r="2525" spans="15:20" x14ac:dyDescent="0.25">
      <c r="O2525">
        <v>1</v>
      </c>
      <c r="S2525" t="e">
        <v>#DIV/0!</v>
      </c>
      <c r="T2525" t="s">
        <v>82</v>
      </c>
    </row>
    <row r="2526" spans="15:20" x14ac:dyDescent="0.25">
      <c r="O2526">
        <v>1</v>
      </c>
      <c r="S2526" t="e">
        <v>#DIV/0!</v>
      </c>
      <c r="T2526" t="s">
        <v>82</v>
      </c>
    </row>
    <row r="2527" spans="15:20" x14ac:dyDescent="0.25">
      <c r="O2527">
        <v>1</v>
      </c>
      <c r="S2527" t="e">
        <v>#DIV/0!</v>
      </c>
      <c r="T2527" t="s">
        <v>82</v>
      </c>
    </row>
    <row r="2528" spans="15:20" x14ac:dyDescent="0.25">
      <c r="O2528">
        <v>1</v>
      </c>
      <c r="S2528" t="e">
        <v>#DIV/0!</v>
      </c>
      <c r="T2528" t="s">
        <v>82</v>
      </c>
    </row>
    <row r="2529" spans="15:20" x14ac:dyDescent="0.25">
      <c r="O2529">
        <v>1</v>
      </c>
      <c r="S2529" t="e">
        <v>#DIV/0!</v>
      </c>
      <c r="T2529" t="s">
        <v>82</v>
      </c>
    </row>
    <row r="2530" spans="15:20" x14ac:dyDescent="0.25">
      <c r="O2530">
        <v>1</v>
      </c>
      <c r="S2530" t="e">
        <v>#DIV/0!</v>
      </c>
      <c r="T2530" t="s">
        <v>82</v>
      </c>
    </row>
    <row r="2531" spans="15:20" x14ac:dyDescent="0.25">
      <c r="O2531">
        <v>1</v>
      </c>
      <c r="S2531" t="e">
        <v>#DIV/0!</v>
      </c>
      <c r="T2531" t="s">
        <v>82</v>
      </c>
    </row>
    <row r="2532" spans="15:20" x14ac:dyDescent="0.25">
      <c r="O2532">
        <v>1</v>
      </c>
      <c r="S2532" t="e">
        <v>#DIV/0!</v>
      </c>
      <c r="T2532" t="s">
        <v>82</v>
      </c>
    </row>
    <row r="2533" spans="15:20" x14ac:dyDescent="0.25">
      <c r="O2533">
        <v>1</v>
      </c>
      <c r="S2533" t="e">
        <v>#DIV/0!</v>
      </c>
      <c r="T2533" t="s">
        <v>82</v>
      </c>
    </row>
    <row r="2534" spans="15:20" x14ac:dyDescent="0.25">
      <c r="O2534">
        <v>1</v>
      </c>
      <c r="S2534" t="e">
        <v>#DIV/0!</v>
      </c>
      <c r="T2534" t="s">
        <v>82</v>
      </c>
    </row>
    <row r="2535" spans="15:20" x14ac:dyDescent="0.25">
      <c r="O2535">
        <v>1</v>
      </c>
      <c r="S2535" t="e">
        <v>#DIV/0!</v>
      </c>
      <c r="T2535" t="s">
        <v>82</v>
      </c>
    </row>
    <row r="2536" spans="15:20" x14ac:dyDescent="0.25">
      <c r="O2536">
        <v>1</v>
      </c>
      <c r="S2536" t="e">
        <v>#DIV/0!</v>
      </c>
      <c r="T2536" t="s">
        <v>82</v>
      </c>
    </row>
    <row r="2537" spans="15:20" x14ac:dyDescent="0.25">
      <c r="O2537">
        <v>1</v>
      </c>
      <c r="S2537" t="e">
        <v>#DIV/0!</v>
      </c>
      <c r="T2537" t="s">
        <v>82</v>
      </c>
    </row>
    <row r="2538" spans="15:20" x14ac:dyDescent="0.25">
      <c r="O2538">
        <v>1</v>
      </c>
      <c r="S2538" t="e">
        <v>#DIV/0!</v>
      </c>
      <c r="T2538" t="s">
        <v>82</v>
      </c>
    </row>
    <row r="2539" spans="15:20" x14ac:dyDescent="0.25">
      <c r="O2539">
        <v>1</v>
      </c>
      <c r="S2539" t="e">
        <v>#DIV/0!</v>
      </c>
      <c r="T2539" t="s">
        <v>82</v>
      </c>
    </row>
    <row r="2540" spans="15:20" x14ac:dyDescent="0.25">
      <c r="O2540">
        <v>1</v>
      </c>
      <c r="S2540" t="e">
        <v>#DIV/0!</v>
      </c>
      <c r="T2540" t="s">
        <v>82</v>
      </c>
    </row>
    <row r="2541" spans="15:20" x14ac:dyDescent="0.25">
      <c r="O2541">
        <v>1</v>
      </c>
      <c r="S2541" t="e">
        <v>#DIV/0!</v>
      </c>
      <c r="T2541" t="s">
        <v>82</v>
      </c>
    </row>
    <row r="2542" spans="15:20" x14ac:dyDescent="0.25">
      <c r="O2542">
        <v>1</v>
      </c>
      <c r="S2542" t="e">
        <v>#DIV/0!</v>
      </c>
      <c r="T2542" t="s">
        <v>82</v>
      </c>
    </row>
    <row r="2543" spans="15:20" x14ac:dyDescent="0.25">
      <c r="O2543">
        <v>1</v>
      </c>
      <c r="S2543" t="e">
        <v>#DIV/0!</v>
      </c>
      <c r="T2543" t="s">
        <v>82</v>
      </c>
    </row>
    <row r="2544" spans="15:20" x14ac:dyDescent="0.25">
      <c r="O2544">
        <v>1</v>
      </c>
      <c r="S2544" t="e">
        <v>#DIV/0!</v>
      </c>
      <c r="T2544" t="s">
        <v>82</v>
      </c>
    </row>
    <row r="2545" spans="15:20" x14ac:dyDescent="0.25">
      <c r="O2545">
        <v>1</v>
      </c>
      <c r="S2545" t="e">
        <v>#DIV/0!</v>
      </c>
      <c r="T2545" t="s">
        <v>82</v>
      </c>
    </row>
    <row r="2546" spans="15:20" x14ac:dyDescent="0.25">
      <c r="O2546">
        <v>1</v>
      </c>
      <c r="S2546" t="e">
        <v>#DIV/0!</v>
      </c>
      <c r="T2546" t="s">
        <v>82</v>
      </c>
    </row>
    <row r="2547" spans="15:20" x14ac:dyDescent="0.25">
      <c r="O2547">
        <v>1</v>
      </c>
      <c r="S2547" t="e">
        <v>#DIV/0!</v>
      </c>
      <c r="T2547" t="s">
        <v>82</v>
      </c>
    </row>
    <row r="2548" spans="15:20" x14ac:dyDescent="0.25">
      <c r="O2548">
        <v>1</v>
      </c>
      <c r="S2548" t="e">
        <v>#DIV/0!</v>
      </c>
      <c r="T2548" t="s">
        <v>82</v>
      </c>
    </row>
    <row r="2549" spans="15:20" x14ac:dyDescent="0.25">
      <c r="O2549">
        <v>1</v>
      </c>
      <c r="S2549" t="e">
        <v>#DIV/0!</v>
      </c>
      <c r="T2549" t="s">
        <v>82</v>
      </c>
    </row>
    <row r="2550" spans="15:20" x14ac:dyDescent="0.25">
      <c r="O2550">
        <v>1</v>
      </c>
      <c r="S2550" t="e">
        <v>#DIV/0!</v>
      </c>
      <c r="T2550" t="s">
        <v>82</v>
      </c>
    </row>
    <row r="2551" spans="15:20" x14ac:dyDescent="0.25">
      <c r="O2551">
        <v>1</v>
      </c>
      <c r="S2551" t="e">
        <v>#DIV/0!</v>
      </c>
      <c r="T2551" t="s">
        <v>82</v>
      </c>
    </row>
    <row r="2552" spans="15:20" x14ac:dyDescent="0.25">
      <c r="O2552">
        <v>1</v>
      </c>
      <c r="S2552" t="e">
        <v>#DIV/0!</v>
      </c>
      <c r="T2552" t="s">
        <v>82</v>
      </c>
    </row>
    <row r="2553" spans="15:20" x14ac:dyDescent="0.25">
      <c r="O2553">
        <v>1</v>
      </c>
      <c r="S2553" t="e">
        <v>#DIV/0!</v>
      </c>
      <c r="T2553" t="s">
        <v>82</v>
      </c>
    </row>
    <row r="2554" spans="15:20" x14ac:dyDescent="0.25">
      <c r="O2554">
        <v>1</v>
      </c>
      <c r="S2554" t="e">
        <v>#DIV/0!</v>
      </c>
      <c r="T2554" t="s">
        <v>82</v>
      </c>
    </row>
    <row r="2555" spans="15:20" x14ac:dyDescent="0.25">
      <c r="O2555">
        <v>1</v>
      </c>
      <c r="S2555" t="e">
        <v>#DIV/0!</v>
      </c>
      <c r="T2555" t="s">
        <v>82</v>
      </c>
    </row>
    <row r="2556" spans="15:20" x14ac:dyDescent="0.25">
      <c r="O2556">
        <v>1</v>
      </c>
      <c r="S2556" t="e">
        <v>#DIV/0!</v>
      </c>
      <c r="T2556" t="s">
        <v>82</v>
      </c>
    </row>
    <row r="2557" spans="15:20" x14ac:dyDescent="0.25">
      <c r="O2557">
        <v>1</v>
      </c>
      <c r="S2557" t="e">
        <v>#DIV/0!</v>
      </c>
      <c r="T2557" t="s">
        <v>82</v>
      </c>
    </row>
    <row r="2558" spans="15:20" x14ac:dyDescent="0.25">
      <c r="O2558">
        <v>1</v>
      </c>
      <c r="S2558" t="e">
        <v>#DIV/0!</v>
      </c>
      <c r="T2558" t="s">
        <v>82</v>
      </c>
    </row>
    <row r="2559" spans="15:20" x14ac:dyDescent="0.25">
      <c r="O2559">
        <v>1</v>
      </c>
      <c r="S2559" t="e">
        <v>#DIV/0!</v>
      </c>
      <c r="T2559" t="s">
        <v>82</v>
      </c>
    </row>
    <row r="2560" spans="15:20" x14ac:dyDescent="0.25">
      <c r="O2560">
        <v>1</v>
      </c>
      <c r="S2560" t="e">
        <v>#DIV/0!</v>
      </c>
      <c r="T2560" t="s">
        <v>82</v>
      </c>
    </row>
    <row r="2561" spans="15:20" x14ac:dyDescent="0.25">
      <c r="O2561">
        <v>1</v>
      </c>
      <c r="S2561" t="e">
        <v>#DIV/0!</v>
      </c>
      <c r="T2561" t="s">
        <v>82</v>
      </c>
    </row>
    <row r="2562" spans="15:20" x14ac:dyDescent="0.25">
      <c r="O2562">
        <v>1</v>
      </c>
      <c r="S2562" t="e">
        <v>#DIV/0!</v>
      </c>
      <c r="T2562" t="s">
        <v>82</v>
      </c>
    </row>
    <row r="2563" spans="15:20" x14ac:dyDescent="0.25">
      <c r="O2563">
        <v>1</v>
      </c>
      <c r="S2563" t="e">
        <v>#DIV/0!</v>
      </c>
      <c r="T2563" t="s">
        <v>82</v>
      </c>
    </row>
    <row r="2564" spans="15:20" x14ac:dyDescent="0.25">
      <c r="O2564">
        <v>1</v>
      </c>
      <c r="S2564" t="e">
        <v>#DIV/0!</v>
      </c>
      <c r="T2564" t="s">
        <v>82</v>
      </c>
    </row>
    <row r="2565" spans="15:20" x14ac:dyDescent="0.25">
      <c r="O2565">
        <v>1</v>
      </c>
      <c r="S2565" t="e">
        <v>#DIV/0!</v>
      </c>
      <c r="T2565" t="s">
        <v>82</v>
      </c>
    </row>
    <row r="2566" spans="15:20" x14ac:dyDescent="0.25">
      <c r="O2566">
        <v>1</v>
      </c>
      <c r="S2566" t="e">
        <v>#DIV/0!</v>
      </c>
      <c r="T2566" t="s">
        <v>82</v>
      </c>
    </row>
    <row r="2567" spans="15:20" x14ac:dyDescent="0.25">
      <c r="O2567">
        <v>1</v>
      </c>
      <c r="S2567" t="e">
        <v>#DIV/0!</v>
      </c>
      <c r="T2567" t="s">
        <v>82</v>
      </c>
    </row>
    <row r="2568" spans="15:20" x14ac:dyDescent="0.25">
      <c r="O2568">
        <v>1</v>
      </c>
      <c r="S2568" t="e">
        <v>#DIV/0!</v>
      </c>
      <c r="T2568" t="s">
        <v>82</v>
      </c>
    </row>
    <row r="2569" spans="15:20" x14ac:dyDescent="0.25">
      <c r="O2569">
        <v>1</v>
      </c>
      <c r="S2569" t="e">
        <v>#DIV/0!</v>
      </c>
      <c r="T2569" t="s">
        <v>82</v>
      </c>
    </row>
    <row r="2570" spans="15:20" x14ac:dyDescent="0.25">
      <c r="O2570">
        <v>1</v>
      </c>
      <c r="S2570" t="e">
        <v>#DIV/0!</v>
      </c>
      <c r="T2570" t="s">
        <v>82</v>
      </c>
    </row>
    <row r="2571" spans="15:20" x14ac:dyDescent="0.25">
      <c r="O2571">
        <v>1</v>
      </c>
      <c r="S2571" t="e">
        <v>#DIV/0!</v>
      </c>
      <c r="T2571" t="s">
        <v>82</v>
      </c>
    </row>
    <row r="2572" spans="15:20" x14ac:dyDescent="0.25">
      <c r="O2572">
        <v>1</v>
      </c>
      <c r="S2572" t="e">
        <v>#DIV/0!</v>
      </c>
      <c r="T2572" t="s">
        <v>82</v>
      </c>
    </row>
    <row r="2573" spans="15:20" x14ac:dyDescent="0.25">
      <c r="O2573">
        <v>1</v>
      </c>
      <c r="S2573" t="e">
        <v>#DIV/0!</v>
      </c>
      <c r="T2573" t="s">
        <v>82</v>
      </c>
    </row>
    <row r="2574" spans="15:20" x14ac:dyDescent="0.25">
      <c r="O2574">
        <v>1</v>
      </c>
      <c r="S2574" t="e">
        <v>#DIV/0!</v>
      </c>
      <c r="T2574" t="s">
        <v>82</v>
      </c>
    </row>
    <row r="2575" spans="15:20" x14ac:dyDescent="0.25">
      <c r="O2575">
        <v>1</v>
      </c>
      <c r="S2575" t="e">
        <v>#DIV/0!</v>
      </c>
      <c r="T2575" t="s">
        <v>82</v>
      </c>
    </row>
    <row r="2576" spans="15:20" x14ac:dyDescent="0.25">
      <c r="O2576">
        <v>1</v>
      </c>
      <c r="S2576" t="e">
        <v>#DIV/0!</v>
      </c>
      <c r="T2576" t="s">
        <v>82</v>
      </c>
    </row>
    <row r="2577" spans="15:20" x14ac:dyDescent="0.25">
      <c r="O2577">
        <v>1</v>
      </c>
      <c r="S2577" t="e">
        <v>#DIV/0!</v>
      </c>
      <c r="T2577" t="s">
        <v>82</v>
      </c>
    </row>
    <row r="2578" spans="15:20" x14ac:dyDescent="0.25">
      <c r="O2578">
        <v>1</v>
      </c>
      <c r="S2578" t="e">
        <v>#DIV/0!</v>
      </c>
      <c r="T2578" t="s">
        <v>82</v>
      </c>
    </row>
    <row r="2579" spans="15:20" x14ac:dyDescent="0.25">
      <c r="O2579">
        <v>1</v>
      </c>
      <c r="S2579" t="e">
        <v>#DIV/0!</v>
      </c>
      <c r="T2579" t="s">
        <v>82</v>
      </c>
    </row>
    <row r="2580" spans="15:20" x14ac:dyDescent="0.25">
      <c r="O2580">
        <v>1</v>
      </c>
      <c r="S2580" t="e">
        <v>#DIV/0!</v>
      </c>
      <c r="T2580" t="s">
        <v>82</v>
      </c>
    </row>
    <row r="2581" spans="15:20" x14ac:dyDescent="0.25">
      <c r="O2581">
        <v>1</v>
      </c>
      <c r="S2581" t="e">
        <v>#DIV/0!</v>
      </c>
      <c r="T2581" t="s">
        <v>82</v>
      </c>
    </row>
    <row r="2582" spans="15:20" x14ac:dyDescent="0.25">
      <c r="O2582">
        <v>1</v>
      </c>
      <c r="S2582" t="e">
        <v>#DIV/0!</v>
      </c>
      <c r="T2582" t="s">
        <v>82</v>
      </c>
    </row>
    <row r="2583" spans="15:20" x14ac:dyDescent="0.25">
      <c r="O2583">
        <v>1</v>
      </c>
      <c r="S2583" t="e">
        <v>#DIV/0!</v>
      </c>
      <c r="T2583" t="s">
        <v>82</v>
      </c>
    </row>
    <row r="2584" spans="15:20" x14ac:dyDescent="0.25">
      <c r="O2584">
        <v>1</v>
      </c>
      <c r="S2584" t="e">
        <v>#DIV/0!</v>
      </c>
      <c r="T2584" t="s">
        <v>82</v>
      </c>
    </row>
    <row r="2585" spans="15:20" x14ac:dyDescent="0.25">
      <c r="O2585">
        <v>1</v>
      </c>
      <c r="S2585" t="e">
        <v>#DIV/0!</v>
      </c>
      <c r="T2585" t="s">
        <v>82</v>
      </c>
    </row>
    <row r="2586" spans="15:20" x14ac:dyDescent="0.25">
      <c r="O2586">
        <v>1</v>
      </c>
      <c r="S2586" t="e">
        <v>#DIV/0!</v>
      </c>
      <c r="T2586" t="s">
        <v>82</v>
      </c>
    </row>
    <row r="2587" spans="15:20" x14ac:dyDescent="0.25">
      <c r="O2587">
        <v>1</v>
      </c>
      <c r="S2587" t="e">
        <v>#DIV/0!</v>
      </c>
      <c r="T2587" t="s">
        <v>82</v>
      </c>
    </row>
    <row r="2588" spans="15:20" x14ac:dyDescent="0.25">
      <c r="O2588">
        <v>1</v>
      </c>
      <c r="S2588" t="e">
        <v>#DIV/0!</v>
      </c>
      <c r="T2588" t="s">
        <v>82</v>
      </c>
    </row>
    <row r="2589" spans="15:20" x14ac:dyDescent="0.25">
      <c r="O2589">
        <v>1</v>
      </c>
      <c r="S2589" t="e">
        <v>#DIV/0!</v>
      </c>
      <c r="T2589" t="s">
        <v>82</v>
      </c>
    </row>
    <row r="2590" spans="15:20" x14ac:dyDescent="0.25">
      <c r="O2590">
        <v>1</v>
      </c>
      <c r="S2590" t="e">
        <v>#DIV/0!</v>
      </c>
      <c r="T2590" t="s">
        <v>82</v>
      </c>
    </row>
    <row r="2591" spans="15:20" x14ac:dyDescent="0.25">
      <c r="O2591">
        <v>1</v>
      </c>
      <c r="S2591" t="e">
        <v>#DIV/0!</v>
      </c>
      <c r="T2591" t="s">
        <v>82</v>
      </c>
    </row>
    <row r="2592" spans="15:20" x14ac:dyDescent="0.25">
      <c r="O2592">
        <v>1</v>
      </c>
      <c r="S2592" t="e">
        <v>#DIV/0!</v>
      </c>
      <c r="T2592" t="s">
        <v>82</v>
      </c>
    </row>
    <row r="2593" spans="15:20" x14ac:dyDescent="0.25">
      <c r="O2593">
        <v>1</v>
      </c>
      <c r="S2593" t="e">
        <v>#DIV/0!</v>
      </c>
      <c r="T2593" t="s">
        <v>82</v>
      </c>
    </row>
    <row r="2594" spans="15:20" x14ac:dyDescent="0.25">
      <c r="O2594">
        <v>1</v>
      </c>
      <c r="S2594" t="e">
        <v>#DIV/0!</v>
      </c>
      <c r="T2594" t="s">
        <v>82</v>
      </c>
    </row>
    <row r="2595" spans="15:20" x14ac:dyDescent="0.25">
      <c r="O2595">
        <v>1</v>
      </c>
      <c r="S2595" t="e">
        <v>#DIV/0!</v>
      </c>
      <c r="T2595" t="s">
        <v>82</v>
      </c>
    </row>
    <row r="2596" spans="15:20" x14ac:dyDescent="0.25">
      <c r="O2596">
        <v>1</v>
      </c>
      <c r="S2596" t="e">
        <v>#DIV/0!</v>
      </c>
      <c r="T2596" t="s">
        <v>82</v>
      </c>
    </row>
    <row r="2597" spans="15:20" x14ac:dyDescent="0.25">
      <c r="O2597">
        <v>1</v>
      </c>
      <c r="S2597" t="e">
        <v>#DIV/0!</v>
      </c>
      <c r="T2597" t="s">
        <v>82</v>
      </c>
    </row>
    <row r="2598" spans="15:20" x14ac:dyDescent="0.25">
      <c r="O2598">
        <v>1</v>
      </c>
      <c r="S2598" t="e">
        <v>#DIV/0!</v>
      </c>
      <c r="T2598" t="s">
        <v>82</v>
      </c>
    </row>
    <row r="2599" spans="15:20" x14ac:dyDescent="0.25">
      <c r="O2599">
        <v>1</v>
      </c>
      <c r="S2599" t="e">
        <v>#DIV/0!</v>
      </c>
      <c r="T2599" t="s">
        <v>82</v>
      </c>
    </row>
    <row r="2600" spans="15:20" x14ac:dyDescent="0.25">
      <c r="O2600">
        <v>1</v>
      </c>
      <c r="S2600" t="e">
        <v>#DIV/0!</v>
      </c>
      <c r="T2600" t="s">
        <v>82</v>
      </c>
    </row>
    <row r="2601" spans="15:20" x14ac:dyDescent="0.25">
      <c r="O2601">
        <v>1</v>
      </c>
      <c r="S2601" t="e">
        <v>#DIV/0!</v>
      </c>
      <c r="T2601" t="s">
        <v>82</v>
      </c>
    </row>
    <row r="2602" spans="15:20" x14ac:dyDescent="0.25">
      <c r="O2602">
        <v>1</v>
      </c>
      <c r="S2602" t="e">
        <v>#DIV/0!</v>
      </c>
      <c r="T2602" t="s">
        <v>82</v>
      </c>
    </row>
    <row r="2603" spans="15:20" x14ac:dyDescent="0.25">
      <c r="O2603">
        <v>1</v>
      </c>
      <c r="S2603" t="e">
        <v>#DIV/0!</v>
      </c>
      <c r="T2603" t="s">
        <v>82</v>
      </c>
    </row>
    <row r="2604" spans="15:20" x14ac:dyDescent="0.25">
      <c r="O2604">
        <v>1</v>
      </c>
      <c r="S2604" t="e">
        <v>#DIV/0!</v>
      </c>
      <c r="T2604" t="s">
        <v>82</v>
      </c>
    </row>
    <row r="2605" spans="15:20" x14ac:dyDescent="0.25">
      <c r="O2605">
        <v>1</v>
      </c>
      <c r="S2605" t="e">
        <v>#DIV/0!</v>
      </c>
      <c r="T2605" t="s">
        <v>82</v>
      </c>
    </row>
    <row r="2606" spans="15:20" x14ac:dyDescent="0.25">
      <c r="O2606">
        <v>1</v>
      </c>
      <c r="S2606" t="e">
        <v>#DIV/0!</v>
      </c>
      <c r="T2606" t="s">
        <v>82</v>
      </c>
    </row>
    <row r="2607" spans="15:20" x14ac:dyDescent="0.25">
      <c r="O2607">
        <v>1</v>
      </c>
      <c r="S2607" t="e">
        <v>#DIV/0!</v>
      </c>
      <c r="T2607" t="s">
        <v>82</v>
      </c>
    </row>
    <row r="2608" spans="15:20" x14ac:dyDescent="0.25">
      <c r="O2608">
        <v>1</v>
      </c>
      <c r="S2608" t="e">
        <v>#DIV/0!</v>
      </c>
      <c r="T2608" t="s">
        <v>82</v>
      </c>
    </row>
    <row r="2609" spans="15:20" x14ac:dyDescent="0.25">
      <c r="O2609">
        <v>1</v>
      </c>
      <c r="S2609" t="e">
        <v>#DIV/0!</v>
      </c>
      <c r="T2609" t="s">
        <v>82</v>
      </c>
    </row>
    <row r="2610" spans="15:20" x14ac:dyDescent="0.25">
      <c r="O2610">
        <v>1</v>
      </c>
      <c r="S2610" t="e">
        <v>#DIV/0!</v>
      </c>
      <c r="T2610" t="s">
        <v>82</v>
      </c>
    </row>
    <row r="2611" spans="15:20" x14ac:dyDescent="0.25">
      <c r="O2611">
        <v>1</v>
      </c>
      <c r="S2611" t="e">
        <v>#DIV/0!</v>
      </c>
      <c r="T2611" t="s">
        <v>82</v>
      </c>
    </row>
    <row r="2612" spans="15:20" x14ac:dyDescent="0.25">
      <c r="O2612">
        <v>1</v>
      </c>
      <c r="S2612" t="e">
        <v>#DIV/0!</v>
      </c>
      <c r="T2612" t="s">
        <v>82</v>
      </c>
    </row>
    <row r="2613" spans="15:20" x14ac:dyDescent="0.25">
      <c r="O2613">
        <v>1</v>
      </c>
      <c r="S2613" t="e">
        <v>#DIV/0!</v>
      </c>
      <c r="T2613" t="s">
        <v>82</v>
      </c>
    </row>
    <row r="2614" spans="15:20" x14ac:dyDescent="0.25">
      <c r="O2614">
        <v>1</v>
      </c>
      <c r="S2614" t="e">
        <v>#DIV/0!</v>
      </c>
      <c r="T2614" t="s">
        <v>82</v>
      </c>
    </row>
    <row r="2615" spans="15:20" x14ac:dyDescent="0.25">
      <c r="O2615">
        <v>1</v>
      </c>
      <c r="S2615" t="e">
        <v>#DIV/0!</v>
      </c>
      <c r="T2615" t="s">
        <v>82</v>
      </c>
    </row>
    <row r="2616" spans="15:20" x14ac:dyDescent="0.25">
      <c r="O2616">
        <v>1</v>
      </c>
      <c r="S2616" t="e">
        <v>#DIV/0!</v>
      </c>
      <c r="T2616" t="s">
        <v>82</v>
      </c>
    </row>
    <row r="2617" spans="15:20" x14ac:dyDescent="0.25">
      <c r="O2617">
        <v>1</v>
      </c>
      <c r="S2617" t="e">
        <v>#DIV/0!</v>
      </c>
      <c r="T2617" t="s">
        <v>82</v>
      </c>
    </row>
    <row r="2618" spans="15:20" x14ac:dyDescent="0.25">
      <c r="O2618">
        <v>1</v>
      </c>
      <c r="S2618" t="e">
        <v>#DIV/0!</v>
      </c>
      <c r="T2618" t="s">
        <v>82</v>
      </c>
    </row>
    <row r="2619" spans="15:20" x14ac:dyDescent="0.25">
      <c r="O2619">
        <v>1</v>
      </c>
      <c r="S2619" t="e">
        <v>#DIV/0!</v>
      </c>
      <c r="T2619" t="s">
        <v>82</v>
      </c>
    </row>
    <row r="2620" spans="15:20" x14ac:dyDescent="0.25">
      <c r="O2620">
        <v>1</v>
      </c>
      <c r="S2620" t="e">
        <v>#DIV/0!</v>
      </c>
      <c r="T2620" t="s">
        <v>82</v>
      </c>
    </row>
    <row r="2621" spans="15:20" x14ac:dyDescent="0.25">
      <c r="O2621">
        <v>1</v>
      </c>
      <c r="S2621" t="e">
        <v>#DIV/0!</v>
      </c>
      <c r="T2621" t="s">
        <v>82</v>
      </c>
    </row>
    <row r="2622" spans="15:20" x14ac:dyDescent="0.25">
      <c r="O2622">
        <v>1</v>
      </c>
      <c r="S2622" t="e">
        <v>#DIV/0!</v>
      </c>
      <c r="T2622" t="s">
        <v>82</v>
      </c>
    </row>
    <row r="2623" spans="15:20" x14ac:dyDescent="0.25">
      <c r="O2623">
        <v>1</v>
      </c>
      <c r="S2623" t="e">
        <v>#DIV/0!</v>
      </c>
      <c r="T2623" t="s">
        <v>82</v>
      </c>
    </row>
    <row r="2624" spans="15:20" x14ac:dyDescent="0.25">
      <c r="O2624">
        <v>1</v>
      </c>
      <c r="S2624" t="e">
        <v>#DIV/0!</v>
      </c>
      <c r="T2624" t="s">
        <v>82</v>
      </c>
    </row>
    <row r="2625" spans="15:20" x14ac:dyDescent="0.25">
      <c r="O2625">
        <v>1</v>
      </c>
      <c r="S2625" t="e">
        <v>#DIV/0!</v>
      </c>
      <c r="T2625" t="s">
        <v>82</v>
      </c>
    </row>
    <row r="2626" spans="15:20" x14ac:dyDescent="0.25">
      <c r="O2626">
        <v>1</v>
      </c>
      <c r="S2626" t="e">
        <v>#DIV/0!</v>
      </c>
      <c r="T2626" t="s">
        <v>82</v>
      </c>
    </row>
    <row r="2627" spans="15:20" x14ac:dyDescent="0.25">
      <c r="O2627">
        <v>1</v>
      </c>
      <c r="S2627" t="e">
        <v>#DIV/0!</v>
      </c>
      <c r="T2627" t="s">
        <v>82</v>
      </c>
    </row>
    <row r="2628" spans="15:20" x14ac:dyDescent="0.25">
      <c r="O2628">
        <v>1</v>
      </c>
      <c r="S2628" t="e">
        <v>#DIV/0!</v>
      </c>
      <c r="T2628" t="s">
        <v>82</v>
      </c>
    </row>
    <row r="2629" spans="15:20" x14ac:dyDescent="0.25">
      <c r="O2629">
        <v>1</v>
      </c>
      <c r="S2629" t="e">
        <v>#DIV/0!</v>
      </c>
      <c r="T2629" t="s">
        <v>82</v>
      </c>
    </row>
    <row r="2630" spans="15:20" x14ac:dyDescent="0.25">
      <c r="O2630">
        <v>1</v>
      </c>
      <c r="S2630" t="e">
        <v>#DIV/0!</v>
      </c>
      <c r="T2630" t="s">
        <v>82</v>
      </c>
    </row>
    <row r="2631" spans="15:20" x14ac:dyDescent="0.25">
      <c r="O2631">
        <v>1</v>
      </c>
      <c r="S2631" t="e">
        <v>#DIV/0!</v>
      </c>
      <c r="T2631" t="s">
        <v>82</v>
      </c>
    </row>
    <row r="2632" spans="15:20" x14ac:dyDescent="0.25">
      <c r="O2632">
        <v>1</v>
      </c>
      <c r="S2632" t="e">
        <v>#DIV/0!</v>
      </c>
      <c r="T2632" t="s">
        <v>82</v>
      </c>
    </row>
    <row r="2633" spans="15:20" x14ac:dyDescent="0.25">
      <c r="O2633">
        <v>1</v>
      </c>
      <c r="S2633" t="e">
        <v>#DIV/0!</v>
      </c>
      <c r="T2633" t="s">
        <v>82</v>
      </c>
    </row>
    <row r="2634" spans="15:20" x14ac:dyDescent="0.25">
      <c r="O2634">
        <v>1</v>
      </c>
      <c r="S2634" t="e">
        <v>#DIV/0!</v>
      </c>
      <c r="T2634" t="s">
        <v>82</v>
      </c>
    </row>
    <row r="2635" spans="15:20" x14ac:dyDescent="0.25">
      <c r="O2635">
        <v>1</v>
      </c>
      <c r="S2635" t="e">
        <v>#DIV/0!</v>
      </c>
      <c r="T2635" t="s">
        <v>82</v>
      </c>
    </row>
    <row r="2636" spans="15:20" x14ac:dyDescent="0.25">
      <c r="O2636">
        <v>1</v>
      </c>
      <c r="S2636" t="e">
        <v>#DIV/0!</v>
      </c>
      <c r="T2636" t="s">
        <v>82</v>
      </c>
    </row>
    <row r="2637" spans="15:20" x14ac:dyDescent="0.25">
      <c r="O2637">
        <v>1</v>
      </c>
      <c r="S2637" t="e">
        <v>#DIV/0!</v>
      </c>
      <c r="T2637" t="s">
        <v>82</v>
      </c>
    </row>
    <row r="2638" spans="15:20" x14ac:dyDescent="0.25">
      <c r="O2638">
        <v>1</v>
      </c>
      <c r="S2638" t="e">
        <v>#DIV/0!</v>
      </c>
      <c r="T2638" t="s">
        <v>82</v>
      </c>
    </row>
    <row r="2639" spans="15:20" x14ac:dyDescent="0.25">
      <c r="O2639">
        <v>1</v>
      </c>
      <c r="S2639" t="e">
        <v>#DIV/0!</v>
      </c>
      <c r="T2639" t="s">
        <v>82</v>
      </c>
    </row>
    <row r="2640" spans="15:20" x14ac:dyDescent="0.25">
      <c r="O2640">
        <v>1</v>
      </c>
      <c r="S2640" t="e">
        <v>#DIV/0!</v>
      </c>
      <c r="T2640" t="s">
        <v>82</v>
      </c>
    </row>
    <row r="2641" spans="15:20" x14ac:dyDescent="0.25">
      <c r="O2641">
        <v>1</v>
      </c>
      <c r="S2641" t="e">
        <v>#DIV/0!</v>
      </c>
      <c r="T2641" t="s">
        <v>82</v>
      </c>
    </row>
    <row r="2642" spans="15:20" x14ac:dyDescent="0.25">
      <c r="O2642">
        <v>1</v>
      </c>
      <c r="S2642" t="e">
        <v>#DIV/0!</v>
      </c>
      <c r="T2642" t="s">
        <v>82</v>
      </c>
    </row>
    <row r="2643" spans="15:20" x14ac:dyDescent="0.25">
      <c r="O2643">
        <v>1</v>
      </c>
      <c r="S2643" t="e">
        <v>#DIV/0!</v>
      </c>
      <c r="T2643" t="s">
        <v>82</v>
      </c>
    </row>
    <row r="2644" spans="15:20" x14ac:dyDescent="0.25">
      <c r="O2644">
        <v>1</v>
      </c>
      <c r="S2644" t="e">
        <v>#DIV/0!</v>
      </c>
      <c r="T2644" t="s">
        <v>82</v>
      </c>
    </row>
    <row r="2645" spans="15:20" x14ac:dyDescent="0.25">
      <c r="O2645">
        <v>1</v>
      </c>
      <c r="S2645" t="e">
        <v>#DIV/0!</v>
      </c>
      <c r="T2645" t="s">
        <v>82</v>
      </c>
    </row>
    <row r="2646" spans="15:20" x14ac:dyDescent="0.25">
      <c r="O2646">
        <v>1</v>
      </c>
      <c r="S2646" t="e">
        <v>#DIV/0!</v>
      </c>
      <c r="T2646" t="s">
        <v>82</v>
      </c>
    </row>
    <row r="2647" spans="15:20" x14ac:dyDescent="0.25">
      <c r="O2647">
        <v>1</v>
      </c>
      <c r="S2647" t="e">
        <v>#DIV/0!</v>
      </c>
      <c r="T2647" t="s">
        <v>82</v>
      </c>
    </row>
    <row r="2648" spans="15:20" x14ac:dyDescent="0.25">
      <c r="O2648">
        <v>1</v>
      </c>
      <c r="S2648" t="e">
        <v>#DIV/0!</v>
      </c>
      <c r="T2648" t="s">
        <v>82</v>
      </c>
    </row>
    <row r="2649" spans="15:20" x14ac:dyDescent="0.25">
      <c r="O2649">
        <v>1</v>
      </c>
      <c r="S2649" t="e">
        <v>#DIV/0!</v>
      </c>
      <c r="T2649" t="s">
        <v>82</v>
      </c>
    </row>
    <row r="2650" spans="15:20" x14ac:dyDescent="0.25">
      <c r="O2650">
        <v>1</v>
      </c>
      <c r="S2650" t="e">
        <v>#DIV/0!</v>
      </c>
      <c r="T2650" t="s">
        <v>82</v>
      </c>
    </row>
    <row r="2651" spans="15:20" x14ac:dyDescent="0.25">
      <c r="O2651">
        <v>1</v>
      </c>
      <c r="S2651" t="e">
        <v>#DIV/0!</v>
      </c>
      <c r="T2651" t="s">
        <v>82</v>
      </c>
    </row>
    <row r="2652" spans="15:20" x14ac:dyDescent="0.25">
      <c r="O2652">
        <v>1</v>
      </c>
      <c r="S2652" t="e">
        <v>#DIV/0!</v>
      </c>
      <c r="T2652" t="s">
        <v>82</v>
      </c>
    </row>
    <row r="2653" spans="15:20" x14ac:dyDescent="0.25">
      <c r="O2653">
        <v>1</v>
      </c>
      <c r="S2653" t="e">
        <v>#DIV/0!</v>
      </c>
      <c r="T2653" t="s">
        <v>82</v>
      </c>
    </row>
    <row r="2654" spans="15:20" x14ac:dyDescent="0.25">
      <c r="O2654">
        <v>1</v>
      </c>
      <c r="S2654" t="e">
        <v>#DIV/0!</v>
      </c>
      <c r="T2654" t="s">
        <v>82</v>
      </c>
    </row>
    <row r="2655" spans="15:20" x14ac:dyDescent="0.25">
      <c r="O2655">
        <v>1</v>
      </c>
      <c r="S2655" t="e">
        <v>#DIV/0!</v>
      </c>
      <c r="T2655" t="s">
        <v>82</v>
      </c>
    </row>
    <row r="2656" spans="15:20" x14ac:dyDescent="0.25">
      <c r="O2656">
        <v>1</v>
      </c>
      <c r="S2656" t="e">
        <v>#DIV/0!</v>
      </c>
      <c r="T2656" t="s">
        <v>82</v>
      </c>
    </row>
    <row r="2657" spans="15:20" x14ac:dyDescent="0.25">
      <c r="O2657">
        <v>1</v>
      </c>
      <c r="S2657" t="e">
        <v>#DIV/0!</v>
      </c>
      <c r="T2657" t="s">
        <v>82</v>
      </c>
    </row>
    <row r="2658" spans="15:20" x14ac:dyDescent="0.25">
      <c r="O2658">
        <v>1</v>
      </c>
      <c r="S2658" t="e">
        <v>#DIV/0!</v>
      </c>
      <c r="T2658" t="s">
        <v>82</v>
      </c>
    </row>
    <row r="2659" spans="15:20" x14ac:dyDescent="0.25">
      <c r="O2659">
        <v>1</v>
      </c>
      <c r="S2659" t="e">
        <v>#DIV/0!</v>
      </c>
      <c r="T2659" t="s">
        <v>82</v>
      </c>
    </row>
    <row r="2660" spans="15:20" x14ac:dyDescent="0.25">
      <c r="O2660">
        <v>1</v>
      </c>
      <c r="S2660" t="e">
        <v>#DIV/0!</v>
      </c>
      <c r="T2660" t="s">
        <v>82</v>
      </c>
    </row>
    <row r="2661" spans="15:20" x14ac:dyDescent="0.25">
      <c r="O2661">
        <v>1</v>
      </c>
      <c r="S2661" t="e">
        <v>#DIV/0!</v>
      </c>
      <c r="T2661" t="s">
        <v>82</v>
      </c>
    </row>
    <row r="2662" spans="15:20" x14ac:dyDescent="0.25">
      <c r="O2662">
        <v>1</v>
      </c>
      <c r="S2662" t="e">
        <v>#DIV/0!</v>
      </c>
      <c r="T2662" t="s">
        <v>82</v>
      </c>
    </row>
    <row r="2663" spans="15:20" x14ac:dyDescent="0.25">
      <c r="O2663">
        <v>1</v>
      </c>
      <c r="S2663" t="e">
        <v>#DIV/0!</v>
      </c>
      <c r="T2663" t="s">
        <v>82</v>
      </c>
    </row>
    <row r="2664" spans="15:20" x14ac:dyDescent="0.25">
      <c r="O2664">
        <v>1</v>
      </c>
      <c r="S2664" t="e">
        <v>#DIV/0!</v>
      </c>
      <c r="T2664" t="s">
        <v>82</v>
      </c>
    </row>
    <row r="2665" spans="15:20" x14ac:dyDescent="0.25">
      <c r="O2665">
        <v>1</v>
      </c>
      <c r="S2665" t="e">
        <v>#DIV/0!</v>
      </c>
      <c r="T2665" t="s">
        <v>82</v>
      </c>
    </row>
    <row r="2666" spans="15:20" x14ac:dyDescent="0.25">
      <c r="O2666">
        <v>1</v>
      </c>
      <c r="S2666" t="e">
        <v>#DIV/0!</v>
      </c>
      <c r="T2666" t="s">
        <v>82</v>
      </c>
    </row>
    <row r="2667" spans="15:20" x14ac:dyDescent="0.25">
      <c r="O2667">
        <v>1</v>
      </c>
      <c r="S2667" t="e">
        <v>#DIV/0!</v>
      </c>
      <c r="T2667" t="s">
        <v>82</v>
      </c>
    </row>
    <row r="2668" spans="15:20" x14ac:dyDescent="0.25">
      <c r="O2668">
        <v>1</v>
      </c>
      <c r="S2668" t="e">
        <v>#DIV/0!</v>
      </c>
      <c r="T2668" t="s">
        <v>82</v>
      </c>
    </row>
    <row r="2669" spans="15:20" x14ac:dyDescent="0.25">
      <c r="O2669">
        <v>1</v>
      </c>
      <c r="S2669" t="e">
        <v>#DIV/0!</v>
      </c>
      <c r="T2669" t="s">
        <v>82</v>
      </c>
    </row>
    <row r="2670" spans="15:20" x14ac:dyDescent="0.25">
      <c r="O2670">
        <v>1</v>
      </c>
      <c r="S2670" t="e">
        <v>#DIV/0!</v>
      </c>
      <c r="T2670" t="s">
        <v>82</v>
      </c>
    </row>
    <row r="2671" spans="15:20" x14ac:dyDescent="0.25">
      <c r="O2671">
        <v>1</v>
      </c>
      <c r="S2671" t="e">
        <v>#DIV/0!</v>
      </c>
      <c r="T2671" t="s">
        <v>82</v>
      </c>
    </row>
    <row r="2672" spans="15:20" x14ac:dyDescent="0.25">
      <c r="O2672">
        <v>1</v>
      </c>
      <c r="S2672" t="e">
        <v>#DIV/0!</v>
      </c>
      <c r="T2672" t="s">
        <v>82</v>
      </c>
    </row>
    <row r="2673" spans="15:20" x14ac:dyDescent="0.25">
      <c r="O2673">
        <v>1</v>
      </c>
      <c r="S2673" t="e">
        <v>#DIV/0!</v>
      </c>
      <c r="T2673" t="s">
        <v>82</v>
      </c>
    </row>
    <row r="2674" spans="15:20" x14ac:dyDescent="0.25">
      <c r="O2674">
        <v>1</v>
      </c>
      <c r="S2674" t="e">
        <v>#DIV/0!</v>
      </c>
      <c r="T2674" t="s">
        <v>82</v>
      </c>
    </row>
    <row r="2675" spans="15:20" x14ac:dyDescent="0.25">
      <c r="O2675">
        <v>1</v>
      </c>
      <c r="S2675" t="e">
        <v>#DIV/0!</v>
      </c>
      <c r="T2675" t="s">
        <v>82</v>
      </c>
    </row>
    <row r="2676" spans="15:20" x14ac:dyDescent="0.25">
      <c r="O2676">
        <v>1</v>
      </c>
      <c r="S2676" t="e">
        <v>#DIV/0!</v>
      </c>
      <c r="T2676" t="s">
        <v>82</v>
      </c>
    </row>
    <row r="2677" spans="15:20" x14ac:dyDescent="0.25">
      <c r="O2677">
        <v>1</v>
      </c>
      <c r="S2677" t="e">
        <v>#DIV/0!</v>
      </c>
      <c r="T2677" t="s">
        <v>82</v>
      </c>
    </row>
    <row r="2678" spans="15:20" x14ac:dyDescent="0.25">
      <c r="O2678">
        <v>1</v>
      </c>
      <c r="S2678" t="e">
        <v>#DIV/0!</v>
      </c>
      <c r="T2678" t="s">
        <v>82</v>
      </c>
    </row>
    <row r="2679" spans="15:20" x14ac:dyDescent="0.25">
      <c r="O2679">
        <v>1</v>
      </c>
      <c r="S2679" t="e">
        <v>#DIV/0!</v>
      </c>
      <c r="T2679" t="s">
        <v>82</v>
      </c>
    </row>
    <row r="2680" spans="15:20" x14ac:dyDescent="0.25">
      <c r="O2680">
        <v>1</v>
      </c>
      <c r="S2680" t="e">
        <v>#DIV/0!</v>
      </c>
      <c r="T2680" t="s">
        <v>82</v>
      </c>
    </row>
    <row r="2681" spans="15:20" x14ac:dyDescent="0.25">
      <c r="O2681">
        <v>1</v>
      </c>
      <c r="S2681" t="e">
        <v>#DIV/0!</v>
      </c>
      <c r="T2681" t="s">
        <v>82</v>
      </c>
    </row>
    <row r="2682" spans="15:20" x14ac:dyDescent="0.25">
      <c r="O2682">
        <v>1</v>
      </c>
      <c r="S2682" t="e">
        <v>#DIV/0!</v>
      </c>
      <c r="T2682" t="s">
        <v>82</v>
      </c>
    </row>
    <row r="2683" spans="15:20" x14ac:dyDescent="0.25">
      <c r="O2683">
        <v>1</v>
      </c>
      <c r="S2683" t="e">
        <v>#DIV/0!</v>
      </c>
      <c r="T2683" t="s">
        <v>82</v>
      </c>
    </row>
    <row r="2684" spans="15:20" x14ac:dyDescent="0.25">
      <c r="O2684">
        <v>1</v>
      </c>
      <c r="S2684" t="e">
        <v>#DIV/0!</v>
      </c>
      <c r="T2684" t="s">
        <v>82</v>
      </c>
    </row>
    <row r="2685" spans="15:20" x14ac:dyDescent="0.25">
      <c r="O2685">
        <v>1</v>
      </c>
      <c r="S2685" t="e">
        <v>#DIV/0!</v>
      </c>
      <c r="T2685" t="s">
        <v>82</v>
      </c>
    </row>
    <row r="2686" spans="15:20" x14ac:dyDescent="0.25">
      <c r="O2686">
        <v>1</v>
      </c>
      <c r="S2686" t="e">
        <v>#DIV/0!</v>
      </c>
      <c r="T2686" t="s">
        <v>82</v>
      </c>
    </row>
    <row r="2687" spans="15:20" x14ac:dyDescent="0.25">
      <c r="O2687">
        <v>1</v>
      </c>
      <c r="S2687" t="e">
        <v>#DIV/0!</v>
      </c>
      <c r="T2687" t="s">
        <v>82</v>
      </c>
    </row>
    <row r="2688" spans="15:20" x14ac:dyDescent="0.25">
      <c r="O2688">
        <v>1</v>
      </c>
      <c r="S2688" t="e">
        <v>#DIV/0!</v>
      </c>
      <c r="T2688" t="s">
        <v>82</v>
      </c>
    </row>
    <row r="2689" spans="15:20" x14ac:dyDescent="0.25">
      <c r="O2689">
        <v>1</v>
      </c>
      <c r="S2689" t="e">
        <v>#DIV/0!</v>
      </c>
      <c r="T2689" t="s">
        <v>82</v>
      </c>
    </row>
    <row r="2690" spans="15:20" x14ac:dyDescent="0.25">
      <c r="O2690">
        <v>1</v>
      </c>
      <c r="S2690" t="e">
        <v>#DIV/0!</v>
      </c>
      <c r="T2690" t="s">
        <v>82</v>
      </c>
    </row>
    <row r="2691" spans="15:20" x14ac:dyDescent="0.25">
      <c r="O2691">
        <v>1</v>
      </c>
      <c r="S2691" t="e">
        <v>#DIV/0!</v>
      </c>
      <c r="T2691" t="s">
        <v>82</v>
      </c>
    </row>
    <row r="2692" spans="15:20" x14ac:dyDescent="0.25">
      <c r="O2692">
        <v>1</v>
      </c>
      <c r="S2692" t="e">
        <v>#DIV/0!</v>
      </c>
      <c r="T2692" t="s">
        <v>82</v>
      </c>
    </row>
    <row r="2693" spans="15:20" x14ac:dyDescent="0.25">
      <c r="O2693">
        <v>1</v>
      </c>
      <c r="S2693" t="e">
        <v>#DIV/0!</v>
      </c>
      <c r="T2693" t="s">
        <v>82</v>
      </c>
    </row>
    <row r="2694" spans="15:20" x14ac:dyDescent="0.25">
      <c r="O2694">
        <v>1</v>
      </c>
      <c r="S2694" t="e">
        <v>#DIV/0!</v>
      </c>
      <c r="T2694" t="s">
        <v>82</v>
      </c>
    </row>
    <row r="2695" spans="15:20" x14ac:dyDescent="0.25">
      <c r="O2695">
        <v>1</v>
      </c>
      <c r="S2695" t="e">
        <v>#DIV/0!</v>
      </c>
      <c r="T2695" t="s">
        <v>82</v>
      </c>
    </row>
    <row r="2696" spans="15:20" x14ac:dyDescent="0.25">
      <c r="O2696">
        <v>1</v>
      </c>
      <c r="S2696" t="e">
        <v>#DIV/0!</v>
      </c>
      <c r="T2696" t="s">
        <v>82</v>
      </c>
    </row>
    <row r="2697" spans="15:20" x14ac:dyDescent="0.25">
      <c r="O2697">
        <v>1</v>
      </c>
      <c r="S2697" t="e">
        <v>#DIV/0!</v>
      </c>
      <c r="T2697" t="s">
        <v>82</v>
      </c>
    </row>
    <row r="2698" spans="15:20" x14ac:dyDescent="0.25">
      <c r="O2698">
        <v>1</v>
      </c>
      <c r="S2698" t="e">
        <v>#DIV/0!</v>
      </c>
      <c r="T2698" t="s">
        <v>82</v>
      </c>
    </row>
    <row r="2699" spans="15:20" x14ac:dyDescent="0.25">
      <c r="O2699">
        <v>1</v>
      </c>
      <c r="S2699" t="e">
        <v>#DIV/0!</v>
      </c>
      <c r="T2699" t="s">
        <v>82</v>
      </c>
    </row>
    <row r="2700" spans="15:20" x14ac:dyDescent="0.25">
      <c r="O2700">
        <v>1</v>
      </c>
      <c r="S2700" t="e">
        <v>#DIV/0!</v>
      </c>
      <c r="T2700" t="s">
        <v>82</v>
      </c>
    </row>
    <row r="2701" spans="15:20" x14ac:dyDescent="0.25">
      <c r="O2701">
        <v>1</v>
      </c>
      <c r="S2701" t="e">
        <v>#DIV/0!</v>
      </c>
      <c r="T2701" t="s">
        <v>82</v>
      </c>
    </row>
    <row r="2702" spans="15:20" x14ac:dyDescent="0.25">
      <c r="O2702">
        <v>1</v>
      </c>
      <c r="S2702" t="e">
        <v>#DIV/0!</v>
      </c>
      <c r="T2702" t="s">
        <v>82</v>
      </c>
    </row>
    <row r="2703" spans="15:20" x14ac:dyDescent="0.25">
      <c r="O2703">
        <v>1</v>
      </c>
      <c r="S2703" t="e">
        <v>#DIV/0!</v>
      </c>
      <c r="T2703" t="s">
        <v>82</v>
      </c>
    </row>
    <row r="2704" spans="15:20" x14ac:dyDescent="0.25">
      <c r="O2704">
        <v>1</v>
      </c>
      <c r="S2704" t="e">
        <v>#DIV/0!</v>
      </c>
      <c r="T2704" t="s">
        <v>82</v>
      </c>
    </row>
    <row r="2705" spans="15:20" x14ac:dyDescent="0.25">
      <c r="O2705">
        <v>1</v>
      </c>
      <c r="S2705" t="e">
        <v>#DIV/0!</v>
      </c>
      <c r="T2705" t="s">
        <v>82</v>
      </c>
    </row>
    <row r="2706" spans="15:20" x14ac:dyDescent="0.25">
      <c r="O2706">
        <v>1</v>
      </c>
      <c r="S2706" t="e">
        <v>#DIV/0!</v>
      </c>
      <c r="T2706" t="s">
        <v>82</v>
      </c>
    </row>
    <row r="2707" spans="15:20" x14ac:dyDescent="0.25">
      <c r="O2707">
        <v>1</v>
      </c>
      <c r="S2707" t="e">
        <v>#DIV/0!</v>
      </c>
      <c r="T2707" t="s">
        <v>82</v>
      </c>
    </row>
    <row r="2708" spans="15:20" x14ac:dyDescent="0.25">
      <c r="O2708">
        <v>1</v>
      </c>
      <c r="S2708" t="e">
        <v>#DIV/0!</v>
      </c>
      <c r="T2708" t="s">
        <v>82</v>
      </c>
    </row>
    <row r="2709" spans="15:20" x14ac:dyDescent="0.25">
      <c r="O2709">
        <v>1</v>
      </c>
      <c r="S2709" t="e">
        <v>#DIV/0!</v>
      </c>
      <c r="T2709" t="s">
        <v>82</v>
      </c>
    </row>
    <row r="2710" spans="15:20" x14ac:dyDescent="0.25">
      <c r="O2710">
        <v>1</v>
      </c>
      <c r="S2710" t="e">
        <v>#DIV/0!</v>
      </c>
      <c r="T2710" t="s">
        <v>82</v>
      </c>
    </row>
    <row r="2711" spans="15:20" x14ac:dyDescent="0.25">
      <c r="O2711">
        <v>1</v>
      </c>
      <c r="S2711" t="e">
        <v>#DIV/0!</v>
      </c>
      <c r="T2711" t="s">
        <v>82</v>
      </c>
    </row>
    <row r="2712" spans="15:20" x14ac:dyDescent="0.25">
      <c r="O2712">
        <v>1</v>
      </c>
      <c r="S2712" t="e">
        <v>#DIV/0!</v>
      </c>
      <c r="T2712" t="s">
        <v>82</v>
      </c>
    </row>
    <row r="2713" spans="15:20" x14ac:dyDescent="0.25">
      <c r="O2713">
        <v>1</v>
      </c>
      <c r="S2713" t="e">
        <v>#DIV/0!</v>
      </c>
      <c r="T2713" t="s">
        <v>82</v>
      </c>
    </row>
    <row r="2714" spans="15:20" x14ac:dyDescent="0.25">
      <c r="O2714">
        <v>1</v>
      </c>
      <c r="S2714" t="e">
        <v>#DIV/0!</v>
      </c>
      <c r="T2714" t="s">
        <v>82</v>
      </c>
    </row>
    <row r="2715" spans="15:20" x14ac:dyDescent="0.25">
      <c r="O2715">
        <v>1</v>
      </c>
      <c r="S2715" t="e">
        <v>#DIV/0!</v>
      </c>
      <c r="T2715" t="s">
        <v>82</v>
      </c>
    </row>
    <row r="2716" spans="15:20" x14ac:dyDescent="0.25">
      <c r="O2716">
        <v>1</v>
      </c>
      <c r="S2716" t="e">
        <v>#DIV/0!</v>
      </c>
      <c r="T2716" t="s">
        <v>82</v>
      </c>
    </row>
    <row r="2717" spans="15:20" x14ac:dyDescent="0.25">
      <c r="O2717">
        <v>1</v>
      </c>
      <c r="S2717" t="e">
        <v>#DIV/0!</v>
      </c>
      <c r="T2717" t="s">
        <v>82</v>
      </c>
    </row>
    <row r="2718" spans="15:20" x14ac:dyDescent="0.25">
      <c r="O2718">
        <v>1</v>
      </c>
      <c r="S2718" t="e">
        <v>#DIV/0!</v>
      </c>
      <c r="T2718" t="s">
        <v>82</v>
      </c>
    </row>
    <row r="2719" spans="15:20" x14ac:dyDescent="0.25">
      <c r="O2719">
        <v>1</v>
      </c>
      <c r="S2719" t="e">
        <v>#DIV/0!</v>
      </c>
      <c r="T2719" t="s">
        <v>82</v>
      </c>
    </row>
    <row r="2720" spans="15:20" x14ac:dyDescent="0.25">
      <c r="O2720">
        <v>1</v>
      </c>
      <c r="S2720" t="e">
        <v>#DIV/0!</v>
      </c>
      <c r="T2720" t="s">
        <v>82</v>
      </c>
    </row>
    <row r="2721" spans="15:20" x14ac:dyDescent="0.25">
      <c r="O2721">
        <v>1</v>
      </c>
      <c r="S2721" t="e">
        <v>#DIV/0!</v>
      </c>
      <c r="T2721" t="s">
        <v>82</v>
      </c>
    </row>
    <row r="2722" spans="15:20" x14ac:dyDescent="0.25">
      <c r="O2722">
        <v>1</v>
      </c>
      <c r="S2722" t="e">
        <v>#DIV/0!</v>
      </c>
      <c r="T2722" t="s">
        <v>82</v>
      </c>
    </row>
    <row r="2723" spans="15:20" x14ac:dyDescent="0.25">
      <c r="O2723">
        <v>1</v>
      </c>
      <c r="S2723" t="e">
        <v>#DIV/0!</v>
      </c>
      <c r="T2723" t="s">
        <v>82</v>
      </c>
    </row>
    <row r="2724" spans="15:20" x14ac:dyDescent="0.25">
      <c r="O2724">
        <v>1</v>
      </c>
      <c r="S2724" t="e">
        <v>#DIV/0!</v>
      </c>
      <c r="T2724" t="s">
        <v>82</v>
      </c>
    </row>
    <row r="2725" spans="15:20" x14ac:dyDescent="0.25">
      <c r="O2725">
        <v>1</v>
      </c>
      <c r="S2725" t="e">
        <v>#DIV/0!</v>
      </c>
      <c r="T2725" t="s">
        <v>82</v>
      </c>
    </row>
    <row r="2726" spans="15:20" x14ac:dyDescent="0.25">
      <c r="O2726">
        <v>1</v>
      </c>
      <c r="S2726" t="e">
        <v>#DIV/0!</v>
      </c>
      <c r="T2726" t="s">
        <v>82</v>
      </c>
    </row>
    <row r="2727" spans="15:20" x14ac:dyDescent="0.25">
      <c r="O2727">
        <v>1</v>
      </c>
      <c r="S2727" t="e">
        <v>#DIV/0!</v>
      </c>
      <c r="T2727" t="s">
        <v>82</v>
      </c>
    </row>
    <row r="2728" spans="15:20" x14ac:dyDescent="0.25">
      <c r="O2728">
        <v>1</v>
      </c>
      <c r="S2728" t="e">
        <v>#DIV/0!</v>
      </c>
      <c r="T2728" t="s">
        <v>82</v>
      </c>
    </row>
    <row r="2729" spans="15:20" x14ac:dyDescent="0.25">
      <c r="O2729">
        <v>1</v>
      </c>
      <c r="S2729" t="e">
        <v>#DIV/0!</v>
      </c>
      <c r="T2729" t="s">
        <v>82</v>
      </c>
    </row>
    <row r="2730" spans="15:20" x14ac:dyDescent="0.25">
      <c r="O2730">
        <v>1</v>
      </c>
      <c r="S2730" t="e">
        <v>#DIV/0!</v>
      </c>
      <c r="T2730" t="s">
        <v>82</v>
      </c>
    </row>
    <row r="2731" spans="15:20" x14ac:dyDescent="0.25">
      <c r="O2731">
        <v>1</v>
      </c>
      <c r="S2731" t="e">
        <v>#DIV/0!</v>
      </c>
      <c r="T2731" t="s">
        <v>82</v>
      </c>
    </row>
    <row r="2732" spans="15:20" x14ac:dyDescent="0.25">
      <c r="O2732">
        <v>1</v>
      </c>
      <c r="S2732" t="e">
        <v>#DIV/0!</v>
      </c>
      <c r="T2732" t="s">
        <v>82</v>
      </c>
    </row>
    <row r="2733" spans="15:20" x14ac:dyDescent="0.25">
      <c r="O2733">
        <v>1</v>
      </c>
      <c r="S2733" t="e">
        <v>#DIV/0!</v>
      </c>
      <c r="T2733" t="s">
        <v>82</v>
      </c>
    </row>
    <row r="2734" spans="15:20" x14ac:dyDescent="0.25">
      <c r="O2734">
        <v>1</v>
      </c>
      <c r="S2734" t="e">
        <v>#DIV/0!</v>
      </c>
      <c r="T2734" t="s">
        <v>82</v>
      </c>
    </row>
    <row r="2735" spans="15:20" x14ac:dyDescent="0.25">
      <c r="O2735">
        <v>1</v>
      </c>
      <c r="S2735" t="e">
        <v>#DIV/0!</v>
      </c>
      <c r="T2735" t="s">
        <v>82</v>
      </c>
    </row>
    <row r="2736" spans="15:20" x14ac:dyDescent="0.25">
      <c r="O2736">
        <v>1</v>
      </c>
      <c r="S2736" t="e">
        <v>#DIV/0!</v>
      </c>
      <c r="T2736" t="s">
        <v>82</v>
      </c>
    </row>
    <row r="2737" spans="15:20" x14ac:dyDescent="0.25">
      <c r="O2737">
        <v>1</v>
      </c>
      <c r="S2737" t="e">
        <v>#DIV/0!</v>
      </c>
      <c r="T2737" t="s">
        <v>82</v>
      </c>
    </row>
    <row r="2738" spans="15:20" x14ac:dyDescent="0.25">
      <c r="O2738">
        <v>1</v>
      </c>
      <c r="S2738" t="e">
        <v>#DIV/0!</v>
      </c>
      <c r="T2738" t="s">
        <v>82</v>
      </c>
    </row>
    <row r="2739" spans="15:20" x14ac:dyDescent="0.25">
      <c r="O2739">
        <v>1</v>
      </c>
      <c r="S2739" t="e">
        <v>#DIV/0!</v>
      </c>
      <c r="T2739" t="s">
        <v>82</v>
      </c>
    </row>
    <row r="2740" spans="15:20" x14ac:dyDescent="0.25">
      <c r="O2740">
        <v>1</v>
      </c>
      <c r="S2740" t="e">
        <v>#DIV/0!</v>
      </c>
      <c r="T2740" t="s">
        <v>82</v>
      </c>
    </row>
    <row r="2741" spans="15:20" x14ac:dyDescent="0.25">
      <c r="O2741">
        <v>1</v>
      </c>
      <c r="S2741" t="e">
        <v>#DIV/0!</v>
      </c>
      <c r="T2741" t="s">
        <v>82</v>
      </c>
    </row>
    <row r="2742" spans="15:20" x14ac:dyDescent="0.25">
      <c r="O2742">
        <v>1</v>
      </c>
      <c r="S2742" t="e">
        <v>#DIV/0!</v>
      </c>
      <c r="T2742" t="s">
        <v>82</v>
      </c>
    </row>
    <row r="2743" spans="15:20" x14ac:dyDescent="0.25">
      <c r="O2743">
        <v>1</v>
      </c>
      <c r="S2743" t="e">
        <v>#DIV/0!</v>
      </c>
      <c r="T2743" t="s">
        <v>82</v>
      </c>
    </row>
    <row r="2744" spans="15:20" x14ac:dyDescent="0.25">
      <c r="O2744">
        <v>1</v>
      </c>
      <c r="S2744" t="e">
        <v>#DIV/0!</v>
      </c>
      <c r="T2744" t="s">
        <v>82</v>
      </c>
    </row>
    <row r="2745" spans="15:20" x14ac:dyDescent="0.25">
      <c r="O2745">
        <v>1</v>
      </c>
      <c r="S2745" t="e">
        <v>#DIV/0!</v>
      </c>
      <c r="T2745" t="s">
        <v>82</v>
      </c>
    </row>
    <row r="2746" spans="15:20" x14ac:dyDescent="0.25">
      <c r="O2746">
        <v>1</v>
      </c>
      <c r="S2746" t="e">
        <v>#DIV/0!</v>
      </c>
      <c r="T2746" t="s">
        <v>82</v>
      </c>
    </row>
    <row r="2747" spans="15:20" x14ac:dyDescent="0.25">
      <c r="O2747">
        <v>1</v>
      </c>
      <c r="S2747" t="e">
        <v>#DIV/0!</v>
      </c>
      <c r="T2747" t="s">
        <v>82</v>
      </c>
    </row>
    <row r="2748" spans="15:20" x14ac:dyDescent="0.25">
      <c r="O2748">
        <v>1</v>
      </c>
      <c r="S2748" t="e">
        <v>#DIV/0!</v>
      </c>
      <c r="T2748" t="s">
        <v>82</v>
      </c>
    </row>
    <row r="2749" spans="15:20" x14ac:dyDescent="0.25">
      <c r="O2749">
        <v>1</v>
      </c>
      <c r="S2749" t="e">
        <v>#DIV/0!</v>
      </c>
      <c r="T2749" t="s">
        <v>82</v>
      </c>
    </row>
    <row r="2750" spans="15:20" x14ac:dyDescent="0.25">
      <c r="O2750">
        <v>1</v>
      </c>
      <c r="S2750" t="e">
        <v>#DIV/0!</v>
      </c>
      <c r="T2750" t="s">
        <v>82</v>
      </c>
    </row>
    <row r="2751" spans="15:20" x14ac:dyDescent="0.25">
      <c r="O2751">
        <v>1</v>
      </c>
      <c r="S2751" t="e">
        <v>#DIV/0!</v>
      </c>
      <c r="T2751" t="s">
        <v>82</v>
      </c>
    </row>
    <row r="2752" spans="15:20" x14ac:dyDescent="0.25">
      <c r="O2752">
        <v>1</v>
      </c>
      <c r="S2752" t="e">
        <v>#DIV/0!</v>
      </c>
      <c r="T2752" t="s">
        <v>82</v>
      </c>
    </row>
    <row r="2753" spans="15:20" x14ac:dyDescent="0.25">
      <c r="O2753">
        <v>1</v>
      </c>
      <c r="S2753" t="e">
        <v>#DIV/0!</v>
      </c>
      <c r="T2753" t="s">
        <v>82</v>
      </c>
    </row>
    <row r="2754" spans="15:20" x14ac:dyDescent="0.25">
      <c r="O2754">
        <v>1</v>
      </c>
      <c r="S2754" t="e">
        <v>#DIV/0!</v>
      </c>
      <c r="T2754" t="s">
        <v>82</v>
      </c>
    </row>
    <row r="2755" spans="15:20" x14ac:dyDescent="0.25">
      <c r="O2755">
        <v>1</v>
      </c>
      <c r="S2755" t="e">
        <v>#DIV/0!</v>
      </c>
      <c r="T2755" t="s">
        <v>82</v>
      </c>
    </row>
    <row r="2756" spans="15:20" x14ac:dyDescent="0.25">
      <c r="O2756">
        <v>1</v>
      </c>
      <c r="S2756" t="e">
        <v>#DIV/0!</v>
      </c>
      <c r="T2756" t="s">
        <v>82</v>
      </c>
    </row>
    <row r="2757" spans="15:20" x14ac:dyDescent="0.25">
      <c r="O2757">
        <v>1</v>
      </c>
      <c r="S2757" t="e">
        <v>#DIV/0!</v>
      </c>
      <c r="T2757" t="s">
        <v>82</v>
      </c>
    </row>
    <row r="2758" spans="15:20" x14ac:dyDescent="0.25">
      <c r="O2758">
        <v>1</v>
      </c>
      <c r="S2758" t="e">
        <v>#DIV/0!</v>
      </c>
      <c r="T2758" t="s">
        <v>82</v>
      </c>
    </row>
    <row r="2759" spans="15:20" x14ac:dyDescent="0.25">
      <c r="O2759">
        <v>1</v>
      </c>
      <c r="S2759" t="e">
        <v>#DIV/0!</v>
      </c>
      <c r="T2759" t="s">
        <v>82</v>
      </c>
    </row>
    <row r="2760" spans="15:20" x14ac:dyDescent="0.25">
      <c r="O2760">
        <v>1</v>
      </c>
      <c r="S2760" t="e">
        <v>#DIV/0!</v>
      </c>
      <c r="T2760" t="s">
        <v>82</v>
      </c>
    </row>
    <row r="2761" spans="15:20" x14ac:dyDescent="0.25">
      <c r="O2761">
        <v>1</v>
      </c>
      <c r="S2761" t="e">
        <v>#DIV/0!</v>
      </c>
      <c r="T2761" t="s">
        <v>82</v>
      </c>
    </row>
    <row r="2762" spans="15:20" x14ac:dyDescent="0.25">
      <c r="O2762">
        <v>1</v>
      </c>
      <c r="S2762" t="e">
        <v>#DIV/0!</v>
      </c>
      <c r="T2762" t="s">
        <v>82</v>
      </c>
    </row>
    <row r="2763" spans="15:20" x14ac:dyDescent="0.25">
      <c r="O2763">
        <v>1</v>
      </c>
      <c r="S2763" t="e">
        <v>#DIV/0!</v>
      </c>
      <c r="T2763" t="s">
        <v>82</v>
      </c>
    </row>
    <row r="2764" spans="15:20" x14ac:dyDescent="0.25">
      <c r="O2764">
        <v>1</v>
      </c>
      <c r="S2764" t="e">
        <v>#DIV/0!</v>
      </c>
      <c r="T2764" t="s">
        <v>82</v>
      </c>
    </row>
    <row r="2765" spans="15:20" x14ac:dyDescent="0.25">
      <c r="O2765">
        <v>1</v>
      </c>
      <c r="S2765" t="e">
        <v>#DIV/0!</v>
      </c>
      <c r="T2765" t="s">
        <v>82</v>
      </c>
    </row>
    <row r="2766" spans="15:20" x14ac:dyDescent="0.25">
      <c r="O2766">
        <v>1</v>
      </c>
      <c r="S2766" t="e">
        <v>#DIV/0!</v>
      </c>
      <c r="T2766" t="s">
        <v>82</v>
      </c>
    </row>
    <row r="2767" spans="15:20" x14ac:dyDescent="0.25">
      <c r="O2767">
        <v>1</v>
      </c>
      <c r="S2767" t="e">
        <v>#DIV/0!</v>
      </c>
      <c r="T2767" t="s">
        <v>82</v>
      </c>
    </row>
    <row r="2768" spans="15:20" x14ac:dyDescent="0.25">
      <c r="O2768">
        <v>1</v>
      </c>
      <c r="S2768" t="e">
        <v>#DIV/0!</v>
      </c>
      <c r="T2768" t="s">
        <v>82</v>
      </c>
    </row>
    <row r="2769" spans="15:20" x14ac:dyDescent="0.25">
      <c r="O2769">
        <v>1</v>
      </c>
      <c r="S2769" t="e">
        <v>#DIV/0!</v>
      </c>
      <c r="T2769" t="s">
        <v>82</v>
      </c>
    </row>
    <row r="2770" spans="15:20" x14ac:dyDescent="0.25">
      <c r="O2770">
        <v>1</v>
      </c>
      <c r="S2770" t="e">
        <v>#DIV/0!</v>
      </c>
      <c r="T2770" t="s">
        <v>82</v>
      </c>
    </row>
    <row r="2771" spans="15:20" x14ac:dyDescent="0.25">
      <c r="O2771">
        <v>1</v>
      </c>
      <c r="S2771" t="e">
        <v>#DIV/0!</v>
      </c>
      <c r="T2771" t="s">
        <v>82</v>
      </c>
    </row>
    <row r="2772" spans="15:20" x14ac:dyDescent="0.25">
      <c r="O2772">
        <v>1</v>
      </c>
      <c r="S2772" t="e">
        <v>#DIV/0!</v>
      </c>
      <c r="T2772" t="s">
        <v>82</v>
      </c>
    </row>
    <row r="2773" spans="15:20" x14ac:dyDescent="0.25">
      <c r="O2773">
        <v>1</v>
      </c>
      <c r="S2773" t="e">
        <v>#DIV/0!</v>
      </c>
      <c r="T2773" t="s">
        <v>82</v>
      </c>
    </row>
    <row r="2774" spans="15:20" x14ac:dyDescent="0.25">
      <c r="O2774">
        <v>1</v>
      </c>
      <c r="S2774" t="e">
        <v>#DIV/0!</v>
      </c>
      <c r="T2774" t="s">
        <v>82</v>
      </c>
    </row>
    <row r="2775" spans="15:20" x14ac:dyDescent="0.25">
      <c r="O2775">
        <v>1</v>
      </c>
      <c r="S2775" t="e">
        <v>#DIV/0!</v>
      </c>
      <c r="T2775" t="s">
        <v>82</v>
      </c>
    </row>
    <row r="2776" spans="15:20" x14ac:dyDescent="0.25">
      <c r="O2776">
        <v>1</v>
      </c>
      <c r="S2776" t="e">
        <v>#DIV/0!</v>
      </c>
      <c r="T2776" t="s">
        <v>82</v>
      </c>
    </row>
    <row r="2777" spans="15:20" x14ac:dyDescent="0.25">
      <c r="O2777">
        <v>1</v>
      </c>
      <c r="S2777" t="e">
        <v>#DIV/0!</v>
      </c>
      <c r="T2777" t="s">
        <v>82</v>
      </c>
    </row>
    <row r="2778" spans="15:20" x14ac:dyDescent="0.25">
      <c r="O2778">
        <v>1</v>
      </c>
      <c r="S2778" t="e">
        <v>#DIV/0!</v>
      </c>
      <c r="T2778" t="s">
        <v>82</v>
      </c>
    </row>
    <row r="2779" spans="15:20" x14ac:dyDescent="0.25">
      <c r="O2779">
        <v>1</v>
      </c>
      <c r="S2779" t="e">
        <v>#DIV/0!</v>
      </c>
      <c r="T2779" t="s">
        <v>82</v>
      </c>
    </row>
    <row r="2780" spans="15:20" x14ac:dyDescent="0.25">
      <c r="O2780">
        <v>1</v>
      </c>
      <c r="S2780" t="e">
        <v>#DIV/0!</v>
      </c>
      <c r="T2780" t="s">
        <v>82</v>
      </c>
    </row>
    <row r="2781" spans="15:20" x14ac:dyDescent="0.25">
      <c r="O2781">
        <v>1</v>
      </c>
      <c r="S2781" t="e">
        <v>#DIV/0!</v>
      </c>
      <c r="T2781" t="s">
        <v>82</v>
      </c>
    </row>
    <row r="2782" spans="15:20" x14ac:dyDescent="0.25">
      <c r="O2782">
        <v>1</v>
      </c>
      <c r="S2782" t="e">
        <v>#DIV/0!</v>
      </c>
      <c r="T2782" t="s">
        <v>82</v>
      </c>
    </row>
    <row r="2783" spans="15:20" x14ac:dyDescent="0.25">
      <c r="O2783">
        <v>1</v>
      </c>
      <c r="S2783" t="e">
        <v>#DIV/0!</v>
      </c>
      <c r="T2783" t="s">
        <v>82</v>
      </c>
    </row>
    <row r="2784" spans="15:20" x14ac:dyDescent="0.25">
      <c r="O2784">
        <v>1</v>
      </c>
      <c r="S2784" t="e">
        <v>#DIV/0!</v>
      </c>
      <c r="T2784" t="s">
        <v>82</v>
      </c>
    </row>
    <row r="2785" spans="15:20" x14ac:dyDescent="0.25">
      <c r="O2785">
        <v>1</v>
      </c>
      <c r="S2785" t="e">
        <v>#DIV/0!</v>
      </c>
      <c r="T2785" t="s">
        <v>82</v>
      </c>
    </row>
    <row r="2786" spans="15:20" x14ac:dyDescent="0.25">
      <c r="O2786">
        <v>1</v>
      </c>
      <c r="S2786" t="e">
        <v>#DIV/0!</v>
      </c>
      <c r="T2786" t="s">
        <v>82</v>
      </c>
    </row>
    <row r="2787" spans="15:20" x14ac:dyDescent="0.25">
      <c r="O2787">
        <v>1</v>
      </c>
      <c r="S2787" t="e">
        <v>#DIV/0!</v>
      </c>
      <c r="T2787" t="s">
        <v>82</v>
      </c>
    </row>
    <row r="2788" spans="15:20" x14ac:dyDescent="0.25">
      <c r="O2788">
        <v>1</v>
      </c>
      <c r="S2788" t="e">
        <v>#DIV/0!</v>
      </c>
      <c r="T2788" t="s">
        <v>82</v>
      </c>
    </row>
    <row r="2789" spans="15:20" x14ac:dyDescent="0.25">
      <c r="O2789">
        <v>1</v>
      </c>
      <c r="S2789" t="e">
        <v>#DIV/0!</v>
      </c>
      <c r="T2789" t="s">
        <v>82</v>
      </c>
    </row>
    <row r="2790" spans="15:20" x14ac:dyDescent="0.25">
      <c r="O2790">
        <v>1</v>
      </c>
      <c r="S2790" t="e">
        <v>#DIV/0!</v>
      </c>
      <c r="T2790" t="s">
        <v>82</v>
      </c>
    </row>
    <row r="2791" spans="15:20" x14ac:dyDescent="0.25">
      <c r="O2791">
        <v>1</v>
      </c>
      <c r="S2791" t="e">
        <v>#DIV/0!</v>
      </c>
      <c r="T2791" t="s">
        <v>82</v>
      </c>
    </row>
    <row r="2792" spans="15:20" x14ac:dyDescent="0.25">
      <c r="O2792">
        <v>1</v>
      </c>
      <c r="S2792" t="e">
        <v>#DIV/0!</v>
      </c>
      <c r="T2792" t="s">
        <v>82</v>
      </c>
    </row>
    <row r="2793" spans="15:20" x14ac:dyDescent="0.25">
      <c r="O2793">
        <v>1</v>
      </c>
      <c r="S2793" t="e">
        <v>#DIV/0!</v>
      </c>
      <c r="T2793" t="s">
        <v>82</v>
      </c>
    </row>
    <row r="2794" spans="15:20" x14ac:dyDescent="0.25">
      <c r="O2794">
        <v>1</v>
      </c>
      <c r="S2794" t="e">
        <v>#DIV/0!</v>
      </c>
      <c r="T2794" t="s">
        <v>82</v>
      </c>
    </row>
    <row r="2795" spans="15:20" x14ac:dyDescent="0.25">
      <c r="O2795">
        <v>1</v>
      </c>
      <c r="S2795" t="e">
        <v>#DIV/0!</v>
      </c>
      <c r="T2795" t="s">
        <v>82</v>
      </c>
    </row>
    <row r="2796" spans="15:20" x14ac:dyDescent="0.25">
      <c r="O2796">
        <v>1</v>
      </c>
      <c r="S2796" t="e">
        <v>#DIV/0!</v>
      </c>
      <c r="T2796" t="s">
        <v>82</v>
      </c>
    </row>
    <row r="2797" spans="15:20" x14ac:dyDescent="0.25">
      <c r="O2797">
        <v>1</v>
      </c>
      <c r="S2797" t="e">
        <v>#DIV/0!</v>
      </c>
      <c r="T2797" t="s">
        <v>82</v>
      </c>
    </row>
    <row r="2798" spans="15:20" x14ac:dyDescent="0.25">
      <c r="O2798">
        <v>1</v>
      </c>
      <c r="S2798" t="e">
        <v>#DIV/0!</v>
      </c>
      <c r="T2798" t="s">
        <v>82</v>
      </c>
    </row>
    <row r="2799" spans="15:20" x14ac:dyDescent="0.25">
      <c r="O2799">
        <v>1</v>
      </c>
      <c r="S2799" t="e">
        <v>#DIV/0!</v>
      </c>
      <c r="T2799" t="s">
        <v>82</v>
      </c>
    </row>
    <row r="2800" spans="15:20" x14ac:dyDescent="0.25">
      <c r="O2800">
        <v>1</v>
      </c>
      <c r="S2800" t="e">
        <v>#DIV/0!</v>
      </c>
      <c r="T2800" t="s">
        <v>82</v>
      </c>
    </row>
    <row r="2801" spans="15:20" x14ac:dyDescent="0.25">
      <c r="O2801">
        <v>1</v>
      </c>
      <c r="S2801" t="e">
        <v>#DIV/0!</v>
      </c>
      <c r="T2801" t="s">
        <v>82</v>
      </c>
    </row>
    <row r="2802" spans="15:20" x14ac:dyDescent="0.25">
      <c r="O2802">
        <v>1</v>
      </c>
      <c r="S2802" t="e">
        <v>#DIV/0!</v>
      </c>
      <c r="T2802" t="s">
        <v>82</v>
      </c>
    </row>
    <row r="2803" spans="15:20" x14ac:dyDescent="0.25">
      <c r="O2803">
        <v>1</v>
      </c>
      <c r="S2803" t="e">
        <v>#DIV/0!</v>
      </c>
      <c r="T2803" t="s">
        <v>82</v>
      </c>
    </row>
    <row r="2804" spans="15:20" x14ac:dyDescent="0.25">
      <c r="O2804">
        <v>1</v>
      </c>
      <c r="S2804" t="e">
        <v>#DIV/0!</v>
      </c>
      <c r="T2804" t="s">
        <v>82</v>
      </c>
    </row>
    <row r="2805" spans="15:20" x14ac:dyDescent="0.25">
      <c r="O2805">
        <v>1</v>
      </c>
      <c r="S2805" t="e">
        <v>#DIV/0!</v>
      </c>
      <c r="T2805" t="s">
        <v>82</v>
      </c>
    </row>
    <row r="2806" spans="15:20" x14ac:dyDescent="0.25">
      <c r="O2806">
        <v>1</v>
      </c>
      <c r="S2806" t="e">
        <v>#DIV/0!</v>
      </c>
      <c r="T2806" t="s">
        <v>82</v>
      </c>
    </row>
    <row r="2807" spans="15:20" x14ac:dyDescent="0.25">
      <c r="O2807">
        <v>1</v>
      </c>
      <c r="S2807" t="e">
        <v>#DIV/0!</v>
      </c>
      <c r="T2807" t="s">
        <v>82</v>
      </c>
    </row>
    <row r="2808" spans="15:20" x14ac:dyDescent="0.25">
      <c r="O2808">
        <v>1</v>
      </c>
      <c r="S2808" t="e">
        <v>#DIV/0!</v>
      </c>
      <c r="T2808" t="s">
        <v>82</v>
      </c>
    </row>
    <row r="2809" spans="15:20" x14ac:dyDescent="0.25">
      <c r="O2809">
        <v>1</v>
      </c>
      <c r="S2809" t="e">
        <v>#DIV/0!</v>
      </c>
      <c r="T2809" t="s">
        <v>82</v>
      </c>
    </row>
    <row r="2810" spans="15:20" x14ac:dyDescent="0.25">
      <c r="O2810">
        <v>1</v>
      </c>
      <c r="S2810" t="e">
        <v>#DIV/0!</v>
      </c>
      <c r="T2810" t="s">
        <v>82</v>
      </c>
    </row>
    <row r="2811" spans="15:20" x14ac:dyDescent="0.25">
      <c r="O2811">
        <v>1</v>
      </c>
      <c r="S2811" t="e">
        <v>#DIV/0!</v>
      </c>
      <c r="T2811" t="s">
        <v>82</v>
      </c>
    </row>
    <row r="2812" spans="15:20" x14ac:dyDescent="0.25">
      <c r="O2812">
        <v>1</v>
      </c>
      <c r="S2812" t="e">
        <v>#DIV/0!</v>
      </c>
      <c r="T2812" t="s">
        <v>82</v>
      </c>
    </row>
    <row r="2813" spans="15:20" x14ac:dyDescent="0.25">
      <c r="O2813">
        <v>1</v>
      </c>
      <c r="S2813" t="e">
        <v>#DIV/0!</v>
      </c>
      <c r="T2813" t="s">
        <v>82</v>
      </c>
    </row>
    <row r="2814" spans="15:20" x14ac:dyDescent="0.25">
      <c r="O2814">
        <v>1</v>
      </c>
      <c r="S2814" t="e">
        <v>#DIV/0!</v>
      </c>
      <c r="T2814" t="s">
        <v>82</v>
      </c>
    </row>
    <row r="2815" spans="15:20" x14ac:dyDescent="0.25">
      <c r="O2815">
        <v>1</v>
      </c>
      <c r="S2815" t="e">
        <v>#DIV/0!</v>
      </c>
      <c r="T2815" t="s">
        <v>82</v>
      </c>
    </row>
    <row r="2816" spans="15:20" x14ac:dyDescent="0.25">
      <c r="O2816">
        <v>1</v>
      </c>
      <c r="S2816" t="e">
        <v>#DIV/0!</v>
      </c>
      <c r="T2816" t="s">
        <v>82</v>
      </c>
    </row>
    <row r="2817" spans="15:20" x14ac:dyDescent="0.25">
      <c r="O2817">
        <v>1</v>
      </c>
      <c r="S2817" t="e">
        <v>#DIV/0!</v>
      </c>
      <c r="T2817" t="s">
        <v>82</v>
      </c>
    </row>
    <row r="2818" spans="15:20" x14ac:dyDescent="0.25">
      <c r="O2818">
        <v>1</v>
      </c>
      <c r="S2818" t="e">
        <v>#DIV/0!</v>
      </c>
      <c r="T2818" t="s">
        <v>82</v>
      </c>
    </row>
    <row r="2819" spans="15:20" x14ac:dyDescent="0.25">
      <c r="O2819">
        <v>1</v>
      </c>
      <c r="S2819" t="e">
        <v>#DIV/0!</v>
      </c>
      <c r="T2819" t="s">
        <v>82</v>
      </c>
    </row>
    <row r="2820" spans="15:20" x14ac:dyDescent="0.25">
      <c r="O2820">
        <v>1</v>
      </c>
      <c r="S2820" t="e">
        <v>#DIV/0!</v>
      </c>
      <c r="T2820" t="s">
        <v>82</v>
      </c>
    </row>
    <row r="2821" spans="15:20" x14ac:dyDescent="0.25">
      <c r="O2821">
        <v>1</v>
      </c>
      <c r="S2821" t="e">
        <v>#DIV/0!</v>
      </c>
      <c r="T2821" t="s">
        <v>82</v>
      </c>
    </row>
    <row r="2822" spans="15:20" x14ac:dyDescent="0.25">
      <c r="O2822">
        <v>1</v>
      </c>
      <c r="S2822" t="e">
        <v>#DIV/0!</v>
      </c>
      <c r="T2822" t="s">
        <v>82</v>
      </c>
    </row>
    <row r="2823" spans="15:20" x14ac:dyDescent="0.25">
      <c r="O2823">
        <v>1</v>
      </c>
      <c r="S2823" t="e">
        <v>#DIV/0!</v>
      </c>
      <c r="T2823" t="s">
        <v>82</v>
      </c>
    </row>
    <row r="2824" spans="15:20" x14ac:dyDescent="0.25">
      <c r="O2824">
        <v>1</v>
      </c>
      <c r="S2824" t="e">
        <v>#DIV/0!</v>
      </c>
      <c r="T2824" t="s">
        <v>82</v>
      </c>
    </row>
    <row r="2825" spans="15:20" x14ac:dyDescent="0.25">
      <c r="O2825">
        <v>1</v>
      </c>
      <c r="S2825" t="e">
        <v>#DIV/0!</v>
      </c>
      <c r="T2825" t="s">
        <v>82</v>
      </c>
    </row>
    <row r="2826" spans="15:20" x14ac:dyDescent="0.25">
      <c r="O2826">
        <v>1</v>
      </c>
      <c r="S2826" t="e">
        <v>#DIV/0!</v>
      </c>
      <c r="T2826" t="s">
        <v>82</v>
      </c>
    </row>
    <row r="2827" spans="15:20" x14ac:dyDescent="0.25">
      <c r="O2827">
        <v>1</v>
      </c>
      <c r="S2827" t="e">
        <v>#DIV/0!</v>
      </c>
      <c r="T2827" t="s">
        <v>82</v>
      </c>
    </row>
    <row r="2828" spans="15:20" x14ac:dyDescent="0.25">
      <c r="O2828">
        <v>1</v>
      </c>
      <c r="S2828" t="e">
        <v>#DIV/0!</v>
      </c>
      <c r="T2828" t="s">
        <v>82</v>
      </c>
    </row>
    <row r="2829" spans="15:20" x14ac:dyDescent="0.25">
      <c r="O2829">
        <v>1</v>
      </c>
      <c r="S2829" t="e">
        <v>#DIV/0!</v>
      </c>
      <c r="T2829" t="s">
        <v>82</v>
      </c>
    </row>
    <row r="2830" spans="15:20" x14ac:dyDescent="0.25">
      <c r="O2830">
        <v>1</v>
      </c>
      <c r="S2830" t="e">
        <v>#DIV/0!</v>
      </c>
      <c r="T2830" t="s">
        <v>82</v>
      </c>
    </row>
    <row r="2831" spans="15:20" x14ac:dyDescent="0.25">
      <c r="O2831">
        <v>1</v>
      </c>
      <c r="S2831" t="e">
        <v>#DIV/0!</v>
      </c>
      <c r="T2831" t="s">
        <v>82</v>
      </c>
    </row>
    <row r="2832" spans="15:20" x14ac:dyDescent="0.25">
      <c r="O2832">
        <v>1</v>
      </c>
      <c r="S2832" t="e">
        <v>#DIV/0!</v>
      </c>
      <c r="T2832" t="s">
        <v>82</v>
      </c>
    </row>
    <row r="2833" spans="15:20" x14ac:dyDescent="0.25">
      <c r="O2833">
        <v>1</v>
      </c>
      <c r="S2833" t="e">
        <v>#DIV/0!</v>
      </c>
      <c r="T2833" t="s">
        <v>82</v>
      </c>
    </row>
    <row r="2834" spans="15:20" x14ac:dyDescent="0.25">
      <c r="O2834">
        <v>1</v>
      </c>
      <c r="S2834" t="e">
        <v>#DIV/0!</v>
      </c>
      <c r="T2834" t="s">
        <v>82</v>
      </c>
    </row>
    <row r="2835" spans="15:20" x14ac:dyDescent="0.25">
      <c r="O2835">
        <v>1</v>
      </c>
      <c r="S2835" t="e">
        <v>#DIV/0!</v>
      </c>
      <c r="T2835" t="s">
        <v>82</v>
      </c>
    </row>
    <row r="2836" spans="15:20" x14ac:dyDescent="0.25">
      <c r="O2836">
        <v>1</v>
      </c>
      <c r="S2836" t="e">
        <v>#DIV/0!</v>
      </c>
      <c r="T2836" t="s">
        <v>82</v>
      </c>
    </row>
    <row r="2837" spans="15:20" x14ac:dyDescent="0.25">
      <c r="O2837">
        <v>1</v>
      </c>
      <c r="S2837" t="e">
        <v>#DIV/0!</v>
      </c>
      <c r="T2837" t="s">
        <v>82</v>
      </c>
    </row>
    <row r="2838" spans="15:20" x14ac:dyDescent="0.25">
      <c r="O2838">
        <v>1</v>
      </c>
      <c r="S2838" t="e">
        <v>#DIV/0!</v>
      </c>
      <c r="T2838" t="s">
        <v>82</v>
      </c>
    </row>
    <row r="2839" spans="15:20" x14ac:dyDescent="0.25">
      <c r="O2839">
        <v>1</v>
      </c>
      <c r="S2839" t="e">
        <v>#DIV/0!</v>
      </c>
      <c r="T2839" t="s">
        <v>82</v>
      </c>
    </row>
    <row r="2840" spans="15:20" x14ac:dyDescent="0.25">
      <c r="O2840">
        <v>1</v>
      </c>
      <c r="S2840" t="e">
        <v>#DIV/0!</v>
      </c>
      <c r="T2840" t="s">
        <v>82</v>
      </c>
    </row>
    <row r="2841" spans="15:20" x14ac:dyDescent="0.25">
      <c r="O2841">
        <v>1</v>
      </c>
      <c r="S2841" t="e">
        <v>#DIV/0!</v>
      </c>
      <c r="T2841" t="s">
        <v>82</v>
      </c>
    </row>
    <row r="2842" spans="15:20" x14ac:dyDescent="0.25">
      <c r="O2842">
        <v>1</v>
      </c>
      <c r="S2842" t="e">
        <v>#DIV/0!</v>
      </c>
      <c r="T2842" t="s">
        <v>82</v>
      </c>
    </row>
    <row r="2843" spans="15:20" x14ac:dyDescent="0.25">
      <c r="O2843">
        <v>1</v>
      </c>
      <c r="S2843" t="e">
        <v>#DIV/0!</v>
      </c>
      <c r="T2843" t="s">
        <v>82</v>
      </c>
    </row>
    <row r="2844" spans="15:20" x14ac:dyDescent="0.25">
      <c r="O2844">
        <v>1</v>
      </c>
      <c r="S2844" t="e">
        <v>#DIV/0!</v>
      </c>
      <c r="T2844" t="s">
        <v>82</v>
      </c>
    </row>
    <row r="2845" spans="15:20" x14ac:dyDescent="0.25">
      <c r="O2845">
        <v>1</v>
      </c>
      <c r="S2845" t="e">
        <v>#DIV/0!</v>
      </c>
      <c r="T2845" t="s">
        <v>82</v>
      </c>
    </row>
    <row r="2846" spans="15:20" x14ac:dyDescent="0.25">
      <c r="O2846">
        <v>1</v>
      </c>
      <c r="S2846" t="e">
        <v>#DIV/0!</v>
      </c>
      <c r="T2846" t="s">
        <v>82</v>
      </c>
    </row>
    <row r="2847" spans="15:20" x14ac:dyDescent="0.25">
      <c r="O2847">
        <v>1</v>
      </c>
      <c r="S2847" t="e">
        <v>#DIV/0!</v>
      </c>
      <c r="T2847" t="s">
        <v>82</v>
      </c>
    </row>
    <row r="2848" spans="15:20" x14ac:dyDescent="0.25">
      <c r="O2848">
        <v>1</v>
      </c>
      <c r="S2848" t="e">
        <v>#DIV/0!</v>
      </c>
      <c r="T2848" t="s">
        <v>82</v>
      </c>
    </row>
    <row r="2849" spans="15:20" x14ac:dyDescent="0.25">
      <c r="O2849">
        <v>1</v>
      </c>
      <c r="S2849" t="e">
        <v>#DIV/0!</v>
      </c>
      <c r="T2849" t="s">
        <v>82</v>
      </c>
    </row>
    <row r="2850" spans="15:20" x14ac:dyDescent="0.25">
      <c r="O2850">
        <v>1</v>
      </c>
      <c r="S2850" t="e">
        <v>#DIV/0!</v>
      </c>
      <c r="T2850" t="s">
        <v>82</v>
      </c>
    </row>
    <row r="2851" spans="15:20" x14ac:dyDescent="0.25">
      <c r="O2851">
        <v>1</v>
      </c>
      <c r="S2851" t="e">
        <v>#DIV/0!</v>
      </c>
      <c r="T2851" t="s">
        <v>82</v>
      </c>
    </row>
    <row r="2852" spans="15:20" x14ac:dyDescent="0.25">
      <c r="O2852">
        <v>1</v>
      </c>
      <c r="S2852" t="e">
        <v>#DIV/0!</v>
      </c>
      <c r="T2852" t="s">
        <v>82</v>
      </c>
    </row>
    <row r="2853" spans="15:20" x14ac:dyDescent="0.25">
      <c r="O2853">
        <v>1</v>
      </c>
      <c r="S2853" t="e">
        <v>#DIV/0!</v>
      </c>
      <c r="T2853" t="s">
        <v>82</v>
      </c>
    </row>
    <row r="2854" spans="15:20" x14ac:dyDescent="0.25">
      <c r="O2854">
        <v>1</v>
      </c>
      <c r="S2854" t="e">
        <v>#DIV/0!</v>
      </c>
      <c r="T2854" t="s">
        <v>82</v>
      </c>
    </row>
    <row r="2855" spans="15:20" x14ac:dyDescent="0.25">
      <c r="O2855">
        <v>1</v>
      </c>
      <c r="S2855" t="e">
        <v>#DIV/0!</v>
      </c>
      <c r="T2855" t="s">
        <v>82</v>
      </c>
    </row>
    <row r="2856" spans="15:20" x14ac:dyDescent="0.25">
      <c r="O2856">
        <v>1</v>
      </c>
      <c r="S2856" t="e">
        <v>#DIV/0!</v>
      </c>
      <c r="T2856" t="s">
        <v>82</v>
      </c>
    </row>
    <row r="2857" spans="15:20" x14ac:dyDescent="0.25">
      <c r="O2857">
        <v>1</v>
      </c>
      <c r="S2857" t="e">
        <v>#DIV/0!</v>
      </c>
      <c r="T2857" t="s">
        <v>82</v>
      </c>
    </row>
    <row r="2858" spans="15:20" x14ac:dyDescent="0.25">
      <c r="O2858">
        <v>1</v>
      </c>
      <c r="S2858" t="e">
        <v>#DIV/0!</v>
      </c>
      <c r="T2858" t="s">
        <v>82</v>
      </c>
    </row>
    <row r="2859" spans="15:20" x14ac:dyDescent="0.25">
      <c r="O2859">
        <v>1</v>
      </c>
      <c r="S2859" t="e">
        <v>#DIV/0!</v>
      </c>
      <c r="T2859" t="s">
        <v>82</v>
      </c>
    </row>
    <row r="2860" spans="15:20" x14ac:dyDescent="0.25">
      <c r="O2860">
        <v>1</v>
      </c>
      <c r="S2860" t="e">
        <v>#DIV/0!</v>
      </c>
      <c r="T2860" t="s">
        <v>82</v>
      </c>
    </row>
    <row r="2861" spans="15:20" x14ac:dyDescent="0.25">
      <c r="O2861">
        <v>1</v>
      </c>
      <c r="S2861" t="e">
        <v>#DIV/0!</v>
      </c>
      <c r="T2861" t="s">
        <v>82</v>
      </c>
    </row>
    <row r="2862" spans="15:20" x14ac:dyDescent="0.25">
      <c r="O2862">
        <v>1</v>
      </c>
      <c r="S2862" t="e">
        <v>#DIV/0!</v>
      </c>
      <c r="T2862" t="s">
        <v>82</v>
      </c>
    </row>
    <row r="2863" spans="15:20" x14ac:dyDescent="0.25">
      <c r="O2863">
        <v>1</v>
      </c>
      <c r="S2863" t="e">
        <v>#DIV/0!</v>
      </c>
      <c r="T2863" t="s">
        <v>82</v>
      </c>
    </row>
    <row r="2864" spans="15:20" x14ac:dyDescent="0.25">
      <c r="O2864">
        <v>1</v>
      </c>
      <c r="S2864" t="e">
        <v>#DIV/0!</v>
      </c>
      <c r="T2864" t="s">
        <v>82</v>
      </c>
    </row>
    <row r="2865" spans="15:20" x14ac:dyDescent="0.25">
      <c r="O2865">
        <v>1</v>
      </c>
      <c r="S2865" t="e">
        <v>#DIV/0!</v>
      </c>
      <c r="T2865" t="s">
        <v>82</v>
      </c>
    </row>
    <row r="2866" spans="15:20" x14ac:dyDescent="0.25">
      <c r="O2866">
        <v>1</v>
      </c>
      <c r="S2866" t="e">
        <v>#DIV/0!</v>
      </c>
      <c r="T2866" t="s">
        <v>82</v>
      </c>
    </row>
    <row r="2867" spans="15:20" x14ac:dyDescent="0.25">
      <c r="O2867">
        <v>1</v>
      </c>
      <c r="S2867" t="e">
        <v>#DIV/0!</v>
      </c>
      <c r="T2867" t="s">
        <v>82</v>
      </c>
    </row>
    <row r="2868" spans="15:20" x14ac:dyDescent="0.25">
      <c r="O2868">
        <v>1</v>
      </c>
      <c r="S2868" t="e">
        <v>#DIV/0!</v>
      </c>
      <c r="T2868" t="s">
        <v>82</v>
      </c>
    </row>
    <row r="2869" spans="15:20" x14ac:dyDescent="0.25">
      <c r="O2869">
        <v>1</v>
      </c>
      <c r="S2869" t="e">
        <v>#DIV/0!</v>
      </c>
      <c r="T2869" t="s">
        <v>82</v>
      </c>
    </row>
    <row r="2870" spans="15:20" x14ac:dyDescent="0.25">
      <c r="O2870">
        <v>1</v>
      </c>
      <c r="S2870" t="e">
        <v>#DIV/0!</v>
      </c>
      <c r="T2870" t="s">
        <v>82</v>
      </c>
    </row>
    <row r="2871" spans="15:20" x14ac:dyDescent="0.25">
      <c r="O2871">
        <v>1</v>
      </c>
      <c r="S2871" t="e">
        <v>#DIV/0!</v>
      </c>
      <c r="T2871" t="s">
        <v>82</v>
      </c>
    </row>
    <row r="2872" spans="15:20" x14ac:dyDescent="0.25">
      <c r="O2872">
        <v>1</v>
      </c>
      <c r="S2872" t="e">
        <v>#DIV/0!</v>
      </c>
      <c r="T2872" t="s">
        <v>82</v>
      </c>
    </row>
    <row r="2873" spans="15:20" x14ac:dyDescent="0.25">
      <c r="O2873">
        <v>1</v>
      </c>
      <c r="S2873" t="e">
        <v>#DIV/0!</v>
      </c>
      <c r="T2873" t="s">
        <v>82</v>
      </c>
    </row>
    <row r="2874" spans="15:20" x14ac:dyDescent="0.25">
      <c r="O2874">
        <v>1</v>
      </c>
      <c r="S2874" t="e">
        <v>#DIV/0!</v>
      </c>
      <c r="T2874" t="s">
        <v>82</v>
      </c>
    </row>
    <row r="2875" spans="15:20" x14ac:dyDescent="0.25">
      <c r="O2875">
        <v>1</v>
      </c>
      <c r="S2875" t="e">
        <v>#DIV/0!</v>
      </c>
      <c r="T2875" t="s">
        <v>82</v>
      </c>
    </row>
    <row r="2876" spans="15:20" x14ac:dyDescent="0.25">
      <c r="O2876">
        <v>1</v>
      </c>
      <c r="S2876" t="e">
        <v>#DIV/0!</v>
      </c>
      <c r="T2876" t="s">
        <v>82</v>
      </c>
    </row>
    <row r="2877" spans="15:20" x14ac:dyDescent="0.25">
      <c r="O2877">
        <v>1</v>
      </c>
      <c r="S2877" t="e">
        <v>#DIV/0!</v>
      </c>
      <c r="T2877" t="s">
        <v>82</v>
      </c>
    </row>
    <row r="2878" spans="15:20" x14ac:dyDescent="0.25">
      <c r="O2878">
        <v>1</v>
      </c>
      <c r="S2878" t="e">
        <v>#DIV/0!</v>
      </c>
      <c r="T2878" t="s">
        <v>82</v>
      </c>
    </row>
    <row r="2879" spans="15:20" x14ac:dyDescent="0.25">
      <c r="O2879">
        <v>1</v>
      </c>
      <c r="S2879" t="e">
        <v>#DIV/0!</v>
      </c>
      <c r="T2879" t="s">
        <v>82</v>
      </c>
    </row>
    <row r="2880" spans="15:20" x14ac:dyDescent="0.25">
      <c r="O2880">
        <v>1</v>
      </c>
      <c r="S2880" t="e">
        <v>#DIV/0!</v>
      </c>
      <c r="T2880" t="s">
        <v>82</v>
      </c>
    </row>
    <row r="2881" spans="15:20" x14ac:dyDescent="0.25">
      <c r="O2881">
        <v>1</v>
      </c>
      <c r="S2881" t="e">
        <v>#DIV/0!</v>
      </c>
      <c r="T2881" t="s">
        <v>82</v>
      </c>
    </row>
    <row r="2882" spans="15:20" x14ac:dyDescent="0.25">
      <c r="O2882">
        <v>1</v>
      </c>
      <c r="S2882" t="e">
        <v>#DIV/0!</v>
      </c>
      <c r="T2882" t="s">
        <v>82</v>
      </c>
    </row>
    <row r="2883" spans="15:20" x14ac:dyDescent="0.25">
      <c r="O2883">
        <v>1</v>
      </c>
      <c r="S2883" t="e">
        <v>#DIV/0!</v>
      </c>
      <c r="T2883" t="s">
        <v>82</v>
      </c>
    </row>
    <row r="2884" spans="15:20" x14ac:dyDescent="0.25">
      <c r="O2884">
        <v>1</v>
      </c>
      <c r="S2884" t="e">
        <v>#DIV/0!</v>
      </c>
      <c r="T2884" t="s">
        <v>82</v>
      </c>
    </row>
    <row r="2885" spans="15:20" x14ac:dyDescent="0.25">
      <c r="O2885">
        <v>1</v>
      </c>
      <c r="S2885" t="e">
        <v>#DIV/0!</v>
      </c>
      <c r="T2885" t="s">
        <v>82</v>
      </c>
    </row>
    <row r="2886" spans="15:20" x14ac:dyDescent="0.25">
      <c r="O2886">
        <v>1</v>
      </c>
      <c r="S2886" t="e">
        <v>#DIV/0!</v>
      </c>
      <c r="T2886" t="s">
        <v>82</v>
      </c>
    </row>
    <row r="2887" spans="15:20" x14ac:dyDescent="0.25">
      <c r="O2887">
        <v>1</v>
      </c>
      <c r="S2887" t="e">
        <v>#DIV/0!</v>
      </c>
      <c r="T2887" t="s">
        <v>82</v>
      </c>
    </row>
    <row r="2888" spans="15:20" x14ac:dyDescent="0.25">
      <c r="O2888">
        <v>1</v>
      </c>
      <c r="S2888" t="e">
        <v>#DIV/0!</v>
      </c>
      <c r="T2888" t="s">
        <v>82</v>
      </c>
    </row>
    <row r="2889" spans="15:20" x14ac:dyDescent="0.25">
      <c r="O2889">
        <v>1</v>
      </c>
      <c r="S2889" t="e">
        <v>#DIV/0!</v>
      </c>
      <c r="T2889" t="s">
        <v>82</v>
      </c>
    </row>
    <row r="2890" spans="15:20" x14ac:dyDescent="0.25">
      <c r="O2890">
        <v>1</v>
      </c>
      <c r="S2890" t="e">
        <v>#DIV/0!</v>
      </c>
      <c r="T2890" t="s">
        <v>82</v>
      </c>
    </row>
    <row r="2891" spans="15:20" x14ac:dyDescent="0.25">
      <c r="O2891">
        <v>1</v>
      </c>
      <c r="S2891" t="e">
        <v>#DIV/0!</v>
      </c>
      <c r="T2891" t="s">
        <v>82</v>
      </c>
    </row>
    <row r="2892" spans="15:20" x14ac:dyDescent="0.25">
      <c r="O2892">
        <v>1</v>
      </c>
      <c r="S2892" t="e">
        <v>#DIV/0!</v>
      </c>
      <c r="T2892" t="s">
        <v>82</v>
      </c>
    </row>
    <row r="2893" spans="15:20" x14ac:dyDescent="0.25">
      <c r="O2893">
        <v>1</v>
      </c>
      <c r="S2893" t="e">
        <v>#DIV/0!</v>
      </c>
      <c r="T2893" t="s">
        <v>82</v>
      </c>
    </row>
    <row r="2894" spans="15:20" x14ac:dyDescent="0.25">
      <c r="O2894">
        <v>1</v>
      </c>
      <c r="S2894" t="e">
        <v>#DIV/0!</v>
      </c>
      <c r="T2894" t="s">
        <v>82</v>
      </c>
    </row>
    <row r="2895" spans="15:20" x14ac:dyDescent="0.25">
      <c r="O2895">
        <v>1</v>
      </c>
      <c r="S2895" t="e">
        <v>#DIV/0!</v>
      </c>
      <c r="T2895" t="s">
        <v>82</v>
      </c>
    </row>
    <row r="2896" spans="15:20" x14ac:dyDescent="0.25">
      <c r="O2896">
        <v>1</v>
      </c>
      <c r="S2896" t="e">
        <v>#DIV/0!</v>
      </c>
      <c r="T2896" t="s">
        <v>82</v>
      </c>
    </row>
    <row r="2897" spans="15:20" x14ac:dyDescent="0.25">
      <c r="O2897">
        <v>1</v>
      </c>
      <c r="S2897" t="e">
        <v>#DIV/0!</v>
      </c>
      <c r="T2897" t="s">
        <v>82</v>
      </c>
    </row>
    <row r="2898" spans="15:20" x14ac:dyDescent="0.25">
      <c r="O2898">
        <v>1</v>
      </c>
      <c r="S2898" t="e">
        <v>#DIV/0!</v>
      </c>
      <c r="T2898" t="s">
        <v>82</v>
      </c>
    </row>
    <row r="2899" spans="15:20" x14ac:dyDescent="0.25">
      <c r="O2899">
        <v>1</v>
      </c>
      <c r="S2899" t="e">
        <v>#DIV/0!</v>
      </c>
      <c r="T2899" t="s">
        <v>82</v>
      </c>
    </row>
    <row r="2900" spans="15:20" x14ac:dyDescent="0.25">
      <c r="O2900">
        <v>1</v>
      </c>
      <c r="S2900" t="e">
        <v>#DIV/0!</v>
      </c>
      <c r="T2900" t="s">
        <v>82</v>
      </c>
    </row>
    <row r="2901" spans="15:20" x14ac:dyDescent="0.25">
      <c r="O2901">
        <v>1</v>
      </c>
      <c r="S2901" t="e">
        <v>#DIV/0!</v>
      </c>
      <c r="T2901" t="s">
        <v>82</v>
      </c>
    </row>
    <row r="2902" spans="15:20" x14ac:dyDescent="0.25">
      <c r="O2902">
        <v>1</v>
      </c>
      <c r="S2902" t="e">
        <v>#DIV/0!</v>
      </c>
      <c r="T2902" t="s">
        <v>82</v>
      </c>
    </row>
    <row r="2903" spans="15:20" x14ac:dyDescent="0.25">
      <c r="O2903">
        <v>1</v>
      </c>
      <c r="S2903" t="e">
        <v>#DIV/0!</v>
      </c>
      <c r="T2903" t="s">
        <v>82</v>
      </c>
    </row>
    <row r="2904" spans="15:20" x14ac:dyDescent="0.25">
      <c r="O2904">
        <v>1</v>
      </c>
      <c r="S2904" t="e">
        <v>#DIV/0!</v>
      </c>
      <c r="T2904" t="s">
        <v>82</v>
      </c>
    </row>
    <row r="2905" spans="15:20" x14ac:dyDescent="0.25">
      <c r="O2905">
        <v>1</v>
      </c>
      <c r="S2905" t="e">
        <v>#DIV/0!</v>
      </c>
      <c r="T2905" t="s">
        <v>82</v>
      </c>
    </row>
    <row r="2906" spans="15:20" x14ac:dyDescent="0.25">
      <c r="O2906">
        <v>1</v>
      </c>
      <c r="S2906" t="e">
        <v>#DIV/0!</v>
      </c>
      <c r="T2906" t="s">
        <v>82</v>
      </c>
    </row>
    <row r="2907" spans="15:20" x14ac:dyDescent="0.25">
      <c r="O2907">
        <v>1</v>
      </c>
      <c r="S2907" t="e">
        <v>#DIV/0!</v>
      </c>
      <c r="T2907" t="s">
        <v>82</v>
      </c>
    </row>
    <row r="2908" spans="15:20" x14ac:dyDescent="0.25">
      <c r="O2908">
        <v>1</v>
      </c>
      <c r="S2908" t="e">
        <v>#DIV/0!</v>
      </c>
      <c r="T2908" t="s">
        <v>82</v>
      </c>
    </row>
    <row r="2909" spans="15:20" x14ac:dyDescent="0.25">
      <c r="O2909">
        <v>1</v>
      </c>
      <c r="S2909" t="e">
        <v>#DIV/0!</v>
      </c>
      <c r="T2909" t="s">
        <v>82</v>
      </c>
    </row>
    <row r="2910" spans="15:20" x14ac:dyDescent="0.25">
      <c r="O2910">
        <v>1</v>
      </c>
      <c r="S2910" t="e">
        <v>#DIV/0!</v>
      </c>
      <c r="T2910" t="s">
        <v>82</v>
      </c>
    </row>
    <row r="2911" spans="15:20" x14ac:dyDescent="0.25">
      <c r="O2911">
        <v>1</v>
      </c>
      <c r="S2911" t="e">
        <v>#DIV/0!</v>
      </c>
      <c r="T2911" t="s">
        <v>82</v>
      </c>
    </row>
    <row r="2912" spans="15:20" x14ac:dyDescent="0.25">
      <c r="O2912">
        <v>1</v>
      </c>
      <c r="S2912" t="e">
        <v>#DIV/0!</v>
      </c>
      <c r="T2912" t="s">
        <v>82</v>
      </c>
    </row>
    <row r="2913" spans="15:20" x14ac:dyDescent="0.25">
      <c r="O2913">
        <v>1</v>
      </c>
      <c r="S2913" t="e">
        <v>#DIV/0!</v>
      </c>
      <c r="T2913" t="s">
        <v>82</v>
      </c>
    </row>
    <row r="2914" spans="15:20" x14ac:dyDescent="0.25">
      <c r="O2914">
        <v>1</v>
      </c>
      <c r="S2914" t="e">
        <v>#DIV/0!</v>
      </c>
      <c r="T2914" t="s">
        <v>82</v>
      </c>
    </row>
    <row r="2915" spans="15:20" x14ac:dyDescent="0.25">
      <c r="O2915">
        <v>1</v>
      </c>
      <c r="S2915" t="e">
        <v>#DIV/0!</v>
      </c>
      <c r="T2915" t="s">
        <v>82</v>
      </c>
    </row>
    <row r="2916" spans="15:20" x14ac:dyDescent="0.25">
      <c r="O2916">
        <v>1</v>
      </c>
      <c r="S2916" t="e">
        <v>#DIV/0!</v>
      </c>
      <c r="T2916" t="s">
        <v>82</v>
      </c>
    </row>
    <row r="2917" spans="15:20" x14ac:dyDescent="0.25">
      <c r="O2917">
        <v>1</v>
      </c>
      <c r="S2917" t="e">
        <v>#DIV/0!</v>
      </c>
      <c r="T2917" t="s">
        <v>82</v>
      </c>
    </row>
    <row r="2918" spans="15:20" x14ac:dyDescent="0.25">
      <c r="O2918">
        <v>1</v>
      </c>
      <c r="S2918" t="e">
        <v>#DIV/0!</v>
      </c>
      <c r="T2918" t="s">
        <v>82</v>
      </c>
    </row>
    <row r="2919" spans="15:20" x14ac:dyDescent="0.25">
      <c r="O2919">
        <v>1</v>
      </c>
      <c r="S2919" t="e">
        <v>#DIV/0!</v>
      </c>
      <c r="T2919" t="s">
        <v>82</v>
      </c>
    </row>
    <row r="2920" spans="15:20" x14ac:dyDescent="0.25">
      <c r="O2920">
        <v>1</v>
      </c>
      <c r="S2920" t="e">
        <v>#DIV/0!</v>
      </c>
      <c r="T2920" t="s">
        <v>82</v>
      </c>
    </row>
    <row r="2921" spans="15:20" x14ac:dyDescent="0.25">
      <c r="O2921">
        <v>1</v>
      </c>
      <c r="S2921" t="e">
        <v>#DIV/0!</v>
      </c>
      <c r="T2921" t="s">
        <v>82</v>
      </c>
    </row>
    <row r="2922" spans="15:20" x14ac:dyDescent="0.25">
      <c r="O2922">
        <v>1</v>
      </c>
      <c r="S2922" t="e">
        <v>#DIV/0!</v>
      </c>
      <c r="T2922" t="s">
        <v>82</v>
      </c>
    </row>
    <row r="2923" spans="15:20" x14ac:dyDescent="0.25">
      <c r="O2923">
        <v>1</v>
      </c>
      <c r="S2923" t="e">
        <v>#DIV/0!</v>
      </c>
      <c r="T2923" t="s">
        <v>82</v>
      </c>
    </row>
    <row r="2924" spans="15:20" x14ac:dyDescent="0.25">
      <c r="O2924">
        <v>1</v>
      </c>
      <c r="S2924" t="e">
        <v>#DIV/0!</v>
      </c>
      <c r="T2924" t="s">
        <v>82</v>
      </c>
    </row>
    <row r="2925" spans="15:20" x14ac:dyDescent="0.25">
      <c r="O2925">
        <v>1</v>
      </c>
      <c r="S2925" t="e">
        <v>#DIV/0!</v>
      </c>
      <c r="T2925" t="s">
        <v>82</v>
      </c>
    </row>
    <row r="2926" spans="15:20" x14ac:dyDescent="0.25">
      <c r="O2926">
        <v>1</v>
      </c>
      <c r="S2926" t="e">
        <v>#DIV/0!</v>
      </c>
      <c r="T2926" t="s">
        <v>82</v>
      </c>
    </row>
    <row r="2927" spans="15:20" x14ac:dyDescent="0.25">
      <c r="O2927">
        <v>1</v>
      </c>
      <c r="S2927" t="e">
        <v>#DIV/0!</v>
      </c>
      <c r="T2927" t="s">
        <v>82</v>
      </c>
    </row>
    <row r="2928" spans="15:20" x14ac:dyDescent="0.25">
      <c r="O2928">
        <v>1</v>
      </c>
      <c r="S2928" t="e">
        <v>#DIV/0!</v>
      </c>
      <c r="T2928" t="s">
        <v>82</v>
      </c>
    </row>
    <row r="2929" spans="15:20" x14ac:dyDescent="0.25">
      <c r="O2929">
        <v>1</v>
      </c>
      <c r="S2929" t="e">
        <v>#DIV/0!</v>
      </c>
      <c r="T2929" t="s">
        <v>82</v>
      </c>
    </row>
    <row r="2930" spans="15:20" x14ac:dyDescent="0.25">
      <c r="O2930">
        <v>1</v>
      </c>
      <c r="S2930" t="e">
        <v>#DIV/0!</v>
      </c>
      <c r="T2930" t="s">
        <v>82</v>
      </c>
    </row>
    <row r="2931" spans="15:20" x14ac:dyDescent="0.25">
      <c r="O2931">
        <v>1</v>
      </c>
      <c r="S2931" t="e">
        <v>#DIV/0!</v>
      </c>
      <c r="T2931" t="s">
        <v>82</v>
      </c>
    </row>
    <row r="2932" spans="15:20" x14ac:dyDescent="0.25">
      <c r="O2932">
        <v>1</v>
      </c>
      <c r="S2932" t="e">
        <v>#DIV/0!</v>
      </c>
      <c r="T2932" t="s">
        <v>82</v>
      </c>
    </row>
    <row r="2933" spans="15:20" x14ac:dyDescent="0.25">
      <c r="O2933">
        <v>1</v>
      </c>
      <c r="S2933" t="e">
        <v>#DIV/0!</v>
      </c>
      <c r="T2933" t="s">
        <v>82</v>
      </c>
    </row>
    <row r="2934" spans="15:20" x14ac:dyDescent="0.25">
      <c r="O2934">
        <v>1</v>
      </c>
      <c r="S2934" t="e">
        <v>#DIV/0!</v>
      </c>
      <c r="T2934" t="s">
        <v>82</v>
      </c>
    </row>
    <row r="2935" spans="15:20" x14ac:dyDescent="0.25">
      <c r="O2935">
        <v>1</v>
      </c>
      <c r="S2935" t="e">
        <v>#DIV/0!</v>
      </c>
      <c r="T2935" t="s">
        <v>82</v>
      </c>
    </row>
    <row r="2936" spans="15:20" x14ac:dyDescent="0.25">
      <c r="O2936">
        <v>1</v>
      </c>
      <c r="S2936" t="e">
        <v>#DIV/0!</v>
      </c>
      <c r="T2936" t="s">
        <v>82</v>
      </c>
    </row>
    <row r="2937" spans="15:20" x14ac:dyDescent="0.25">
      <c r="O2937">
        <v>1</v>
      </c>
      <c r="S2937" t="e">
        <v>#DIV/0!</v>
      </c>
      <c r="T2937" t="s">
        <v>82</v>
      </c>
    </row>
    <row r="2938" spans="15:20" x14ac:dyDescent="0.25">
      <c r="O2938">
        <v>1</v>
      </c>
      <c r="S2938" t="e">
        <v>#DIV/0!</v>
      </c>
      <c r="T2938" t="s">
        <v>82</v>
      </c>
    </row>
    <row r="2939" spans="15:20" x14ac:dyDescent="0.25">
      <c r="O2939">
        <v>1</v>
      </c>
      <c r="S2939" t="e">
        <v>#DIV/0!</v>
      </c>
      <c r="T2939" t="s">
        <v>82</v>
      </c>
    </row>
    <row r="2940" spans="15:20" x14ac:dyDescent="0.25">
      <c r="O2940">
        <v>1</v>
      </c>
      <c r="S2940" t="e">
        <v>#DIV/0!</v>
      </c>
      <c r="T2940" t="s">
        <v>82</v>
      </c>
    </row>
    <row r="2941" spans="15:20" x14ac:dyDescent="0.25">
      <c r="O2941">
        <v>1</v>
      </c>
      <c r="S2941" t="e">
        <v>#DIV/0!</v>
      </c>
      <c r="T2941" t="s">
        <v>82</v>
      </c>
    </row>
    <row r="2942" spans="15:20" x14ac:dyDescent="0.25">
      <c r="O2942">
        <v>1</v>
      </c>
      <c r="S2942" t="e">
        <v>#DIV/0!</v>
      </c>
      <c r="T2942" t="s">
        <v>82</v>
      </c>
    </row>
    <row r="2943" spans="15:20" x14ac:dyDescent="0.25">
      <c r="O2943">
        <v>1</v>
      </c>
      <c r="S2943" t="e">
        <v>#DIV/0!</v>
      </c>
      <c r="T2943" t="s">
        <v>82</v>
      </c>
    </row>
    <row r="2944" spans="15:20" x14ac:dyDescent="0.25">
      <c r="O2944">
        <v>1</v>
      </c>
      <c r="S2944" t="e">
        <v>#DIV/0!</v>
      </c>
      <c r="T2944" t="s">
        <v>82</v>
      </c>
    </row>
    <row r="2945" spans="15:20" x14ac:dyDescent="0.25">
      <c r="O2945">
        <v>1</v>
      </c>
      <c r="S2945" t="e">
        <v>#DIV/0!</v>
      </c>
      <c r="T2945" t="s">
        <v>82</v>
      </c>
    </row>
    <row r="2946" spans="15:20" x14ac:dyDescent="0.25">
      <c r="O2946">
        <v>1</v>
      </c>
      <c r="S2946" t="e">
        <v>#DIV/0!</v>
      </c>
      <c r="T2946" t="s">
        <v>82</v>
      </c>
    </row>
    <row r="2947" spans="15:20" x14ac:dyDescent="0.25">
      <c r="O2947">
        <v>1</v>
      </c>
      <c r="S2947" t="e">
        <v>#DIV/0!</v>
      </c>
      <c r="T2947" t="s">
        <v>82</v>
      </c>
    </row>
    <row r="2948" spans="15:20" x14ac:dyDescent="0.25">
      <c r="O2948">
        <v>1</v>
      </c>
      <c r="S2948" t="e">
        <v>#DIV/0!</v>
      </c>
      <c r="T2948" t="s">
        <v>82</v>
      </c>
    </row>
    <row r="2949" spans="15:20" x14ac:dyDescent="0.25">
      <c r="O2949">
        <v>1</v>
      </c>
      <c r="S2949" t="e">
        <v>#DIV/0!</v>
      </c>
      <c r="T2949" t="s">
        <v>82</v>
      </c>
    </row>
    <row r="2950" spans="15:20" x14ac:dyDescent="0.25">
      <c r="O2950">
        <v>1</v>
      </c>
      <c r="S2950" t="e">
        <v>#DIV/0!</v>
      </c>
      <c r="T2950" t="s">
        <v>82</v>
      </c>
    </row>
    <row r="2951" spans="15:20" x14ac:dyDescent="0.25">
      <c r="O2951">
        <v>1</v>
      </c>
      <c r="S2951" t="e">
        <v>#DIV/0!</v>
      </c>
      <c r="T2951" t="s">
        <v>82</v>
      </c>
    </row>
    <row r="2952" spans="15:20" x14ac:dyDescent="0.25">
      <c r="O2952">
        <v>1</v>
      </c>
      <c r="S2952" t="e">
        <v>#DIV/0!</v>
      </c>
      <c r="T2952" t="s">
        <v>82</v>
      </c>
    </row>
    <row r="2953" spans="15:20" x14ac:dyDescent="0.25">
      <c r="O2953">
        <v>1</v>
      </c>
      <c r="S2953" t="e">
        <v>#DIV/0!</v>
      </c>
      <c r="T2953" t="s">
        <v>82</v>
      </c>
    </row>
    <row r="2954" spans="15:20" x14ac:dyDescent="0.25">
      <c r="O2954">
        <v>1</v>
      </c>
      <c r="S2954" t="e">
        <v>#DIV/0!</v>
      </c>
      <c r="T2954" t="s">
        <v>82</v>
      </c>
    </row>
    <row r="2955" spans="15:20" x14ac:dyDescent="0.25">
      <c r="O2955">
        <v>1</v>
      </c>
      <c r="S2955" t="e">
        <v>#DIV/0!</v>
      </c>
      <c r="T2955" t="s">
        <v>82</v>
      </c>
    </row>
    <row r="2956" spans="15:20" x14ac:dyDescent="0.25">
      <c r="O2956">
        <v>1</v>
      </c>
      <c r="S2956" t="e">
        <v>#DIV/0!</v>
      </c>
      <c r="T2956" t="s">
        <v>82</v>
      </c>
    </row>
    <row r="2957" spans="15:20" x14ac:dyDescent="0.25">
      <c r="O2957">
        <v>1</v>
      </c>
      <c r="S2957" t="e">
        <v>#DIV/0!</v>
      </c>
      <c r="T2957" t="s">
        <v>82</v>
      </c>
    </row>
    <row r="2958" spans="15:20" x14ac:dyDescent="0.25">
      <c r="O2958">
        <v>1</v>
      </c>
      <c r="S2958" t="e">
        <v>#DIV/0!</v>
      </c>
      <c r="T2958" t="s">
        <v>82</v>
      </c>
    </row>
    <row r="2959" spans="15:20" x14ac:dyDescent="0.25">
      <c r="O2959">
        <v>1</v>
      </c>
      <c r="S2959" t="e">
        <v>#DIV/0!</v>
      </c>
      <c r="T2959" t="s">
        <v>82</v>
      </c>
    </row>
    <row r="2960" spans="15:20" x14ac:dyDescent="0.25">
      <c r="O2960">
        <v>1</v>
      </c>
      <c r="S2960" t="e">
        <v>#DIV/0!</v>
      </c>
      <c r="T2960" t="s">
        <v>82</v>
      </c>
    </row>
    <row r="2961" spans="15:20" x14ac:dyDescent="0.25">
      <c r="O2961">
        <v>1</v>
      </c>
      <c r="S2961" t="e">
        <v>#DIV/0!</v>
      </c>
      <c r="T2961" t="s">
        <v>82</v>
      </c>
    </row>
    <row r="2962" spans="15:20" x14ac:dyDescent="0.25">
      <c r="O2962">
        <v>1</v>
      </c>
      <c r="S2962" t="e">
        <v>#DIV/0!</v>
      </c>
      <c r="T2962" t="s">
        <v>82</v>
      </c>
    </row>
    <row r="2963" spans="15:20" x14ac:dyDescent="0.25">
      <c r="O2963">
        <v>1</v>
      </c>
      <c r="S2963" t="e">
        <v>#DIV/0!</v>
      </c>
      <c r="T2963" t="s">
        <v>82</v>
      </c>
    </row>
    <row r="2964" spans="15:20" x14ac:dyDescent="0.25">
      <c r="O2964">
        <v>1</v>
      </c>
      <c r="S2964" t="e">
        <v>#DIV/0!</v>
      </c>
      <c r="T2964" t="s">
        <v>82</v>
      </c>
    </row>
    <row r="2965" spans="15:20" x14ac:dyDescent="0.25">
      <c r="O2965">
        <v>1</v>
      </c>
      <c r="S2965" t="e">
        <v>#DIV/0!</v>
      </c>
      <c r="T2965" t="s">
        <v>82</v>
      </c>
    </row>
    <row r="2966" spans="15:20" x14ac:dyDescent="0.25">
      <c r="O2966">
        <v>1</v>
      </c>
      <c r="S2966" t="e">
        <v>#DIV/0!</v>
      </c>
      <c r="T2966" t="s">
        <v>82</v>
      </c>
    </row>
    <row r="2967" spans="15:20" x14ac:dyDescent="0.25">
      <c r="O2967">
        <v>1</v>
      </c>
      <c r="S2967" t="e">
        <v>#DIV/0!</v>
      </c>
      <c r="T2967" t="s">
        <v>82</v>
      </c>
    </row>
    <row r="2968" spans="15:20" x14ac:dyDescent="0.25">
      <c r="O2968">
        <v>1</v>
      </c>
      <c r="S2968" t="e">
        <v>#DIV/0!</v>
      </c>
      <c r="T2968" t="s">
        <v>82</v>
      </c>
    </row>
    <row r="2969" spans="15:20" x14ac:dyDescent="0.25">
      <c r="O2969">
        <v>1</v>
      </c>
      <c r="S2969" t="e">
        <v>#DIV/0!</v>
      </c>
      <c r="T2969" t="s">
        <v>82</v>
      </c>
    </row>
    <row r="2970" spans="15:20" x14ac:dyDescent="0.25">
      <c r="O2970">
        <v>1</v>
      </c>
      <c r="S2970" t="e">
        <v>#DIV/0!</v>
      </c>
      <c r="T2970" t="s">
        <v>82</v>
      </c>
    </row>
    <row r="2971" spans="15:20" x14ac:dyDescent="0.25">
      <c r="O2971">
        <v>1</v>
      </c>
      <c r="S2971" t="e">
        <v>#DIV/0!</v>
      </c>
      <c r="T2971" t="s">
        <v>82</v>
      </c>
    </row>
    <row r="2972" spans="15:20" x14ac:dyDescent="0.25">
      <c r="O2972">
        <v>1</v>
      </c>
      <c r="S2972" t="e">
        <v>#DIV/0!</v>
      </c>
      <c r="T2972" t="s">
        <v>82</v>
      </c>
    </row>
    <row r="2973" spans="15:20" x14ac:dyDescent="0.25">
      <c r="O2973">
        <v>1</v>
      </c>
      <c r="S2973" t="e">
        <v>#DIV/0!</v>
      </c>
      <c r="T2973" t="s">
        <v>82</v>
      </c>
    </row>
    <row r="2974" spans="15:20" x14ac:dyDescent="0.25">
      <c r="O2974">
        <v>1</v>
      </c>
      <c r="S2974" t="e">
        <v>#DIV/0!</v>
      </c>
      <c r="T2974" t="s">
        <v>82</v>
      </c>
    </row>
    <row r="2975" spans="15:20" x14ac:dyDescent="0.25">
      <c r="O2975">
        <v>1</v>
      </c>
      <c r="S2975" t="e">
        <v>#DIV/0!</v>
      </c>
      <c r="T2975" t="s">
        <v>82</v>
      </c>
    </row>
    <row r="2976" spans="15:20" x14ac:dyDescent="0.25">
      <c r="O2976">
        <v>1</v>
      </c>
      <c r="S2976" t="e">
        <v>#DIV/0!</v>
      </c>
      <c r="T2976" t="s">
        <v>82</v>
      </c>
    </row>
    <row r="2977" spans="15:20" x14ac:dyDescent="0.25">
      <c r="O2977">
        <v>1</v>
      </c>
      <c r="S2977" t="e">
        <v>#DIV/0!</v>
      </c>
      <c r="T2977" t="s">
        <v>82</v>
      </c>
    </row>
    <row r="2978" spans="15:20" x14ac:dyDescent="0.25">
      <c r="O2978">
        <v>1</v>
      </c>
      <c r="S2978" t="e">
        <v>#DIV/0!</v>
      </c>
      <c r="T2978" t="s">
        <v>82</v>
      </c>
    </row>
    <row r="2979" spans="15:20" x14ac:dyDescent="0.25">
      <c r="O2979">
        <v>1</v>
      </c>
      <c r="S2979" t="e">
        <v>#DIV/0!</v>
      </c>
      <c r="T2979" t="s">
        <v>82</v>
      </c>
    </row>
    <row r="2980" spans="15:20" x14ac:dyDescent="0.25">
      <c r="O2980">
        <v>1</v>
      </c>
      <c r="S2980" t="e">
        <v>#DIV/0!</v>
      </c>
      <c r="T2980" t="s">
        <v>82</v>
      </c>
    </row>
    <row r="2981" spans="15:20" x14ac:dyDescent="0.25">
      <c r="O2981">
        <v>1</v>
      </c>
      <c r="S2981" t="e">
        <v>#DIV/0!</v>
      </c>
      <c r="T2981" t="s">
        <v>82</v>
      </c>
    </row>
    <row r="2982" spans="15:20" x14ac:dyDescent="0.25">
      <c r="O2982">
        <v>1</v>
      </c>
      <c r="S2982" t="e">
        <v>#DIV/0!</v>
      </c>
      <c r="T2982" t="s">
        <v>82</v>
      </c>
    </row>
    <row r="2983" spans="15:20" x14ac:dyDescent="0.25">
      <c r="O2983">
        <v>1</v>
      </c>
      <c r="S2983" t="e">
        <v>#DIV/0!</v>
      </c>
      <c r="T2983" t="s">
        <v>82</v>
      </c>
    </row>
    <row r="2984" spans="15:20" x14ac:dyDescent="0.25">
      <c r="O2984">
        <v>1</v>
      </c>
      <c r="S2984" t="e">
        <v>#DIV/0!</v>
      </c>
      <c r="T2984" t="s">
        <v>82</v>
      </c>
    </row>
    <row r="2985" spans="15:20" x14ac:dyDescent="0.25">
      <c r="O2985">
        <v>1</v>
      </c>
      <c r="S2985" t="e">
        <v>#DIV/0!</v>
      </c>
      <c r="T2985" t="s">
        <v>82</v>
      </c>
    </row>
    <row r="2986" spans="15:20" x14ac:dyDescent="0.25">
      <c r="O2986">
        <v>1</v>
      </c>
      <c r="S2986" t="e">
        <v>#DIV/0!</v>
      </c>
      <c r="T2986" t="s">
        <v>82</v>
      </c>
    </row>
    <row r="2987" spans="15:20" x14ac:dyDescent="0.25">
      <c r="O2987">
        <v>1</v>
      </c>
      <c r="S2987" t="e">
        <v>#DIV/0!</v>
      </c>
      <c r="T2987" t="s">
        <v>82</v>
      </c>
    </row>
    <row r="2988" spans="15:20" x14ac:dyDescent="0.25">
      <c r="O2988">
        <v>1</v>
      </c>
      <c r="S2988" t="e">
        <v>#DIV/0!</v>
      </c>
      <c r="T2988" t="s">
        <v>82</v>
      </c>
    </row>
    <row r="2989" spans="15:20" x14ac:dyDescent="0.25">
      <c r="O2989">
        <v>1</v>
      </c>
      <c r="S2989" t="e">
        <v>#DIV/0!</v>
      </c>
      <c r="T2989" t="s">
        <v>82</v>
      </c>
    </row>
    <row r="2990" spans="15:20" x14ac:dyDescent="0.25">
      <c r="O2990">
        <v>1</v>
      </c>
      <c r="S2990" t="e">
        <v>#DIV/0!</v>
      </c>
      <c r="T2990" t="s">
        <v>82</v>
      </c>
    </row>
    <row r="2991" spans="15:20" x14ac:dyDescent="0.25">
      <c r="O2991">
        <v>1</v>
      </c>
      <c r="S2991" t="e">
        <v>#DIV/0!</v>
      </c>
      <c r="T2991" t="s">
        <v>82</v>
      </c>
    </row>
    <row r="2992" spans="15:20" x14ac:dyDescent="0.25">
      <c r="O2992">
        <v>1</v>
      </c>
      <c r="S2992" t="e">
        <v>#DIV/0!</v>
      </c>
      <c r="T2992" t="s">
        <v>82</v>
      </c>
    </row>
    <row r="2993" spans="15:20" x14ac:dyDescent="0.25">
      <c r="O2993">
        <v>1</v>
      </c>
      <c r="S2993" t="e">
        <v>#DIV/0!</v>
      </c>
      <c r="T2993" t="s">
        <v>82</v>
      </c>
    </row>
    <row r="2994" spans="15:20" x14ac:dyDescent="0.25">
      <c r="O2994">
        <v>1</v>
      </c>
      <c r="S2994" t="e">
        <v>#DIV/0!</v>
      </c>
      <c r="T2994" t="s">
        <v>82</v>
      </c>
    </row>
    <row r="2995" spans="15:20" x14ac:dyDescent="0.25">
      <c r="O2995">
        <v>1</v>
      </c>
      <c r="S2995" t="e">
        <v>#DIV/0!</v>
      </c>
      <c r="T2995" t="s">
        <v>82</v>
      </c>
    </row>
    <row r="2996" spans="15:20" x14ac:dyDescent="0.25">
      <c r="O2996">
        <v>1</v>
      </c>
      <c r="S2996" t="e">
        <v>#DIV/0!</v>
      </c>
      <c r="T2996" t="s">
        <v>82</v>
      </c>
    </row>
    <row r="2997" spans="15:20" x14ac:dyDescent="0.25">
      <c r="O2997">
        <v>1</v>
      </c>
      <c r="S2997" t="e">
        <v>#DIV/0!</v>
      </c>
      <c r="T2997" t="s">
        <v>82</v>
      </c>
    </row>
    <row r="2998" spans="15:20" x14ac:dyDescent="0.25">
      <c r="O2998">
        <v>1</v>
      </c>
      <c r="S2998" t="e">
        <v>#DIV/0!</v>
      </c>
      <c r="T2998" t="s">
        <v>82</v>
      </c>
    </row>
    <row r="2999" spans="15:20" x14ac:dyDescent="0.25">
      <c r="O2999">
        <v>1</v>
      </c>
      <c r="S2999" t="e">
        <v>#DIV/0!</v>
      </c>
      <c r="T2999" t="s">
        <v>82</v>
      </c>
    </row>
    <row r="3000" spans="15:20" x14ac:dyDescent="0.25">
      <c r="O3000">
        <v>1</v>
      </c>
      <c r="S3000" t="e">
        <v>#DIV/0!</v>
      </c>
      <c r="T3000" t="s">
        <v>82</v>
      </c>
    </row>
    <row r="3001" spans="15:20" x14ac:dyDescent="0.25">
      <c r="O3001">
        <v>1</v>
      </c>
      <c r="S3001" t="e">
        <v>#DIV/0!</v>
      </c>
      <c r="T3001" t="s">
        <v>82</v>
      </c>
    </row>
    <row r="3002" spans="15:20" x14ac:dyDescent="0.25">
      <c r="O3002">
        <v>1</v>
      </c>
      <c r="S3002" t="e">
        <v>#DIV/0!</v>
      </c>
      <c r="T3002" t="s">
        <v>82</v>
      </c>
    </row>
    <row r="3003" spans="15:20" x14ac:dyDescent="0.25">
      <c r="O3003">
        <v>1</v>
      </c>
      <c r="S3003" t="e">
        <v>#DIV/0!</v>
      </c>
      <c r="T3003" t="s">
        <v>82</v>
      </c>
    </row>
    <row r="3004" spans="15:20" x14ac:dyDescent="0.25">
      <c r="O3004">
        <v>1</v>
      </c>
      <c r="S3004" t="e">
        <v>#DIV/0!</v>
      </c>
      <c r="T3004" t="s">
        <v>82</v>
      </c>
    </row>
    <row r="3005" spans="15:20" x14ac:dyDescent="0.25">
      <c r="O3005">
        <v>1</v>
      </c>
      <c r="S3005" t="e">
        <v>#DIV/0!</v>
      </c>
      <c r="T3005" t="s">
        <v>82</v>
      </c>
    </row>
    <row r="3006" spans="15:20" x14ac:dyDescent="0.25">
      <c r="O3006">
        <v>1</v>
      </c>
      <c r="S3006" t="e">
        <v>#DIV/0!</v>
      </c>
      <c r="T3006" t="s">
        <v>82</v>
      </c>
    </row>
    <row r="3007" spans="15:20" x14ac:dyDescent="0.25">
      <c r="O3007">
        <v>1</v>
      </c>
      <c r="S3007" t="e">
        <v>#DIV/0!</v>
      </c>
      <c r="T3007" t="s">
        <v>82</v>
      </c>
    </row>
    <row r="3008" spans="15:20" x14ac:dyDescent="0.25">
      <c r="O3008">
        <v>1</v>
      </c>
      <c r="S3008" t="e">
        <v>#DIV/0!</v>
      </c>
      <c r="T3008" t="s">
        <v>82</v>
      </c>
    </row>
    <row r="3009" spans="15:20" x14ac:dyDescent="0.25">
      <c r="O3009">
        <v>1</v>
      </c>
      <c r="S3009" t="e">
        <v>#DIV/0!</v>
      </c>
      <c r="T3009" t="s">
        <v>82</v>
      </c>
    </row>
    <row r="3010" spans="15:20" x14ac:dyDescent="0.25">
      <c r="O3010">
        <v>1</v>
      </c>
      <c r="S3010" t="e">
        <v>#DIV/0!</v>
      </c>
      <c r="T3010" t="s">
        <v>82</v>
      </c>
    </row>
    <row r="3011" spans="15:20" x14ac:dyDescent="0.25">
      <c r="O3011">
        <v>1</v>
      </c>
      <c r="S3011" t="e">
        <v>#DIV/0!</v>
      </c>
      <c r="T3011" t="s">
        <v>82</v>
      </c>
    </row>
    <row r="3012" spans="15:20" x14ac:dyDescent="0.25">
      <c r="O3012">
        <v>1</v>
      </c>
      <c r="S3012" t="e">
        <v>#DIV/0!</v>
      </c>
      <c r="T3012" t="s">
        <v>82</v>
      </c>
    </row>
    <row r="3013" spans="15:20" x14ac:dyDescent="0.25">
      <c r="O3013">
        <v>1</v>
      </c>
      <c r="S3013" t="e">
        <v>#DIV/0!</v>
      </c>
      <c r="T3013" t="s">
        <v>82</v>
      </c>
    </row>
    <row r="3014" spans="15:20" x14ac:dyDescent="0.25">
      <c r="O3014">
        <v>1</v>
      </c>
      <c r="S3014" t="e">
        <v>#DIV/0!</v>
      </c>
      <c r="T3014" t="s">
        <v>82</v>
      </c>
    </row>
    <row r="3015" spans="15:20" x14ac:dyDescent="0.25">
      <c r="O3015">
        <v>1</v>
      </c>
      <c r="S3015" t="e">
        <v>#DIV/0!</v>
      </c>
      <c r="T3015" t="s">
        <v>82</v>
      </c>
    </row>
    <row r="3016" spans="15:20" x14ac:dyDescent="0.25">
      <c r="O3016">
        <v>1</v>
      </c>
      <c r="S3016" t="e">
        <v>#DIV/0!</v>
      </c>
      <c r="T3016" t="s">
        <v>82</v>
      </c>
    </row>
    <row r="3017" spans="15:20" x14ac:dyDescent="0.25">
      <c r="O3017">
        <v>1</v>
      </c>
      <c r="S3017" t="e">
        <v>#DIV/0!</v>
      </c>
      <c r="T3017" t="s">
        <v>82</v>
      </c>
    </row>
    <row r="3018" spans="15:20" x14ac:dyDescent="0.25">
      <c r="O3018">
        <v>1</v>
      </c>
      <c r="S3018" t="e">
        <v>#DIV/0!</v>
      </c>
      <c r="T3018" t="s">
        <v>82</v>
      </c>
    </row>
    <row r="3019" spans="15:20" x14ac:dyDescent="0.25">
      <c r="O3019">
        <v>1</v>
      </c>
      <c r="S3019" t="e">
        <v>#DIV/0!</v>
      </c>
      <c r="T3019" t="s">
        <v>82</v>
      </c>
    </row>
    <row r="3020" spans="15:20" x14ac:dyDescent="0.25">
      <c r="O3020">
        <v>1</v>
      </c>
      <c r="S3020" t="e">
        <v>#DIV/0!</v>
      </c>
      <c r="T3020" t="s">
        <v>82</v>
      </c>
    </row>
    <row r="3021" spans="15:20" x14ac:dyDescent="0.25">
      <c r="O3021">
        <v>1</v>
      </c>
      <c r="S3021" t="e">
        <v>#DIV/0!</v>
      </c>
      <c r="T3021" t="s">
        <v>82</v>
      </c>
    </row>
    <row r="3022" spans="15:20" x14ac:dyDescent="0.25">
      <c r="O3022">
        <v>1</v>
      </c>
      <c r="S3022" t="e">
        <v>#DIV/0!</v>
      </c>
      <c r="T3022" t="s">
        <v>82</v>
      </c>
    </row>
    <row r="3023" spans="15:20" x14ac:dyDescent="0.25">
      <c r="O3023">
        <v>1</v>
      </c>
      <c r="S3023" t="e">
        <v>#DIV/0!</v>
      </c>
      <c r="T3023" t="s">
        <v>82</v>
      </c>
    </row>
    <row r="3024" spans="15:20" x14ac:dyDescent="0.25">
      <c r="O3024">
        <v>1</v>
      </c>
      <c r="S3024" t="e">
        <v>#DIV/0!</v>
      </c>
      <c r="T3024" t="s">
        <v>82</v>
      </c>
    </row>
    <row r="3025" spans="15:20" x14ac:dyDescent="0.25">
      <c r="O3025">
        <v>1</v>
      </c>
      <c r="S3025" t="e">
        <v>#DIV/0!</v>
      </c>
      <c r="T3025" t="s">
        <v>82</v>
      </c>
    </row>
    <row r="3026" spans="15:20" x14ac:dyDescent="0.25">
      <c r="O3026">
        <v>1</v>
      </c>
      <c r="S3026" t="e">
        <v>#DIV/0!</v>
      </c>
      <c r="T3026" t="s">
        <v>82</v>
      </c>
    </row>
    <row r="3027" spans="15:20" x14ac:dyDescent="0.25">
      <c r="O3027">
        <v>1</v>
      </c>
      <c r="S3027" t="e">
        <v>#DIV/0!</v>
      </c>
      <c r="T3027" t="s">
        <v>82</v>
      </c>
    </row>
    <row r="3028" spans="15:20" x14ac:dyDescent="0.25">
      <c r="O3028">
        <v>1</v>
      </c>
      <c r="S3028" t="e">
        <v>#DIV/0!</v>
      </c>
      <c r="T3028" t="s">
        <v>82</v>
      </c>
    </row>
    <row r="3029" spans="15:20" x14ac:dyDescent="0.25">
      <c r="O3029">
        <v>1</v>
      </c>
      <c r="S3029" t="e">
        <v>#DIV/0!</v>
      </c>
      <c r="T3029" t="s">
        <v>82</v>
      </c>
    </row>
    <row r="3030" spans="15:20" x14ac:dyDescent="0.25">
      <c r="O3030">
        <v>1</v>
      </c>
      <c r="S3030" t="e">
        <v>#DIV/0!</v>
      </c>
      <c r="T3030" t="s">
        <v>82</v>
      </c>
    </row>
    <row r="3031" spans="15:20" x14ac:dyDescent="0.25">
      <c r="O3031">
        <v>1</v>
      </c>
      <c r="S3031" t="e">
        <v>#DIV/0!</v>
      </c>
      <c r="T3031" t="s">
        <v>82</v>
      </c>
    </row>
    <row r="3032" spans="15:20" x14ac:dyDescent="0.25">
      <c r="O3032">
        <v>1</v>
      </c>
      <c r="S3032" t="e">
        <v>#DIV/0!</v>
      </c>
      <c r="T3032" t="s">
        <v>82</v>
      </c>
    </row>
    <row r="3033" spans="15:20" x14ac:dyDescent="0.25">
      <c r="O3033">
        <v>1</v>
      </c>
      <c r="S3033" t="e">
        <v>#DIV/0!</v>
      </c>
      <c r="T3033" t="s">
        <v>82</v>
      </c>
    </row>
    <row r="3034" spans="15:20" x14ac:dyDescent="0.25">
      <c r="O3034">
        <v>1</v>
      </c>
      <c r="S3034" t="e">
        <v>#DIV/0!</v>
      </c>
      <c r="T3034" t="s">
        <v>82</v>
      </c>
    </row>
    <row r="3035" spans="15:20" x14ac:dyDescent="0.25">
      <c r="O3035">
        <v>1</v>
      </c>
      <c r="S3035" t="e">
        <v>#DIV/0!</v>
      </c>
      <c r="T3035" t="s">
        <v>82</v>
      </c>
    </row>
    <row r="3036" spans="15:20" x14ac:dyDescent="0.25">
      <c r="O3036">
        <v>1</v>
      </c>
      <c r="S3036" t="e">
        <v>#DIV/0!</v>
      </c>
      <c r="T3036" t="s">
        <v>82</v>
      </c>
    </row>
    <row r="3037" spans="15:20" x14ac:dyDescent="0.25">
      <c r="O3037">
        <v>1</v>
      </c>
      <c r="S3037" t="e">
        <v>#DIV/0!</v>
      </c>
      <c r="T3037" t="s">
        <v>82</v>
      </c>
    </row>
    <row r="3038" spans="15:20" x14ac:dyDescent="0.25">
      <c r="O3038">
        <v>1</v>
      </c>
      <c r="S3038" t="e">
        <v>#DIV/0!</v>
      </c>
      <c r="T3038" t="s">
        <v>82</v>
      </c>
    </row>
    <row r="3039" spans="15:20" x14ac:dyDescent="0.25">
      <c r="O3039">
        <v>1</v>
      </c>
      <c r="S3039" t="e">
        <v>#DIV/0!</v>
      </c>
      <c r="T3039" t="s">
        <v>82</v>
      </c>
    </row>
    <row r="3040" spans="15:20" x14ac:dyDescent="0.25">
      <c r="O3040">
        <v>1</v>
      </c>
      <c r="S3040" t="e">
        <v>#DIV/0!</v>
      </c>
      <c r="T3040" t="s">
        <v>82</v>
      </c>
    </row>
    <row r="3041" spans="15:20" x14ac:dyDescent="0.25">
      <c r="O3041">
        <v>1</v>
      </c>
      <c r="S3041" t="e">
        <v>#DIV/0!</v>
      </c>
      <c r="T3041" t="s">
        <v>82</v>
      </c>
    </row>
    <row r="3042" spans="15:20" x14ac:dyDescent="0.25">
      <c r="O3042">
        <v>1</v>
      </c>
      <c r="S3042" t="e">
        <v>#DIV/0!</v>
      </c>
      <c r="T3042" t="s">
        <v>82</v>
      </c>
    </row>
    <row r="3043" spans="15:20" x14ac:dyDescent="0.25">
      <c r="O3043">
        <v>1</v>
      </c>
      <c r="S3043" t="e">
        <v>#DIV/0!</v>
      </c>
      <c r="T3043" t="s">
        <v>82</v>
      </c>
    </row>
    <row r="3044" spans="15:20" x14ac:dyDescent="0.25">
      <c r="O3044">
        <v>1</v>
      </c>
      <c r="S3044" t="e">
        <v>#DIV/0!</v>
      </c>
      <c r="T3044" t="s">
        <v>82</v>
      </c>
    </row>
    <row r="3045" spans="15:20" x14ac:dyDescent="0.25">
      <c r="O3045">
        <v>1</v>
      </c>
      <c r="S3045" t="e">
        <v>#DIV/0!</v>
      </c>
      <c r="T3045" t="s">
        <v>82</v>
      </c>
    </row>
    <row r="3046" spans="15:20" x14ac:dyDescent="0.25">
      <c r="O3046">
        <v>1</v>
      </c>
      <c r="S3046" t="e">
        <v>#DIV/0!</v>
      </c>
      <c r="T3046" t="s">
        <v>82</v>
      </c>
    </row>
    <row r="3047" spans="15:20" x14ac:dyDescent="0.25">
      <c r="O3047">
        <v>1</v>
      </c>
      <c r="S3047" t="e">
        <v>#DIV/0!</v>
      </c>
      <c r="T3047" t="s">
        <v>82</v>
      </c>
    </row>
    <row r="3048" spans="15:20" x14ac:dyDescent="0.25">
      <c r="O3048">
        <v>1</v>
      </c>
      <c r="S3048" t="e">
        <v>#DIV/0!</v>
      </c>
      <c r="T3048" t="s">
        <v>82</v>
      </c>
    </row>
    <row r="3049" spans="15:20" x14ac:dyDescent="0.25">
      <c r="O3049">
        <v>1</v>
      </c>
      <c r="S3049" t="e">
        <v>#DIV/0!</v>
      </c>
      <c r="T3049" t="s">
        <v>82</v>
      </c>
    </row>
    <row r="3050" spans="15:20" x14ac:dyDescent="0.25">
      <c r="O3050">
        <v>1</v>
      </c>
      <c r="S3050" t="e">
        <v>#DIV/0!</v>
      </c>
      <c r="T3050" t="s">
        <v>82</v>
      </c>
    </row>
    <row r="3051" spans="15:20" x14ac:dyDescent="0.25">
      <c r="O3051">
        <v>1</v>
      </c>
      <c r="S3051" t="e">
        <v>#DIV/0!</v>
      </c>
      <c r="T3051" t="s">
        <v>82</v>
      </c>
    </row>
    <row r="3052" spans="15:20" x14ac:dyDescent="0.25">
      <c r="O3052">
        <v>1</v>
      </c>
      <c r="S3052" t="e">
        <v>#DIV/0!</v>
      </c>
      <c r="T3052" t="s">
        <v>82</v>
      </c>
    </row>
    <row r="3053" spans="15:20" x14ac:dyDescent="0.25">
      <c r="O3053">
        <v>1</v>
      </c>
      <c r="S3053" t="e">
        <v>#DIV/0!</v>
      </c>
      <c r="T3053" t="s">
        <v>82</v>
      </c>
    </row>
    <row r="3054" spans="15:20" x14ac:dyDescent="0.25">
      <c r="O3054">
        <v>1</v>
      </c>
      <c r="S3054" t="e">
        <v>#DIV/0!</v>
      </c>
      <c r="T3054" t="s">
        <v>82</v>
      </c>
    </row>
    <row r="3055" spans="15:20" x14ac:dyDescent="0.25">
      <c r="O3055">
        <v>1</v>
      </c>
      <c r="S3055" t="e">
        <v>#DIV/0!</v>
      </c>
      <c r="T3055" t="s">
        <v>82</v>
      </c>
    </row>
    <row r="3056" spans="15:20" x14ac:dyDescent="0.25">
      <c r="O3056">
        <v>1</v>
      </c>
      <c r="S3056" t="e">
        <v>#DIV/0!</v>
      </c>
      <c r="T3056" t="s">
        <v>82</v>
      </c>
    </row>
    <row r="3057" spans="15:20" x14ac:dyDescent="0.25">
      <c r="O3057">
        <v>1</v>
      </c>
      <c r="S3057" t="e">
        <v>#DIV/0!</v>
      </c>
      <c r="T3057" t="s">
        <v>82</v>
      </c>
    </row>
    <row r="3058" spans="15:20" x14ac:dyDescent="0.25">
      <c r="O3058">
        <v>1</v>
      </c>
      <c r="S3058" t="e">
        <v>#DIV/0!</v>
      </c>
      <c r="T3058" t="s">
        <v>82</v>
      </c>
    </row>
    <row r="3059" spans="15:20" x14ac:dyDescent="0.25">
      <c r="O3059">
        <v>1</v>
      </c>
      <c r="S3059" t="e">
        <v>#DIV/0!</v>
      </c>
      <c r="T3059" t="s">
        <v>82</v>
      </c>
    </row>
    <row r="3060" spans="15:20" x14ac:dyDescent="0.25">
      <c r="O3060">
        <v>1</v>
      </c>
      <c r="S3060" t="e">
        <v>#DIV/0!</v>
      </c>
      <c r="T3060" t="s">
        <v>82</v>
      </c>
    </row>
    <row r="3061" spans="15:20" x14ac:dyDescent="0.25">
      <c r="O3061">
        <v>1</v>
      </c>
      <c r="S3061" t="e">
        <v>#DIV/0!</v>
      </c>
      <c r="T3061" t="s">
        <v>82</v>
      </c>
    </row>
    <row r="3062" spans="15:20" x14ac:dyDescent="0.25">
      <c r="O3062">
        <v>1</v>
      </c>
      <c r="S3062" t="e">
        <v>#DIV/0!</v>
      </c>
      <c r="T3062" t="s">
        <v>82</v>
      </c>
    </row>
    <row r="3063" spans="15:20" x14ac:dyDescent="0.25">
      <c r="O3063">
        <v>1</v>
      </c>
      <c r="S3063" t="e">
        <v>#DIV/0!</v>
      </c>
      <c r="T3063" t="s">
        <v>82</v>
      </c>
    </row>
    <row r="3064" spans="15:20" x14ac:dyDescent="0.25">
      <c r="O3064">
        <v>1</v>
      </c>
      <c r="S3064" t="e">
        <v>#DIV/0!</v>
      </c>
      <c r="T3064" t="s">
        <v>82</v>
      </c>
    </row>
    <row r="3065" spans="15:20" x14ac:dyDescent="0.25">
      <c r="O3065">
        <v>1</v>
      </c>
      <c r="S3065" t="e">
        <v>#DIV/0!</v>
      </c>
      <c r="T3065" t="s">
        <v>82</v>
      </c>
    </row>
    <row r="3066" spans="15:20" x14ac:dyDescent="0.25">
      <c r="O3066">
        <v>1</v>
      </c>
      <c r="S3066" t="e">
        <v>#DIV/0!</v>
      </c>
      <c r="T3066" t="s">
        <v>82</v>
      </c>
    </row>
    <row r="3067" spans="15:20" x14ac:dyDescent="0.25">
      <c r="O3067">
        <v>1</v>
      </c>
      <c r="S3067" t="e">
        <v>#DIV/0!</v>
      </c>
      <c r="T3067" t="s">
        <v>82</v>
      </c>
    </row>
    <row r="3068" spans="15:20" x14ac:dyDescent="0.25">
      <c r="O3068">
        <v>1</v>
      </c>
      <c r="S3068" t="e">
        <v>#DIV/0!</v>
      </c>
      <c r="T3068" t="s">
        <v>82</v>
      </c>
    </row>
    <row r="3069" spans="15:20" x14ac:dyDescent="0.25">
      <c r="O3069">
        <v>1</v>
      </c>
      <c r="S3069" t="e">
        <v>#DIV/0!</v>
      </c>
      <c r="T3069" t="s">
        <v>82</v>
      </c>
    </row>
    <row r="3070" spans="15:20" x14ac:dyDescent="0.25">
      <c r="O3070">
        <v>1</v>
      </c>
      <c r="S3070" t="e">
        <v>#DIV/0!</v>
      </c>
      <c r="T3070" t="s">
        <v>82</v>
      </c>
    </row>
    <row r="3071" spans="15:20" x14ac:dyDescent="0.25">
      <c r="O3071">
        <v>1</v>
      </c>
      <c r="S3071" t="e">
        <v>#DIV/0!</v>
      </c>
      <c r="T3071" t="s">
        <v>82</v>
      </c>
    </row>
    <row r="3072" spans="15:20" x14ac:dyDescent="0.25">
      <c r="O3072">
        <v>1</v>
      </c>
      <c r="S3072" t="e">
        <v>#DIV/0!</v>
      </c>
      <c r="T3072" t="s">
        <v>82</v>
      </c>
    </row>
    <row r="3073" spans="15:20" x14ac:dyDescent="0.25">
      <c r="O3073">
        <v>1</v>
      </c>
      <c r="S3073" t="e">
        <v>#DIV/0!</v>
      </c>
      <c r="T3073" t="s">
        <v>82</v>
      </c>
    </row>
    <row r="3074" spans="15:20" x14ac:dyDescent="0.25">
      <c r="O3074">
        <v>1</v>
      </c>
      <c r="S3074" t="e">
        <v>#DIV/0!</v>
      </c>
      <c r="T3074" t="s">
        <v>82</v>
      </c>
    </row>
    <row r="3075" spans="15:20" x14ac:dyDescent="0.25">
      <c r="O3075">
        <v>1</v>
      </c>
      <c r="S3075" t="e">
        <v>#DIV/0!</v>
      </c>
      <c r="T3075" t="s">
        <v>82</v>
      </c>
    </row>
    <row r="3076" spans="15:20" x14ac:dyDescent="0.25">
      <c r="O3076">
        <v>1</v>
      </c>
      <c r="S3076" t="e">
        <v>#DIV/0!</v>
      </c>
      <c r="T3076" t="s">
        <v>82</v>
      </c>
    </row>
    <row r="3077" spans="15:20" x14ac:dyDescent="0.25">
      <c r="O3077">
        <v>1</v>
      </c>
      <c r="S3077" t="e">
        <v>#DIV/0!</v>
      </c>
      <c r="T3077" t="s">
        <v>82</v>
      </c>
    </row>
    <row r="3078" spans="15:20" x14ac:dyDescent="0.25">
      <c r="O3078">
        <v>1</v>
      </c>
      <c r="S3078" t="e">
        <v>#DIV/0!</v>
      </c>
      <c r="T3078" t="s">
        <v>82</v>
      </c>
    </row>
    <row r="3079" spans="15:20" x14ac:dyDescent="0.25">
      <c r="O3079">
        <v>1</v>
      </c>
      <c r="S3079" t="e">
        <v>#DIV/0!</v>
      </c>
      <c r="T3079" t="s">
        <v>82</v>
      </c>
    </row>
    <row r="3080" spans="15:20" x14ac:dyDescent="0.25">
      <c r="O3080">
        <v>1</v>
      </c>
      <c r="S3080" t="e">
        <v>#DIV/0!</v>
      </c>
      <c r="T3080" t="s">
        <v>82</v>
      </c>
    </row>
    <row r="3081" spans="15:20" x14ac:dyDescent="0.25">
      <c r="O3081">
        <v>1</v>
      </c>
      <c r="S3081" t="e">
        <v>#DIV/0!</v>
      </c>
      <c r="T3081" t="s">
        <v>82</v>
      </c>
    </row>
    <row r="3082" spans="15:20" x14ac:dyDescent="0.25">
      <c r="O3082">
        <v>1</v>
      </c>
      <c r="S3082" t="e">
        <v>#DIV/0!</v>
      </c>
      <c r="T3082" t="s">
        <v>82</v>
      </c>
    </row>
    <row r="3083" spans="15:20" x14ac:dyDescent="0.25">
      <c r="O3083">
        <v>1</v>
      </c>
      <c r="S3083" t="e">
        <v>#DIV/0!</v>
      </c>
      <c r="T3083" t="s">
        <v>82</v>
      </c>
    </row>
    <row r="3084" spans="15:20" x14ac:dyDescent="0.25">
      <c r="O3084">
        <v>1</v>
      </c>
      <c r="S3084" t="e">
        <v>#DIV/0!</v>
      </c>
      <c r="T3084" t="s">
        <v>82</v>
      </c>
    </row>
    <row r="3085" spans="15:20" x14ac:dyDescent="0.25">
      <c r="O3085">
        <v>1</v>
      </c>
      <c r="S3085" t="e">
        <v>#DIV/0!</v>
      </c>
      <c r="T3085" t="s">
        <v>82</v>
      </c>
    </row>
    <row r="3086" spans="15:20" x14ac:dyDescent="0.25">
      <c r="O3086">
        <v>1</v>
      </c>
      <c r="S3086" t="e">
        <v>#DIV/0!</v>
      </c>
      <c r="T3086" t="s">
        <v>82</v>
      </c>
    </row>
    <row r="3087" spans="15:20" x14ac:dyDescent="0.25">
      <c r="O3087">
        <v>1</v>
      </c>
      <c r="S3087" t="e">
        <v>#DIV/0!</v>
      </c>
      <c r="T3087" t="s">
        <v>82</v>
      </c>
    </row>
    <row r="3088" spans="15:20" x14ac:dyDescent="0.25">
      <c r="O3088">
        <v>1</v>
      </c>
      <c r="S3088" t="e">
        <v>#DIV/0!</v>
      </c>
      <c r="T3088" t="s">
        <v>82</v>
      </c>
    </row>
    <row r="3089" spans="15:20" x14ac:dyDescent="0.25">
      <c r="O3089">
        <v>1</v>
      </c>
      <c r="S3089" t="e">
        <v>#DIV/0!</v>
      </c>
      <c r="T3089" t="s">
        <v>82</v>
      </c>
    </row>
    <row r="3090" spans="15:20" x14ac:dyDescent="0.25">
      <c r="O3090">
        <v>1</v>
      </c>
      <c r="S3090" t="e">
        <v>#DIV/0!</v>
      </c>
      <c r="T3090" t="s">
        <v>82</v>
      </c>
    </row>
    <row r="3091" spans="15:20" x14ac:dyDescent="0.25">
      <c r="O3091">
        <v>1</v>
      </c>
      <c r="S3091" t="e">
        <v>#DIV/0!</v>
      </c>
      <c r="T3091" t="s">
        <v>82</v>
      </c>
    </row>
    <row r="3092" spans="15:20" x14ac:dyDescent="0.25">
      <c r="O3092">
        <v>1</v>
      </c>
      <c r="S3092" t="e">
        <v>#DIV/0!</v>
      </c>
      <c r="T3092" t="s">
        <v>82</v>
      </c>
    </row>
    <row r="3093" spans="15:20" x14ac:dyDescent="0.25">
      <c r="O3093">
        <v>1</v>
      </c>
      <c r="S3093" t="e">
        <v>#DIV/0!</v>
      </c>
      <c r="T3093" t="s">
        <v>82</v>
      </c>
    </row>
    <row r="3094" spans="15:20" x14ac:dyDescent="0.25">
      <c r="O3094">
        <v>1</v>
      </c>
      <c r="S3094" t="e">
        <v>#DIV/0!</v>
      </c>
      <c r="T3094" t="s">
        <v>82</v>
      </c>
    </row>
    <row r="3095" spans="15:20" x14ac:dyDescent="0.25">
      <c r="O3095">
        <v>1</v>
      </c>
      <c r="S3095" t="e">
        <v>#DIV/0!</v>
      </c>
      <c r="T3095" t="s">
        <v>82</v>
      </c>
    </row>
    <row r="3096" spans="15:20" x14ac:dyDescent="0.25">
      <c r="O3096">
        <v>1</v>
      </c>
      <c r="S3096" t="e">
        <v>#DIV/0!</v>
      </c>
      <c r="T3096" t="s">
        <v>82</v>
      </c>
    </row>
    <row r="3097" spans="15:20" x14ac:dyDescent="0.25">
      <c r="O3097">
        <v>1</v>
      </c>
      <c r="S3097" t="e">
        <v>#DIV/0!</v>
      </c>
      <c r="T3097" t="s">
        <v>82</v>
      </c>
    </row>
    <row r="3098" spans="15:20" x14ac:dyDescent="0.25">
      <c r="O3098">
        <v>1</v>
      </c>
      <c r="S3098" t="e">
        <v>#DIV/0!</v>
      </c>
      <c r="T3098" t="s">
        <v>82</v>
      </c>
    </row>
    <row r="3099" spans="15:20" x14ac:dyDescent="0.25">
      <c r="O3099">
        <v>1</v>
      </c>
      <c r="S3099" t="e">
        <v>#DIV/0!</v>
      </c>
      <c r="T3099" t="s">
        <v>82</v>
      </c>
    </row>
    <row r="3100" spans="15:20" x14ac:dyDescent="0.25">
      <c r="O3100">
        <v>1</v>
      </c>
      <c r="S3100" t="e">
        <v>#DIV/0!</v>
      </c>
      <c r="T3100" t="s">
        <v>82</v>
      </c>
    </row>
    <row r="3101" spans="15:20" x14ac:dyDescent="0.25">
      <c r="O3101">
        <v>1</v>
      </c>
      <c r="S3101" t="e">
        <v>#DIV/0!</v>
      </c>
      <c r="T3101" t="s">
        <v>82</v>
      </c>
    </row>
    <row r="3102" spans="15:20" x14ac:dyDescent="0.25">
      <c r="O3102">
        <v>1</v>
      </c>
      <c r="S3102" t="e">
        <v>#DIV/0!</v>
      </c>
      <c r="T3102" t="s">
        <v>82</v>
      </c>
    </row>
    <row r="3103" spans="15:20" x14ac:dyDescent="0.25">
      <c r="O3103">
        <v>1</v>
      </c>
      <c r="S3103" t="e">
        <v>#DIV/0!</v>
      </c>
      <c r="T3103" t="s">
        <v>82</v>
      </c>
    </row>
    <row r="3104" spans="15:20" x14ac:dyDescent="0.25">
      <c r="O3104">
        <v>1</v>
      </c>
      <c r="S3104" t="e">
        <v>#DIV/0!</v>
      </c>
      <c r="T3104" t="s">
        <v>82</v>
      </c>
    </row>
    <row r="3105" spans="15:20" x14ac:dyDescent="0.25">
      <c r="O3105">
        <v>1</v>
      </c>
      <c r="S3105" t="e">
        <v>#DIV/0!</v>
      </c>
      <c r="T3105" t="s">
        <v>82</v>
      </c>
    </row>
    <row r="3106" spans="15:20" x14ac:dyDescent="0.25">
      <c r="O3106">
        <v>1</v>
      </c>
      <c r="S3106" t="e">
        <v>#DIV/0!</v>
      </c>
      <c r="T3106" t="s">
        <v>82</v>
      </c>
    </row>
    <row r="3107" spans="15:20" x14ac:dyDescent="0.25">
      <c r="O3107">
        <v>1</v>
      </c>
      <c r="S3107" t="e">
        <v>#DIV/0!</v>
      </c>
      <c r="T3107" t="s">
        <v>82</v>
      </c>
    </row>
    <row r="3108" spans="15:20" x14ac:dyDescent="0.25">
      <c r="O3108">
        <v>1</v>
      </c>
      <c r="S3108" t="e">
        <v>#DIV/0!</v>
      </c>
      <c r="T3108" t="s">
        <v>82</v>
      </c>
    </row>
    <row r="3109" spans="15:20" x14ac:dyDescent="0.25">
      <c r="O3109">
        <v>1</v>
      </c>
      <c r="S3109" t="e">
        <v>#DIV/0!</v>
      </c>
      <c r="T3109" t="s">
        <v>82</v>
      </c>
    </row>
    <row r="3110" spans="15:20" x14ac:dyDescent="0.25">
      <c r="O3110">
        <v>1</v>
      </c>
      <c r="S3110" t="e">
        <v>#DIV/0!</v>
      </c>
      <c r="T3110" t="s">
        <v>82</v>
      </c>
    </row>
    <row r="3111" spans="15:20" x14ac:dyDescent="0.25">
      <c r="O3111">
        <v>1</v>
      </c>
      <c r="S3111" t="e">
        <v>#DIV/0!</v>
      </c>
      <c r="T3111" t="s">
        <v>82</v>
      </c>
    </row>
    <row r="3112" spans="15:20" x14ac:dyDescent="0.25">
      <c r="O3112">
        <v>1</v>
      </c>
      <c r="S3112" t="e">
        <v>#DIV/0!</v>
      </c>
      <c r="T3112" t="s">
        <v>82</v>
      </c>
    </row>
    <row r="3113" spans="15:20" x14ac:dyDescent="0.25">
      <c r="O3113">
        <v>1</v>
      </c>
      <c r="S3113" t="e">
        <v>#DIV/0!</v>
      </c>
      <c r="T3113" t="s">
        <v>82</v>
      </c>
    </row>
    <row r="3114" spans="15:20" x14ac:dyDescent="0.25">
      <c r="O3114">
        <v>1</v>
      </c>
      <c r="S3114" t="e">
        <v>#DIV/0!</v>
      </c>
      <c r="T3114" t="s">
        <v>82</v>
      </c>
    </row>
    <row r="3115" spans="15:20" x14ac:dyDescent="0.25">
      <c r="O3115">
        <v>1</v>
      </c>
      <c r="S3115" t="e">
        <v>#DIV/0!</v>
      </c>
      <c r="T3115" t="s">
        <v>82</v>
      </c>
    </row>
    <row r="3116" spans="15:20" x14ac:dyDescent="0.25">
      <c r="O3116">
        <v>1</v>
      </c>
      <c r="S3116" t="e">
        <v>#DIV/0!</v>
      </c>
      <c r="T3116" t="s">
        <v>82</v>
      </c>
    </row>
    <row r="3117" spans="15:20" x14ac:dyDescent="0.25">
      <c r="O3117">
        <v>1</v>
      </c>
      <c r="S3117" t="e">
        <v>#DIV/0!</v>
      </c>
      <c r="T3117" t="s">
        <v>82</v>
      </c>
    </row>
    <row r="3118" spans="15:20" x14ac:dyDescent="0.25">
      <c r="O3118">
        <v>1</v>
      </c>
      <c r="S3118" t="e">
        <v>#DIV/0!</v>
      </c>
      <c r="T3118" t="s">
        <v>82</v>
      </c>
    </row>
    <row r="3119" spans="15:20" x14ac:dyDescent="0.25">
      <c r="O3119">
        <v>1</v>
      </c>
      <c r="S3119" t="e">
        <v>#DIV/0!</v>
      </c>
      <c r="T3119" t="s">
        <v>82</v>
      </c>
    </row>
    <row r="3120" spans="15:20" x14ac:dyDescent="0.25">
      <c r="O3120">
        <v>1</v>
      </c>
      <c r="S3120" t="e">
        <v>#DIV/0!</v>
      </c>
      <c r="T3120" t="s">
        <v>82</v>
      </c>
    </row>
    <row r="3121" spans="15:20" x14ac:dyDescent="0.25">
      <c r="O3121">
        <v>1</v>
      </c>
      <c r="S3121" t="e">
        <v>#DIV/0!</v>
      </c>
      <c r="T3121" t="s">
        <v>82</v>
      </c>
    </row>
    <row r="3122" spans="15:20" x14ac:dyDescent="0.25">
      <c r="O3122">
        <v>1</v>
      </c>
      <c r="S3122" t="e">
        <v>#DIV/0!</v>
      </c>
      <c r="T3122" t="s">
        <v>82</v>
      </c>
    </row>
    <row r="3123" spans="15:20" x14ac:dyDescent="0.25">
      <c r="O3123">
        <v>1</v>
      </c>
      <c r="S3123" t="e">
        <v>#DIV/0!</v>
      </c>
      <c r="T3123" t="s">
        <v>82</v>
      </c>
    </row>
    <row r="3124" spans="15:20" x14ac:dyDescent="0.25">
      <c r="O3124">
        <v>1</v>
      </c>
      <c r="S3124" t="e">
        <v>#DIV/0!</v>
      </c>
      <c r="T3124" t="s">
        <v>82</v>
      </c>
    </row>
    <row r="3125" spans="15:20" x14ac:dyDescent="0.25">
      <c r="O3125">
        <v>1</v>
      </c>
      <c r="S3125" t="e">
        <v>#DIV/0!</v>
      </c>
      <c r="T3125" t="s">
        <v>82</v>
      </c>
    </row>
    <row r="3126" spans="15:20" x14ac:dyDescent="0.25">
      <c r="O3126">
        <v>1</v>
      </c>
      <c r="S3126" t="e">
        <v>#DIV/0!</v>
      </c>
      <c r="T3126" t="s">
        <v>82</v>
      </c>
    </row>
    <row r="3127" spans="15:20" x14ac:dyDescent="0.25">
      <c r="O3127">
        <v>1</v>
      </c>
      <c r="S3127" t="e">
        <v>#DIV/0!</v>
      </c>
      <c r="T3127" t="s">
        <v>82</v>
      </c>
    </row>
    <row r="3128" spans="15:20" x14ac:dyDescent="0.25">
      <c r="O3128">
        <v>1</v>
      </c>
      <c r="S3128" t="e">
        <v>#DIV/0!</v>
      </c>
      <c r="T3128" t="s">
        <v>82</v>
      </c>
    </row>
    <row r="3129" spans="15:20" x14ac:dyDescent="0.25">
      <c r="O3129">
        <v>1</v>
      </c>
      <c r="S3129" t="e">
        <v>#DIV/0!</v>
      </c>
      <c r="T3129" t="s">
        <v>82</v>
      </c>
    </row>
    <row r="3130" spans="15:20" x14ac:dyDescent="0.25">
      <c r="O3130">
        <v>1</v>
      </c>
      <c r="S3130" t="e">
        <v>#DIV/0!</v>
      </c>
      <c r="T3130" t="s">
        <v>82</v>
      </c>
    </row>
    <row r="3131" spans="15:20" x14ac:dyDescent="0.25">
      <c r="O3131">
        <v>1</v>
      </c>
      <c r="S3131" t="e">
        <v>#DIV/0!</v>
      </c>
      <c r="T3131" t="s">
        <v>82</v>
      </c>
    </row>
    <row r="3132" spans="15:20" x14ac:dyDescent="0.25">
      <c r="O3132">
        <v>1</v>
      </c>
      <c r="S3132" t="e">
        <v>#DIV/0!</v>
      </c>
      <c r="T3132" t="s">
        <v>82</v>
      </c>
    </row>
    <row r="3133" spans="15:20" x14ac:dyDescent="0.25">
      <c r="O3133">
        <v>1</v>
      </c>
      <c r="S3133" t="e">
        <v>#DIV/0!</v>
      </c>
      <c r="T3133" t="s">
        <v>82</v>
      </c>
    </row>
    <row r="3134" spans="15:20" x14ac:dyDescent="0.25">
      <c r="O3134">
        <v>1</v>
      </c>
      <c r="S3134" t="e">
        <v>#DIV/0!</v>
      </c>
      <c r="T3134" t="s">
        <v>82</v>
      </c>
    </row>
    <row r="3135" spans="15:20" x14ac:dyDescent="0.25">
      <c r="O3135">
        <v>1</v>
      </c>
      <c r="S3135" t="e">
        <v>#DIV/0!</v>
      </c>
      <c r="T3135" t="s">
        <v>82</v>
      </c>
    </row>
    <row r="3136" spans="15:20" x14ac:dyDescent="0.25">
      <c r="O3136">
        <v>1</v>
      </c>
      <c r="S3136" t="e">
        <v>#DIV/0!</v>
      </c>
      <c r="T3136" t="s">
        <v>82</v>
      </c>
    </row>
    <row r="3137" spans="15:20" x14ac:dyDescent="0.25">
      <c r="O3137">
        <v>1</v>
      </c>
      <c r="S3137" t="e">
        <v>#DIV/0!</v>
      </c>
      <c r="T3137" t="s">
        <v>82</v>
      </c>
    </row>
    <row r="3138" spans="15:20" x14ac:dyDescent="0.25">
      <c r="O3138">
        <v>1</v>
      </c>
      <c r="S3138" t="e">
        <v>#DIV/0!</v>
      </c>
      <c r="T3138" t="s">
        <v>82</v>
      </c>
    </row>
    <row r="3139" spans="15:20" x14ac:dyDescent="0.25">
      <c r="O3139">
        <v>1</v>
      </c>
      <c r="S3139" t="e">
        <v>#DIV/0!</v>
      </c>
      <c r="T3139" t="s">
        <v>82</v>
      </c>
    </row>
    <row r="3140" spans="15:20" x14ac:dyDescent="0.25">
      <c r="O3140">
        <v>1</v>
      </c>
      <c r="S3140" t="e">
        <v>#DIV/0!</v>
      </c>
      <c r="T3140" t="s">
        <v>82</v>
      </c>
    </row>
    <row r="3141" spans="15:20" x14ac:dyDescent="0.25">
      <c r="O3141">
        <v>1</v>
      </c>
      <c r="S3141" t="e">
        <v>#DIV/0!</v>
      </c>
      <c r="T3141" t="s">
        <v>82</v>
      </c>
    </row>
    <row r="3142" spans="15:20" x14ac:dyDescent="0.25">
      <c r="O3142">
        <v>1</v>
      </c>
      <c r="S3142" t="e">
        <v>#DIV/0!</v>
      </c>
      <c r="T3142" t="s">
        <v>82</v>
      </c>
    </row>
    <row r="3143" spans="15:20" x14ac:dyDescent="0.25">
      <c r="O3143">
        <v>1</v>
      </c>
      <c r="S3143" t="e">
        <v>#DIV/0!</v>
      </c>
      <c r="T3143" t="s">
        <v>82</v>
      </c>
    </row>
    <row r="3144" spans="15:20" x14ac:dyDescent="0.25">
      <c r="O3144">
        <v>1</v>
      </c>
      <c r="S3144" t="e">
        <v>#DIV/0!</v>
      </c>
      <c r="T3144" t="s">
        <v>82</v>
      </c>
    </row>
    <row r="3145" spans="15:20" x14ac:dyDescent="0.25">
      <c r="O3145">
        <v>1</v>
      </c>
      <c r="S3145" t="e">
        <v>#DIV/0!</v>
      </c>
      <c r="T3145" t="s">
        <v>82</v>
      </c>
    </row>
    <row r="3146" spans="15:20" x14ac:dyDescent="0.25">
      <c r="O3146">
        <v>1</v>
      </c>
      <c r="S3146" t="e">
        <v>#DIV/0!</v>
      </c>
      <c r="T3146" t="s">
        <v>82</v>
      </c>
    </row>
    <row r="3147" spans="15:20" x14ac:dyDescent="0.25">
      <c r="O3147">
        <v>1</v>
      </c>
      <c r="S3147" t="e">
        <v>#DIV/0!</v>
      </c>
      <c r="T3147" t="s">
        <v>82</v>
      </c>
    </row>
    <row r="3148" spans="15:20" x14ac:dyDescent="0.25">
      <c r="O3148">
        <v>1</v>
      </c>
      <c r="S3148" t="e">
        <v>#DIV/0!</v>
      </c>
      <c r="T3148" t="s">
        <v>82</v>
      </c>
    </row>
    <row r="3149" spans="15:20" x14ac:dyDescent="0.25">
      <c r="O3149">
        <v>1</v>
      </c>
      <c r="S3149" t="e">
        <v>#DIV/0!</v>
      </c>
      <c r="T3149" t="s">
        <v>82</v>
      </c>
    </row>
    <row r="3150" spans="15:20" x14ac:dyDescent="0.25">
      <c r="O3150">
        <v>1</v>
      </c>
      <c r="S3150" t="e">
        <v>#DIV/0!</v>
      </c>
      <c r="T3150" t="s">
        <v>82</v>
      </c>
    </row>
    <row r="3151" spans="15:20" x14ac:dyDescent="0.25">
      <c r="O3151">
        <v>1</v>
      </c>
      <c r="S3151" t="e">
        <v>#DIV/0!</v>
      </c>
      <c r="T3151" t="s">
        <v>82</v>
      </c>
    </row>
    <row r="3152" spans="15:20" x14ac:dyDescent="0.25">
      <c r="O3152">
        <v>1</v>
      </c>
      <c r="S3152" t="e">
        <v>#DIV/0!</v>
      </c>
      <c r="T3152" t="s">
        <v>82</v>
      </c>
    </row>
    <row r="3153" spans="15:20" x14ac:dyDescent="0.25">
      <c r="O3153">
        <v>1</v>
      </c>
      <c r="S3153" t="e">
        <v>#DIV/0!</v>
      </c>
      <c r="T3153" t="s">
        <v>82</v>
      </c>
    </row>
    <row r="3154" spans="15:20" x14ac:dyDescent="0.25">
      <c r="O3154">
        <v>1</v>
      </c>
      <c r="S3154" t="e">
        <v>#DIV/0!</v>
      </c>
      <c r="T3154" t="s">
        <v>82</v>
      </c>
    </row>
    <row r="3155" spans="15:20" x14ac:dyDescent="0.25">
      <c r="O3155">
        <v>1</v>
      </c>
      <c r="S3155" t="e">
        <v>#DIV/0!</v>
      </c>
      <c r="T3155" t="s">
        <v>82</v>
      </c>
    </row>
    <row r="3156" spans="15:20" x14ac:dyDescent="0.25">
      <c r="O3156">
        <v>1</v>
      </c>
      <c r="S3156" t="e">
        <v>#DIV/0!</v>
      </c>
      <c r="T3156" t="s">
        <v>82</v>
      </c>
    </row>
    <row r="3157" spans="15:20" x14ac:dyDescent="0.25">
      <c r="O3157">
        <v>1</v>
      </c>
      <c r="S3157" t="e">
        <v>#DIV/0!</v>
      </c>
      <c r="T3157" t="s">
        <v>82</v>
      </c>
    </row>
    <row r="3158" spans="15:20" x14ac:dyDescent="0.25">
      <c r="O3158">
        <v>1</v>
      </c>
      <c r="S3158" t="e">
        <v>#DIV/0!</v>
      </c>
      <c r="T3158" t="s">
        <v>82</v>
      </c>
    </row>
    <row r="3159" spans="15:20" x14ac:dyDescent="0.25">
      <c r="O3159">
        <v>1</v>
      </c>
      <c r="S3159" t="e">
        <v>#DIV/0!</v>
      </c>
      <c r="T3159" t="s">
        <v>82</v>
      </c>
    </row>
    <row r="3160" spans="15:20" x14ac:dyDescent="0.25">
      <c r="O3160">
        <v>1</v>
      </c>
      <c r="S3160" t="e">
        <v>#DIV/0!</v>
      </c>
      <c r="T3160" t="s">
        <v>82</v>
      </c>
    </row>
    <row r="3161" spans="15:20" x14ac:dyDescent="0.25">
      <c r="O3161">
        <v>1</v>
      </c>
      <c r="S3161" t="e">
        <v>#DIV/0!</v>
      </c>
      <c r="T3161" t="s">
        <v>82</v>
      </c>
    </row>
    <row r="3162" spans="15:20" x14ac:dyDescent="0.25">
      <c r="O3162">
        <v>1</v>
      </c>
      <c r="S3162" t="e">
        <v>#DIV/0!</v>
      </c>
      <c r="T3162" t="s">
        <v>82</v>
      </c>
    </row>
    <row r="3163" spans="15:20" x14ac:dyDescent="0.25">
      <c r="O3163">
        <v>1</v>
      </c>
      <c r="S3163" t="e">
        <v>#DIV/0!</v>
      </c>
      <c r="T3163" t="s">
        <v>82</v>
      </c>
    </row>
    <row r="3164" spans="15:20" x14ac:dyDescent="0.25">
      <c r="O3164">
        <v>1</v>
      </c>
      <c r="S3164" t="e">
        <v>#DIV/0!</v>
      </c>
      <c r="T3164" t="s">
        <v>82</v>
      </c>
    </row>
    <row r="3165" spans="15:20" x14ac:dyDescent="0.25">
      <c r="O3165">
        <v>1</v>
      </c>
      <c r="S3165" t="e">
        <v>#DIV/0!</v>
      </c>
      <c r="T3165" t="s">
        <v>82</v>
      </c>
    </row>
    <row r="3166" spans="15:20" x14ac:dyDescent="0.25">
      <c r="O3166">
        <v>1</v>
      </c>
      <c r="S3166" t="e">
        <v>#DIV/0!</v>
      </c>
      <c r="T3166" t="s">
        <v>82</v>
      </c>
    </row>
    <row r="3167" spans="15:20" x14ac:dyDescent="0.25">
      <c r="O3167">
        <v>1</v>
      </c>
      <c r="S3167" t="e">
        <v>#DIV/0!</v>
      </c>
      <c r="T3167" t="s">
        <v>82</v>
      </c>
    </row>
    <row r="3168" spans="15:20" x14ac:dyDescent="0.25">
      <c r="O3168">
        <v>1</v>
      </c>
      <c r="S3168" t="e">
        <v>#DIV/0!</v>
      </c>
      <c r="T3168" t="s">
        <v>82</v>
      </c>
    </row>
    <row r="3169" spans="15:20" x14ac:dyDescent="0.25">
      <c r="O3169">
        <v>1</v>
      </c>
      <c r="S3169" t="e">
        <v>#DIV/0!</v>
      </c>
      <c r="T3169" t="s">
        <v>82</v>
      </c>
    </row>
    <row r="3170" spans="15:20" x14ac:dyDescent="0.25">
      <c r="O3170">
        <v>1</v>
      </c>
      <c r="S3170" t="e">
        <v>#DIV/0!</v>
      </c>
      <c r="T3170" t="s">
        <v>82</v>
      </c>
    </row>
    <row r="3171" spans="15:20" x14ac:dyDescent="0.25">
      <c r="O3171">
        <v>1</v>
      </c>
      <c r="S3171" t="e">
        <v>#DIV/0!</v>
      </c>
      <c r="T3171" t="s">
        <v>82</v>
      </c>
    </row>
    <row r="3172" spans="15:20" x14ac:dyDescent="0.25">
      <c r="O3172">
        <v>1</v>
      </c>
      <c r="S3172" t="e">
        <v>#DIV/0!</v>
      </c>
      <c r="T3172" t="s">
        <v>82</v>
      </c>
    </row>
    <row r="3173" spans="15:20" x14ac:dyDescent="0.25">
      <c r="O3173">
        <v>1</v>
      </c>
      <c r="S3173" t="e">
        <v>#DIV/0!</v>
      </c>
      <c r="T3173" t="s">
        <v>82</v>
      </c>
    </row>
    <row r="3174" spans="15:20" x14ac:dyDescent="0.25">
      <c r="O3174">
        <v>1</v>
      </c>
      <c r="S3174" t="e">
        <v>#DIV/0!</v>
      </c>
      <c r="T3174" t="s">
        <v>82</v>
      </c>
    </row>
    <row r="3175" spans="15:20" x14ac:dyDescent="0.25">
      <c r="O3175">
        <v>1</v>
      </c>
      <c r="S3175" t="e">
        <v>#DIV/0!</v>
      </c>
      <c r="T3175" t="s">
        <v>82</v>
      </c>
    </row>
    <row r="3176" spans="15:20" x14ac:dyDescent="0.25">
      <c r="O3176">
        <v>1</v>
      </c>
      <c r="S3176" t="e">
        <v>#DIV/0!</v>
      </c>
      <c r="T3176" t="s">
        <v>82</v>
      </c>
    </row>
    <row r="3177" spans="15:20" x14ac:dyDescent="0.25">
      <c r="O3177">
        <v>1</v>
      </c>
      <c r="S3177" t="e">
        <v>#DIV/0!</v>
      </c>
      <c r="T3177" t="s">
        <v>82</v>
      </c>
    </row>
    <row r="3178" spans="15:20" x14ac:dyDescent="0.25">
      <c r="O3178">
        <v>1</v>
      </c>
      <c r="S3178" t="e">
        <v>#DIV/0!</v>
      </c>
      <c r="T3178" t="s">
        <v>82</v>
      </c>
    </row>
    <row r="3179" spans="15:20" x14ac:dyDescent="0.25">
      <c r="O3179">
        <v>1</v>
      </c>
      <c r="S3179" t="e">
        <v>#DIV/0!</v>
      </c>
      <c r="T3179" t="s">
        <v>82</v>
      </c>
    </row>
    <row r="3180" spans="15:20" x14ac:dyDescent="0.25">
      <c r="O3180">
        <v>1</v>
      </c>
      <c r="S3180" t="e">
        <v>#DIV/0!</v>
      </c>
      <c r="T3180" t="s">
        <v>82</v>
      </c>
    </row>
    <row r="3181" spans="15:20" x14ac:dyDescent="0.25">
      <c r="O3181">
        <v>1</v>
      </c>
      <c r="S3181" t="e">
        <v>#DIV/0!</v>
      </c>
      <c r="T3181" t="s">
        <v>82</v>
      </c>
    </row>
    <row r="3182" spans="15:20" x14ac:dyDescent="0.25">
      <c r="O3182">
        <v>1</v>
      </c>
      <c r="S3182" t="e">
        <v>#DIV/0!</v>
      </c>
      <c r="T3182" t="s">
        <v>82</v>
      </c>
    </row>
    <row r="3183" spans="15:20" x14ac:dyDescent="0.25">
      <c r="O3183">
        <v>1</v>
      </c>
      <c r="S3183" t="e">
        <v>#DIV/0!</v>
      </c>
      <c r="T3183" t="s">
        <v>82</v>
      </c>
    </row>
    <row r="3184" spans="15:20" x14ac:dyDescent="0.25">
      <c r="O3184">
        <v>1</v>
      </c>
      <c r="S3184" t="e">
        <v>#DIV/0!</v>
      </c>
      <c r="T3184" t="s">
        <v>82</v>
      </c>
    </row>
    <row r="3185" spans="15:20" x14ac:dyDescent="0.25">
      <c r="O3185">
        <v>1</v>
      </c>
      <c r="S3185" t="e">
        <v>#DIV/0!</v>
      </c>
      <c r="T3185" t="s">
        <v>82</v>
      </c>
    </row>
    <row r="3186" spans="15:20" x14ac:dyDescent="0.25">
      <c r="O3186">
        <v>1</v>
      </c>
      <c r="S3186" t="e">
        <v>#DIV/0!</v>
      </c>
      <c r="T3186" t="s">
        <v>82</v>
      </c>
    </row>
    <row r="3187" spans="15:20" x14ac:dyDescent="0.25">
      <c r="O3187">
        <v>1</v>
      </c>
      <c r="S3187" t="e">
        <v>#DIV/0!</v>
      </c>
      <c r="T3187" t="s">
        <v>82</v>
      </c>
    </row>
    <row r="3188" spans="15:20" x14ac:dyDescent="0.25">
      <c r="O3188">
        <v>1</v>
      </c>
      <c r="S3188" t="e">
        <v>#DIV/0!</v>
      </c>
      <c r="T3188" t="s">
        <v>82</v>
      </c>
    </row>
    <row r="3189" spans="15:20" x14ac:dyDescent="0.25">
      <c r="O3189">
        <v>1</v>
      </c>
      <c r="S3189" t="e">
        <v>#DIV/0!</v>
      </c>
      <c r="T3189" t="s">
        <v>82</v>
      </c>
    </row>
    <row r="3190" spans="15:20" x14ac:dyDescent="0.25">
      <c r="O3190">
        <v>1</v>
      </c>
      <c r="S3190" t="e">
        <v>#DIV/0!</v>
      </c>
      <c r="T3190" t="s">
        <v>82</v>
      </c>
    </row>
    <row r="3191" spans="15:20" x14ac:dyDescent="0.25">
      <c r="O3191">
        <v>1</v>
      </c>
      <c r="S3191" t="e">
        <v>#DIV/0!</v>
      </c>
      <c r="T3191" t="s">
        <v>82</v>
      </c>
    </row>
    <row r="3192" spans="15:20" x14ac:dyDescent="0.25">
      <c r="O3192">
        <v>1</v>
      </c>
      <c r="S3192" t="e">
        <v>#DIV/0!</v>
      </c>
      <c r="T3192" t="s">
        <v>82</v>
      </c>
    </row>
    <row r="3193" spans="15:20" x14ac:dyDescent="0.25">
      <c r="O3193">
        <v>1</v>
      </c>
      <c r="S3193" t="e">
        <v>#DIV/0!</v>
      </c>
      <c r="T3193" t="s">
        <v>82</v>
      </c>
    </row>
    <row r="3194" spans="15:20" x14ac:dyDescent="0.25">
      <c r="O3194">
        <v>1</v>
      </c>
      <c r="S3194" t="e">
        <v>#DIV/0!</v>
      </c>
      <c r="T3194" t="s">
        <v>82</v>
      </c>
    </row>
    <row r="3195" spans="15:20" x14ac:dyDescent="0.25">
      <c r="O3195">
        <v>1</v>
      </c>
      <c r="S3195" t="e">
        <v>#DIV/0!</v>
      </c>
      <c r="T3195" t="s">
        <v>82</v>
      </c>
    </row>
    <row r="3196" spans="15:20" x14ac:dyDescent="0.25">
      <c r="O3196">
        <v>1</v>
      </c>
      <c r="S3196" t="e">
        <v>#DIV/0!</v>
      </c>
      <c r="T3196" t="s">
        <v>82</v>
      </c>
    </row>
    <row r="3197" spans="15:20" x14ac:dyDescent="0.25">
      <c r="O3197">
        <v>1</v>
      </c>
      <c r="S3197" t="e">
        <v>#DIV/0!</v>
      </c>
      <c r="T3197" t="s">
        <v>82</v>
      </c>
    </row>
    <row r="3198" spans="15:20" x14ac:dyDescent="0.25">
      <c r="O3198">
        <v>1</v>
      </c>
      <c r="S3198" t="e">
        <v>#DIV/0!</v>
      </c>
      <c r="T3198" t="s">
        <v>82</v>
      </c>
    </row>
    <row r="3199" spans="15:20" x14ac:dyDescent="0.25">
      <c r="O3199">
        <v>1</v>
      </c>
      <c r="S3199" t="e">
        <v>#DIV/0!</v>
      </c>
      <c r="T3199" t="s">
        <v>82</v>
      </c>
    </row>
    <row r="3200" spans="15:20" x14ac:dyDescent="0.25">
      <c r="O3200">
        <v>1</v>
      </c>
      <c r="S3200" t="e">
        <v>#DIV/0!</v>
      </c>
      <c r="T3200" t="s">
        <v>82</v>
      </c>
    </row>
    <row r="3201" spans="15:20" x14ac:dyDescent="0.25">
      <c r="O3201">
        <v>1</v>
      </c>
      <c r="S3201" t="e">
        <v>#DIV/0!</v>
      </c>
      <c r="T3201" t="s">
        <v>82</v>
      </c>
    </row>
    <row r="3202" spans="15:20" x14ac:dyDescent="0.25">
      <c r="O3202">
        <v>1</v>
      </c>
      <c r="S3202" t="e">
        <v>#DIV/0!</v>
      </c>
      <c r="T3202" t="s">
        <v>82</v>
      </c>
    </row>
    <row r="3203" spans="15:20" x14ac:dyDescent="0.25">
      <c r="O3203">
        <v>1</v>
      </c>
      <c r="S3203" t="e">
        <v>#DIV/0!</v>
      </c>
      <c r="T3203" t="s">
        <v>82</v>
      </c>
    </row>
    <row r="3204" spans="15:20" x14ac:dyDescent="0.25">
      <c r="O3204">
        <v>1</v>
      </c>
      <c r="S3204" t="e">
        <v>#DIV/0!</v>
      </c>
      <c r="T3204" t="s">
        <v>82</v>
      </c>
    </row>
    <row r="3205" spans="15:20" x14ac:dyDescent="0.25">
      <c r="O3205">
        <v>1</v>
      </c>
      <c r="S3205" t="e">
        <v>#DIV/0!</v>
      </c>
      <c r="T3205" t="s">
        <v>82</v>
      </c>
    </row>
    <row r="3206" spans="15:20" x14ac:dyDescent="0.25">
      <c r="O3206">
        <v>1</v>
      </c>
      <c r="S3206" t="e">
        <v>#DIV/0!</v>
      </c>
      <c r="T3206" t="s">
        <v>82</v>
      </c>
    </row>
    <row r="3207" spans="15:20" x14ac:dyDescent="0.25">
      <c r="O3207">
        <v>1</v>
      </c>
      <c r="S3207" t="e">
        <v>#DIV/0!</v>
      </c>
      <c r="T3207" t="s">
        <v>82</v>
      </c>
    </row>
    <row r="3208" spans="15:20" x14ac:dyDescent="0.25">
      <c r="O3208">
        <v>1</v>
      </c>
      <c r="S3208" t="e">
        <v>#DIV/0!</v>
      </c>
      <c r="T3208" t="s">
        <v>82</v>
      </c>
    </row>
    <row r="3209" spans="15:20" x14ac:dyDescent="0.25">
      <c r="O3209">
        <v>1</v>
      </c>
      <c r="S3209" t="e">
        <v>#DIV/0!</v>
      </c>
      <c r="T3209" t="s">
        <v>82</v>
      </c>
    </row>
    <row r="3210" spans="15:20" x14ac:dyDescent="0.25">
      <c r="O3210">
        <v>1</v>
      </c>
      <c r="S3210" t="e">
        <v>#DIV/0!</v>
      </c>
      <c r="T3210" t="s">
        <v>82</v>
      </c>
    </row>
    <row r="3211" spans="15:20" x14ac:dyDescent="0.25">
      <c r="O3211">
        <v>1</v>
      </c>
      <c r="S3211" t="e">
        <v>#DIV/0!</v>
      </c>
      <c r="T3211" t="s">
        <v>82</v>
      </c>
    </row>
    <row r="3212" spans="15:20" x14ac:dyDescent="0.25">
      <c r="O3212">
        <v>1</v>
      </c>
      <c r="S3212" t="e">
        <v>#DIV/0!</v>
      </c>
      <c r="T3212" t="s">
        <v>82</v>
      </c>
    </row>
    <row r="3213" spans="15:20" x14ac:dyDescent="0.25">
      <c r="O3213">
        <v>1</v>
      </c>
      <c r="S3213" t="e">
        <v>#DIV/0!</v>
      </c>
      <c r="T3213" t="s">
        <v>82</v>
      </c>
    </row>
    <row r="3214" spans="15:20" x14ac:dyDescent="0.25">
      <c r="O3214">
        <v>1</v>
      </c>
      <c r="S3214" t="e">
        <v>#DIV/0!</v>
      </c>
      <c r="T3214" t="s">
        <v>82</v>
      </c>
    </row>
    <row r="3215" spans="15:20" x14ac:dyDescent="0.25">
      <c r="O3215">
        <v>1</v>
      </c>
      <c r="S3215" t="e">
        <v>#DIV/0!</v>
      </c>
      <c r="T3215" t="s">
        <v>82</v>
      </c>
    </row>
    <row r="3216" spans="15:20" x14ac:dyDescent="0.25">
      <c r="O3216">
        <v>1</v>
      </c>
      <c r="S3216" t="e">
        <v>#DIV/0!</v>
      </c>
      <c r="T3216" t="s">
        <v>82</v>
      </c>
    </row>
    <row r="3217" spans="15:20" x14ac:dyDescent="0.25">
      <c r="O3217">
        <v>1</v>
      </c>
      <c r="S3217" t="e">
        <v>#DIV/0!</v>
      </c>
      <c r="T3217" t="s">
        <v>82</v>
      </c>
    </row>
    <row r="3218" spans="15:20" x14ac:dyDescent="0.25">
      <c r="O3218">
        <v>1</v>
      </c>
      <c r="S3218" t="e">
        <v>#DIV/0!</v>
      </c>
      <c r="T3218" t="s">
        <v>82</v>
      </c>
    </row>
    <row r="3219" spans="15:20" x14ac:dyDescent="0.25">
      <c r="O3219">
        <v>1</v>
      </c>
      <c r="S3219" t="e">
        <v>#DIV/0!</v>
      </c>
      <c r="T3219" t="s">
        <v>82</v>
      </c>
    </row>
    <row r="3220" spans="15:20" x14ac:dyDescent="0.25">
      <c r="O3220">
        <v>1</v>
      </c>
      <c r="S3220" t="e">
        <v>#DIV/0!</v>
      </c>
      <c r="T3220" t="s">
        <v>82</v>
      </c>
    </row>
    <row r="3221" spans="15:20" x14ac:dyDescent="0.25">
      <c r="O3221">
        <v>1</v>
      </c>
      <c r="S3221" t="e">
        <v>#DIV/0!</v>
      </c>
      <c r="T3221" t="s">
        <v>82</v>
      </c>
    </row>
    <row r="3222" spans="15:20" x14ac:dyDescent="0.25">
      <c r="O3222">
        <v>1</v>
      </c>
      <c r="S3222" t="e">
        <v>#DIV/0!</v>
      </c>
      <c r="T3222" t="s">
        <v>82</v>
      </c>
    </row>
    <row r="3223" spans="15:20" x14ac:dyDescent="0.25">
      <c r="O3223">
        <v>1</v>
      </c>
      <c r="S3223" t="e">
        <v>#DIV/0!</v>
      </c>
      <c r="T3223" t="s">
        <v>82</v>
      </c>
    </row>
    <row r="3224" spans="15:20" x14ac:dyDescent="0.25">
      <c r="O3224">
        <v>1</v>
      </c>
      <c r="S3224" t="e">
        <v>#DIV/0!</v>
      </c>
      <c r="T3224" t="s">
        <v>82</v>
      </c>
    </row>
    <row r="3225" spans="15:20" x14ac:dyDescent="0.25">
      <c r="O3225">
        <v>1</v>
      </c>
      <c r="S3225" t="e">
        <v>#DIV/0!</v>
      </c>
      <c r="T3225" t="s">
        <v>82</v>
      </c>
    </row>
    <row r="3226" spans="15:20" x14ac:dyDescent="0.25">
      <c r="O3226">
        <v>1</v>
      </c>
      <c r="S3226" t="e">
        <v>#DIV/0!</v>
      </c>
      <c r="T3226" t="s">
        <v>82</v>
      </c>
    </row>
    <row r="3227" spans="15:20" x14ac:dyDescent="0.25">
      <c r="O3227">
        <v>1</v>
      </c>
      <c r="S3227" t="e">
        <v>#DIV/0!</v>
      </c>
      <c r="T3227" t="s">
        <v>82</v>
      </c>
    </row>
    <row r="3228" spans="15:20" x14ac:dyDescent="0.25">
      <c r="O3228">
        <v>1</v>
      </c>
      <c r="S3228" t="e">
        <v>#DIV/0!</v>
      </c>
      <c r="T3228" t="s">
        <v>82</v>
      </c>
    </row>
    <row r="3229" spans="15:20" x14ac:dyDescent="0.25">
      <c r="O3229">
        <v>1</v>
      </c>
      <c r="S3229" t="e">
        <v>#DIV/0!</v>
      </c>
      <c r="T3229" t="s">
        <v>82</v>
      </c>
    </row>
    <row r="3230" spans="15:20" x14ac:dyDescent="0.25">
      <c r="O3230">
        <v>1</v>
      </c>
      <c r="S3230" t="e">
        <v>#DIV/0!</v>
      </c>
      <c r="T3230" t="s">
        <v>82</v>
      </c>
    </row>
    <row r="3231" spans="15:20" x14ac:dyDescent="0.25">
      <c r="O3231">
        <v>1</v>
      </c>
      <c r="S3231" t="e">
        <v>#DIV/0!</v>
      </c>
      <c r="T3231" t="s">
        <v>82</v>
      </c>
    </row>
    <row r="3232" spans="15:20" x14ac:dyDescent="0.25">
      <c r="O3232">
        <v>1</v>
      </c>
      <c r="S3232" t="e">
        <v>#DIV/0!</v>
      </c>
      <c r="T3232" t="s">
        <v>82</v>
      </c>
    </row>
    <row r="3233" spans="15:20" x14ac:dyDescent="0.25">
      <c r="O3233">
        <v>1</v>
      </c>
      <c r="S3233" t="e">
        <v>#DIV/0!</v>
      </c>
      <c r="T3233" t="s">
        <v>82</v>
      </c>
    </row>
    <row r="3234" spans="15:20" x14ac:dyDescent="0.25">
      <c r="O3234">
        <v>1</v>
      </c>
      <c r="S3234" t="e">
        <v>#DIV/0!</v>
      </c>
      <c r="T3234" t="s">
        <v>82</v>
      </c>
    </row>
    <row r="3235" spans="15:20" x14ac:dyDescent="0.25">
      <c r="O3235">
        <v>1</v>
      </c>
      <c r="S3235" t="e">
        <v>#DIV/0!</v>
      </c>
      <c r="T3235" t="s">
        <v>82</v>
      </c>
    </row>
    <row r="3236" spans="15:20" x14ac:dyDescent="0.25">
      <c r="O3236">
        <v>1</v>
      </c>
      <c r="S3236" t="e">
        <v>#DIV/0!</v>
      </c>
      <c r="T3236" t="s">
        <v>82</v>
      </c>
    </row>
    <row r="3237" spans="15:20" x14ac:dyDescent="0.25">
      <c r="O3237">
        <v>1</v>
      </c>
      <c r="S3237" t="e">
        <v>#DIV/0!</v>
      </c>
      <c r="T3237" t="s">
        <v>82</v>
      </c>
    </row>
    <row r="3238" spans="15:20" x14ac:dyDescent="0.25">
      <c r="O3238">
        <v>1</v>
      </c>
      <c r="S3238" t="e">
        <v>#DIV/0!</v>
      </c>
      <c r="T3238" t="s">
        <v>82</v>
      </c>
    </row>
    <row r="3239" spans="15:20" x14ac:dyDescent="0.25">
      <c r="O3239">
        <v>1</v>
      </c>
      <c r="S3239" t="e">
        <v>#DIV/0!</v>
      </c>
      <c r="T3239" t="s">
        <v>82</v>
      </c>
    </row>
    <row r="3240" spans="15:20" x14ac:dyDescent="0.25">
      <c r="O3240">
        <v>1</v>
      </c>
      <c r="S3240" t="e">
        <v>#DIV/0!</v>
      </c>
      <c r="T3240" t="s">
        <v>82</v>
      </c>
    </row>
    <row r="3241" spans="15:20" x14ac:dyDescent="0.25">
      <c r="O3241">
        <v>1</v>
      </c>
      <c r="S3241" t="e">
        <v>#DIV/0!</v>
      </c>
      <c r="T3241" t="s">
        <v>82</v>
      </c>
    </row>
    <row r="3242" spans="15:20" x14ac:dyDescent="0.25">
      <c r="O3242">
        <v>1</v>
      </c>
      <c r="S3242" t="e">
        <v>#DIV/0!</v>
      </c>
      <c r="T3242" t="s">
        <v>82</v>
      </c>
    </row>
    <row r="3243" spans="15:20" x14ac:dyDescent="0.25">
      <c r="O3243">
        <v>1</v>
      </c>
      <c r="S3243" t="e">
        <v>#DIV/0!</v>
      </c>
      <c r="T3243" t="s">
        <v>82</v>
      </c>
    </row>
    <row r="3244" spans="15:20" x14ac:dyDescent="0.25">
      <c r="O3244">
        <v>1</v>
      </c>
      <c r="S3244" t="e">
        <v>#DIV/0!</v>
      </c>
      <c r="T3244" t="s">
        <v>82</v>
      </c>
    </row>
    <row r="3245" spans="15:20" x14ac:dyDescent="0.25">
      <c r="O3245">
        <v>1</v>
      </c>
      <c r="S3245" t="e">
        <v>#DIV/0!</v>
      </c>
      <c r="T3245" t="s">
        <v>82</v>
      </c>
    </row>
    <row r="3246" spans="15:20" x14ac:dyDescent="0.25">
      <c r="O3246">
        <v>1</v>
      </c>
      <c r="S3246" t="e">
        <v>#DIV/0!</v>
      </c>
      <c r="T3246" t="s">
        <v>82</v>
      </c>
    </row>
    <row r="3247" spans="15:20" x14ac:dyDescent="0.25">
      <c r="O3247">
        <v>1</v>
      </c>
      <c r="S3247" t="e">
        <v>#DIV/0!</v>
      </c>
      <c r="T3247" t="s">
        <v>82</v>
      </c>
    </row>
    <row r="3248" spans="15:20" x14ac:dyDescent="0.25">
      <c r="O3248">
        <v>1</v>
      </c>
      <c r="S3248" t="e">
        <v>#DIV/0!</v>
      </c>
      <c r="T3248" t="s">
        <v>82</v>
      </c>
    </row>
    <row r="3249" spans="15:20" x14ac:dyDescent="0.25">
      <c r="O3249">
        <v>1</v>
      </c>
      <c r="S3249" t="e">
        <v>#DIV/0!</v>
      </c>
      <c r="T3249" t="s">
        <v>82</v>
      </c>
    </row>
    <row r="3250" spans="15:20" x14ac:dyDescent="0.25">
      <c r="O3250">
        <v>1</v>
      </c>
      <c r="S3250" t="e">
        <v>#DIV/0!</v>
      </c>
      <c r="T3250" t="s">
        <v>82</v>
      </c>
    </row>
    <row r="3251" spans="15:20" x14ac:dyDescent="0.25">
      <c r="O3251">
        <v>1</v>
      </c>
      <c r="S3251" t="e">
        <v>#DIV/0!</v>
      </c>
      <c r="T3251" t="s">
        <v>82</v>
      </c>
    </row>
    <row r="3252" spans="15:20" x14ac:dyDescent="0.25">
      <c r="O3252">
        <v>1</v>
      </c>
      <c r="S3252" t="e">
        <v>#DIV/0!</v>
      </c>
      <c r="T3252" t="s">
        <v>82</v>
      </c>
    </row>
    <row r="3253" spans="15:20" x14ac:dyDescent="0.25">
      <c r="O3253">
        <v>1</v>
      </c>
      <c r="S3253" t="e">
        <v>#DIV/0!</v>
      </c>
      <c r="T3253" t="s">
        <v>82</v>
      </c>
    </row>
    <row r="3254" spans="15:20" x14ac:dyDescent="0.25">
      <c r="O3254">
        <v>1</v>
      </c>
      <c r="S3254" t="e">
        <v>#DIV/0!</v>
      </c>
      <c r="T3254" t="s">
        <v>82</v>
      </c>
    </row>
    <row r="3255" spans="15:20" x14ac:dyDescent="0.25">
      <c r="O3255">
        <v>1</v>
      </c>
      <c r="S3255" t="e">
        <v>#DIV/0!</v>
      </c>
      <c r="T3255" t="s">
        <v>82</v>
      </c>
    </row>
    <row r="3256" spans="15:20" x14ac:dyDescent="0.25">
      <c r="O3256">
        <v>1</v>
      </c>
      <c r="S3256" t="e">
        <v>#DIV/0!</v>
      </c>
      <c r="T3256" t="s">
        <v>82</v>
      </c>
    </row>
    <row r="3257" spans="15:20" x14ac:dyDescent="0.25">
      <c r="O3257">
        <v>1</v>
      </c>
      <c r="S3257" t="e">
        <v>#DIV/0!</v>
      </c>
      <c r="T3257" t="s">
        <v>82</v>
      </c>
    </row>
    <row r="3258" spans="15:20" x14ac:dyDescent="0.25">
      <c r="O3258">
        <v>1</v>
      </c>
      <c r="S3258" t="e">
        <v>#DIV/0!</v>
      </c>
      <c r="T3258" t="s">
        <v>82</v>
      </c>
    </row>
    <row r="3259" spans="15:20" x14ac:dyDescent="0.25">
      <c r="O3259">
        <v>1</v>
      </c>
      <c r="S3259" t="e">
        <v>#DIV/0!</v>
      </c>
      <c r="T3259" t="s">
        <v>82</v>
      </c>
    </row>
    <row r="3260" spans="15:20" x14ac:dyDescent="0.25">
      <c r="O3260">
        <v>1</v>
      </c>
      <c r="S3260" t="e">
        <v>#DIV/0!</v>
      </c>
      <c r="T3260" t="s">
        <v>82</v>
      </c>
    </row>
    <row r="3261" spans="15:20" x14ac:dyDescent="0.25">
      <c r="O3261">
        <v>1</v>
      </c>
      <c r="S3261" t="e">
        <v>#DIV/0!</v>
      </c>
      <c r="T3261" t="s">
        <v>82</v>
      </c>
    </row>
    <row r="3262" spans="15:20" x14ac:dyDescent="0.25">
      <c r="O3262">
        <v>1</v>
      </c>
      <c r="S3262" t="e">
        <v>#DIV/0!</v>
      </c>
      <c r="T3262" t="s">
        <v>82</v>
      </c>
    </row>
    <row r="3263" spans="15:20" x14ac:dyDescent="0.25">
      <c r="O3263">
        <v>1</v>
      </c>
      <c r="S3263" t="e">
        <v>#DIV/0!</v>
      </c>
      <c r="T3263" t="s">
        <v>82</v>
      </c>
    </row>
    <row r="3264" spans="15:20" x14ac:dyDescent="0.25">
      <c r="O3264">
        <v>1</v>
      </c>
      <c r="S3264" t="e">
        <v>#DIV/0!</v>
      </c>
      <c r="T3264" t="s">
        <v>82</v>
      </c>
    </row>
    <row r="3265" spans="15:20" x14ac:dyDescent="0.25">
      <c r="O3265">
        <v>1</v>
      </c>
      <c r="S3265" t="e">
        <v>#DIV/0!</v>
      </c>
      <c r="T3265" t="s">
        <v>82</v>
      </c>
    </row>
    <row r="3266" spans="15:20" x14ac:dyDescent="0.25">
      <c r="O3266">
        <v>1</v>
      </c>
      <c r="S3266" t="e">
        <v>#DIV/0!</v>
      </c>
      <c r="T3266" t="s">
        <v>82</v>
      </c>
    </row>
    <row r="3267" spans="15:20" x14ac:dyDescent="0.25">
      <c r="O3267">
        <v>1</v>
      </c>
      <c r="S3267" t="e">
        <v>#DIV/0!</v>
      </c>
      <c r="T3267" t="s">
        <v>82</v>
      </c>
    </row>
    <row r="3268" spans="15:20" x14ac:dyDescent="0.25">
      <c r="O3268">
        <v>1</v>
      </c>
      <c r="S3268" t="e">
        <v>#DIV/0!</v>
      </c>
      <c r="T3268" t="s">
        <v>82</v>
      </c>
    </row>
    <row r="3269" spans="15:20" x14ac:dyDescent="0.25">
      <c r="O3269">
        <v>1</v>
      </c>
      <c r="S3269" t="e">
        <v>#DIV/0!</v>
      </c>
      <c r="T3269" t="s">
        <v>82</v>
      </c>
    </row>
    <row r="3270" spans="15:20" x14ac:dyDescent="0.25">
      <c r="O3270">
        <v>1</v>
      </c>
      <c r="S3270" t="e">
        <v>#DIV/0!</v>
      </c>
      <c r="T3270" t="s">
        <v>82</v>
      </c>
    </row>
    <row r="3271" spans="15:20" x14ac:dyDescent="0.25">
      <c r="O3271">
        <v>1</v>
      </c>
      <c r="S3271" t="e">
        <v>#DIV/0!</v>
      </c>
      <c r="T3271" t="s">
        <v>82</v>
      </c>
    </row>
    <row r="3272" spans="15:20" x14ac:dyDescent="0.25">
      <c r="O3272">
        <v>1</v>
      </c>
      <c r="S3272" t="e">
        <v>#DIV/0!</v>
      </c>
      <c r="T3272" t="s">
        <v>82</v>
      </c>
    </row>
    <row r="3273" spans="15:20" x14ac:dyDescent="0.25">
      <c r="O3273">
        <v>1</v>
      </c>
      <c r="S3273" t="e">
        <v>#DIV/0!</v>
      </c>
      <c r="T3273" t="s">
        <v>82</v>
      </c>
    </row>
    <row r="3274" spans="15:20" x14ac:dyDescent="0.25">
      <c r="O3274">
        <v>1</v>
      </c>
      <c r="S3274" t="e">
        <v>#DIV/0!</v>
      </c>
      <c r="T3274" t="s">
        <v>82</v>
      </c>
    </row>
    <row r="3275" spans="15:20" x14ac:dyDescent="0.25">
      <c r="O3275">
        <v>1</v>
      </c>
      <c r="S3275" t="e">
        <v>#DIV/0!</v>
      </c>
      <c r="T3275" t="s">
        <v>82</v>
      </c>
    </row>
    <row r="3276" spans="15:20" x14ac:dyDescent="0.25">
      <c r="O3276">
        <v>1</v>
      </c>
      <c r="S3276" t="e">
        <v>#DIV/0!</v>
      </c>
      <c r="T3276" t="s">
        <v>82</v>
      </c>
    </row>
    <row r="3277" spans="15:20" x14ac:dyDescent="0.25">
      <c r="O3277">
        <v>1</v>
      </c>
      <c r="S3277" t="e">
        <v>#DIV/0!</v>
      </c>
      <c r="T3277" t="s">
        <v>82</v>
      </c>
    </row>
    <row r="3278" spans="15:20" x14ac:dyDescent="0.25">
      <c r="O3278">
        <v>1</v>
      </c>
      <c r="S3278" t="e">
        <v>#DIV/0!</v>
      </c>
      <c r="T3278" t="s">
        <v>82</v>
      </c>
    </row>
    <row r="3279" spans="15:20" x14ac:dyDescent="0.25">
      <c r="O3279">
        <v>1</v>
      </c>
      <c r="S3279" t="e">
        <v>#DIV/0!</v>
      </c>
      <c r="T3279" t="s">
        <v>82</v>
      </c>
    </row>
    <row r="3280" spans="15:20" x14ac:dyDescent="0.25">
      <c r="O3280">
        <v>1</v>
      </c>
      <c r="S3280" t="e">
        <v>#DIV/0!</v>
      </c>
      <c r="T3280" t="s">
        <v>82</v>
      </c>
    </row>
    <row r="3281" spans="15:20" x14ac:dyDescent="0.25">
      <c r="O3281">
        <v>1</v>
      </c>
      <c r="S3281" t="e">
        <v>#DIV/0!</v>
      </c>
      <c r="T3281" t="s">
        <v>82</v>
      </c>
    </row>
    <row r="3282" spans="15:20" x14ac:dyDescent="0.25">
      <c r="O3282">
        <v>1</v>
      </c>
      <c r="S3282" t="e">
        <v>#DIV/0!</v>
      </c>
      <c r="T3282" t="s">
        <v>82</v>
      </c>
    </row>
    <row r="3283" spans="15:20" x14ac:dyDescent="0.25">
      <c r="O3283">
        <v>1</v>
      </c>
      <c r="S3283" t="e">
        <v>#DIV/0!</v>
      </c>
      <c r="T3283" t="s">
        <v>82</v>
      </c>
    </row>
    <row r="3284" spans="15:20" x14ac:dyDescent="0.25">
      <c r="O3284">
        <v>1</v>
      </c>
      <c r="S3284" t="e">
        <v>#DIV/0!</v>
      </c>
      <c r="T3284" t="s">
        <v>82</v>
      </c>
    </row>
    <row r="3285" spans="15:20" x14ac:dyDescent="0.25">
      <c r="O3285">
        <v>1</v>
      </c>
      <c r="S3285" t="e">
        <v>#DIV/0!</v>
      </c>
      <c r="T3285" t="s">
        <v>82</v>
      </c>
    </row>
    <row r="3286" spans="15:20" x14ac:dyDescent="0.25">
      <c r="O3286">
        <v>1</v>
      </c>
      <c r="S3286" t="e">
        <v>#DIV/0!</v>
      </c>
      <c r="T3286" t="s">
        <v>82</v>
      </c>
    </row>
    <row r="3287" spans="15:20" x14ac:dyDescent="0.25">
      <c r="O3287">
        <v>1</v>
      </c>
      <c r="S3287" t="e">
        <v>#DIV/0!</v>
      </c>
      <c r="T3287" t="s">
        <v>82</v>
      </c>
    </row>
    <row r="3288" spans="15:20" x14ac:dyDescent="0.25">
      <c r="O3288">
        <v>1</v>
      </c>
      <c r="S3288" t="e">
        <v>#DIV/0!</v>
      </c>
      <c r="T3288" t="s">
        <v>82</v>
      </c>
    </row>
    <row r="3289" spans="15:20" x14ac:dyDescent="0.25">
      <c r="O3289">
        <v>1</v>
      </c>
      <c r="S3289" t="e">
        <v>#DIV/0!</v>
      </c>
      <c r="T3289" t="s">
        <v>82</v>
      </c>
    </row>
    <row r="3290" spans="15:20" x14ac:dyDescent="0.25">
      <c r="O3290">
        <v>1</v>
      </c>
      <c r="S3290" t="e">
        <v>#DIV/0!</v>
      </c>
      <c r="T3290" t="s">
        <v>82</v>
      </c>
    </row>
    <row r="3291" spans="15:20" x14ac:dyDescent="0.25">
      <c r="O3291">
        <v>1</v>
      </c>
      <c r="S3291" t="e">
        <v>#DIV/0!</v>
      </c>
      <c r="T3291" t="s">
        <v>82</v>
      </c>
    </row>
    <row r="3292" spans="15:20" x14ac:dyDescent="0.25">
      <c r="O3292">
        <v>1</v>
      </c>
      <c r="S3292" t="e">
        <v>#DIV/0!</v>
      </c>
      <c r="T3292" t="s">
        <v>82</v>
      </c>
    </row>
    <row r="3293" spans="15:20" x14ac:dyDescent="0.25">
      <c r="O3293">
        <v>1</v>
      </c>
      <c r="S3293" t="e">
        <v>#DIV/0!</v>
      </c>
      <c r="T3293" t="s">
        <v>82</v>
      </c>
    </row>
    <row r="3294" spans="15:20" x14ac:dyDescent="0.25">
      <c r="O3294">
        <v>1</v>
      </c>
      <c r="S3294" t="e">
        <v>#DIV/0!</v>
      </c>
      <c r="T3294" t="s">
        <v>82</v>
      </c>
    </row>
    <row r="3295" spans="15:20" x14ac:dyDescent="0.25">
      <c r="O3295">
        <v>1</v>
      </c>
      <c r="S3295" t="e">
        <v>#DIV/0!</v>
      </c>
      <c r="T3295" t="s">
        <v>82</v>
      </c>
    </row>
    <row r="3296" spans="15:20" x14ac:dyDescent="0.25">
      <c r="O3296">
        <v>1</v>
      </c>
      <c r="S3296" t="e">
        <v>#DIV/0!</v>
      </c>
      <c r="T3296" t="s">
        <v>82</v>
      </c>
    </row>
    <row r="3297" spans="15:20" x14ac:dyDescent="0.25">
      <c r="O3297">
        <v>1</v>
      </c>
      <c r="S3297" t="e">
        <v>#DIV/0!</v>
      </c>
      <c r="T3297" t="s">
        <v>82</v>
      </c>
    </row>
    <row r="3298" spans="15:20" x14ac:dyDescent="0.25">
      <c r="O3298">
        <v>1</v>
      </c>
      <c r="S3298" t="e">
        <v>#DIV/0!</v>
      </c>
      <c r="T3298" t="s">
        <v>82</v>
      </c>
    </row>
    <row r="3299" spans="15:20" x14ac:dyDescent="0.25">
      <c r="O3299">
        <v>1</v>
      </c>
      <c r="S3299" t="e">
        <v>#DIV/0!</v>
      </c>
      <c r="T3299" t="s">
        <v>82</v>
      </c>
    </row>
    <row r="3300" spans="15:20" x14ac:dyDescent="0.25">
      <c r="O3300">
        <v>1</v>
      </c>
      <c r="S3300" t="e">
        <v>#DIV/0!</v>
      </c>
      <c r="T3300" t="s">
        <v>82</v>
      </c>
    </row>
    <row r="3301" spans="15:20" x14ac:dyDescent="0.25">
      <c r="O3301">
        <v>1</v>
      </c>
      <c r="S3301" t="e">
        <v>#DIV/0!</v>
      </c>
      <c r="T3301" t="s">
        <v>82</v>
      </c>
    </row>
    <row r="3302" spans="15:20" x14ac:dyDescent="0.25">
      <c r="O3302">
        <v>1</v>
      </c>
      <c r="S3302" t="e">
        <v>#DIV/0!</v>
      </c>
      <c r="T3302" t="s">
        <v>82</v>
      </c>
    </row>
    <row r="3303" spans="15:20" x14ac:dyDescent="0.25">
      <c r="O3303">
        <v>1</v>
      </c>
      <c r="S3303" t="e">
        <v>#DIV/0!</v>
      </c>
      <c r="T3303" t="s">
        <v>82</v>
      </c>
    </row>
    <row r="3304" spans="15:20" x14ac:dyDescent="0.25">
      <c r="O3304">
        <v>1</v>
      </c>
      <c r="S3304" t="e">
        <v>#DIV/0!</v>
      </c>
      <c r="T3304" t="s">
        <v>82</v>
      </c>
    </row>
    <row r="3305" spans="15:20" x14ac:dyDescent="0.25">
      <c r="O3305">
        <v>1</v>
      </c>
      <c r="S3305" t="e">
        <v>#DIV/0!</v>
      </c>
      <c r="T3305" t="s">
        <v>82</v>
      </c>
    </row>
    <row r="3306" spans="15:20" x14ac:dyDescent="0.25">
      <c r="O3306">
        <v>1</v>
      </c>
      <c r="S3306" t="e">
        <v>#DIV/0!</v>
      </c>
      <c r="T3306" t="s">
        <v>82</v>
      </c>
    </row>
    <row r="3307" spans="15:20" x14ac:dyDescent="0.25">
      <c r="O3307">
        <v>1</v>
      </c>
      <c r="S3307" t="e">
        <v>#DIV/0!</v>
      </c>
      <c r="T3307" t="s">
        <v>82</v>
      </c>
    </row>
    <row r="3308" spans="15:20" x14ac:dyDescent="0.25">
      <c r="O3308">
        <v>1</v>
      </c>
      <c r="S3308" t="e">
        <v>#DIV/0!</v>
      </c>
      <c r="T3308" t="s">
        <v>82</v>
      </c>
    </row>
    <row r="3309" spans="15:20" x14ac:dyDescent="0.25">
      <c r="O3309">
        <v>1</v>
      </c>
      <c r="S3309" t="e">
        <v>#DIV/0!</v>
      </c>
      <c r="T3309" t="s">
        <v>82</v>
      </c>
    </row>
    <row r="3310" spans="15:20" x14ac:dyDescent="0.25">
      <c r="O3310">
        <v>1</v>
      </c>
      <c r="S3310" t="e">
        <v>#DIV/0!</v>
      </c>
      <c r="T3310" t="s">
        <v>82</v>
      </c>
    </row>
    <row r="3311" spans="15:20" x14ac:dyDescent="0.25">
      <c r="O3311">
        <v>1</v>
      </c>
      <c r="S3311" t="e">
        <v>#DIV/0!</v>
      </c>
      <c r="T3311" t="s">
        <v>82</v>
      </c>
    </row>
    <row r="3312" spans="15:20" x14ac:dyDescent="0.25">
      <c r="O3312">
        <v>1</v>
      </c>
      <c r="S3312" t="e">
        <v>#DIV/0!</v>
      </c>
      <c r="T3312" t="s">
        <v>82</v>
      </c>
    </row>
    <row r="3313" spans="15:20" x14ac:dyDescent="0.25">
      <c r="O3313">
        <v>1</v>
      </c>
      <c r="S3313" t="e">
        <v>#DIV/0!</v>
      </c>
      <c r="T3313" t="s">
        <v>82</v>
      </c>
    </row>
    <row r="3314" spans="15:20" x14ac:dyDescent="0.25">
      <c r="O3314">
        <v>1</v>
      </c>
      <c r="S3314" t="e">
        <v>#DIV/0!</v>
      </c>
      <c r="T3314" t="s">
        <v>82</v>
      </c>
    </row>
    <row r="3315" spans="15:20" x14ac:dyDescent="0.25">
      <c r="O3315">
        <v>1</v>
      </c>
      <c r="S3315" t="e">
        <v>#DIV/0!</v>
      </c>
      <c r="T3315" t="s">
        <v>82</v>
      </c>
    </row>
    <row r="3316" spans="15:20" x14ac:dyDescent="0.25">
      <c r="O3316">
        <v>1</v>
      </c>
      <c r="S3316" t="e">
        <v>#DIV/0!</v>
      </c>
      <c r="T3316" t="s">
        <v>82</v>
      </c>
    </row>
    <row r="3317" spans="15:20" x14ac:dyDescent="0.25">
      <c r="O3317">
        <v>1</v>
      </c>
      <c r="S3317" t="e">
        <v>#DIV/0!</v>
      </c>
      <c r="T3317" t="s">
        <v>82</v>
      </c>
    </row>
    <row r="3318" spans="15:20" x14ac:dyDescent="0.25">
      <c r="O3318">
        <v>1</v>
      </c>
      <c r="S3318" t="e">
        <v>#DIV/0!</v>
      </c>
      <c r="T3318" t="s">
        <v>82</v>
      </c>
    </row>
    <row r="3319" spans="15:20" x14ac:dyDescent="0.25">
      <c r="O3319">
        <v>1</v>
      </c>
      <c r="S3319" t="e">
        <v>#DIV/0!</v>
      </c>
      <c r="T3319" t="s">
        <v>82</v>
      </c>
    </row>
    <row r="3320" spans="15:20" x14ac:dyDescent="0.25">
      <c r="O3320">
        <v>1</v>
      </c>
      <c r="S3320" t="e">
        <v>#DIV/0!</v>
      </c>
      <c r="T3320" t="s">
        <v>82</v>
      </c>
    </row>
    <row r="3321" spans="15:20" x14ac:dyDescent="0.25">
      <c r="O3321">
        <v>1</v>
      </c>
      <c r="S3321" t="e">
        <v>#DIV/0!</v>
      </c>
      <c r="T3321" t="s">
        <v>82</v>
      </c>
    </row>
    <row r="3322" spans="15:20" x14ac:dyDescent="0.25">
      <c r="O3322">
        <v>1</v>
      </c>
      <c r="S3322" t="e">
        <v>#DIV/0!</v>
      </c>
      <c r="T3322" t="s">
        <v>82</v>
      </c>
    </row>
    <row r="3323" spans="15:20" x14ac:dyDescent="0.25">
      <c r="O3323">
        <v>1</v>
      </c>
      <c r="S3323" t="e">
        <v>#DIV/0!</v>
      </c>
      <c r="T3323" t="s">
        <v>82</v>
      </c>
    </row>
    <row r="3324" spans="15:20" x14ac:dyDescent="0.25">
      <c r="O3324">
        <v>1</v>
      </c>
      <c r="S3324" t="e">
        <v>#DIV/0!</v>
      </c>
      <c r="T3324" t="s">
        <v>82</v>
      </c>
    </row>
    <row r="3325" spans="15:20" x14ac:dyDescent="0.25">
      <c r="O3325">
        <v>1</v>
      </c>
      <c r="S3325" t="e">
        <v>#DIV/0!</v>
      </c>
      <c r="T3325" t="s">
        <v>82</v>
      </c>
    </row>
    <row r="3326" spans="15:20" x14ac:dyDescent="0.25">
      <c r="O3326">
        <v>1</v>
      </c>
      <c r="S3326" t="e">
        <v>#DIV/0!</v>
      </c>
      <c r="T3326" t="s">
        <v>82</v>
      </c>
    </row>
    <row r="3327" spans="15:20" x14ac:dyDescent="0.25">
      <c r="O3327">
        <v>1</v>
      </c>
      <c r="S3327" t="e">
        <v>#DIV/0!</v>
      </c>
      <c r="T3327" t="s">
        <v>82</v>
      </c>
    </row>
    <row r="3328" spans="15:20" x14ac:dyDescent="0.25">
      <c r="O3328">
        <v>1</v>
      </c>
      <c r="S3328" t="e">
        <v>#DIV/0!</v>
      </c>
      <c r="T3328" t="s">
        <v>82</v>
      </c>
    </row>
    <row r="3329" spans="15:20" x14ac:dyDescent="0.25">
      <c r="O3329">
        <v>1</v>
      </c>
      <c r="S3329" t="e">
        <v>#DIV/0!</v>
      </c>
      <c r="T3329" t="s">
        <v>82</v>
      </c>
    </row>
    <row r="3330" spans="15:20" x14ac:dyDescent="0.25">
      <c r="O3330">
        <v>1</v>
      </c>
      <c r="S3330" t="e">
        <v>#DIV/0!</v>
      </c>
      <c r="T3330" t="s">
        <v>82</v>
      </c>
    </row>
    <row r="3331" spans="15:20" x14ac:dyDescent="0.25">
      <c r="O3331">
        <v>1</v>
      </c>
      <c r="S3331" t="e">
        <v>#DIV/0!</v>
      </c>
      <c r="T3331" t="s">
        <v>82</v>
      </c>
    </row>
    <row r="3332" spans="15:20" x14ac:dyDescent="0.25">
      <c r="O3332">
        <v>1</v>
      </c>
      <c r="S3332" t="e">
        <v>#DIV/0!</v>
      </c>
      <c r="T3332" t="s">
        <v>82</v>
      </c>
    </row>
    <row r="3333" spans="15:20" x14ac:dyDescent="0.25">
      <c r="O3333">
        <v>1</v>
      </c>
      <c r="S3333" t="e">
        <v>#DIV/0!</v>
      </c>
      <c r="T3333" t="s">
        <v>82</v>
      </c>
    </row>
    <row r="3334" spans="15:20" x14ac:dyDescent="0.25">
      <c r="O3334">
        <v>1</v>
      </c>
      <c r="S3334" t="e">
        <v>#DIV/0!</v>
      </c>
      <c r="T3334" t="s">
        <v>82</v>
      </c>
    </row>
    <row r="3335" spans="15:20" x14ac:dyDescent="0.25">
      <c r="O3335">
        <v>1</v>
      </c>
      <c r="S3335" t="e">
        <v>#DIV/0!</v>
      </c>
      <c r="T3335" t="s">
        <v>82</v>
      </c>
    </row>
    <row r="3336" spans="15:20" x14ac:dyDescent="0.25">
      <c r="O3336">
        <v>1</v>
      </c>
      <c r="S3336" t="e">
        <v>#DIV/0!</v>
      </c>
      <c r="T3336" t="s">
        <v>82</v>
      </c>
    </row>
    <row r="3337" spans="15:20" x14ac:dyDescent="0.25">
      <c r="O3337">
        <v>1</v>
      </c>
      <c r="S3337" t="e">
        <v>#DIV/0!</v>
      </c>
      <c r="T3337" t="s">
        <v>82</v>
      </c>
    </row>
    <row r="3338" spans="15:20" x14ac:dyDescent="0.25">
      <c r="O3338">
        <v>1</v>
      </c>
      <c r="S3338" t="e">
        <v>#DIV/0!</v>
      </c>
      <c r="T3338" t="s">
        <v>82</v>
      </c>
    </row>
    <row r="3339" spans="15:20" x14ac:dyDescent="0.25">
      <c r="O3339">
        <v>1</v>
      </c>
      <c r="S3339" t="e">
        <v>#DIV/0!</v>
      </c>
      <c r="T3339" t="s">
        <v>82</v>
      </c>
    </row>
    <row r="3340" spans="15:20" x14ac:dyDescent="0.25">
      <c r="O3340">
        <v>1</v>
      </c>
      <c r="S3340" t="e">
        <v>#DIV/0!</v>
      </c>
      <c r="T3340" t="s">
        <v>82</v>
      </c>
    </row>
    <row r="3341" spans="15:20" x14ac:dyDescent="0.25">
      <c r="O3341">
        <v>1</v>
      </c>
      <c r="S3341" t="e">
        <v>#DIV/0!</v>
      </c>
      <c r="T3341" t="s">
        <v>82</v>
      </c>
    </row>
    <row r="3342" spans="15:20" x14ac:dyDescent="0.25">
      <c r="O3342">
        <v>1</v>
      </c>
      <c r="S3342" t="e">
        <v>#DIV/0!</v>
      </c>
      <c r="T3342" t="s">
        <v>82</v>
      </c>
    </row>
    <row r="3343" spans="15:20" x14ac:dyDescent="0.25">
      <c r="O3343">
        <v>1</v>
      </c>
      <c r="S3343" t="e">
        <v>#DIV/0!</v>
      </c>
      <c r="T3343" t="s">
        <v>82</v>
      </c>
    </row>
    <row r="3344" spans="15:20" x14ac:dyDescent="0.25">
      <c r="O3344">
        <v>1</v>
      </c>
      <c r="S3344" t="e">
        <v>#DIV/0!</v>
      </c>
      <c r="T3344" t="s">
        <v>82</v>
      </c>
    </row>
    <row r="3345" spans="15:20" x14ac:dyDescent="0.25">
      <c r="O3345">
        <v>1</v>
      </c>
      <c r="S3345" t="e">
        <v>#DIV/0!</v>
      </c>
      <c r="T3345" t="s">
        <v>82</v>
      </c>
    </row>
    <row r="3346" spans="15:20" x14ac:dyDescent="0.25">
      <c r="O3346">
        <v>1</v>
      </c>
      <c r="S3346" t="e">
        <v>#DIV/0!</v>
      </c>
      <c r="T3346" t="s">
        <v>82</v>
      </c>
    </row>
    <row r="3347" spans="15:20" x14ac:dyDescent="0.25">
      <c r="O3347">
        <v>1</v>
      </c>
      <c r="S3347" t="e">
        <v>#DIV/0!</v>
      </c>
      <c r="T3347" t="s">
        <v>82</v>
      </c>
    </row>
    <row r="3348" spans="15:20" x14ac:dyDescent="0.25">
      <c r="O3348">
        <v>1</v>
      </c>
      <c r="S3348" t="e">
        <v>#DIV/0!</v>
      </c>
      <c r="T3348" t="s">
        <v>82</v>
      </c>
    </row>
    <row r="3349" spans="15:20" x14ac:dyDescent="0.25">
      <c r="O3349">
        <v>1</v>
      </c>
      <c r="S3349" t="e">
        <v>#DIV/0!</v>
      </c>
      <c r="T3349" t="s">
        <v>82</v>
      </c>
    </row>
    <row r="3350" spans="15:20" x14ac:dyDescent="0.25">
      <c r="O3350">
        <v>1</v>
      </c>
      <c r="S3350" t="e">
        <v>#DIV/0!</v>
      </c>
      <c r="T3350" t="s">
        <v>82</v>
      </c>
    </row>
    <row r="3351" spans="15:20" x14ac:dyDescent="0.25">
      <c r="O3351">
        <v>1</v>
      </c>
      <c r="S3351" t="e">
        <v>#DIV/0!</v>
      </c>
      <c r="T3351" t="s">
        <v>82</v>
      </c>
    </row>
    <row r="3352" spans="15:20" x14ac:dyDescent="0.25">
      <c r="O3352">
        <v>1</v>
      </c>
      <c r="S3352" t="e">
        <v>#DIV/0!</v>
      </c>
      <c r="T3352" t="s">
        <v>82</v>
      </c>
    </row>
    <row r="3353" spans="15:20" x14ac:dyDescent="0.25">
      <c r="O3353">
        <v>1</v>
      </c>
      <c r="S3353" t="e">
        <v>#DIV/0!</v>
      </c>
      <c r="T3353" t="s">
        <v>82</v>
      </c>
    </row>
    <row r="3354" spans="15:20" x14ac:dyDescent="0.25">
      <c r="O3354">
        <v>1</v>
      </c>
      <c r="S3354" t="e">
        <v>#DIV/0!</v>
      </c>
      <c r="T3354" t="s">
        <v>82</v>
      </c>
    </row>
    <row r="3355" spans="15:20" x14ac:dyDescent="0.25">
      <c r="O3355">
        <v>1</v>
      </c>
      <c r="S3355" t="e">
        <v>#DIV/0!</v>
      </c>
      <c r="T3355" t="s">
        <v>82</v>
      </c>
    </row>
    <row r="3356" spans="15:20" x14ac:dyDescent="0.25">
      <c r="O3356">
        <v>1</v>
      </c>
      <c r="S3356" t="e">
        <v>#DIV/0!</v>
      </c>
      <c r="T3356" t="s">
        <v>82</v>
      </c>
    </row>
    <row r="3357" spans="15:20" x14ac:dyDescent="0.25">
      <c r="O3357">
        <v>1</v>
      </c>
      <c r="S3357" t="e">
        <v>#DIV/0!</v>
      </c>
      <c r="T3357" t="s">
        <v>82</v>
      </c>
    </row>
    <row r="3358" spans="15:20" x14ac:dyDescent="0.25">
      <c r="O3358">
        <v>1</v>
      </c>
      <c r="S3358" t="e">
        <v>#DIV/0!</v>
      </c>
      <c r="T3358" t="s">
        <v>82</v>
      </c>
    </row>
    <row r="3359" spans="15:20" x14ac:dyDescent="0.25">
      <c r="O3359">
        <v>1</v>
      </c>
      <c r="S3359" t="e">
        <v>#DIV/0!</v>
      </c>
      <c r="T3359" t="s">
        <v>82</v>
      </c>
    </row>
    <row r="3360" spans="15:20" x14ac:dyDescent="0.25">
      <c r="O3360">
        <v>1</v>
      </c>
      <c r="S3360" t="e">
        <v>#DIV/0!</v>
      </c>
      <c r="T3360" t="s">
        <v>82</v>
      </c>
    </row>
    <row r="3361" spans="15:20" x14ac:dyDescent="0.25">
      <c r="O3361">
        <v>1</v>
      </c>
      <c r="S3361" t="e">
        <v>#DIV/0!</v>
      </c>
      <c r="T3361" t="s">
        <v>82</v>
      </c>
    </row>
    <row r="3362" spans="15:20" x14ac:dyDescent="0.25">
      <c r="O3362">
        <v>1</v>
      </c>
      <c r="S3362" t="e">
        <v>#DIV/0!</v>
      </c>
      <c r="T3362" t="s">
        <v>82</v>
      </c>
    </row>
    <row r="3363" spans="15:20" x14ac:dyDescent="0.25">
      <c r="O3363">
        <v>1</v>
      </c>
      <c r="S3363" t="e">
        <v>#DIV/0!</v>
      </c>
      <c r="T3363" t="s">
        <v>82</v>
      </c>
    </row>
    <row r="3364" spans="15:20" x14ac:dyDescent="0.25">
      <c r="O3364">
        <v>1</v>
      </c>
      <c r="S3364" t="e">
        <v>#DIV/0!</v>
      </c>
      <c r="T3364" t="s">
        <v>82</v>
      </c>
    </row>
    <row r="3365" spans="15:20" x14ac:dyDescent="0.25">
      <c r="O3365">
        <v>1</v>
      </c>
      <c r="S3365" t="e">
        <v>#DIV/0!</v>
      </c>
      <c r="T3365" t="s">
        <v>82</v>
      </c>
    </row>
    <row r="3366" spans="15:20" x14ac:dyDescent="0.25">
      <c r="O3366">
        <v>1</v>
      </c>
      <c r="S3366" t="e">
        <v>#DIV/0!</v>
      </c>
      <c r="T3366" t="s">
        <v>82</v>
      </c>
    </row>
    <row r="3367" spans="15:20" x14ac:dyDescent="0.25">
      <c r="O3367">
        <v>1</v>
      </c>
      <c r="S3367" t="e">
        <v>#DIV/0!</v>
      </c>
      <c r="T3367" t="s">
        <v>82</v>
      </c>
    </row>
    <row r="3368" spans="15:20" x14ac:dyDescent="0.25">
      <c r="O3368">
        <v>1</v>
      </c>
      <c r="S3368" t="e">
        <v>#DIV/0!</v>
      </c>
      <c r="T3368" t="s">
        <v>82</v>
      </c>
    </row>
    <row r="3369" spans="15:20" x14ac:dyDescent="0.25">
      <c r="O3369">
        <v>1</v>
      </c>
      <c r="S3369" t="e">
        <v>#DIV/0!</v>
      </c>
      <c r="T3369" t="s">
        <v>82</v>
      </c>
    </row>
    <row r="3370" spans="15:20" x14ac:dyDescent="0.25">
      <c r="O3370">
        <v>1</v>
      </c>
      <c r="S3370" t="e">
        <v>#DIV/0!</v>
      </c>
      <c r="T3370" t="s">
        <v>82</v>
      </c>
    </row>
    <row r="3371" spans="15:20" x14ac:dyDescent="0.25">
      <c r="O3371">
        <v>1</v>
      </c>
      <c r="S3371" t="e">
        <v>#DIV/0!</v>
      </c>
      <c r="T3371" t="s">
        <v>82</v>
      </c>
    </row>
    <row r="3372" spans="15:20" x14ac:dyDescent="0.25">
      <c r="O3372">
        <v>1</v>
      </c>
      <c r="S3372" t="e">
        <v>#DIV/0!</v>
      </c>
      <c r="T3372" t="s">
        <v>82</v>
      </c>
    </row>
    <row r="3373" spans="15:20" x14ac:dyDescent="0.25">
      <c r="O3373">
        <v>1</v>
      </c>
      <c r="S3373" t="e">
        <v>#DIV/0!</v>
      </c>
      <c r="T3373" t="s">
        <v>82</v>
      </c>
    </row>
    <row r="3374" spans="15:20" x14ac:dyDescent="0.25">
      <c r="O3374">
        <v>1</v>
      </c>
      <c r="S3374" t="e">
        <v>#DIV/0!</v>
      </c>
      <c r="T3374" t="s">
        <v>82</v>
      </c>
    </row>
    <row r="3375" spans="15:20" x14ac:dyDescent="0.25">
      <c r="O3375">
        <v>1</v>
      </c>
      <c r="S3375" t="e">
        <v>#DIV/0!</v>
      </c>
      <c r="T3375" t="s">
        <v>82</v>
      </c>
    </row>
    <row r="3376" spans="15:20" x14ac:dyDescent="0.25">
      <c r="O3376">
        <v>1</v>
      </c>
      <c r="S3376" t="e">
        <v>#DIV/0!</v>
      </c>
      <c r="T3376" t="s">
        <v>82</v>
      </c>
    </row>
    <row r="3377" spans="15:20" x14ac:dyDescent="0.25">
      <c r="O3377">
        <v>1</v>
      </c>
      <c r="S3377" t="e">
        <v>#DIV/0!</v>
      </c>
      <c r="T3377" t="s">
        <v>82</v>
      </c>
    </row>
    <row r="3378" spans="15:20" x14ac:dyDescent="0.25">
      <c r="O3378">
        <v>1</v>
      </c>
      <c r="S3378" t="e">
        <v>#DIV/0!</v>
      </c>
      <c r="T3378" t="s">
        <v>82</v>
      </c>
    </row>
    <row r="3379" spans="15:20" x14ac:dyDescent="0.25">
      <c r="O3379">
        <v>1</v>
      </c>
      <c r="S3379" t="e">
        <v>#DIV/0!</v>
      </c>
      <c r="T3379" t="s">
        <v>82</v>
      </c>
    </row>
    <row r="3380" spans="15:20" x14ac:dyDescent="0.25">
      <c r="O3380">
        <v>1</v>
      </c>
      <c r="S3380" t="e">
        <v>#DIV/0!</v>
      </c>
      <c r="T3380" t="s">
        <v>82</v>
      </c>
    </row>
    <row r="3381" spans="15:20" x14ac:dyDescent="0.25">
      <c r="O3381">
        <v>1</v>
      </c>
      <c r="S3381" t="e">
        <v>#DIV/0!</v>
      </c>
      <c r="T3381" t="s">
        <v>82</v>
      </c>
    </row>
    <row r="3382" spans="15:20" x14ac:dyDescent="0.25">
      <c r="O3382">
        <v>1</v>
      </c>
      <c r="S3382" t="e">
        <v>#DIV/0!</v>
      </c>
      <c r="T3382" t="s">
        <v>82</v>
      </c>
    </row>
    <row r="3383" spans="15:20" x14ac:dyDescent="0.25">
      <c r="O3383">
        <v>1</v>
      </c>
      <c r="S3383" t="e">
        <v>#DIV/0!</v>
      </c>
      <c r="T3383" t="s">
        <v>82</v>
      </c>
    </row>
    <row r="3384" spans="15:20" x14ac:dyDescent="0.25">
      <c r="O3384">
        <v>1</v>
      </c>
      <c r="S3384" t="e">
        <v>#DIV/0!</v>
      </c>
      <c r="T3384" t="s">
        <v>82</v>
      </c>
    </row>
    <row r="3385" spans="15:20" x14ac:dyDescent="0.25">
      <c r="O3385">
        <v>1</v>
      </c>
      <c r="S3385" t="e">
        <v>#DIV/0!</v>
      </c>
      <c r="T3385" t="s">
        <v>82</v>
      </c>
    </row>
    <row r="3386" spans="15:20" x14ac:dyDescent="0.25">
      <c r="O3386">
        <v>1</v>
      </c>
      <c r="S3386" t="e">
        <v>#DIV/0!</v>
      </c>
      <c r="T3386" t="s">
        <v>82</v>
      </c>
    </row>
    <row r="3387" spans="15:20" x14ac:dyDescent="0.25">
      <c r="O3387">
        <v>1</v>
      </c>
      <c r="S3387" t="e">
        <v>#DIV/0!</v>
      </c>
      <c r="T3387" t="s">
        <v>82</v>
      </c>
    </row>
    <row r="3388" spans="15:20" x14ac:dyDescent="0.25">
      <c r="O3388">
        <v>1</v>
      </c>
      <c r="S3388" t="e">
        <v>#DIV/0!</v>
      </c>
      <c r="T3388" t="s">
        <v>82</v>
      </c>
    </row>
    <row r="3389" spans="15:20" x14ac:dyDescent="0.25">
      <c r="O3389">
        <v>1</v>
      </c>
      <c r="S3389" t="e">
        <v>#DIV/0!</v>
      </c>
      <c r="T3389" t="s">
        <v>82</v>
      </c>
    </row>
    <row r="3390" spans="15:20" x14ac:dyDescent="0.25">
      <c r="O3390">
        <v>1</v>
      </c>
      <c r="S3390" t="e">
        <v>#DIV/0!</v>
      </c>
      <c r="T3390" t="s">
        <v>82</v>
      </c>
    </row>
    <row r="3391" spans="15:20" x14ac:dyDescent="0.25">
      <c r="O3391">
        <v>1</v>
      </c>
      <c r="S3391" t="e">
        <v>#DIV/0!</v>
      </c>
      <c r="T3391" t="s">
        <v>82</v>
      </c>
    </row>
    <row r="3392" spans="15:20" x14ac:dyDescent="0.25">
      <c r="O3392">
        <v>1</v>
      </c>
      <c r="S3392" t="e">
        <v>#DIV/0!</v>
      </c>
      <c r="T3392" t="s">
        <v>82</v>
      </c>
    </row>
    <row r="3393" spans="15:20" x14ac:dyDescent="0.25">
      <c r="O3393">
        <v>1</v>
      </c>
      <c r="S3393" t="e">
        <v>#DIV/0!</v>
      </c>
      <c r="T3393" t="s">
        <v>82</v>
      </c>
    </row>
    <row r="3394" spans="15:20" x14ac:dyDescent="0.25">
      <c r="O3394">
        <v>1</v>
      </c>
      <c r="S3394" t="e">
        <v>#DIV/0!</v>
      </c>
      <c r="T3394" t="s">
        <v>82</v>
      </c>
    </row>
    <row r="3395" spans="15:20" x14ac:dyDescent="0.25">
      <c r="O3395">
        <v>1</v>
      </c>
      <c r="S3395" t="e">
        <v>#DIV/0!</v>
      </c>
      <c r="T3395" t="s">
        <v>82</v>
      </c>
    </row>
    <row r="3396" spans="15:20" x14ac:dyDescent="0.25">
      <c r="O3396">
        <v>1</v>
      </c>
      <c r="S3396" t="e">
        <v>#DIV/0!</v>
      </c>
      <c r="T3396" t="s">
        <v>82</v>
      </c>
    </row>
    <row r="3397" spans="15:20" x14ac:dyDescent="0.25">
      <c r="O3397">
        <v>1</v>
      </c>
      <c r="S3397" t="e">
        <v>#DIV/0!</v>
      </c>
      <c r="T3397" t="s">
        <v>82</v>
      </c>
    </row>
    <row r="3398" spans="15:20" x14ac:dyDescent="0.25">
      <c r="O3398">
        <v>1</v>
      </c>
      <c r="S3398" t="e">
        <v>#DIV/0!</v>
      </c>
      <c r="T3398" t="s">
        <v>82</v>
      </c>
    </row>
    <row r="3399" spans="15:20" x14ac:dyDescent="0.25">
      <c r="O3399">
        <v>1</v>
      </c>
      <c r="S3399" t="e">
        <v>#DIV/0!</v>
      </c>
      <c r="T3399" t="s">
        <v>82</v>
      </c>
    </row>
    <row r="3400" spans="15:20" x14ac:dyDescent="0.25">
      <c r="O3400">
        <v>1</v>
      </c>
      <c r="S3400" t="e">
        <v>#DIV/0!</v>
      </c>
      <c r="T3400" t="s">
        <v>82</v>
      </c>
    </row>
    <row r="3401" spans="15:20" x14ac:dyDescent="0.25">
      <c r="O3401">
        <v>1</v>
      </c>
      <c r="S3401" t="e">
        <v>#DIV/0!</v>
      </c>
      <c r="T3401" t="s">
        <v>82</v>
      </c>
    </row>
    <row r="3402" spans="15:20" x14ac:dyDescent="0.25">
      <c r="O3402">
        <v>1</v>
      </c>
      <c r="S3402" t="e">
        <v>#DIV/0!</v>
      </c>
      <c r="T3402" t="s">
        <v>82</v>
      </c>
    </row>
    <row r="3403" spans="15:20" x14ac:dyDescent="0.25">
      <c r="O3403">
        <v>1</v>
      </c>
      <c r="S3403" t="e">
        <v>#DIV/0!</v>
      </c>
      <c r="T3403" t="s">
        <v>82</v>
      </c>
    </row>
    <row r="3404" spans="15:20" x14ac:dyDescent="0.25">
      <c r="O3404">
        <v>1</v>
      </c>
      <c r="S3404" t="e">
        <v>#DIV/0!</v>
      </c>
      <c r="T3404" t="s">
        <v>82</v>
      </c>
    </row>
    <row r="3405" spans="15:20" x14ac:dyDescent="0.25">
      <c r="O3405">
        <v>1</v>
      </c>
      <c r="S3405" t="e">
        <v>#DIV/0!</v>
      </c>
      <c r="T3405" t="s">
        <v>82</v>
      </c>
    </row>
    <row r="3406" spans="15:20" x14ac:dyDescent="0.25">
      <c r="O3406">
        <v>1</v>
      </c>
      <c r="S3406" t="e">
        <v>#DIV/0!</v>
      </c>
      <c r="T3406" t="s">
        <v>82</v>
      </c>
    </row>
    <row r="3407" spans="15:20" x14ac:dyDescent="0.25">
      <c r="O3407">
        <v>1</v>
      </c>
      <c r="S3407" t="e">
        <v>#DIV/0!</v>
      </c>
      <c r="T3407" t="s">
        <v>82</v>
      </c>
    </row>
    <row r="3408" spans="15:20" x14ac:dyDescent="0.25">
      <c r="O3408">
        <v>1</v>
      </c>
      <c r="S3408" t="e">
        <v>#DIV/0!</v>
      </c>
      <c r="T3408" t="s">
        <v>82</v>
      </c>
    </row>
    <row r="3409" spans="15:20" x14ac:dyDescent="0.25">
      <c r="O3409">
        <v>1</v>
      </c>
      <c r="S3409" t="e">
        <v>#DIV/0!</v>
      </c>
      <c r="T3409" t="s">
        <v>82</v>
      </c>
    </row>
    <row r="3410" spans="15:20" x14ac:dyDescent="0.25">
      <c r="O3410">
        <v>1</v>
      </c>
      <c r="S3410" t="e">
        <v>#DIV/0!</v>
      </c>
      <c r="T3410" t="s">
        <v>82</v>
      </c>
    </row>
    <row r="3411" spans="15:20" x14ac:dyDescent="0.25">
      <c r="O3411">
        <v>1</v>
      </c>
      <c r="S3411" t="e">
        <v>#DIV/0!</v>
      </c>
      <c r="T3411" t="s">
        <v>82</v>
      </c>
    </row>
    <row r="3412" spans="15:20" x14ac:dyDescent="0.25">
      <c r="O3412">
        <v>1</v>
      </c>
      <c r="S3412" t="e">
        <v>#DIV/0!</v>
      </c>
      <c r="T3412" t="s">
        <v>82</v>
      </c>
    </row>
    <row r="3413" spans="15:20" x14ac:dyDescent="0.25">
      <c r="O3413">
        <v>1</v>
      </c>
      <c r="S3413" t="e">
        <v>#DIV/0!</v>
      </c>
      <c r="T3413" t="s">
        <v>82</v>
      </c>
    </row>
    <row r="3414" spans="15:20" x14ac:dyDescent="0.25">
      <c r="O3414">
        <v>1</v>
      </c>
      <c r="S3414" t="e">
        <v>#DIV/0!</v>
      </c>
      <c r="T3414" t="s">
        <v>82</v>
      </c>
    </row>
    <row r="3415" spans="15:20" x14ac:dyDescent="0.25">
      <c r="O3415">
        <v>1</v>
      </c>
      <c r="S3415" t="e">
        <v>#DIV/0!</v>
      </c>
      <c r="T3415" t="s">
        <v>82</v>
      </c>
    </row>
    <row r="3416" spans="15:20" x14ac:dyDescent="0.25">
      <c r="O3416">
        <v>1</v>
      </c>
      <c r="S3416" t="e">
        <v>#DIV/0!</v>
      </c>
      <c r="T3416" t="s">
        <v>82</v>
      </c>
    </row>
    <row r="3417" spans="15:20" x14ac:dyDescent="0.25">
      <c r="O3417">
        <v>1</v>
      </c>
      <c r="S3417" t="e">
        <v>#DIV/0!</v>
      </c>
      <c r="T3417" t="s">
        <v>82</v>
      </c>
    </row>
    <row r="3418" spans="15:20" x14ac:dyDescent="0.25">
      <c r="O3418">
        <v>1</v>
      </c>
      <c r="S3418" t="e">
        <v>#DIV/0!</v>
      </c>
      <c r="T3418" t="s">
        <v>82</v>
      </c>
    </row>
    <row r="3419" spans="15:20" x14ac:dyDescent="0.25">
      <c r="O3419">
        <v>1</v>
      </c>
      <c r="S3419" t="e">
        <v>#DIV/0!</v>
      </c>
      <c r="T3419" t="s">
        <v>82</v>
      </c>
    </row>
    <row r="3420" spans="15:20" x14ac:dyDescent="0.25">
      <c r="O3420">
        <v>1</v>
      </c>
      <c r="S3420" t="e">
        <v>#DIV/0!</v>
      </c>
      <c r="T3420" t="s">
        <v>82</v>
      </c>
    </row>
    <row r="3421" spans="15:20" x14ac:dyDescent="0.25">
      <c r="O3421">
        <v>1</v>
      </c>
      <c r="S3421" t="e">
        <v>#DIV/0!</v>
      </c>
      <c r="T3421" t="s">
        <v>82</v>
      </c>
    </row>
    <row r="3422" spans="15:20" x14ac:dyDescent="0.25">
      <c r="O3422">
        <v>1</v>
      </c>
      <c r="S3422" t="e">
        <v>#DIV/0!</v>
      </c>
      <c r="T3422" t="s">
        <v>82</v>
      </c>
    </row>
    <row r="3423" spans="15:20" x14ac:dyDescent="0.25">
      <c r="O3423">
        <v>1</v>
      </c>
      <c r="S3423" t="e">
        <v>#DIV/0!</v>
      </c>
      <c r="T3423" t="s">
        <v>82</v>
      </c>
    </row>
    <row r="3424" spans="15:20" x14ac:dyDescent="0.25">
      <c r="O3424">
        <v>1</v>
      </c>
      <c r="S3424" t="e">
        <v>#DIV/0!</v>
      </c>
      <c r="T3424" t="s">
        <v>82</v>
      </c>
    </row>
    <row r="3425" spans="15:20" x14ac:dyDescent="0.25">
      <c r="O3425">
        <v>1</v>
      </c>
      <c r="S3425" t="e">
        <v>#DIV/0!</v>
      </c>
      <c r="T3425" t="s">
        <v>82</v>
      </c>
    </row>
    <row r="3426" spans="15:20" x14ac:dyDescent="0.25">
      <c r="O3426">
        <v>1</v>
      </c>
      <c r="S3426" t="e">
        <v>#DIV/0!</v>
      </c>
      <c r="T3426" t="s">
        <v>82</v>
      </c>
    </row>
    <row r="3427" spans="15:20" x14ac:dyDescent="0.25">
      <c r="O3427">
        <v>1</v>
      </c>
      <c r="S3427" t="e">
        <v>#DIV/0!</v>
      </c>
      <c r="T3427" t="s">
        <v>82</v>
      </c>
    </row>
    <row r="3428" spans="15:20" x14ac:dyDescent="0.25">
      <c r="O3428">
        <v>1</v>
      </c>
      <c r="S3428" t="e">
        <v>#DIV/0!</v>
      </c>
      <c r="T3428" t="s">
        <v>82</v>
      </c>
    </row>
    <row r="3429" spans="15:20" x14ac:dyDescent="0.25">
      <c r="O3429">
        <v>1</v>
      </c>
      <c r="S3429" t="e">
        <v>#DIV/0!</v>
      </c>
      <c r="T3429" t="s">
        <v>82</v>
      </c>
    </row>
    <row r="3430" spans="15:20" x14ac:dyDescent="0.25">
      <c r="O3430">
        <v>1</v>
      </c>
      <c r="S3430" t="e">
        <v>#DIV/0!</v>
      </c>
      <c r="T3430" t="s">
        <v>82</v>
      </c>
    </row>
    <row r="3431" spans="15:20" x14ac:dyDescent="0.25">
      <c r="O3431">
        <v>1</v>
      </c>
      <c r="S3431" t="e">
        <v>#DIV/0!</v>
      </c>
      <c r="T3431" t="s">
        <v>82</v>
      </c>
    </row>
    <row r="3432" spans="15:20" x14ac:dyDescent="0.25">
      <c r="O3432">
        <v>1</v>
      </c>
      <c r="S3432" t="e">
        <v>#DIV/0!</v>
      </c>
      <c r="T3432" t="s">
        <v>82</v>
      </c>
    </row>
    <row r="3433" spans="15:20" x14ac:dyDescent="0.25">
      <c r="O3433">
        <v>1</v>
      </c>
      <c r="S3433" t="e">
        <v>#DIV/0!</v>
      </c>
      <c r="T3433" t="s">
        <v>82</v>
      </c>
    </row>
    <row r="3434" spans="15:20" x14ac:dyDescent="0.25">
      <c r="O3434">
        <v>1</v>
      </c>
      <c r="S3434" t="e">
        <v>#DIV/0!</v>
      </c>
      <c r="T3434" t="s">
        <v>82</v>
      </c>
    </row>
    <row r="3435" spans="15:20" x14ac:dyDescent="0.25">
      <c r="O3435">
        <v>1</v>
      </c>
      <c r="S3435" t="e">
        <v>#DIV/0!</v>
      </c>
      <c r="T3435" t="s">
        <v>82</v>
      </c>
    </row>
    <row r="3436" spans="15:20" x14ac:dyDescent="0.25">
      <c r="O3436">
        <v>1</v>
      </c>
      <c r="S3436" t="e">
        <v>#DIV/0!</v>
      </c>
      <c r="T3436" t="s">
        <v>82</v>
      </c>
    </row>
    <row r="3437" spans="15:20" x14ac:dyDescent="0.25">
      <c r="O3437">
        <v>1</v>
      </c>
      <c r="S3437" t="e">
        <v>#DIV/0!</v>
      </c>
      <c r="T3437" t="s">
        <v>82</v>
      </c>
    </row>
    <row r="3438" spans="15:20" x14ac:dyDescent="0.25">
      <c r="O3438">
        <v>1</v>
      </c>
      <c r="S3438" t="e">
        <v>#DIV/0!</v>
      </c>
      <c r="T3438" t="s">
        <v>82</v>
      </c>
    </row>
    <row r="3439" spans="15:20" x14ac:dyDescent="0.25">
      <c r="O3439">
        <v>1</v>
      </c>
      <c r="S3439" t="e">
        <v>#DIV/0!</v>
      </c>
      <c r="T3439" t="s">
        <v>82</v>
      </c>
    </row>
    <row r="3440" spans="15:20" x14ac:dyDescent="0.25">
      <c r="O3440">
        <v>1</v>
      </c>
      <c r="S3440" t="e">
        <v>#DIV/0!</v>
      </c>
      <c r="T3440" t="s">
        <v>82</v>
      </c>
    </row>
    <row r="3441" spans="15:20" x14ac:dyDescent="0.25">
      <c r="O3441">
        <v>1</v>
      </c>
      <c r="S3441" t="e">
        <v>#DIV/0!</v>
      </c>
      <c r="T3441" t="s">
        <v>82</v>
      </c>
    </row>
    <row r="3442" spans="15:20" x14ac:dyDescent="0.25">
      <c r="O3442">
        <v>1</v>
      </c>
      <c r="S3442" t="e">
        <v>#DIV/0!</v>
      </c>
      <c r="T3442" t="s">
        <v>82</v>
      </c>
    </row>
    <row r="3443" spans="15:20" x14ac:dyDescent="0.25">
      <c r="O3443">
        <v>1</v>
      </c>
      <c r="S3443" t="e">
        <v>#DIV/0!</v>
      </c>
      <c r="T3443" t="s">
        <v>82</v>
      </c>
    </row>
    <row r="3444" spans="15:20" x14ac:dyDescent="0.25">
      <c r="O3444">
        <v>1</v>
      </c>
      <c r="S3444" t="e">
        <v>#DIV/0!</v>
      </c>
      <c r="T3444" t="s">
        <v>82</v>
      </c>
    </row>
    <row r="3445" spans="15:20" x14ac:dyDescent="0.25">
      <c r="O3445">
        <v>1</v>
      </c>
      <c r="S3445" t="e">
        <v>#DIV/0!</v>
      </c>
      <c r="T3445" t="s">
        <v>82</v>
      </c>
    </row>
    <row r="3446" spans="15:20" x14ac:dyDescent="0.25">
      <c r="O3446">
        <v>1</v>
      </c>
      <c r="S3446" t="e">
        <v>#DIV/0!</v>
      </c>
      <c r="T3446" t="s">
        <v>82</v>
      </c>
    </row>
    <row r="3447" spans="15:20" x14ac:dyDescent="0.25">
      <c r="O3447">
        <v>1</v>
      </c>
      <c r="S3447" t="e">
        <v>#DIV/0!</v>
      </c>
      <c r="T3447" t="s">
        <v>82</v>
      </c>
    </row>
    <row r="3448" spans="15:20" x14ac:dyDescent="0.25">
      <c r="O3448">
        <v>1</v>
      </c>
      <c r="S3448" t="e">
        <v>#DIV/0!</v>
      </c>
      <c r="T3448" t="s">
        <v>82</v>
      </c>
    </row>
    <row r="3449" spans="15:20" x14ac:dyDescent="0.25">
      <c r="O3449">
        <v>1</v>
      </c>
      <c r="S3449" t="e">
        <v>#DIV/0!</v>
      </c>
      <c r="T3449" t="s">
        <v>82</v>
      </c>
    </row>
    <row r="3450" spans="15:20" x14ac:dyDescent="0.25">
      <c r="O3450">
        <v>1</v>
      </c>
      <c r="S3450" t="e">
        <v>#DIV/0!</v>
      </c>
      <c r="T3450" t="s">
        <v>82</v>
      </c>
    </row>
    <row r="3451" spans="15:20" x14ac:dyDescent="0.25">
      <c r="O3451">
        <v>1</v>
      </c>
      <c r="S3451" t="e">
        <v>#DIV/0!</v>
      </c>
      <c r="T3451" t="s">
        <v>82</v>
      </c>
    </row>
    <row r="3452" spans="15:20" x14ac:dyDescent="0.25">
      <c r="O3452">
        <v>1</v>
      </c>
      <c r="S3452" t="e">
        <v>#DIV/0!</v>
      </c>
      <c r="T3452" t="s">
        <v>82</v>
      </c>
    </row>
    <row r="3453" spans="15:20" x14ac:dyDescent="0.25">
      <c r="O3453">
        <v>1</v>
      </c>
      <c r="S3453" t="e">
        <v>#DIV/0!</v>
      </c>
      <c r="T3453" t="s">
        <v>82</v>
      </c>
    </row>
    <row r="3454" spans="15:20" x14ac:dyDescent="0.25">
      <c r="O3454">
        <v>1</v>
      </c>
      <c r="S3454" t="e">
        <v>#DIV/0!</v>
      </c>
      <c r="T3454" t="s">
        <v>82</v>
      </c>
    </row>
    <row r="3455" spans="15:20" x14ac:dyDescent="0.25">
      <c r="O3455">
        <v>1</v>
      </c>
      <c r="S3455" t="e">
        <v>#DIV/0!</v>
      </c>
      <c r="T3455" t="s">
        <v>82</v>
      </c>
    </row>
    <row r="3456" spans="15:20" x14ac:dyDescent="0.25">
      <c r="O3456">
        <v>1</v>
      </c>
      <c r="S3456" t="e">
        <v>#DIV/0!</v>
      </c>
      <c r="T3456" t="s">
        <v>82</v>
      </c>
    </row>
    <row r="3457" spans="15:20" x14ac:dyDescent="0.25">
      <c r="O3457">
        <v>1</v>
      </c>
      <c r="S3457" t="e">
        <v>#DIV/0!</v>
      </c>
      <c r="T3457" t="s">
        <v>82</v>
      </c>
    </row>
    <row r="3458" spans="15:20" x14ac:dyDescent="0.25">
      <c r="O3458">
        <v>1</v>
      </c>
      <c r="S3458" t="e">
        <v>#DIV/0!</v>
      </c>
      <c r="T3458" t="s">
        <v>82</v>
      </c>
    </row>
    <row r="3459" spans="15:20" x14ac:dyDescent="0.25">
      <c r="O3459">
        <v>1</v>
      </c>
      <c r="S3459" t="e">
        <v>#DIV/0!</v>
      </c>
      <c r="T3459" t="s">
        <v>82</v>
      </c>
    </row>
    <row r="3460" spans="15:20" x14ac:dyDescent="0.25">
      <c r="O3460">
        <v>1</v>
      </c>
      <c r="S3460" t="e">
        <v>#DIV/0!</v>
      </c>
      <c r="T3460" t="s">
        <v>82</v>
      </c>
    </row>
    <row r="3461" spans="15:20" x14ac:dyDescent="0.25">
      <c r="O3461">
        <v>1</v>
      </c>
      <c r="S3461" t="e">
        <v>#DIV/0!</v>
      </c>
      <c r="T3461" t="s">
        <v>82</v>
      </c>
    </row>
    <row r="3462" spans="15:20" x14ac:dyDescent="0.25">
      <c r="O3462">
        <v>1</v>
      </c>
      <c r="S3462" t="e">
        <v>#DIV/0!</v>
      </c>
      <c r="T3462" t="s">
        <v>82</v>
      </c>
    </row>
    <row r="3463" spans="15:20" x14ac:dyDescent="0.25">
      <c r="O3463">
        <v>1</v>
      </c>
      <c r="S3463" t="e">
        <v>#DIV/0!</v>
      </c>
      <c r="T3463" t="s">
        <v>82</v>
      </c>
    </row>
    <row r="3464" spans="15:20" x14ac:dyDescent="0.25">
      <c r="O3464">
        <v>1</v>
      </c>
      <c r="S3464" t="e">
        <v>#DIV/0!</v>
      </c>
      <c r="T3464" t="s">
        <v>82</v>
      </c>
    </row>
    <row r="3465" spans="15:20" x14ac:dyDescent="0.25">
      <c r="O3465">
        <v>1</v>
      </c>
      <c r="S3465" t="e">
        <v>#DIV/0!</v>
      </c>
      <c r="T3465" t="s">
        <v>82</v>
      </c>
    </row>
    <row r="3466" spans="15:20" x14ac:dyDescent="0.25">
      <c r="O3466">
        <v>1</v>
      </c>
      <c r="S3466" t="e">
        <v>#DIV/0!</v>
      </c>
      <c r="T3466" t="s">
        <v>82</v>
      </c>
    </row>
    <row r="3467" spans="15:20" x14ac:dyDescent="0.25">
      <c r="O3467">
        <v>1</v>
      </c>
      <c r="S3467" t="e">
        <v>#DIV/0!</v>
      </c>
      <c r="T3467" t="s">
        <v>82</v>
      </c>
    </row>
    <row r="3468" spans="15:20" x14ac:dyDescent="0.25">
      <c r="O3468">
        <v>1</v>
      </c>
      <c r="S3468" t="e">
        <v>#DIV/0!</v>
      </c>
      <c r="T3468" t="s">
        <v>82</v>
      </c>
    </row>
    <row r="3469" spans="15:20" x14ac:dyDescent="0.25">
      <c r="O3469">
        <v>1</v>
      </c>
      <c r="S3469" t="e">
        <v>#DIV/0!</v>
      </c>
      <c r="T3469" t="s">
        <v>82</v>
      </c>
    </row>
    <row r="3470" spans="15:20" x14ac:dyDescent="0.25">
      <c r="O3470">
        <v>1</v>
      </c>
      <c r="S3470" t="e">
        <v>#DIV/0!</v>
      </c>
      <c r="T3470" t="s">
        <v>82</v>
      </c>
    </row>
    <row r="3471" spans="15:20" x14ac:dyDescent="0.25">
      <c r="O3471">
        <v>1</v>
      </c>
      <c r="S3471" t="e">
        <v>#DIV/0!</v>
      </c>
      <c r="T3471" t="s">
        <v>82</v>
      </c>
    </row>
    <row r="3472" spans="15:20" x14ac:dyDescent="0.25">
      <c r="O3472">
        <v>1</v>
      </c>
      <c r="S3472" t="e">
        <v>#DIV/0!</v>
      </c>
      <c r="T3472" t="s">
        <v>82</v>
      </c>
    </row>
    <row r="3473" spans="15:20" x14ac:dyDescent="0.25">
      <c r="O3473">
        <v>1</v>
      </c>
      <c r="S3473" t="e">
        <v>#DIV/0!</v>
      </c>
      <c r="T3473" t="s">
        <v>82</v>
      </c>
    </row>
    <row r="3474" spans="15:20" x14ac:dyDescent="0.25">
      <c r="O3474">
        <v>1</v>
      </c>
      <c r="S3474" t="e">
        <v>#DIV/0!</v>
      </c>
      <c r="T3474" t="s">
        <v>82</v>
      </c>
    </row>
    <row r="3475" spans="15:20" x14ac:dyDescent="0.25">
      <c r="O3475">
        <v>1</v>
      </c>
      <c r="S3475" t="e">
        <v>#DIV/0!</v>
      </c>
      <c r="T3475" t="s">
        <v>82</v>
      </c>
    </row>
    <row r="3476" spans="15:20" x14ac:dyDescent="0.25">
      <c r="O3476">
        <v>1</v>
      </c>
      <c r="S3476" t="e">
        <v>#DIV/0!</v>
      </c>
      <c r="T3476" t="s">
        <v>82</v>
      </c>
    </row>
    <row r="3477" spans="15:20" x14ac:dyDescent="0.25">
      <c r="O3477">
        <v>1</v>
      </c>
      <c r="S3477" t="e">
        <v>#DIV/0!</v>
      </c>
      <c r="T3477" t="s">
        <v>82</v>
      </c>
    </row>
    <row r="3478" spans="15:20" x14ac:dyDescent="0.25">
      <c r="O3478">
        <v>1</v>
      </c>
      <c r="S3478" t="e">
        <v>#DIV/0!</v>
      </c>
      <c r="T3478" t="s">
        <v>82</v>
      </c>
    </row>
    <row r="3479" spans="15:20" x14ac:dyDescent="0.25">
      <c r="O3479">
        <v>1</v>
      </c>
      <c r="S3479" t="e">
        <v>#DIV/0!</v>
      </c>
      <c r="T3479" t="s">
        <v>82</v>
      </c>
    </row>
    <row r="3480" spans="15:20" x14ac:dyDescent="0.25">
      <c r="O3480">
        <v>1</v>
      </c>
      <c r="S3480" t="e">
        <v>#DIV/0!</v>
      </c>
      <c r="T3480" t="s">
        <v>82</v>
      </c>
    </row>
    <row r="3481" spans="15:20" x14ac:dyDescent="0.25">
      <c r="O3481">
        <v>1</v>
      </c>
      <c r="S3481" t="e">
        <v>#DIV/0!</v>
      </c>
      <c r="T3481" t="s">
        <v>82</v>
      </c>
    </row>
    <row r="3482" spans="15:20" x14ac:dyDescent="0.25">
      <c r="O3482">
        <v>1</v>
      </c>
      <c r="S3482" t="e">
        <v>#DIV/0!</v>
      </c>
      <c r="T3482" t="s">
        <v>82</v>
      </c>
    </row>
    <row r="3483" spans="15:20" x14ac:dyDescent="0.25">
      <c r="O3483">
        <v>1</v>
      </c>
      <c r="S3483" t="e">
        <v>#DIV/0!</v>
      </c>
      <c r="T3483" t="s">
        <v>82</v>
      </c>
    </row>
    <row r="3484" spans="15:20" x14ac:dyDescent="0.25">
      <c r="O3484">
        <v>1</v>
      </c>
      <c r="S3484" t="e">
        <v>#DIV/0!</v>
      </c>
      <c r="T3484" t="s">
        <v>82</v>
      </c>
    </row>
    <row r="3485" spans="15:20" x14ac:dyDescent="0.25">
      <c r="O3485">
        <v>1</v>
      </c>
      <c r="S3485" t="e">
        <v>#DIV/0!</v>
      </c>
      <c r="T3485" t="s">
        <v>82</v>
      </c>
    </row>
    <row r="3486" spans="15:20" x14ac:dyDescent="0.25">
      <c r="O3486">
        <v>1</v>
      </c>
      <c r="S3486" t="e">
        <v>#DIV/0!</v>
      </c>
      <c r="T3486" t="s">
        <v>82</v>
      </c>
    </row>
    <row r="3487" spans="15:20" x14ac:dyDescent="0.25">
      <c r="O3487">
        <v>1</v>
      </c>
      <c r="S3487" t="e">
        <v>#DIV/0!</v>
      </c>
      <c r="T3487" t="s">
        <v>82</v>
      </c>
    </row>
    <row r="3488" spans="15:20" x14ac:dyDescent="0.25">
      <c r="O3488">
        <v>1</v>
      </c>
      <c r="S3488" t="e">
        <v>#DIV/0!</v>
      </c>
      <c r="T3488" t="s">
        <v>82</v>
      </c>
    </row>
    <row r="3489" spans="15:20" x14ac:dyDescent="0.25">
      <c r="O3489">
        <v>1</v>
      </c>
      <c r="S3489" t="e">
        <v>#DIV/0!</v>
      </c>
      <c r="T3489" t="s">
        <v>82</v>
      </c>
    </row>
    <row r="3490" spans="15:20" x14ac:dyDescent="0.25">
      <c r="O3490">
        <v>1</v>
      </c>
      <c r="S3490" t="e">
        <v>#DIV/0!</v>
      </c>
      <c r="T3490" t="s">
        <v>82</v>
      </c>
    </row>
    <row r="3491" spans="15:20" x14ac:dyDescent="0.25">
      <c r="O3491">
        <v>1</v>
      </c>
      <c r="S3491" t="e">
        <v>#DIV/0!</v>
      </c>
      <c r="T3491" t="s">
        <v>82</v>
      </c>
    </row>
    <row r="3492" spans="15:20" x14ac:dyDescent="0.25">
      <c r="O3492">
        <v>1</v>
      </c>
      <c r="S3492" t="e">
        <v>#DIV/0!</v>
      </c>
      <c r="T3492" t="s">
        <v>82</v>
      </c>
    </row>
    <row r="3493" spans="15:20" x14ac:dyDescent="0.25">
      <c r="O3493">
        <v>1</v>
      </c>
      <c r="S3493" t="e">
        <v>#DIV/0!</v>
      </c>
      <c r="T3493" t="s">
        <v>82</v>
      </c>
    </row>
    <row r="3494" spans="15:20" x14ac:dyDescent="0.25">
      <c r="O3494">
        <v>1</v>
      </c>
      <c r="S3494" t="e">
        <v>#DIV/0!</v>
      </c>
      <c r="T3494" t="s">
        <v>82</v>
      </c>
    </row>
    <row r="3495" spans="15:20" x14ac:dyDescent="0.25">
      <c r="O3495">
        <v>1</v>
      </c>
      <c r="S3495" t="e">
        <v>#DIV/0!</v>
      </c>
      <c r="T3495" t="s">
        <v>82</v>
      </c>
    </row>
    <row r="3496" spans="15:20" x14ac:dyDescent="0.25">
      <c r="O3496">
        <v>1</v>
      </c>
      <c r="S3496" t="e">
        <v>#DIV/0!</v>
      </c>
      <c r="T3496" t="s">
        <v>82</v>
      </c>
    </row>
    <row r="3497" spans="15:20" x14ac:dyDescent="0.25">
      <c r="O3497">
        <v>1</v>
      </c>
      <c r="S3497" t="e">
        <v>#DIV/0!</v>
      </c>
      <c r="T3497" t="s">
        <v>82</v>
      </c>
    </row>
    <row r="3498" spans="15:20" x14ac:dyDescent="0.25">
      <c r="O3498">
        <v>1</v>
      </c>
      <c r="S3498" t="e">
        <v>#DIV/0!</v>
      </c>
      <c r="T3498" t="s">
        <v>82</v>
      </c>
    </row>
    <row r="3499" spans="15:20" x14ac:dyDescent="0.25">
      <c r="O3499">
        <v>1</v>
      </c>
      <c r="S3499" t="e">
        <v>#DIV/0!</v>
      </c>
      <c r="T3499" t="s">
        <v>82</v>
      </c>
    </row>
    <row r="3500" spans="15:20" x14ac:dyDescent="0.25">
      <c r="O3500">
        <v>1</v>
      </c>
      <c r="S3500" t="e">
        <v>#DIV/0!</v>
      </c>
      <c r="T3500" t="s">
        <v>82</v>
      </c>
    </row>
    <row r="3501" spans="15:20" x14ac:dyDescent="0.25">
      <c r="O3501">
        <v>1</v>
      </c>
      <c r="S3501" t="e">
        <v>#DIV/0!</v>
      </c>
      <c r="T3501" t="s">
        <v>82</v>
      </c>
    </row>
    <row r="3502" spans="15:20" x14ac:dyDescent="0.25">
      <c r="O3502">
        <v>1</v>
      </c>
      <c r="S3502" t="e">
        <v>#DIV/0!</v>
      </c>
      <c r="T3502" t="s">
        <v>82</v>
      </c>
    </row>
    <row r="3503" spans="15:20" x14ac:dyDescent="0.25">
      <c r="O3503">
        <v>1</v>
      </c>
      <c r="S3503" t="e">
        <v>#DIV/0!</v>
      </c>
      <c r="T3503" t="s">
        <v>82</v>
      </c>
    </row>
    <row r="3504" spans="15:20" x14ac:dyDescent="0.25">
      <c r="O3504">
        <v>1</v>
      </c>
      <c r="S3504" t="e">
        <v>#DIV/0!</v>
      </c>
      <c r="T3504" t="s">
        <v>82</v>
      </c>
    </row>
    <row r="3505" spans="15:20" x14ac:dyDescent="0.25">
      <c r="O3505">
        <v>1</v>
      </c>
      <c r="S3505" t="e">
        <v>#DIV/0!</v>
      </c>
      <c r="T3505" t="s">
        <v>82</v>
      </c>
    </row>
    <row r="3506" spans="15:20" x14ac:dyDescent="0.25">
      <c r="O3506">
        <v>1</v>
      </c>
      <c r="S3506" t="e">
        <v>#DIV/0!</v>
      </c>
      <c r="T3506" t="s">
        <v>82</v>
      </c>
    </row>
    <row r="3507" spans="15:20" x14ac:dyDescent="0.25">
      <c r="O3507">
        <v>1</v>
      </c>
      <c r="S3507" t="e">
        <v>#DIV/0!</v>
      </c>
      <c r="T3507" t="s">
        <v>82</v>
      </c>
    </row>
    <row r="3508" spans="15:20" x14ac:dyDescent="0.25">
      <c r="O3508">
        <v>1</v>
      </c>
      <c r="S3508" t="e">
        <v>#DIV/0!</v>
      </c>
      <c r="T3508" t="s">
        <v>82</v>
      </c>
    </row>
    <row r="3509" spans="15:20" x14ac:dyDescent="0.25">
      <c r="O3509">
        <v>1</v>
      </c>
      <c r="S3509" t="e">
        <v>#DIV/0!</v>
      </c>
      <c r="T3509" t="s">
        <v>82</v>
      </c>
    </row>
    <row r="3510" spans="15:20" x14ac:dyDescent="0.25">
      <c r="O3510">
        <v>1</v>
      </c>
      <c r="S3510" t="e">
        <v>#DIV/0!</v>
      </c>
      <c r="T3510" t="s">
        <v>82</v>
      </c>
    </row>
    <row r="3511" spans="15:20" x14ac:dyDescent="0.25">
      <c r="O3511">
        <v>1</v>
      </c>
      <c r="S3511" t="e">
        <v>#DIV/0!</v>
      </c>
      <c r="T3511" t="s">
        <v>82</v>
      </c>
    </row>
    <row r="3512" spans="15:20" x14ac:dyDescent="0.25">
      <c r="O3512">
        <v>1</v>
      </c>
      <c r="S3512" t="e">
        <v>#DIV/0!</v>
      </c>
      <c r="T3512" t="s">
        <v>82</v>
      </c>
    </row>
    <row r="3513" spans="15:20" x14ac:dyDescent="0.25">
      <c r="O3513">
        <v>1</v>
      </c>
      <c r="S3513" t="e">
        <v>#DIV/0!</v>
      </c>
      <c r="T3513" t="s">
        <v>82</v>
      </c>
    </row>
    <row r="3514" spans="15:20" x14ac:dyDescent="0.25">
      <c r="O3514">
        <v>1</v>
      </c>
      <c r="S3514" t="e">
        <v>#DIV/0!</v>
      </c>
      <c r="T3514" t="s">
        <v>82</v>
      </c>
    </row>
    <row r="3515" spans="15:20" x14ac:dyDescent="0.25">
      <c r="O3515">
        <v>1</v>
      </c>
      <c r="S3515" t="e">
        <v>#DIV/0!</v>
      </c>
      <c r="T3515" t="s">
        <v>82</v>
      </c>
    </row>
    <row r="3516" spans="15:20" x14ac:dyDescent="0.25">
      <c r="O3516">
        <v>1</v>
      </c>
      <c r="S3516" t="e">
        <v>#DIV/0!</v>
      </c>
      <c r="T3516" t="s">
        <v>82</v>
      </c>
    </row>
    <row r="3517" spans="15:20" x14ac:dyDescent="0.25">
      <c r="O3517">
        <v>1</v>
      </c>
      <c r="S3517" t="e">
        <v>#DIV/0!</v>
      </c>
      <c r="T3517" t="s">
        <v>82</v>
      </c>
    </row>
    <row r="3518" spans="15:20" x14ac:dyDescent="0.25">
      <c r="O3518">
        <v>1</v>
      </c>
      <c r="S3518" t="e">
        <v>#DIV/0!</v>
      </c>
      <c r="T3518" t="s">
        <v>82</v>
      </c>
    </row>
    <row r="3519" spans="15:20" x14ac:dyDescent="0.25">
      <c r="O3519">
        <v>1</v>
      </c>
      <c r="S3519" t="e">
        <v>#DIV/0!</v>
      </c>
      <c r="T3519" t="s">
        <v>82</v>
      </c>
    </row>
    <row r="3520" spans="15:20" x14ac:dyDescent="0.25">
      <c r="O3520">
        <v>1</v>
      </c>
      <c r="S3520" t="e">
        <v>#DIV/0!</v>
      </c>
      <c r="T3520" t="s">
        <v>82</v>
      </c>
    </row>
    <row r="3521" spans="15:20" x14ac:dyDescent="0.25">
      <c r="O3521">
        <v>1</v>
      </c>
      <c r="S3521" t="e">
        <v>#DIV/0!</v>
      </c>
      <c r="T3521" t="s">
        <v>82</v>
      </c>
    </row>
    <row r="3522" spans="15:20" x14ac:dyDescent="0.25">
      <c r="O3522">
        <v>1</v>
      </c>
      <c r="S3522" t="e">
        <v>#DIV/0!</v>
      </c>
      <c r="T3522" t="s">
        <v>82</v>
      </c>
    </row>
    <row r="3523" spans="15:20" x14ac:dyDescent="0.25">
      <c r="O3523">
        <v>1</v>
      </c>
      <c r="S3523" t="e">
        <v>#DIV/0!</v>
      </c>
      <c r="T3523" t="s">
        <v>82</v>
      </c>
    </row>
    <row r="3524" spans="15:20" x14ac:dyDescent="0.25">
      <c r="O3524">
        <v>1</v>
      </c>
      <c r="S3524" t="e">
        <v>#DIV/0!</v>
      </c>
      <c r="T3524" t="s">
        <v>82</v>
      </c>
    </row>
    <row r="3525" spans="15:20" x14ac:dyDescent="0.25">
      <c r="O3525">
        <v>1</v>
      </c>
      <c r="S3525" t="e">
        <v>#DIV/0!</v>
      </c>
      <c r="T3525" t="s">
        <v>82</v>
      </c>
    </row>
    <row r="3526" spans="15:20" x14ac:dyDescent="0.25">
      <c r="O3526">
        <v>1</v>
      </c>
      <c r="S3526" t="e">
        <v>#DIV/0!</v>
      </c>
      <c r="T3526" t="s">
        <v>82</v>
      </c>
    </row>
    <row r="3527" spans="15:20" x14ac:dyDescent="0.25">
      <c r="O3527">
        <v>1</v>
      </c>
      <c r="S3527" t="e">
        <v>#DIV/0!</v>
      </c>
      <c r="T3527" t="s">
        <v>82</v>
      </c>
    </row>
    <row r="3528" spans="15:20" x14ac:dyDescent="0.25">
      <c r="O3528">
        <v>1</v>
      </c>
      <c r="S3528" t="e">
        <v>#DIV/0!</v>
      </c>
      <c r="T3528" t="s">
        <v>82</v>
      </c>
    </row>
    <row r="3529" spans="15:20" x14ac:dyDescent="0.25">
      <c r="O3529">
        <v>1</v>
      </c>
      <c r="S3529" t="e">
        <v>#DIV/0!</v>
      </c>
      <c r="T3529" t="s">
        <v>82</v>
      </c>
    </row>
    <row r="3530" spans="15:20" x14ac:dyDescent="0.25">
      <c r="O3530">
        <v>1</v>
      </c>
      <c r="S3530" t="e">
        <v>#DIV/0!</v>
      </c>
      <c r="T3530" t="s">
        <v>82</v>
      </c>
    </row>
    <row r="3531" spans="15:20" x14ac:dyDescent="0.25">
      <c r="O3531">
        <v>1</v>
      </c>
      <c r="S3531" t="e">
        <v>#DIV/0!</v>
      </c>
      <c r="T3531" t="s">
        <v>82</v>
      </c>
    </row>
    <row r="3532" spans="15:20" x14ac:dyDescent="0.25">
      <c r="O3532">
        <v>1</v>
      </c>
      <c r="S3532" t="e">
        <v>#DIV/0!</v>
      </c>
      <c r="T3532" t="s">
        <v>82</v>
      </c>
    </row>
    <row r="3533" spans="15:20" x14ac:dyDescent="0.25">
      <c r="O3533">
        <v>1</v>
      </c>
      <c r="S3533" t="e">
        <v>#DIV/0!</v>
      </c>
      <c r="T3533" t="s">
        <v>82</v>
      </c>
    </row>
    <row r="3534" spans="15:20" x14ac:dyDescent="0.25">
      <c r="O3534">
        <v>1</v>
      </c>
      <c r="S3534" t="e">
        <v>#DIV/0!</v>
      </c>
      <c r="T3534" t="s">
        <v>82</v>
      </c>
    </row>
    <row r="3535" spans="15:20" x14ac:dyDescent="0.25">
      <c r="O3535">
        <v>1</v>
      </c>
      <c r="S3535" t="e">
        <v>#DIV/0!</v>
      </c>
      <c r="T3535" t="s">
        <v>82</v>
      </c>
    </row>
    <row r="3536" spans="15:20" x14ac:dyDescent="0.25">
      <c r="O3536">
        <v>1</v>
      </c>
      <c r="S3536" t="e">
        <v>#DIV/0!</v>
      </c>
      <c r="T3536" t="s">
        <v>82</v>
      </c>
    </row>
    <row r="3537" spans="15:20" x14ac:dyDescent="0.25">
      <c r="O3537">
        <v>1</v>
      </c>
      <c r="S3537" t="e">
        <v>#DIV/0!</v>
      </c>
      <c r="T3537" t="s">
        <v>82</v>
      </c>
    </row>
    <row r="3538" spans="15:20" x14ac:dyDescent="0.25">
      <c r="O3538">
        <v>1</v>
      </c>
      <c r="S3538" t="e">
        <v>#DIV/0!</v>
      </c>
      <c r="T3538" t="s">
        <v>82</v>
      </c>
    </row>
    <row r="3539" spans="15:20" x14ac:dyDescent="0.25">
      <c r="O3539">
        <v>1</v>
      </c>
      <c r="S3539" t="e">
        <v>#DIV/0!</v>
      </c>
      <c r="T3539" t="s">
        <v>82</v>
      </c>
    </row>
    <row r="3540" spans="15:20" x14ac:dyDescent="0.25">
      <c r="O3540">
        <v>1</v>
      </c>
      <c r="S3540" t="e">
        <v>#DIV/0!</v>
      </c>
      <c r="T3540" t="s">
        <v>82</v>
      </c>
    </row>
    <row r="3541" spans="15:20" x14ac:dyDescent="0.25">
      <c r="O3541">
        <v>1</v>
      </c>
      <c r="S3541" t="e">
        <v>#DIV/0!</v>
      </c>
      <c r="T3541" t="s">
        <v>82</v>
      </c>
    </row>
    <row r="3542" spans="15:20" x14ac:dyDescent="0.25">
      <c r="O3542">
        <v>1</v>
      </c>
      <c r="S3542" t="e">
        <v>#DIV/0!</v>
      </c>
      <c r="T3542" t="s">
        <v>82</v>
      </c>
    </row>
    <row r="3543" spans="15:20" x14ac:dyDescent="0.25">
      <c r="O3543">
        <v>1</v>
      </c>
      <c r="S3543" t="e">
        <v>#DIV/0!</v>
      </c>
      <c r="T3543" t="s">
        <v>82</v>
      </c>
    </row>
    <row r="3544" spans="15:20" x14ac:dyDescent="0.25">
      <c r="O3544">
        <v>1</v>
      </c>
      <c r="S3544" t="e">
        <v>#DIV/0!</v>
      </c>
      <c r="T3544" t="s">
        <v>82</v>
      </c>
    </row>
    <row r="3545" spans="15:20" x14ac:dyDescent="0.25">
      <c r="O3545">
        <v>1</v>
      </c>
      <c r="S3545" t="e">
        <v>#DIV/0!</v>
      </c>
      <c r="T3545" t="s">
        <v>82</v>
      </c>
    </row>
    <row r="3546" spans="15:20" x14ac:dyDescent="0.25">
      <c r="O3546">
        <v>1</v>
      </c>
      <c r="S3546" t="e">
        <v>#DIV/0!</v>
      </c>
      <c r="T3546" t="s">
        <v>82</v>
      </c>
    </row>
    <row r="3547" spans="15:20" x14ac:dyDescent="0.25">
      <c r="O3547">
        <v>1</v>
      </c>
      <c r="S3547" t="e">
        <v>#DIV/0!</v>
      </c>
      <c r="T3547" t="s">
        <v>82</v>
      </c>
    </row>
    <row r="3548" spans="15:20" x14ac:dyDescent="0.25">
      <c r="O3548">
        <v>1</v>
      </c>
      <c r="S3548" t="e">
        <v>#DIV/0!</v>
      </c>
      <c r="T3548" t="s">
        <v>82</v>
      </c>
    </row>
    <row r="3549" spans="15:20" x14ac:dyDescent="0.25">
      <c r="O3549">
        <v>1</v>
      </c>
      <c r="S3549" t="e">
        <v>#DIV/0!</v>
      </c>
      <c r="T3549" t="s">
        <v>82</v>
      </c>
    </row>
    <row r="3550" spans="15:20" x14ac:dyDescent="0.25">
      <c r="O3550">
        <v>1</v>
      </c>
      <c r="S3550" t="e">
        <v>#DIV/0!</v>
      </c>
      <c r="T3550" t="s">
        <v>82</v>
      </c>
    </row>
    <row r="3551" spans="15:20" x14ac:dyDescent="0.25">
      <c r="O3551">
        <v>1</v>
      </c>
      <c r="S3551" t="e">
        <v>#DIV/0!</v>
      </c>
      <c r="T3551" t="s">
        <v>82</v>
      </c>
    </row>
    <row r="3552" spans="15:20" x14ac:dyDescent="0.25">
      <c r="O3552">
        <v>1</v>
      </c>
      <c r="S3552" t="e">
        <v>#DIV/0!</v>
      </c>
      <c r="T3552" t="s">
        <v>82</v>
      </c>
    </row>
    <row r="3553" spans="15:20" x14ac:dyDescent="0.25">
      <c r="O3553">
        <v>1</v>
      </c>
      <c r="S3553" t="e">
        <v>#DIV/0!</v>
      </c>
      <c r="T3553" t="s">
        <v>82</v>
      </c>
    </row>
    <row r="3554" spans="15:20" x14ac:dyDescent="0.25">
      <c r="O3554">
        <v>1</v>
      </c>
      <c r="S3554" t="e">
        <v>#DIV/0!</v>
      </c>
      <c r="T3554" t="s">
        <v>82</v>
      </c>
    </row>
    <row r="3555" spans="15:20" x14ac:dyDescent="0.25">
      <c r="O3555">
        <v>1</v>
      </c>
      <c r="S3555" t="e">
        <v>#DIV/0!</v>
      </c>
      <c r="T3555" t="s">
        <v>82</v>
      </c>
    </row>
    <row r="3556" spans="15:20" x14ac:dyDescent="0.25">
      <c r="O3556">
        <v>1</v>
      </c>
      <c r="S3556" t="e">
        <v>#DIV/0!</v>
      </c>
      <c r="T3556" t="s">
        <v>82</v>
      </c>
    </row>
    <row r="3557" spans="15:20" x14ac:dyDescent="0.25">
      <c r="O3557">
        <v>1</v>
      </c>
      <c r="S3557" t="e">
        <v>#DIV/0!</v>
      </c>
      <c r="T3557" t="s">
        <v>82</v>
      </c>
    </row>
    <row r="3558" spans="15:20" x14ac:dyDescent="0.25">
      <c r="O3558">
        <v>1</v>
      </c>
      <c r="S3558" t="e">
        <v>#DIV/0!</v>
      </c>
      <c r="T3558" t="s">
        <v>82</v>
      </c>
    </row>
    <row r="3559" spans="15:20" x14ac:dyDescent="0.25">
      <c r="O3559">
        <v>1</v>
      </c>
      <c r="S3559" t="e">
        <v>#DIV/0!</v>
      </c>
      <c r="T3559" t="s">
        <v>82</v>
      </c>
    </row>
    <row r="3560" spans="15:20" x14ac:dyDescent="0.25">
      <c r="O3560">
        <v>1</v>
      </c>
      <c r="S3560" t="e">
        <v>#DIV/0!</v>
      </c>
      <c r="T3560" t="s">
        <v>82</v>
      </c>
    </row>
    <row r="3561" spans="15:20" x14ac:dyDescent="0.25">
      <c r="O3561">
        <v>1</v>
      </c>
      <c r="S3561" t="e">
        <v>#DIV/0!</v>
      </c>
      <c r="T3561" t="s">
        <v>82</v>
      </c>
    </row>
    <row r="3562" spans="15:20" x14ac:dyDescent="0.25">
      <c r="O3562">
        <v>1</v>
      </c>
      <c r="S3562" t="e">
        <v>#DIV/0!</v>
      </c>
      <c r="T3562" t="s">
        <v>82</v>
      </c>
    </row>
    <row r="3563" spans="15:20" x14ac:dyDescent="0.25">
      <c r="O3563">
        <v>1</v>
      </c>
      <c r="S3563" t="e">
        <v>#DIV/0!</v>
      </c>
      <c r="T3563" t="s">
        <v>82</v>
      </c>
    </row>
    <row r="3564" spans="15:20" x14ac:dyDescent="0.25">
      <c r="O3564">
        <v>1</v>
      </c>
      <c r="S3564" t="e">
        <v>#DIV/0!</v>
      </c>
      <c r="T3564" t="s">
        <v>82</v>
      </c>
    </row>
    <row r="3565" spans="15:20" x14ac:dyDescent="0.25">
      <c r="O3565">
        <v>1</v>
      </c>
      <c r="S3565" t="e">
        <v>#DIV/0!</v>
      </c>
      <c r="T3565" t="s">
        <v>82</v>
      </c>
    </row>
    <row r="3566" spans="15:20" x14ac:dyDescent="0.25">
      <c r="O3566">
        <v>1</v>
      </c>
      <c r="S3566" t="e">
        <v>#DIV/0!</v>
      </c>
      <c r="T3566" t="s">
        <v>82</v>
      </c>
    </row>
    <row r="3567" spans="15:20" x14ac:dyDescent="0.25">
      <c r="O3567">
        <v>1</v>
      </c>
      <c r="S3567" t="e">
        <v>#DIV/0!</v>
      </c>
      <c r="T3567" t="s">
        <v>82</v>
      </c>
    </row>
    <row r="3568" spans="15:20" x14ac:dyDescent="0.25">
      <c r="O3568">
        <v>1</v>
      </c>
      <c r="S3568" t="e">
        <v>#DIV/0!</v>
      </c>
      <c r="T3568" t="s">
        <v>82</v>
      </c>
    </row>
    <row r="3569" spans="15:20" x14ac:dyDescent="0.25">
      <c r="O3569">
        <v>1</v>
      </c>
      <c r="S3569" t="e">
        <v>#DIV/0!</v>
      </c>
      <c r="T3569" t="s">
        <v>82</v>
      </c>
    </row>
    <row r="3570" spans="15:20" x14ac:dyDescent="0.25">
      <c r="O3570">
        <v>1</v>
      </c>
      <c r="S3570" t="e">
        <v>#DIV/0!</v>
      </c>
      <c r="T3570" t="s">
        <v>82</v>
      </c>
    </row>
    <row r="3571" spans="15:20" x14ac:dyDescent="0.25">
      <c r="O3571">
        <v>1</v>
      </c>
      <c r="S3571" t="e">
        <v>#DIV/0!</v>
      </c>
      <c r="T3571" t="s">
        <v>82</v>
      </c>
    </row>
    <row r="3572" spans="15:20" x14ac:dyDescent="0.25">
      <c r="O3572">
        <v>1</v>
      </c>
      <c r="S3572" t="e">
        <v>#DIV/0!</v>
      </c>
      <c r="T3572" t="s">
        <v>82</v>
      </c>
    </row>
    <row r="3573" spans="15:20" x14ac:dyDescent="0.25">
      <c r="O3573">
        <v>1</v>
      </c>
      <c r="S3573" t="e">
        <v>#DIV/0!</v>
      </c>
      <c r="T3573" t="s">
        <v>82</v>
      </c>
    </row>
    <row r="3574" spans="15:20" x14ac:dyDescent="0.25">
      <c r="O3574">
        <v>1</v>
      </c>
      <c r="S3574" t="e">
        <v>#DIV/0!</v>
      </c>
      <c r="T3574" t="s">
        <v>82</v>
      </c>
    </row>
    <row r="3575" spans="15:20" x14ac:dyDescent="0.25">
      <c r="O3575">
        <v>1</v>
      </c>
      <c r="S3575" t="e">
        <v>#DIV/0!</v>
      </c>
      <c r="T3575" t="s">
        <v>82</v>
      </c>
    </row>
    <row r="3576" spans="15:20" x14ac:dyDescent="0.25">
      <c r="O3576">
        <v>1</v>
      </c>
      <c r="S3576" t="e">
        <v>#DIV/0!</v>
      </c>
      <c r="T3576" t="s">
        <v>82</v>
      </c>
    </row>
    <row r="3577" spans="15:20" x14ac:dyDescent="0.25">
      <c r="O3577">
        <v>1</v>
      </c>
      <c r="S3577" t="e">
        <v>#DIV/0!</v>
      </c>
      <c r="T3577" t="s">
        <v>82</v>
      </c>
    </row>
    <row r="3578" spans="15:20" x14ac:dyDescent="0.25">
      <c r="O3578">
        <v>1</v>
      </c>
      <c r="S3578" t="e">
        <v>#DIV/0!</v>
      </c>
      <c r="T3578" t="s">
        <v>82</v>
      </c>
    </row>
    <row r="3579" spans="15:20" x14ac:dyDescent="0.25">
      <c r="O3579">
        <v>1</v>
      </c>
      <c r="S3579" t="e">
        <v>#DIV/0!</v>
      </c>
      <c r="T3579" t="s">
        <v>82</v>
      </c>
    </row>
    <row r="3580" spans="15:20" x14ac:dyDescent="0.25">
      <c r="O3580">
        <v>1</v>
      </c>
      <c r="S3580" t="e">
        <v>#DIV/0!</v>
      </c>
      <c r="T3580" t="s">
        <v>82</v>
      </c>
    </row>
    <row r="3581" spans="15:20" x14ac:dyDescent="0.25">
      <c r="O3581">
        <v>1</v>
      </c>
      <c r="S3581" t="e">
        <v>#DIV/0!</v>
      </c>
      <c r="T3581" t="s">
        <v>82</v>
      </c>
    </row>
    <row r="3582" spans="15:20" x14ac:dyDescent="0.25">
      <c r="O3582">
        <v>1</v>
      </c>
      <c r="S3582" t="e">
        <v>#DIV/0!</v>
      </c>
      <c r="T3582" t="s">
        <v>82</v>
      </c>
    </row>
    <row r="3583" spans="15:20" x14ac:dyDescent="0.25">
      <c r="O3583">
        <v>1</v>
      </c>
      <c r="S3583" t="e">
        <v>#DIV/0!</v>
      </c>
      <c r="T3583" t="s">
        <v>82</v>
      </c>
    </row>
    <row r="3584" spans="15:20" x14ac:dyDescent="0.25">
      <c r="O3584">
        <v>1</v>
      </c>
      <c r="S3584" t="e">
        <v>#DIV/0!</v>
      </c>
      <c r="T3584" t="s">
        <v>82</v>
      </c>
    </row>
    <row r="3585" spans="15:20" x14ac:dyDescent="0.25">
      <c r="O3585">
        <v>1</v>
      </c>
      <c r="S3585" t="e">
        <v>#DIV/0!</v>
      </c>
      <c r="T3585" t="s">
        <v>82</v>
      </c>
    </row>
    <row r="3586" spans="15:20" x14ac:dyDescent="0.25">
      <c r="O3586">
        <v>1</v>
      </c>
      <c r="S3586" t="e">
        <v>#DIV/0!</v>
      </c>
      <c r="T3586" t="s">
        <v>82</v>
      </c>
    </row>
    <row r="3587" spans="15:20" x14ac:dyDescent="0.25">
      <c r="O3587">
        <v>1</v>
      </c>
      <c r="S3587" t="e">
        <v>#DIV/0!</v>
      </c>
      <c r="T3587" t="s">
        <v>82</v>
      </c>
    </row>
    <row r="3588" spans="15:20" x14ac:dyDescent="0.25">
      <c r="O3588">
        <v>1</v>
      </c>
      <c r="S3588" t="e">
        <v>#DIV/0!</v>
      </c>
      <c r="T3588" t="s">
        <v>82</v>
      </c>
    </row>
    <row r="3589" spans="15:20" x14ac:dyDescent="0.25">
      <c r="O3589">
        <v>1</v>
      </c>
      <c r="S3589" t="e">
        <v>#DIV/0!</v>
      </c>
      <c r="T3589" t="s">
        <v>82</v>
      </c>
    </row>
    <row r="3590" spans="15:20" x14ac:dyDescent="0.25">
      <c r="O3590">
        <v>1</v>
      </c>
      <c r="S3590" t="e">
        <v>#DIV/0!</v>
      </c>
      <c r="T3590" t="s">
        <v>82</v>
      </c>
    </row>
    <row r="3591" spans="15:20" x14ac:dyDescent="0.25">
      <c r="O3591">
        <v>1</v>
      </c>
      <c r="S3591" t="e">
        <v>#DIV/0!</v>
      </c>
      <c r="T3591" t="s">
        <v>82</v>
      </c>
    </row>
    <row r="3592" spans="15:20" x14ac:dyDescent="0.25">
      <c r="O3592">
        <v>1</v>
      </c>
      <c r="S3592" t="e">
        <v>#DIV/0!</v>
      </c>
      <c r="T3592" t="s">
        <v>82</v>
      </c>
    </row>
    <row r="3593" spans="15:20" x14ac:dyDescent="0.25">
      <c r="O3593">
        <v>1</v>
      </c>
      <c r="S3593" t="e">
        <v>#DIV/0!</v>
      </c>
      <c r="T3593" t="s">
        <v>82</v>
      </c>
    </row>
    <row r="3594" spans="15:20" x14ac:dyDescent="0.25">
      <c r="O3594">
        <v>1</v>
      </c>
      <c r="S3594" t="e">
        <v>#DIV/0!</v>
      </c>
      <c r="T3594" t="s">
        <v>82</v>
      </c>
    </row>
    <row r="3595" spans="15:20" x14ac:dyDescent="0.25">
      <c r="O3595">
        <v>1</v>
      </c>
      <c r="S3595" t="e">
        <v>#DIV/0!</v>
      </c>
      <c r="T3595" t="s">
        <v>82</v>
      </c>
    </row>
    <row r="3596" spans="15:20" x14ac:dyDescent="0.25">
      <c r="O3596">
        <v>1</v>
      </c>
      <c r="S3596" t="e">
        <v>#DIV/0!</v>
      </c>
      <c r="T3596" t="s">
        <v>82</v>
      </c>
    </row>
    <row r="3597" spans="15:20" x14ac:dyDescent="0.25">
      <c r="O3597">
        <v>1</v>
      </c>
      <c r="S3597" t="e">
        <v>#DIV/0!</v>
      </c>
      <c r="T3597" t="s">
        <v>82</v>
      </c>
    </row>
    <row r="3598" spans="15:20" x14ac:dyDescent="0.25">
      <c r="O3598">
        <v>1</v>
      </c>
      <c r="S3598" t="e">
        <v>#DIV/0!</v>
      </c>
      <c r="T3598" t="s">
        <v>82</v>
      </c>
    </row>
    <row r="3599" spans="15:20" x14ac:dyDescent="0.25">
      <c r="O3599">
        <v>1</v>
      </c>
      <c r="S3599" t="e">
        <v>#DIV/0!</v>
      </c>
      <c r="T3599" t="s">
        <v>82</v>
      </c>
    </row>
    <row r="3600" spans="15:20" x14ac:dyDescent="0.25">
      <c r="O3600">
        <v>1</v>
      </c>
      <c r="S3600" t="e">
        <v>#DIV/0!</v>
      </c>
      <c r="T3600" t="s">
        <v>82</v>
      </c>
    </row>
    <row r="3601" spans="15:20" x14ac:dyDescent="0.25">
      <c r="O3601">
        <v>1</v>
      </c>
      <c r="S3601" t="e">
        <v>#DIV/0!</v>
      </c>
      <c r="T3601" t="s">
        <v>82</v>
      </c>
    </row>
    <row r="3602" spans="15:20" x14ac:dyDescent="0.25">
      <c r="O3602">
        <v>1</v>
      </c>
      <c r="S3602" t="e">
        <v>#DIV/0!</v>
      </c>
      <c r="T3602" t="s">
        <v>82</v>
      </c>
    </row>
    <row r="3603" spans="15:20" x14ac:dyDescent="0.25">
      <c r="O3603">
        <v>1</v>
      </c>
      <c r="S3603" t="e">
        <v>#DIV/0!</v>
      </c>
      <c r="T3603" t="s">
        <v>82</v>
      </c>
    </row>
    <row r="3604" spans="15:20" x14ac:dyDescent="0.25">
      <c r="O3604">
        <v>1</v>
      </c>
      <c r="S3604" t="e">
        <v>#DIV/0!</v>
      </c>
      <c r="T3604" t="s">
        <v>82</v>
      </c>
    </row>
    <row r="3605" spans="15:20" x14ac:dyDescent="0.25">
      <c r="O3605">
        <v>1</v>
      </c>
      <c r="S3605" t="e">
        <v>#DIV/0!</v>
      </c>
      <c r="T3605" t="s">
        <v>82</v>
      </c>
    </row>
    <row r="3606" spans="15:20" x14ac:dyDescent="0.25">
      <c r="O3606">
        <v>1</v>
      </c>
      <c r="S3606" t="e">
        <v>#DIV/0!</v>
      </c>
      <c r="T3606" t="s">
        <v>82</v>
      </c>
    </row>
    <row r="3607" spans="15:20" x14ac:dyDescent="0.25">
      <c r="O3607">
        <v>1</v>
      </c>
      <c r="S3607" t="e">
        <v>#DIV/0!</v>
      </c>
      <c r="T3607" t="s">
        <v>82</v>
      </c>
    </row>
    <row r="3608" spans="15:20" x14ac:dyDescent="0.25">
      <c r="O3608">
        <v>1</v>
      </c>
      <c r="S3608" t="e">
        <v>#DIV/0!</v>
      </c>
      <c r="T3608" t="s">
        <v>82</v>
      </c>
    </row>
    <row r="3609" spans="15:20" x14ac:dyDescent="0.25">
      <c r="O3609">
        <v>1</v>
      </c>
      <c r="S3609" t="e">
        <v>#DIV/0!</v>
      </c>
      <c r="T3609" t="s">
        <v>82</v>
      </c>
    </row>
    <row r="3610" spans="15:20" x14ac:dyDescent="0.25">
      <c r="O3610">
        <v>1</v>
      </c>
      <c r="S3610" t="e">
        <v>#DIV/0!</v>
      </c>
      <c r="T3610" t="s">
        <v>82</v>
      </c>
    </row>
    <row r="3611" spans="15:20" x14ac:dyDescent="0.25">
      <c r="O3611">
        <v>1</v>
      </c>
      <c r="S3611" t="e">
        <v>#DIV/0!</v>
      </c>
      <c r="T3611" t="s">
        <v>82</v>
      </c>
    </row>
    <row r="3612" spans="15:20" x14ac:dyDescent="0.25">
      <c r="O3612">
        <v>1</v>
      </c>
      <c r="S3612" t="e">
        <v>#DIV/0!</v>
      </c>
      <c r="T3612" t="s">
        <v>82</v>
      </c>
    </row>
    <row r="3613" spans="15:20" x14ac:dyDescent="0.25">
      <c r="O3613">
        <v>1</v>
      </c>
      <c r="S3613" t="e">
        <v>#DIV/0!</v>
      </c>
      <c r="T3613" t="s">
        <v>82</v>
      </c>
    </row>
    <row r="3614" spans="15:20" x14ac:dyDescent="0.25">
      <c r="O3614">
        <v>1</v>
      </c>
      <c r="S3614" t="e">
        <v>#DIV/0!</v>
      </c>
      <c r="T3614" t="s">
        <v>82</v>
      </c>
    </row>
    <row r="3615" spans="15:20" x14ac:dyDescent="0.25">
      <c r="O3615">
        <v>1</v>
      </c>
      <c r="S3615" t="e">
        <v>#DIV/0!</v>
      </c>
      <c r="T3615" t="s">
        <v>82</v>
      </c>
    </row>
    <row r="3616" spans="15:20" x14ac:dyDescent="0.25">
      <c r="O3616">
        <v>1</v>
      </c>
      <c r="S3616" t="e">
        <v>#DIV/0!</v>
      </c>
      <c r="T3616" t="s">
        <v>82</v>
      </c>
    </row>
    <row r="3617" spans="15:20" x14ac:dyDescent="0.25">
      <c r="O3617">
        <v>1</v>
      </c>
      <c r="S3617" t="e">
        <v>#DIV/0!</v>
      </c>
      <c r="T3617" t="s">
        <v>82</v>
      </c>
    </row>
    <row r="3618" spans="15:20" x14ac:dyDescent="0.25">
      <c r="O3618">
        <v>1</v>
      </c>
      <c r="S3618" t="e">
        <v>#DIV/0!</v>
      </c>
      <c r="T3618" t="s">
        <v>82</v>
      </c>
    </row>
    <row r="3619" spans="15:20" x14ac:dyDescent="0.25">
      <c r="O3619">
        <v>1</v>
      </c>
      <c r="S3619" t="e">
        <v>#DIV/0!</v>
      </c>
      <c r="T3619" t="s">
        <v>82</v>
      </c>
    </row>
    <row r="3620" spans="15:20" x14ac:dyDescent="0.25">
      <c r="O3620">
        <v>1</v>
      </c>
      <c r="S3620" t="e">
        <v>#DIV/0!</v>
      </c>
      <c r="T3620" t="s">
        <v>82</v>
      </c>
    </row>
    <row r="3621" spans="15:20" x14ac:dyDescent="0.25">
      <c r="O3621">
        <v>1</v>
      </c>
      <c r="S3621" t="e">
        <v>#DIV/0!</v>
      </c>
      <c r="T3621" t="s">
        <v>82</v>
      </c>
    </row>
    <row r="3622" spans="15:20" x14ac:dyDescent="0.25">
      <c r="O3622">
        <v>1</v>
      </c>
      <c r="S3622" t="e">
        <v>#DIV/0!</v>
      </c>
      <c r="T3622" t="s">
        <v>82</v>
      </c>
    </row>
    <row r="3623" spans="15:20" x14ac:dyDescent="0.25">
      <c r="O3623">
        <v>1</v>
      </c>
      <c r="S3623" t="e">
        <v>#DIV/0!</v>
      </c>
      <c r="T3623" t="s">
        <v>82</v>
      </c>
    </row>
    <row r="3624" spans="15:20" x14ac:dyDescent="0.25">
      <c r="O3624">
        <v>1</v>
      </c>
      <c r="S3624" t="e">
        <v>#DIV/0!</v>
      </c>
      <c r="T3624" t="s">
        <v>82</v>
      </c>
    </row>
    <row r="3625" spans="15:20" x14ac:dyDescent="0.25">
      <c r="O3625">
        <v>1</v>
      </c>
      <c r="S3625" t="e">
        <v>#DIV/0!</v>
      </c>
      <c r="T3625" t="s">
        <v>82</v>
      </c>
    </row>
    <row r="3626" spans="15:20" x14ac:dyDescent="0.25">
      <c r="O3626">
        <v>1</v>
      </c>
      <c r="S3626" t="e">
        <v>#DIV/0!</v>
      </c>
      <c r="T3626" t="s">
        <v>82</v>
      </c>
    </row>
    <row r="3627" spans="15:20" x14ac:dyDescent="0.25">
      <c r="O3627">
        <v>1</v>
      </c>
      <c r="S3627" t="e">
        <v>#DIV/0!</v>
      </c>
      <c r="T3627" t="s">
        <v>82</v>
      </c>
    </row>
    <row r="3628" spans="15:20" x14ac:dyDescent="0.25">
      <c r="O3628">
        <v>1</v>
      </c>
      <c r="S3628" t="e">
        <v>#DIV/0!</v>
      </c>
      <c r="T3628" t="s">
        <v>82</v>
      </c>
    </row>
    <row r="3629" spans="15:20" x14ac:dyDescent="0.25">
      <c r="O3629">
        <v>1</v>
      </c>
      <c r="S3629" t="e">
        <v>#DIV/0!</v>
      </c>
      <c r="T3629" t="s">
        <v>82</v>
      </c>
    </row>
    <row r="3630" spans="15:20" x14ac:dyDescent="0.25">
      <c r="O3630">
        <v>1</v>
      </c>
      <c r="S3630" t="e">
        <v>#DIV/0!</v>
      </c>
      <c r="T3630" t="s">
        <v>82</v>
      </c>
    </row>
    <row r="3631" spans="15:20" x14ac:dyDescent="0.25">
      <c r="O3631">
        <v>1</v>
      </c>
      <c r="S3631" t="e">
        <v>#DIV/0!</v>
      </c>
      <c r="T3631" t="s">
        <v>82</v>
      </c>
    </row>
    <row r="3632" spans="15:20" x14ac:dyDescent="0.25">
      <c r="O3632">
        <v>1</v>
      </c>
      <c r="S3632" t="e">
        <v>#DIV/0!</v>
      </c>
      <c r="T3632" t="s">
        <v>82</v>
      </c>
    </row>
    <row r="3633" spans="15:20" x14ac:dyDescent="0.25">
      <c r="O3633">
        <v>1</v>
      </c>
      <c r="S3633" t="e">
        <v>#DIV/0!</v>
      </c>
      <c r="T3633" t="s">
        <v>82</v>
      </c>
    </row>
    <row r="3634" spans="15:20" x14ac:dyDescent="0.25">
      <c r="O3634">
        <v>1</v>
      </c>
      <c r="S3634" t="e">
        <v>#DIV/0!</v>
      </c>
      <c r="T3634" t="s">
        <v>82</v>
      </c>
    </row>
    <row r="3635" spans="15:20" x14ac:dyDescent="0.25">
      <c r="O3635">
        <v>1</v>
      </c>
      <c r="S3635" t="e">
        <v>#DIV/0!</v>
      </c>
      <c r="T3635" t="s">
        <v>82</v>
      </c>
    </row>
    <row r="3636" spans="15:20" x14ac:dyDescent="0.25">
      <c r="O3636">
        <v>1</v>
      </c>
      <c r="S3636" t="e">
        <v>#DIV/0!</v>
      </c>
      <c r="T3636" t="s">
        <v>82</v>
      </c>
    </row>
    <row r="3637" spans="15:20" x14ac:dyDescent="0.25">
      <c r="O3637">
        <v>1</v>
      </c>
      <c r="S3637" t="e">
        <v>#DIV/0!</v>
      </c>
      <c r="T3637" t="s">
        <v>82</v>
      </c>
    </row>
    <row r="3638" spans="15:20" x14ac:dyDescent="0.25">
      <c r="O3638">
        <v>1</v>
      </c>
      <c r="S3638" t="e">
        <v>#DIV/0!</v>
      </c>
      <c r="T3638" t="s">
        <v>82</v>
      </c>
    </row>
    <row r="3639" spans="15:20" x14ac:dyDescent="0.25">
      <c r="O3639">
        <v>1</v>
      </c>
      <c r="S3639" t="e">
        <v>#DIV/0!</v>
      </c>
      <c r="T3639" t="s">
        <v>82</v>
      </c>
    </row>
    <row r="3640" spans="15:20" x14ac:dyDescent="0.25">
      <c r="O3640">
        <v>1</v>
      </c>
      <c r="S3640" t="e">
        <v>#DIV/0!</v>
      </c>
      <c r="T3640" t="s">
        <v>82</v>
      </c>
    </row>
    <row r="3641" spans="15:20" x14ac:dyDescent="0.25">
      <c r="O3641">
        <v>1</v>
      </c>
      <c r="S3641" t="e">
        <v>#DIV/0!</v>
      </c>
      <c r="T3641" t="s">
        <v>82</v>
      </c>
    </row>
    <row r="3642" spans="15:20" x14ac:dyDescent="0.25">
      <c r="O3642">
        <v>1</v>
      </c>
      <c r="S3642" t="e">
        <v>#DIV/0!</v>
      </c>
      <c r="T3642" t="s">
        <v>82</v>
      </c>
    </row>
    <row r="3643" spans="15:20" x14ac:dyDescent="0.25">
      <c r="O3643">
        <v>1</v>
      </c>
      <c r="S3643" t="e">
        <v>#DIV/0!</v>
      </c>
      <c r="T3643" t="s">
        <v>82</v>
      </c>
    </row>
    <row r="3644" spans="15:20" x14ac:dyDescent="0.25">
      <c r="O3644">
        <v>1</v>
      </c>
      <c r="S3644" t="e">
        <v>#DIV/0!</v>
      </c>
      <c r="T3644" t="s">
        <v>82</v>
      </c>
    </row>
    <row r="3645" spans="15:20" x14ac:dyDescent="0.25">
      <c r="O3645">
        <v>1</v>
      </c>
      <c r="S3645" t="e">
        <v>#DIV/0!</v>
      </c>
      <c r="T3645" t="s">
        <v>82</v>
      </c>
    </row>
    <row r="3646" spans="15:20" x14ac:dyDescent="0.25">
      <c r="O3646">
        <v>1</v>
      </c>
      <c r="S3646" t="e">
        <v>#DIV/0!</v>
      </c>
      <c r="T3646" t="s">
        <v>82</v>
      </c>
    </row>
    <row r="3647" spans="15:20" x14ac:dyDescent="0.25">
      <c r="O3647">
        <v>1</v>
      </c>
      <c r="S3647" t="e">
        <v>#DIV/0!</v>
      </c>
      <c r="T3647" t="s">
        <v>82</v>
      </c>
    </row>
    <row r="3648" spans="15:20" x14ac:dyDescent="0.25">
      <c r="O3648">
        <v>1</v>
      </c>
      <c r="S3648" t="e">
        <v>#DIV/0!</v>
      </c>
      <c r="T3648" t="s">
        <v>82</v>
      </c>
    </row>
    <row r="3649" spans="15:20" x14ac:dyDescent="0.25">
      <c r="O3649">
        <v>1</v>
      </c>
      <c r="S3649" t="e">
        <v>#DIV/0!</v>
      </c>
      <c r="T3649" t="s">
        <v>82</v>
      </c>
    </row>
    <row r="3650" spans="15:20" x14ac:dyDescent="0.25">
      <c r="O3650">
        <v>1</v>
      </c>
      <c r="S3650" t="e">
        <v>#DIV/0!</v>
      </c>
      <c r="T3650" t="s">
        <v>82</v>
      </c>
    </row>
    <row r="3651" spans="15:20" x14ac:dyDescent="0.25">
      <c r="O3651">
        <v>1</v>
      </c>
      <c r="S3651" t="e">
        <v>#DIV/0!</v>
      </c>
      <c r="T3651" t="s">
        <v>82</v>
      </c>
    </row>
    <row r="3652" spans="15:20" x14ac:dyDescent="0.25">
      <c r="O3652">
        <v>1</v>
      </c>
      <c r="S3652" t="e">
        <v>#DIV/0!</v>
      </c>
      <c r="T3652" t="s">
        <v>82</v>
      </c>
    </row>
    <row r="3653" spans="15:20" x14ac:dyDescent="0.25">
      <c r="O3653">
        <v>1</v>
      </c>
      <c r="S3653" t="e">
        <v>#DIV/0!</v>
      </c>
      <c r="T3653" t="s">
        <v>82</v>
      </c>
    </row>
    <row r="3654" spans="15:20" x14ac:dyDescent="0.25">
      <c r="O3654">
        <v>1</v>
      </c>
      <c r="S3654" t="e">
        <v>#DIV/0!</v>
      </c>
      <c r="T3654" t="s">
        <v>82</v>
      </c>
    </row>
    <row r="3655" spans="15:20" x14ac:dyDescent="0.25">
      <c r="O3655">
        <v>1</v>
      </c>
      <c r="S3655" t="e">
        <v>#DIV/0!</v>
      </c>
      <c r="T3655" t="s">
        <v>82</v>
      </c>
    </row>
    <row r="3656" spans="15:20" x14ac:dyDescent="0.25">
      <c r="O3656">
        <v>1</v>
      </c>
      <c r="S3656" t="e">
        <v>#DIV/0!</v>
      </c>
      <c r="T3656" t="s">
        <v>82</v>
      </c>
    </row>
    <row r="3657" spans="15:20" x14ac:dyDescent="0.25">
      <c r="O3657">
        <v>1</v>
      </c>
      <c r="S3657" t="e">
        <v>#DIV/0!</v>
      </c>
      <c r="T3657" t="s">
        <v>82</v>
      </c>
    </row>
    <row r="3658" spans="15:20" x14ac:dyDescent="0.25">
      <c r="O3658">
        <v>1</v>
      </c>
      <c r="S3658" t="e">
        <v>#DIV/0!</v>
      </c>
      <c r="T3658" t="s">
        <v>82</v>
      </c>
    </row>
    <row r="3659" spans="15:20" x14ac:dyDescent="0.25">
      <c r="O3659">
        <v>1</v>
      </c>
      <c r="S3659" t="e">
        <v>#DIV/0!</v>
      </c>
      <c r="T3659" t="s">
        <v>82</v>
      </c>
    </row>
    <row r="3660" spans="15:20" x14ac:dyDescent="0.25">
      <c r="O3660">
        <v>1</v>
      </c>
      <c r="S3660" t="e">
        <v>#DIV/0!</v>
      </c>
      <c r="T3660" t="s">
        <v>82</v>
      </c>
    </row>
    <row r="3661" spans="15:20" x14ac:dyDescent="0.25">
      <c r="O3661">
        <v>1</v>
      </c>
      <c r="S3661" t="e">
        <v>#DIV/0!</v>
      </c>
      <c r="T3661" t="s">
        <v>82</v>
      </c>
    </row>
    <row r="3662" spans="15:20" x14ac:dyDescent="0.25">
      <c r="O3662">
        <v>1</v>
      </c>
      <c r="S3662" t="e">
        <v>#DIV/0!</v>
      </c>
      <c r="T3662" t="s">
        <v>82</v>
      </c>
    </row>
    <row r="3663" spans="15:20" x14ac:dyDescent="0.25">
      <c r="O3663">
        <v>1</v>
      </c>
      <c r="S3663" t="e">
        <v>#DIV/0!</v>
      </c>
      <c r="T3663" t="s">
        <v>82</v>
      </c>
    </row>
    <row r="3664" spans="15:20" x14ac:dyDescent="0.25">
      <c r="O3664">
        <v>1</v>
      </c>
      <c r="S3664" t="e">
        <v>#DIV/0!</v>
      </c>
      <c r="T3664" t="s">
        <v>82</v>
      </c>
    </row>
    <row r="3665" spans="15:20" x14ac:dyDescent="0.25">
      <c r="O3665">
        <v>1</v>
      </c>
      <c r="S3665" t="e">
        <v>#DIV/0!</v>
      </c>
      <c r="T3665" t="s">
        <v>82</v>
      </c>
    </row>
    <row r="3666" spans="15:20" x14ac:dyDescent="0.25">
      <c r="O3666">
        <v>1</v>
      </c>
      <c r="S3666" t="e">
        <v>#DIV/0!</v>
      </c>
      <c r="T3666" t="s">
        <v>82</v>
      </c>
    </row>
    <row r="3667" spans="15:20" x14ac:dyDescent="0.25">
      <c r="O3667">
        <v>1</v>
      </c>
      <c r="S3667" t="e">
        <v>#DIV/0!</v>
      </c>
      <c r="T3667" t="s">
        <v>82</v>
      </c>
    </row>
    <row r="3668" spans="15:20" x14ac:dyDescent="0.25">
      <c r="O3668">
        <v>1</v>
      </c>
      <c r="S3668" t="e">
        <v>#DIV/0!</v>
      </c>
      <c r="T3668" t="s">
        <v>82</v>
      </c>
    </row>
    <row r="3669" spans="15:20" x14ac:dyDescent="0.25">
      <c r="O3669">
        <v>1</v>
      </c>
      <c r="S3669" t="e">
        <v>#DIV/0!</v>
      </c>
      <c r="T3669" t="s">
        <v>82</v>
      </c>
    </row>
    <row r="3670" spans="15:20" x14ac:dyDescent="0.25">
      <c r="O3670">
        <v>1</v>
      </c>
      <c r="S3670" t="e">
        <v>#DIV/0!</v>
      </c>
      <c r="T3670" t="s">
        <v>82</v>
      </c>
    </row>
    <row r="3671" spans="15:20" x14ac:dyDescent="0.25">
      <c r="O3671">
        <v>1</v>
      </c>
      <c r="S3671" t="e">
        <v>#DIV/0!</v>
      </c>
      <c r="T3671" t="s">
        <v>82</v>
      </c>
    </row>
    <row r="3672" spans="15:20" x14ac:dyDescent="0.25">
      <c r="O3672">
        <v>1</v>
      </c>
      <c r="S3672" t="e">
        <v>#DIV/0!</v>
      </c>
      <c r="T3672" t="s">
        <v>82</v>
      </c>
    </row>
    <row r="3673" spans="15:20" x14ac:dyDescent="0.25">
      <c r="O3673">
        <v>1</v>
      </c>
      <c r="S3673" t="e">
        <v>#DIV/0!</v>
      </c>
      <c r="T3673" t="s">
        <v>82</v>
      </c>
    </row>
    <row r="3674" spans="15:20" x14ac:dyDescent="0.25">
      <c r="O3674">
        <v>1</v>
      </c>
      <c r="S3674" t="e">
        <v>#DIV/0!</v>
      </c>
      <c r="T3674" t="s">
        <v>82</v>
      </c>
    </row>
    <row r="3675" spans="15:20" x14ac:dyDescent="0.25">
      <c r="O3675">
        <v>1</v>
      </c>
      <c r="S3675" t="e">
        <v>#DIV/0!</v>
      </c>
      <c r="T3675" t="s">
        <v>82</v>
      </c>
    </row>
    <row r="3676" spans="15:20" x14ac:dyDescent="0.25">
      <c r="O3676">
        <v>1</v>
      </c>
      <c r="S3676" t="e">
        <v>#DIV/0!</v>
      </c>
      <c r="T3676" t="s">
        <v>82</v>
      </c>
    </row>
    <row r="3677" spans="15:20" x14ac:dyDescent="0.25">
      <c r="O3677">
        <v>1</v>
      </c>
      <c r="S3677" t="e">
        <v>#DIV/0!</v>
      </c>
      <c r="T3677" t="s">
        <v>82</v>
      </c>
    </row>
    <row r="3678" spans="15:20" x14ac:dyDescent="0.25">
      <c r="O3678">
        <v>1</v>
      </c>
      <c r="S3678" t="e">
        <v>#DIV/0!</v>
      </c>
      <c r="T3678" t="s">
        <v>82</v>
      </c>
    </row>
    <row r="3679" spans="15:20" x14ac:dyDescent="0.25">
      <c r="O3679">
        <v>1</v>
      </c>
      <c r="S3679" t="e">
        <v>#DIV/0!</v>
      </c>
      <c r="T3679" t="s">
        <v>82</v>
      </c>
    </row>
    <row r="3680" spans="15:20" x14ac:dyDescent="0.25">
      <c r="O3680">
        <v>1</v>
      </c>
      <c r="S3680" t="e">
        <v>#DIV/0!</v>
      </c>
      <c r="T3680" t="s">
        <v>82</v>
      </c>
    </row>
    <row r="3681" spans="15:20" x14ac:dyDescent="0.25">
      <c r="O3681">
        <v>1</v>
      </c>
      <c r="S3681" t="e">
        <v>#DIV/0!</v>
      </c>
      <c r="T3681" t="s">
        <v>82</v>
      </c>
    </row>
    <row r="3682" spans="15:20" x14ac:dyDescent="0.25">
      <c r="O3682">
        <v>1</v>
      </c>
      <c r="S3682" t="e">
        <v>#DIV/0!</v>
      </c>
      <c r="T3682" t="s">
        <v>82</v>
      </c>
    </row>
    <row r="3683" spans="15:20" x14ac:dyDescent="0.25">
      <c r="O3683">
        <v>1</v>
      </c>
      <c r="S3683" t="e">
        <v>#DIV/0!</v>
      </c>
      <c r="T3683" t="s">
        <v>82</v>
      </c>
    </row>
    <row r="3684" spans="15:20" x14ac:dyDescent="0.25">
      <c r="O3684">
        <v>1</v>
      </c>
      <c r="S3684" t="e">
        <v>#DIV/0!</v>
      </c>
      <c r="T3684" t="s">
        <v>82</v>
      </c>
    </row>
    <row r="3685" spans="15:20" x14ac:dyDescent="0.25">
      <c r="O3685">
        <v>1</v>
      </c>
      <c r="S3685" t="e">
        <v>#DIV/0!</v>
      </c>
      <c r="T3685" t="s">
        <v>82</v>
      </c>
    </row>
    <row r="3686" spans="15:20" x14ac:dyDescent="0.25">
      <c r="O3686">
        <v>1</v>
      </c>
      <c r="S3686" t="e">
        <v>#DIV/0!</v>
      </c>
      <c r="T3686" t="s">
        <v>82</v>
      </c>
    </row>
    <row r="3687" spans="15:20" x14ac:dyDescent="0.25">
      <c r="O3687">
        <v>1</v>
      </c>
      <c r="S3687" t="e">
        <v>#DIV/0!</v>
      </c>
      <c r="T3687" t="s">
        <v>82</v>
      </c>
    </row>
    <row r="3688" spans="15:20" x14ac:dyDescent="0.25">
      <c r="O3688">
        <v>1</v>
      </c>
      <c r="S3688" t="e">
        <v>#DIV/0!</v>
      </c>
      <c r="T3688" t="s">
        <v>82</v>
      </c>
    </row>
    <row r="3689" spans="15:20" x14ac:dyDescent="0.25">
      <c r="O3689">
        <v>1</v>
      </c>
      <c r="S3689" t="e">
        <v>#DIV/0!</v>
      </c>
      <c r="T3689" t="s">
        <v>82</v>
      </c>
    </row>
    <row r="3690" spans="15:20" x14ac:dyDescent="0.25">
      <c r="O3690">
        <v>1</v>
      </c>
      <c r="S3690" t="e">
        <v>#DIV/0!</v>
      </c>
      <c r="T3690" t="s">
        <v>82</v>
      </c>
    </row>
    <row r="3691" spans="15:20" x14ac:dyDescent="0.25">
      <c r="O3691">
        <v>1</v>
      </c>
      <c r="S3691" t="e">
        <v>#DIV/0!</v>
      </c>
      <c r="T3691" t="s">
        <v>82</v>
      </c>
    </row>
    <row r="3692" spans="15:20" x14ac:dyDescent="0.25">
      <c r="O3692">
        <v>1</v>
      </c>
      <c r="S3692" t="e">
        <v>#DIV/0!</v>
      </c>
      <c r="T3692" t="s">
        <v>82</v>
      </c>
    </row>
    <row r="3693" spans="15:20" x14ac:dyDescent="0.25">
      <c r="O3693">
        <v>1</v>
      </c>
      <c r="S3693" t="e">
        <v>#DIV/0!</v>
      </c>
      <c r="T3693" t="s">
        <v>82</v>
      </c>
    </row>
    <row r="3694" spans="15:20" x14ac:dyDescent="0.25">
      <c r="O3694">
        <v>1</v>
      </c>
      <c r="S3694" t="e">
        <v>#DIV/0!</v>
      </c>
      <c r="T3694" t="s">
        <v>82</v>
      </c>
    </row>
    <row r="3695" spans="15:20" x14ac:dyDescent="0.25">
      <c r="O3695">
        <v>1</v>
      </c>
      <c r="S3695" t="e">
        <v>#DIV/0!</v>
      </c>
      <c r="T3695" t="s">
        <v>82</v>
      </c>
    </row>
    <row r="3696" spans="15:20" x14ac:dyDescent="0.25">
      <c r="O3696">
        <v>1</v>
      </c>
      <c r="S3696" t="e">
        <v>#DIV/0!</v>
      </c>
      <c r="T3696" t="s">
        <v>82</v>
      </c>
    </row>
    <row r="3697" spans="15:20" x14ac:dyDescent="0.25">
      <c r="O3697">
        <v>1</v>
      </c>
      <c r="S3697" t="e">
        <v>#DIV/0!</v>
      </c>
      <c r="T3697" t="s">
        <v>82</v>
      </c>
    </row>
    <row r="3698" spans="15:20" x14ac:dyDescent="0.25">
      <c r="O3698">
        <v>1</v>
      </c>
      <c r="S3698" t="e">
        <v>#DIV/0!</v>
      </c>
      <c r="T3698" t="s">
        <v>82</v>
      </c>
    </row>
    <row r="3699" spans="15:20" x14ac:dyDescent="0.25">
      <c r="O3699">
        <v>1</v>
      </c>
      <c r="S3699" t="e">
        <v>#DIV/0!</v>
      </c>
      <c r="T3699" t="s">
        <v>82</v>
      </c>
    </row>
    <row r="3700" spans="15:20" x14ac:dyDescent="0.25">
      <c r="O3700">
        <v>1</v>
      </c>
      <c r="S3700" t="e">
        <v>#DIV/0!</v>
      </c>
      <c r="T3700" t="s">
        <v>82</v>
      </c>
    </row>
    <row r="3701" spans="15:20" x14ac:dyDescent="0.25">
      <c r="O3701">
        <v>1</v>
      </c>
      <c r="S3701" t="e">
        <v>#DIV/0!</v>
      </c>
      <c r="T3701" t="s">
        <v>82</v>
      </c>
    </row>
    <row r="3702" spans="15:20" x14ac:dyDescent="0.25">
      <c r="O3702">
        <v>1</v>
      </c>
      <c r="S3702" t="e">
        <v>#DIV/0!</v>
      </c>
      <c r="T3702" t="s">
        <v>82</v>
      </c>
    </row>
    <row r="3703" spans="15:20" x14ac:dyDescent="0.25">
      <c r="O3703">
        <v>1</v>
      </c>
      <c r="S3703" t="e">
        <v>#DIV/0!</v>
      </c>
      <c r="T3703" t="s">
        <v>82</v>
      </c>
    </row>
    <row r="3704" spans="15:20" x14ac:dyDescent="0.25">
      <c r="O3704">
        <v>1</v>
      </c>
      <c r="S3704" t="e">
        <v>#DIV/0!</v>
      </c>
      <c r="T3704" t="s">
        <v>82</v>
      </c>
    </row>
    <row r="3705" spans="15:20" x14ac:dyDescent="0.25">
      <c r="O3705">
        <v>1</v>
      </c>
      <c r="S3705" t="e">
        <v>#DIV/0!</v>
      </c>
      <c r="T3705" t="s">
        <v>82</v>
      </c>
    </row>
    <row r="3706" spans="15:20" x14ac:dyDescent="0.25">
      <c r="O3706">
        <v>1</v>
      </c>
      <c r="S3706" t="e">
        <v>#DIV/0!</v>
      </c>
      <c r="T3706" t="s">
        <v>82</v>
      </c>
    </row>
    <row r="3707" spans="15:20" x14ac:dyDescent="0.25">
      <c r="O3707">
        <v>1</v>
      </c>
      <c r="S3707" t="e">
        <v>#DIV/0!</v>
      </c>
      <c r="T3707" t="s">
        <v>82</v>
      </c>
    </row>
    <row r="3708" spans="15:20" x14ac:dyDescent="0.25">
      <c r="O3708">
        <v>1</v>
      </c>
      <c r="S3708" t="e">
        <v>#DIV/0!</v>
      </c>
      <c r="T3708" t="s">
        <v>82</v>
      </c>
    </row>
    <row r="3709" spans="15:20" x14ac:dyDescent="0.25">
      <c r="O3709">
        <v>1</v>
      </c>
      <c r="S3709" t="e">
        <v>#DIV/0!</v>
      </c>
      <c r="T3709" t="s">
        <v>82</v>
      </c>
    </row>
    <row r="3710" spans="15:20" x14ac:dyDescent="0.25">
      <c r="O3710">
        <v>1</v>
      </c>
      <c r="S3710" t="e">
        <v>#DIV/0!</v>
      </c>
      <c r="T3710" t="s">
        <v>82</v>
      </c>
    </row>
    <row r="3711" spans="15:20" x14ac:dyDescent="0.25">
      <c r="O3711">
        <v>1</v>
      </c>
      <c r="S3711" t="e">
        <v>#DIV/0!</v>
      </c>
      <c r="T3711" t="s">
        <v>82</v>
      </c>
    </row>
    <row r="3712" spans="15:20" x14ac:dyDescent="0.25">
      <c r="O3712">
        <v>1</v>
      </c>
      <c r="S3712" t="e">
        <v>#DIV/0!</v>
      </c>
      <c r="T3712" t="s">
        <v>82</v>
      </c>
    </row>
    <row r="3713" spans="15:20" x14ac:dyDescent="0.25">
      <c r="O3713">
        <v>1</v>
      </c>
      <c r="S3713" t="e">
        <v>#DIV/0!</v>
      </c>
      <c r="T3713" t="s">
        <v>82</v>
      </c>
    </row>
    <row r="3714" spans="15:20" x14ac:dyDescent="0.25">
      <c r="O3714">
        <v>1</v>
      </c>
      <c r="S3714" t="e">
        <v>#DIV/0!</v>
      </c>
      <c r="T3714" t="s">
        <v>82</v>
      </c>
    </row>
    <row r="3715" spans="15:20" x14ac:dyDescent="0.25">
      <c r="O3715">
        <v>1</v>
      </c>
      <c r="S3715" t="e">
        <v>#DIV/0!</v>
      </c>
      <c r="T3715" t="s">
        <v>82</v>
      </c>
    </row>
    <row r="3716" spans="15:20" x14ac:dyDescent="0.25">
      <c r="O3716">
        <v>1</v>
      </c>
      <c r="S3716" t="e">
        <v>#DIV/0!</v>
      </c>
      <c r="T3716" t="s">
        <v>82</v>
      </c>
    </row>
    <row r="3717" spans="15:20" x14ac:dyDescent="0.25">
      <c r="O3717">
        <v>1</v>
      </c>
      <c r="S3717" t="e">
        <v>#DIV/0!</v>
      </c>
      <c r="T3717" t="s">
        <v>82</v>
      </c>
    </row>
    <row r="3718" spans="15:20" x14ac:dyDescent="0.25">
      <c r="O3718">
        <v>1</v>
      </c>
      <c r="S3718" t="e">
        <v>#DIV/0!</v>
      </c>
      <c r="T3718" t="s">
        <v>82</v>
      </c>
    </row>
    <row r="3719" spans="15:20" x14ac:dyDescent="0.25">
      <c r="O3719">
        <v>1</v>
      </c>
      <c r="S3719" t="e">
        <v>#DIV/0!</v>
      </c>
      <c r="T3719" t="s">
        <v>82</v>
      </c>
    </row>
    <row r="3720" spans="15:20" x14ac:dyDescent="0.25">
      <c r="O3720">
        <v>1</v>
      </c>
      <c r="S3720" t="e">
        <v>#DIV/0!</v>
      </c>
      <c r="T3720" t="s">
        <v>82</v>
      </c>
    </row>
    <row r="3721" spans="15:20" x14ac:dyDescent="0.25">
      <c r="O3721">
        <v>1</v>
      </c>
      <c r="S3721" t="e">
        <v>#DIV/0!</v>
      </c>
      <c r="T3721" t="s">
        <v>82</v>
      </c>
    </row>
    <row r="3722" spans="15:20" x14ac:dyDescent="0.25">
      <c r="O3722">
        <v>1</v>
      </c>
      <c r="S3722" t="e">
        <v>#DIV/0!</v>
      </c>
      <c r="T3722" t="s">
        <v>82</v>
      </c>
    </row>
    <row r="3723" spans="15:20" x14ac:dyDescent="0.25">
      <c r="O3723">
        <v>1</v>
      </c>
      <c r="S3723" t="e">
        <v>#DIV/0!</v>
      </c>
      <c r="T3723" t="s">
        <v>82</v>
      </c>
    </row>
    <row r="3724" spans="15:20" x14ac:dyDescent="0.25">
      <c r="O3724">
        <v>1</v>
      </c>
      <c r="S3724" t="e">
        <v>#DIV/0!</v>
      </c>
      <c r="T3724" t="s">
        <v>82</v>
      </c>
    </row>
    <row r="3725" spans="15:20" x14ac:dyDescent="0.25">
      <c r="O3725">
        <v>1</v>
      </c>
      <c r="S3725" t="e">
        <v>#DIV/0!</v>
      </c>
      <c r="T3725" t="s">
        <v>82</v>
      </c>
    </row>
    <row r="3726" spans="15:20" x14ac:dyDescent="0.25">
      <c r="O3726">
        <v>1</v>
      </c>
      <c r="S3726" t="e">
        <v>#DIV/0!</v>
      </c>
      <c r="T3726" t="s">
        <v>82</v>
      </c>
    </row>
    <row r="3727" spans="15:20" x14ac:dyDescent="0.25">
      <c r="O3727">
        <v>1</v>
      </c>
      <c r="S3727" t="e">
        <v>#DIV/0!</v>
      </c>
      <c r="T3727" t="s">
        <v>82</v>
      </c>
    </row>
    <row r="3728" spans="15:20" x14ac:dyDescent="0.25">
      <c r="O3728">
        <v>1</v>
      </c>
      <c r="S3728" t="e">
        <v>#DIV/0!</v>
      </c>
      <c r="T3728" t="s">
        <v>82</v>
      </c>
    </row>
    <row r="3729" spans="15:20" x14ac:dyDescent="0.25">
      <c r="O3729">
        <v>1</v>
      </c>
      <c r="S3729" t="e">
        <v>#DIV/0!</v>
      </c>
      <c r="T3729" t="s">
        <v>82</v>
      </c>
    </row>
    <row r="3730" spans="15:20" x14ac:dyDescent="0.25">
      <c r="O3730">
        <v>1</v>
      </c>
      <c r="S3730" t="e">
        <v>#DIV/0!</v>
      </c>
      <c r="T3730" t="s">
        <v>82</v>
      </c>
    </row>
    <row r="3731" spans="15:20" x14ac:dyDescent="0.25">
      <c r="O3731">
        <v>1</v>
      </c>
      <c r="S3731" t="e">
        <v>#DIV/0!</v>
      </c>
      <c r="T3731" t="s">
        <v>82</v>
      </c>
    </row>
    <row r="3732" spans="15:20" x14ac:dyDescent="0.25">
      <c r="O3732">
        <v>1</v>
      </c>
      <c r="S3732" t="e">
        <v>#DIV/0!</v>
      </c>
      <c r="T3732" t="s">
        <v>82</v>
      </c>
    </row>
    <row r="3733" spans="15:20" x14ac:dyDescent="0.25">
      <c r="O3733">
        <v>1</v>
      </c>
      <c r="S3733" t="e">
        <v>#DIV/0!</v>
      </c>
      <c r="T3733" t="s">
        <v>82</v>
      </c>
    </row>
    <row r="3734" spans="15:20" x14ac:dyDescent="0.25">
      <c r="O3734">
        <v>1</v>
      </c>
      <c r="S3734" t="e">
        <v>#DIV/0!</v>
      </c>
      <c r="T3734" t="s">
        <v>82</v>
      </c>
    </row>
    <row r="3735" spans="15:20" x14ac:dyDescent="0.25">
      <c r="O3735">
        <v>1</v>
      </c>
      <c r="S3735" t="e">
        <v>#DIV/0!</v>
      </c>
      <c r="T3735" t="s">
        <v>82</v>
      </c>
    </row>
    <row r="3736" spans="15:20" x14ac:dyDescent="0.25">
      <c r="O3736">
        <v>1</v>
      </c>
      <c r="S3736" t="e">
        <v>#DIV/0!</v>
      </c>
      <c r="T3736" t="s">
        <v>82</v>
      </c>
    </row>
    <row r="3737" spans="15:20" x14ac:dyDescent="0.25">
      <c r="O3737">
        <v>1</v>
      </c>
      <c r="S3737" t="e">
        <v>#DIV/0!</v>
      </c>
      <c r="T3737" t="s">
        <v>82</v>
      </c>
    </row>
    <row r="3738" spans="15:20" x14ac:dyDescent="0.25">
      <c r="O3738">
        <v>1</v>
      </c>
      <c r="S3738" t="e">
        <v>#DIV/0!</v>
      </c>
      <c r="T3738" t="s">
        <v>82</v>
      </c>
    </row>
    <row r="3739" spans="15:20" x14ac:dyDescent="0.25">
      <c r="O3739">
        <v>1</v>
      </c>
      <c r="S3739" t="e">
        <v>#DIV/0!</v>
      </c>
      <c r="T3739" t="s">
        <v>82</v>
      </c>
    </row>
    <row r="3740" spans="15:20" x14ac:dyDescent="0.25">
      <c r="O3740">
        <v>1</v>
      </c>
      <c r="S3740" t="e">
        <v>#DIV/0!</v>
      </c>
      <c r="T3740" t="s">
        <v>82</v>
      </c>
    </row>
    <row r="3741" spans="15:20" x14ac:dyDescent="0.25">
      <c r="O3741">
        <v>1</v>
      </c>
      <c r="S3741" t="e">
        <v>#DIV/0!</v>
      </c>
      <c r="T3741" t="s">
        <v>82</v>
      </c>
    </row>
    <row r="3742" spans="15:20" x14ac:dyDescent="0.25">
      <c r="O3742">
        <v>1</v>
      </c>
      <c r="S3742" t="e">
        <v>#DIV/0!</v>
      </c>
      <c r="T3742" t="s">
        <v>82</v>
      </c>
    </row>
    <row r="3743" spans="15:20" x14ac:dyDescent="0.25">
      <c r="O3743">
        <v>1</v>
      </c>
      <c r="S3743" t="e">
        <v>#DIV/0!</v>
      </c>
      <c r="T3743" t="s">
        <v>82</v>
      </c>
    </row>
    <row r="3744" spans="15:20" x14ac:dyDescent="0.25">
      <c r="O3744">
        <v>1</v>
      </c>
      <c r="S3744" t="e">
        <v>#DIV/0!</v>
      </c>
      <c r="T3744" t="s">
        <v>82</v>
      </c>
    </row>
    <row r="3745" spans="15:20" x14ac:dyDescent="0.25">
      <c r="O3745">
        <v>1</v>
      </c>
      <c r="S3745" t="e">
        <v>#DIV/0!</v>
      </c>
      <c r="T3745" t="s">
        <v>82</v>
      </c>
    </row>
    <row r="3746" spans="15:20" x14ac:dyDescent="0.25">
      <c r="O3746">
        <v>1</v>
      </c>
      <c r="S3746" t="e">
        <v>#DIV/0!</v>
      </c>
      <c r="T3746" t="s">
        <v>82</v>
      </c>
    </row>
    <row r="3747" spans="15:20" x14ac:dyDescent="0.25">
      <c r="O3747">
        <v>1</v>
      </c>
      <c r="S3747" t="e">
        <v>#DIV/0!</v>
      </c>
      <c r="T3747" t="s">
        <v>82</v>
      </c>
    </row>
    <row r="3748" spans="15:20" x14ac:dyDescent="0.25">
      <c r="O3748">
        <v>1</v>
      </c>
      <c r="S3748" t="e">
        <v>#DIV/0!</v>
      </c>
      <c r="T3748" t="s">
        <v>82</v>
      </c>
    </row>
    <row r="3749" spans="15:20" x14ac:dyDescent="0.25">
      <c r="O3749">
        <v>1</v>
      </c>
      <c r="S3749" t="e">
        <v>#DIV/0!</v>
      </c>
      <c r="T3749" t="s">
        <v>82</v>
      </c>
    </row>
    <row r="3750" spans="15:20" x14ac:dyDescent="0.25">
      <c r="O3750">
        <v>1</v>
      </c>
      <c r="S3750" t="e">
        <v>#DIV/0!</v>
      </c>
      <c r="T3750" t="s">
        <v>82</v>
      </c>
    </row>
    <row r="3751" spans="15:20" x14ac:dyDescent="0.25">
      <c r="O3751">
        <v>1</v>
      </c>
      <c r="S3751" t="e">
        <v>#DIV/0!</v>
      </c>
      <c r="T3751" t="s">
        <v>82</v>
      </c>
    </row>
    <row r="3752" spans="15:20" x14ac:dyDescent="0.25">
      <c r="O3752">
        <v>1</v>
      </c>
      <c r="S3752" t="e">
        <v>#DIV/0!</v>
      </c>
      <c r="T3752" t="s">
        <v>82</v>
      </c>
    </row>
    <row r="3753" spans="15:20" x14ac:dyDescent="0.25">
      <c r="O3753">
        <v>1</v>
      </c>
      <c r="S3753" t="e">
        <v>#DIV/0!</v>
      </c>
      <c r="T3753" t="s">
        <v>82</v>
      </c>
    </row>
    <row r="3754" spans="15:20" x14ac:dyDescent="0.25">
      <c r="O3754">
        <v>1</v>
      </c>
      <c r="S3754" t="e">
        <v>#DIV/0!</v>
      </c>
      <c r="T3754" t="s">
        <v>82</v>
      </c>
    </row>
    <row r="3755" spans="15:20" x14ac:dyDescent="0.25">
      <c r="O3755">
        <v>1</v>
      </c>
      <c r="S3755" t="e">
        <v>#DIV/0!</v>
      </c>
      <c r="T3755" t="s">
        <v>82</v>
      </c>
    </row>
    <row r="3756" spans="15:20" x14ac:dyDescent="0.25">
      <c r="O3756">
        <v>1</v>
      </c>
      <c r="S3756" t="e">
        <v>#DIV/0!</v>
      </c>
      <c r="T3756" t="s">
        <v>82</v>
      </c>
    </row>
    <row r="3757" spans="15:20" x14ac:dyDescent="0.25">
      <c r="O3757">
        <v>1</v>
      </c>
      <c r="S3757" t="e">
        <v>#DIV/0!</v>
      </c>
      <c r="T3757" t="s">
        <v>82</v>
      </c>
    </row>
    <row r="3758" spans="15:20" x14ac:dyDescent="0.25">
      <c r="O3758">
        <v>1</v>
      </c>
      <c r="S3758" t="e">
        <v>#DIV/0!</v>
      </c>
      <c r="T3758" t="s">
        <v>82</v>
      </c>
    </row>
    <row r="3759" spans="15:20" x14ac:dyDescent="0.25">
      <c r="O3759">
        <v>1</v>
      </c>
      <c r="S3759" t="e">
        <v>#DIV/0!</v>
      </c>
      <c r="T3759" t="s">
        <v>82</v>
      </c>
    </row>
    <row r="3760" spans="15:20" x14ac:dyDescent="0.25">
      <c r="O3760">
        <v>1</v>
      </c>
      <c r="S3760" t="e">
        <v>#DIV/0!</v>
      </c>
      <c r="T3760" t="s">
        <v>82</v>
      </c>
    </row>
    <row r="3761" spans="15:20" x14ac:dyDescent="0.25">
      <c r="O3761">
        <v>1</v>
      </c>
      <c r="S3761" t="e">
        <v>#DIV/0!</v>
      </c>
      <c r="T3761" t="s">
        <v>82</v>
      </c>
    </row>
    <row r="3762" spans="15:20" x14ac:dyDescent="0.25">
      <c r="O3762">
        <v>1</v>
      </c>
      <c r="S3762" t="e">
        <v>#DIV/0!</v>
      </c>
      <c r="T3762" t="s">
        <v>82</v>
      </c>
    </row>
    <row r="3763" spans="15:20" x14ac:dyDescent="0.25">
      <c r="O3763">
        <v>1</v>
      </c>
      <c r="S3763" t="e">
        <v>#DIV/0!</v>
      </c>
      <c r="T3763" t="s">
        <v>82</v>
      </c>
    </row>
    <row r="3764" spans="15:20" x14ac:dyDescent="0.25">
      <c r="O3764">
        <v>1</v>
      </c>
      <c r="S3764" t="e">
        <v>#DIV/0!</v>
      </c>
      <c r="T3764" t="s">
        <v>82</v>
      </c>
    </row>
    <row r="3765" spans="15:20" x14ac:dyDescent="0.25">
      <c r="O3765">
        <v>1</v>
      </c>
      <c r="S3765" t="e">
        <v>#DIV/0!</v>
      </c>
      <c r="T3765" t="s">
        <v>82</v>
      </c>
    </row>
    <row r="3766" spans="15:20" x14ac:dyDescent="0.25">
      <c r="O3766">
        <v>1</v>
      </c>
      <c r="S3766" t="e">
        <v>#DIV/0!</v>
      </c>
      <c r="T3766" t="s">
        <v>82</v>
      </c>
    </row>
    <row r="3767" spans="15:20" x14ac:dyDescent="0.25">
      <c r="O3767">
        <v>1</v>
      </c>
      <c r="S3767" t="e">
        <v>#DIV/0!</v>
      </c>
      <c r="T3767" t="s">
        <v>82</v>
      </c>
    </row>
    <row r="3768" spans="15:20" x14ac:dyDescent="0.25">
      <c r="O3768">
        <v>1</v>
      </c>
      <c r="S3768" t="e">
        <v>#DIV/0!</v>
      </c>
      <c r="T3768" t="s">
        <v>82</v>
      </c>
    </row>
    <row r="3769" spans="15:20" x14ac:dyDescent="0.25">
      <c r="O3769">
        <v>1</v>
      </c>
      <c r="S3769" t="e">
        <v>#DIV/0!</v>
      </c>
      <c r="T3769" t="s">
        <v>82</v>
      </c>
    </row>
    <row r="3770" spans="15:20" x14ac:dyDescent="0.25">
      <c r="O3770">
        <v>1</v>
      </c>
      <c r="S3770" t="e">
        <v>#DIV/0!</v>
      </c>
      <c r="T3770" t="s">
        <v>82</v>
      </c>
    </row>
    <row r="3771" spans="15:20" x14ac:dyDescent="0.25">
      <c r="O3771">
        <v>1</v>
      </c>
      <c r="S3771" t="e">
        <v>#DIV/0!</v>
      </c>
      <c r="T3771" t="s">
        <v>82</v>
      </c>
    </row>
    <row r="3772" spans="15:20" x14ac:dyDescent="0.25">
      <c r="O3772">
        <v>1</v>
      </c>
      <c r="S3772" t="e">
        <v>#DIV/0!</v>
      </c>
      <c r="T3772" t="s">
        <v>82</v>
      </c>
    </row>
    <row r="3773" spans="15:20" x14ac:dyDescent="0.25">
      <c r="O3773">
        <v>1</v>
      </c>
      <c r="S3773" t="e">
        <v>#DIV/0!</v>
      </c>
      <c r="T3773" t="s">
        <v>82</v>
      </c>
    </row>
    <row r="3774" spans="15:20" x14ac:dyDescent="0.25">
      <c r="O3774">
        <v>1</v>
      </c>
      <c r="S3774" t="e">
        <v>#DIV/0!</v>
      </c>
      <c r="T3774" t="s">
        <v>82</v>
      </c>
    </row>
    <row r="3775" spans="15:20" x14ac:dyDescent="0.25">
      <c r="O3775">
        <v>1</v>
      </c>
      <c r="S3775" t="e">
        <v>#DIV/0!</v>
      </c>
      <c r="T3775" t="s">
        <v>82</v>
      </c>
    </row>
    <row r="3776" spans="15:20" x14ac:dyDescent="0.25">
      <c r="O3776">
        <v>1</v>
      </c>
      <c r="S3776" t="e">
        <v>#DIV/0!</v>
      </c>
      <c r="T3776" t="s">
        <v>82</v>
      </c>
    </row>
    <row r="3777" spans="15:20" x14ac:dyDescent="0.25">
      <c r="O3777">
        <v>1</v>
      </c>
      <c r="S3777" t="e">
        <v>#DIV/0!</v>
      </c>
      <c r="T3777" t="s">
        <v>82</v>
      </c>
    </row>
    <row r="3778" spans="15:20" x14ac:dyDescent="0.25">
      <c r="O3778">
        <v>1</v>
      </c>
      <c r="S3778" t="e">
        <v>#DIV/0!</v>
      </c>
      <c r="T3778" t="s">
        <v>82</v>
      </c>
    </row>
    <row r="3779" spans="15:20" x14ac:dyDescent="0.25">
      <c r="O3779">
        <v>1</v>
      </c>
      <c r="S3779" t="e">
        <v>#DIV/0!</v>
      </c>
      <c r="T3779" t="s">
        <v>82</v>
      </c>
    </row>
    <row r="3780" spans="15:20" x14ac:dyDescent="0.25">
      <c r="O3780">
        <v>1</v>
      </c>
      <c r="S3780" t="e">
        <v>#DIV/0!</v>
      </c>
      <c r="T3780" t="s">
        <v>82</v>
      </c>
    </row>
    <row r="3781" spans="15:20" x14ac:dyDescent="0.25">
      <c r="O3781">
        <v>1</v>
      </c>
      <c r="S3781" t="e">
        <v>#DIV/0!</v>
      </c>
      <c r="T3781" t="s">
        <v>82</v>
      </c>
    </row>
    <row r="3782" spans="15:20" x14ac:dyDescent="0.25">
      <c r="O3782">
        <v>1</v>
      </c>
      <c r="S3782" t="e">
        <v>#DIV/0!</v>
      </c>
      <c r="T3782" t="s">
        <v>82</v>
      </c>
    </row>
    <row r="3783" spans="15:20" x14ac:dyDescent="0.25">
      <c r="O3783">
        <v>1</v>
      </c>
      <c r="S3783" t="e">
        <v>#DIV/0!</v>
      </c>
      <c r="T3783" t="s">
        <v>82</v>
      </c>
    </row>
    <row r="3784" spans="15:20" x14ac:dyDescent="0.25">
      <c r="O3784">
        <v>1</v>
      </c>
      <c r="S3784" t="e">
        <v>#DIV/0!</v>
      </c>
      <c r="T3784" t="s">
        <v>82</v>
      </c>
    </row>
    <row r="3785" spans="15:20" x14ac:dyDescent="0.25">
      <c r="O3785">
        <v>1</v>
      </c>
      <c r="S3785" t="e">
        <v>#DIV/0!</v>
      </c>
      <c r="T3785" t="s">
        <v>82</v>
      </c>
    </row>
    <row r="3786" spans="15:20" x14ac:dyDescent="0.25">
      <c r="O3786">
        <v>1</v>
      </c>
      <c r="S3786" t="e">
        <v>#DIV/0!</v>
      </c>
      <c r="T3786" t="s">
        <v>82</v>
      </c>
    </row>
    <row r="3787" spans="15:20" x14ac:dyDescent="0.25">
      <c r="O3787">
        <v>1</v>
      </c>
      <c r="S3787" t="e">
        <v>#DIV/0!</v>
      </c>
      <c r="T3787" t="s">
        <v>82</v>
      </c>
    </row>
    <row r="3788" spans="15:20" x14ac:dyDescent="0.25">
      <c r="O3788">
        <v>1</v>
      </c>
      <c r="S3788" t="e">
        <v>#DIV/0!</v>
      </c>
      <c r="T3788" t="s">
        <v>82</v>
      </c>
    </row>
    <row r="3789" spans="15:20" x14ac:dyDescent="0.25">
      <c r="O3789">
        <v>1</v>
      </c>
      <c r="S3789" t="e">
        <v>#DIV/0!</v>
      </c>
      <c r="T3789" t="s">
        <v>82</v>
      </c>
    </row>
    <row r="3790" spans="15:20" x14ac:dyDescent="0.25">
      <c r="O3790">
        <v>1</v>
      </c>
      <c r="S3790" t="e">
        <v>#DIV/0!</v>
      </c>
      <c r="T3790" t="s">
        <v>82</v>
      </c>
    </row>
    <row r="3791" spans="15:20" x14ac:dyDescent="0.25">
      <c r="O3791">
        <v>1</v>
      </c>
      <c r="S3791" t="e">
        <v>#DIV/0!</v>
      </c>
      <c r="T3791" t="s">
        <v>82</v>
      </c>
    </row>
    <row r="3792" spans="15:20" x14ac:dyDescent="0.25">
      <c r="O3792">
        <v>1</v>
      </c>
      <c r="S3792" t="e">
        <v>#DIV/0!</v>
      </c>
      <c r="T3792" t="s">
        <v>82</v>
      </c>
    </row>
    <row r="3793" spans="15:20" x14ac:dyDescent="0.25">
      <c r="O3793">
        <v>1</v>
      </c>
      <c r="S3793" t="e">
        <v>#DIV/0!</v>
      </c>
      <c r="T3793" t="s">
        <v>82</v>
      </c>
    </row>
    <row r="3794" spans="15:20" x14ac:dyDescent="0.25">
      <c r="O3794">
        <v>1</v>
      </c>
      <c r="S3794" t="e">
        <v>#DIV/0!</v>
      </c>
      <c r="T3794" t="s">
        <v>82</v>
      </c>
    </row>
    <row r="3795" spans="15:20" x14ac:dyDescent="0.25">
      <c r="O3795">
        <v>1</v>
      </c>
      <c r="S3795" t="e">
        <v>#DIV/0!</v>
      </c>
      <c r="T3795" t="s">
        <v>82</v>
      </c>
    </row>
    <row r="3796" spans="15:20" x14ac:dyDescent="0.25">
      <c r="O3796">
        <v>1</v>
      </c>
      <c r="S3796" t="e">
        <v>#DIV/0!</v>
      </c>
      <c r="T3796" t="s">
        <v>82</v>
      </c>
    </row>
    <row r="3797" spans="15:20" x14ac:dyDescent="0.25">
      <c r="O3797">
        <v>1</v>
      </c>
      <c r="S3797" t="e">
        <v>#DIV/0!</v>
      </c>
      <c r="T3797" t="s">
        <v>82</v>
      </c>
    </row>
    <row r="3798" spans="15:20" x14ac:dyDescent="0.25">
      <c r="O3798">
        <v>1</v>
      </c>
      <c r="S3798" t="e">
        <v>#DIV/0!</v>
      </c>
      <c r="T3798" t="s">
        <v>82</v>
      </c>
    </row>
    <row r="3799" spans="15:20" x14ac:dyDescent="0.25">
      <c r="O3799">
        <v>1</v>
      </c>
      <c r="S3799" t="e">
        <v>#DIV/0!</v>
      </c>
      <c r="T3799" t="s">
        <v>82</v>
      </c>
    </row>
    <row r="3800" spans="15:20" x14ac:dyDescent="0.25">
      <c r="O3800">
        <v>1</v>
      </c>
      <c r="S3800" t="e">
        <v>#DIV/0!</v>
      </c>
      <c r="T3800" t="s">
        <v>82</v>
      </c>
    </row>
    <row r="3801" spans="15:20" x14ac:dyDescent="0.25">
      <c r="O3801">
        <v>1</v>
      </c>
      <c r="S3801" t="e">
        <v>#DIV/0!</v>
      </c>
      <c r="T3801" t="s">
        <v>82</v>
      </c>
    </row>
    <row r="3802" spans="15:20" x14ac:dyDescent="0.25">
      <c r="O3802">
        <v>1</v>
      </c>
      <c r="S3802" t="e">
        <v>#DIV/0!</v>
      </c>
      <c r="T3802" t="s">
        <v>82</v>
      </c>
    </row>
    <row r="3803" spans="15:20" x14ac:dyDescent="0.25">
      <c r="O3803">
        <v>1</v>
      </c>
      <c r="S3803" t="e">
        <v>#DIV/0!</v>
      </c>
      <c r="T3803" t="s">
        <v>82</v>
      </c>
    </row>
    <row r="3804" spans="15:20" x14ac:dyDescent="0.25">
      <c r="O3804">
        <v>1</v>
      </c>
      <c r="S3804" t="e">
        <v>#DIV/0!</v>
      </c>
      <c r="T3804" t="s">
        <v>82</v>
      </c>
    </row>
    <row r="3805" spans="15:20" x14ac:dyDescent="0.25">
      <c r="O3805">
        <v>1</v>
      </c>
      <c r="S3805" t="e">
        <v>#DIV/0!</v>
      </c>
      <c r="T3805" t="s">
        <v>82</v>
      </c>
    </row>
    <row r="3806" spans="15:20" x14ac:dyDescent="0.25">
      <c r="O3806">
        <v>1</v>
      </c>
      <c r="S3806" t="e">
        <v>#DIV/0!</v>
      </c>
      <c r="T3806" t="s">
        <v>82</v>
      </c>
    </row>
    <row r="3807" spans="15:20" x14ac:dyDescent="0.25">
      <c r="O3807">
        <v>1</v>
      </c>
      <c r="S3807" t="e">
        <v>#DIV/0!</v>
      </c>
      <c r="T3807" t="s">
        <v>82</v>
      </c>
    </row>
    <row r="3808" spans="15:20" x14ac:dyDescent="0.25">
      <c r="O3808">
        <v>1</v>
      </c>
      <c r="S3808" t="e">
        <v>#DIV/0!</v>
      </c>
      <c r="T3808" t="s">
        <v>82</v>
      </c>
    </row>
    <row r="3809" spans="15:20" x14ac:dyDescent="0.25">
      <c r="O3809">
        <v>1</v>
      </c>
      <c r="S3809" t="e">
        <v>#DIV/0!</v>
      </c>
      <c r="T3809" t="s">
        <v>82</v>
      </c>
    </row>
    <row r="3810" spans="15:20" x14ac:dyDescent="0.25">
      <c r="O3810">
        <v>1</v>
      </c>
      <c r="S3810" t="e">
        <v>#DIV/0!</v>
      </c>
      <c r="T3810" t="s">
        <v>82</v>
      </c>
    </row>
    <row r="3811" spans="15:20" x14ac:dyDescent="0.25">
      <c r="O3811">
        <v>1</v>
      </c>
      <c r="S3811" t="e">
        <v>#DIV/0!</v>
      </c>
      <c r="T3811" t="s">
        <v>82</v>
      </c>
    </row>
    <row r="3812" spans="15:20" x14ac:dyDescent="0.25">
      <c r="O3812">
        <v>1</v>
      </c>
      <c r="S3812" t="e">
        <v>#DIV/0!</v>
      </c>
      <c r="T3812" t="s">
        <v>82</v>
      </c>
    </row>
    <row r="3813" spans="15:20" x14ac:dyDescent="0.25">
      <c r="O3813">
        <v>1</v>
      </c>
      <c r="S3813" t="e">
        <v>#DIV/0!</v>
      </c>
      <c r="T3813" t="s">
        <v>82</v>
      </c>
    </row>
    <row r="3814" spans="15:20" x14ac:dyDescent="0.25">
      <c r="O3814">
        <v>1</v>
      </c>
      <c r="S3814" t="e">
        <v>#DIV/0!</v>
      </c>
      <c r="T3814" t="s">
        <v>82</v>
      </c>
    </row>
    <row r="3815" spans="15:20" x14ac:dyDescent="0.25">
      <c r="O3815">
        <v>1</v>
      </c>
      <c r="S3815" t="e">
        <v>#DIV/0!</v>
      </c>
      <c r="T3815" t="s">
        <v>82</v>
      </c>
    </row>
    <row r="3816" spans="15:20" x14ac:dyDescent="0.25">
      <c r="O3816">
        <v>1</v>
      </c>
      <c r="S3816" t="e">
        <v>#DIV/0!</v>
      </c>
      <c r="T3816" t="s">
        <v>82</v>
      </c>
    </row>
    <row r="3817" spans="15:20" x14ac:dyDescent="0.25">
      <c r="O3817">
        <v>1</v>
      </c>
      <c r="S3817" t="e">
        <v>#DIV/0!</v>
      </c>
      <c r="T3817" t="s">
        <v>82</v>
      </c>
    </row>
    <row r="3818" spans="15:20" x14ac:dyDescent="0.25">
      <c r="O3818">
        <v>1</v>
      </c>
      <c r="S3818" t="e">
        <v>#DIV/0!</v>
      </c>
      <c r="T3818" t="s">
        <v>82</v>
      </c>
    </row>
    <row r="3819" spans="15:20" x14ac:dyDescent="0.25">
      <c r="O3819">
        <v>1</v>
      </c>
      <c r="S3819" t="e">
        <v>#DIV/0!</v>
      </c>
      <c r="T3819" t="s">
        <v>82</v>
      </c>
    </row>
    <row r="3820" spans="15:20" x14ac:dyDescent="0.25">
      <c r="O3820">
        <v>1</v>
      </c>
      <c r="S3820" t="e">
        <v>#DIV/0!</v>
      </c>
      <c r="T3820" t="s">
        <v>82</v>
      </c>
    </row>
    <row r="3821" spans="15:20" x14ac:dyDescent="0.25">
      <c r="O3821">
        <v>1</v>
      </c>
      <c r="S3821" t="e">
        <v>#DIV/0!</v>
      </c>
      <c r="T3821" t="s">
        <v>82</v>
      </c>
    </row>
    <row r="3822" spans="15:20" x14ac:dyDescent="0.25">
      <c r="O3822">
        <v>1</v>
      </c>
      <c r="S3822" t="e">
        <v>#DIV/0!</v>
      </c>
      <c r="T3822" t="s">
        <v>82</v>
      </c>
    </row>
    <row r="3823" spans="15:20" x14ac:dyDescent="0.25">
      <c r="O3823">
        <v>1</v>
      </c>
      <c r="S3823" t="e">
        <v>#DIV/0!</v>
      </c>
      <c r="T3823" t="s">
        <v>82</v>
      </c>
    </row>
    <row r="3824" spans="15:20" x14ac:dyDescent="0.25">
      <c r="O3824">
        <v>1</v>
      </c>
      <c r="S3824" t="e">
        <v>#DIV/0!</v>
      </c>
      <c r="T3824" t="s">
        <v>82</v>
      </c>
    </row>
    <row r="3825" spans="15:20" x14ac:dyDescent="0.25">
      <c r="O3825">
        <v>1</v>
      </c>
      <c r="S3825" t="e">
        <v>#DIV/0!</v>
      </c>
      <c r="T3825" t="s">
        <v>82</v>
      </c>
    </row>
    <row r="3826" spans="15:20" x14ac:dyDescent="0.25">
      <c r="O3826">
        <v>1</v>
      </c>
      <c r="S3826" t="e">
        <v>#DIV/0!</v>
      </c>
      <c r="T3826" t="s">
        <v>82</v>
      </c>
    </row>
    <row r="3827" spans="15:20" x14ac:dyDescent="0.25">
      <c r="O3827">
        <v>1</v>
      </c>
      <c r="S3827" t="e">
        <v>#DIV/0!</v>
      </c>
      <c r="T3827" t="s">
        <v>82</v>
      </c>
    </row>
    <row r="3828" spans="15:20" x14ac:dyDescent="0.25">
      <c r="O3828">
        <v>1</v>
      </c>
      <c r="S3828" t="e">
        <v>#DIV/0!</v>
      </c>
      <c r="T3828" t="s">
        <v>82</v>
      </c>
    </row>
    <row r="3829" spans="15:20" x14ac:dyDescent="0.25">
      <c r="O3829">
        <v>1</v>
      </c>
      <c r="S3829" t="e">
        <v>#DIV/0!</v>
      </c>
      <c r="T3829" t="s">
        <v>82</v>
      </c>
    </row>
    <row r="3830" spans="15:20" x14ac:dyDescent="0.25">
      <c r="O3830">
        <v>1</v>
      </c>
      <c r="S3830" t="e">
        <v>#DIV/0!</v>
      </c>
      <c r="T3830" t="s">
        <v>82</v>
      </c>
    </row>
    <row r="3831" spans="15:20" x14ac:dyDescent="0.25">
      <c r="O3831">
        <v>1</v>
      </c>
      <c r="S3831" t="e">
        <v>#DIV/0!</v>
      </c>
      <c r="T3831" t="s">
        <v>82</v>
      </c>
    </row>
    <row r="3832" spans="15:20" x14ac:dyDescent="0.25">
      <c r="O3832">
        <v>1</v>
      </c>
      <c r="S3832" t="e">
        <v>#DIV/0!</v>
      </c>
      <c r="T3832" t="s">
        <v>82</v>
      </c>
    </row>
    <row r="3833" spans="15:20" x14ac:dyDescent="0.25">
      <c r="O3833">
        <v>1</v>
      </c>
      <c r="S3833" t="e">
        <v>#DIV/0!</v>
      </c>
      <c r="T3833" t="s">
        <v>82</v>
      </c>
    </row>
    <row r="3834" spans="15:20" x14ac:dyDescent="0.25">
      <c r="O3834">
        <v>1</v>
      </c>
      <c r="S3834" t="e">
        <v>#DIV/0!</v>
      </c>
      <c r="T3834" t="s">
        <v>82</v>
      </c>
    </row>
    <row r="3835" spans="15:20" x14ac:dyDescent="0.25">
      <c r="O3835">
        <v>1</v>
      </c>
      <c r="S3835" t="e">
        <v>#DIV/0!</v>
      </c>
      <c r="T3835" t="s">
        <v>82</v>
      </c>
    </row>
    <row r="3836" spans="15:20" x14ac:dyDescent="0.25">
      <c r="O3836">
        <v>1</v>
      </c>
      <c r="S3836" t="e">
        <v>#DIV/0!</v>
      </c>
      <c r="T3836" t="s">
        <v>82</v>
      </c>
    </row>
    <row r="3837" spans="15:20" x14ac:dyDescent="0.25">
      <c r="O3837">
        <v>1</v>
      </c>
      <c r="S3837" t="e">
        <v>#DIV/0!</v>
      </c>
      <c r="T3837" t="s">
        <v>82</v>
      </c>
    </row>
    <row r="3838" spans="15:20" x14ac:dyDescent="0.25">
      <c r="O3838">
        <v>1</v>
      </c>
      <c r="S3838" t="e">
        <v>#DIV/0!</v>
      </c>
      <c r="T3838" t="s">
        <v>82</v>
      </c>
    </row>
    <row r="3839" spans="15:20" x14ac:dyDescent="0.25">
      <c r="O3839">
        <v>1</v>
      </c>
      <c r="S3839" t="e">
        <v>#DIV/0!</v>
      </c>
      <c r="T3839" t="s">
        <v>82</v>
      </c>
    </row>
    <row r="3840" spans="15:20" x14ac:dyDescent="0.25">
      <c r="O3840">
        <v>1</v>
      </c>
      <c r="S3840" t="e">
        <v>#DIV/0!</v>
      </c>
      <c r="T3840" t="s">
        <v>82</v>
      </c>
    </row>
    <row r="3841" spans="15:20" x14ac:dyDescent="0.25">
      <c r="O3841">
        <v>1</v>
      </c>
      <c r="S3841" t="e">
        <v>#DIV/0!</v>
      </c>
      <c r="T3841" t="s">
        <v>82</v>
      </c>
    </row>
    <row r="3842" spans="15:20" x14ac:dyDescent="0.25">
      <c r="O3842">
        <v>1</v>
      </c>
      <c r="S3842" t="e">
        <v>#DIV/0!</v>
      </c>
      <c r="T3842" t="s">
        <v>82</v>
      </c>
    </row>
    <row r="3843" spans="15:20" x14ac:dyDescent="0.25">
      <c r="O3843">
        <v>1</v>
      </c>
      <c r="S3843" t="e">
        <v>#DIV/0!</v>
      </c>
      <c r="T3843" t="s">
        <v>82</v>
      </c>
    </row>
    <row r="3844" spans="15:20" x14ac:dyDescent="0.25">
      <c r="O3844">
        <v>1</v>
      </c>
      <c r="S3844" t="e">
        <v>#DIV/0!</v>
      </c>
      <c r="T3844" t="s">
        <v>82</v>
      </c>
    </row>
    <row r="3845" spans="15:20" x14ac:dyDescent="0.25">
      <c r="O3845">
        <v>1</v>
      </c>
      <c r="S3845" t="e">
        <v>#DIV/0!</v>
      </c>
      <c r="T3845" t="s">
        <v>82</v>
      </c>
    </row>
    <row r="3846" spans="15:20" x14ac:dyDescent="0.25">
      <c r="O3846">
        <v>1</v>
      </c>
      <c r="S3846" t="e">
        <v>#DIV/0!</v>
      </c>
      <c r="T3846" t="s">
        <v>82</v>
      </c>
    </row>
    <row r="3847" spans="15:20" x14ac:dyDescent="0.25">
      <c r="O3847">
        <v>1</v>
      </c>
      <c r="S3847" t="e">
        <v>#DIV/0!</v>
      </c>
      <c r="T3847" t="s">
        <v>82</v>
      </c>
    </row>
    <row r="3848" spans="15:20" x14ac:dyDescent="0.25">
      <c r="O3848">
        <v>1</v>
      </c>
      <c r="S3848" t="e">
        <v>#DIV/0!</v>
      </c>
      <c r="T3848" t="s">
        <v>82</v>
      </c>
    </row>
    <row r="3849" spans="15:20" x14ac:dyDescent="0.25">
      <c r="O3849">
        <v>1</v>
      </c>
      <c r="S3849" t="e">
        <v>#DIV/0!</v>
      </c>
      <c r="T3849" t="s">
        <v>82</v>
      </c>
    </row>
    <row r="3850" spans="15:20" x14ac:dyDescent="0.25">
      <c r="O3850">
        <v>1</v>
      </c>
      <c r="S3850" t="e">
        <v>#DIV/0!</v>
      </c>
      <c r="T3850" t="s">
        <v>82</v>
      </c>
    </row>
    <row r="3851" spans="15:20" x14ac:dyDescent="0.25">
      <c r="O3851">
        <v>1</v>
      </c>
      <c r="S3851" t="e">
        <v>#DIV/0!</v>
      </c>
      <c r="T3851" t="s">
        <v>82</v>
      </c>
    </row>
    <row r="3852" spans="15:20" x14ac:dyDescent="0.25">
      <c r="O3852">
        <v>1</v>
      </c>
      <c r="S3852" t="e">
        <v>#DIV/0!</v>
      </c>
      <c r="T3852" t="s">
        <v>82</v>
      </c>
    </row>
    <row r="3853" spans="15:20" x14ac:dyDescent="0.25">
      <c r="O3853">
        <v>1</v>
      </c>
      <c r="S3853" t="e">
        <v>#DIV/0!</v>
      </c>
      <c r="T3853" t="s">
        <v>82</v>
      </c>
    </row>
    <row r="3854" spans="15:20" x14ac:dyDescent="0.25">
      <c r="O3854">
        <v>1</v>
      </c>
      <c r="S3854" t="e">
        <v>#DIV/0!</v>
      </c>
      <c r="T3854" t="s">
        <v>82</v>
      </c>
    </row>
    <row r="3855" spans="15:20" x14ac:dyDescent="0.25">
      <c r="O3855">
        <v>1</v>
      </c>
      <c r="S3855" t="e">
        <v>#DIV/0!</v>
      </c>
      <c r="T3855" t="s">
        <v>82</v>
      </c>
    </row>
    <row r="3856" spans="15:20" x14ac:dyDescent="0.25">
      <c r="O3856">
        <v>1</v>
      </c>
      <c r="S3856" t="e">
        <v>#DIV/0!</v>
      </c>
      <c r="T3856" t="s">
        <v>82</v>
      </c>
    </row>
    <row r="3857" spans="15:20" x14ac:dyDescent="0.25">
      <c r="O3857">
        <v>1</v>
      </c>
      <c r="S3857" t="e">
        <v>#DIV/0!</v>
      </c>
      <c r="T3857" t="s">
        <v>82</v>
      </c>
    </row>
    <row r="3858" spans="15:20" x14ac:dyDescent="0.25">
      <c r="O3858">
        <v>1</v>
      </c>
      <c r="S3858" t="e">
        <v>#DIV/0!</v>
      </c>
      <c r="T3858" t="s">
        <v>82</v>
      </c>
    </row>
    <row r="3859" spans="15:20" x14ac:dyDescent="0.25">
      <c r="O3859">
        <v>1</v>
      </c>
      <c r="S3859" t="e">
        <v>#DIV/0!</v>
      </c>
      <c r="T3859" t="s">
        <v>82</v>
      </c>
    </row>
    <row r="3860" spans="15:20" x14ac:dyDescent="0.25">
      <c r="O3860">
        <v>1</v>
      </c>
      <c r="S3860" t="e">
        <v>#DIV/0!</v>
      </c>
      <c r="T3860" t="s">
        <v>82</v>
      </c>
    </row>
    <row r="3861" spans="15:20" x14ac:dyDescent="0.25">
      <c r="O3861">
        <v>1</v>
      </c>
      <c r="S3861" t="e">
        <v>#DIV/0!</v>
      </c>
      <c r="T3861" t="s">
        <v>82</v>
      </c>
    </row>
    <row r="3862" spans="15:20" x14ac:dyDescent="0.25">
      <c r="O3862">
        <v>1</v>
      </c>
      <c r="S3862" t="e">
        <v>#DIV/0!</v>
      </c>
      <c r="T3862" t="s">
        <v>82</v>
      </c>
    </row>
    <row r="3863" spans="15:20" x14ac:dyDescent="0.25">
      <c r="O3863">
        <v>1</v>
      </c>
      <c r="S3863" t="e">
        <v>#DIV/0!</v>
      </c>
      <c r="T3863" t="s">
        <v>82</v>
      </c>
    </row>
    <row r="3864" spans="15:20" x14ac:dyDescent="0.25">
      <c r="O3864">
        <v>1</v>
      </c>
      <c r="S3864" t="e">
        <v>#DIV/0!</v>
      </c>
      <c r="T3864" t="s">
        <v>82</v>
      </c>
    </row>
    <row r="3865" spans="15:20" x14ac:dyDescent="0.25">
      <c r="O3865">
        <v>1</v>
      </c>
      <c r="S3865" t="e">
        <v>#DIV/0!</v>
      </c>
      <c r="T3865" t="s">
        <v>82</v>
      </c>
    </row>
    <row r="3866" spans="15:20" x14ac:dyDescent="0.25">
      <c r="O3866">
        <v>1</v>
      </c>
      <c r="S3866" t="e">
        <v>#DIV/0!</v>
      </c>
      <c r="T3866" t="s">
        <v>82</v>
      </c>
    </row>
    <row r="3867" spans="15:20" x14ac:dyDescent="0.25">
      <c r="O3867">
        <v>1</v>
      </c>
      <c r="S3867" t="e">
        <v>#DIV/0!</v>
      </c>
      <c r="T3867" t="s">
        <v>82</v>
      </c>
    </row>
    <row r="3868" spans="15:20" x14ac:dyDescent="0.25">
      <c r="O3868">
        <v>1</v>
      </c>
      <c r="S3868" t="e">
        <v>#DIV/0!</v>
      </c>
      <c r="T3868" t="s">
        <v>82</v>
      </c>
    </row>
    <row r="3869" spans="15:20" x14ac:dyDescent="0.25">
      <c r="O3869">
        <v>1</v>
      </c>
      <c r="S3869" t="e">
        <v>#DIV/0!</v>
      </c>
      <c r="T3869" t="s">
        <v>82</v>
      </c>
    </row>
    <row r="3870" spans="15:20" x14ac:dyDescent="0.25">
      <c r="O3870">
        <v>1</v>
      </c>
      <c r="S3870" t="e">
        <v>#DIV/0!</v>
      </c>
      <c r="T3870" t="s">
        <v>82</v>
      </c>
    </row>
    <row r="3871" spans="15:20" x14ac:dyDescent="0.25">
      <c r="O3871">
        <v>1</v>
      </c>
      <c r="S3871" t="e">
        <v>#DIV/0!</v>
      </c>
      <c r="T3871" t="s">
        <v>82</v>
      </c>
    </row>
    <row r="3872" spans="15:20" x14ac:dyDescent="0.25">
      <c r="O3872">
        <v>1</v>
      </c>
      <c r="S3872" t="e">
        <v>#DIV/0!</v>
      </c>
      <c r="T3872" t="s">
        <v>82</v>
      </c>
    </row>
    <row r="3873" spans="15:20" x14ac:dyDescent="0.25">
      <c r="O3873">
        <v>1</v>
      </c>
      <c r="S3873" t="e">
        <v>#DIV/0!</v>
      </c>
      <c r="T3873" t="s">
        <v>82</v>
      </c>
    </row>
    <row r="3874" spans="15:20" x14ac:dyDescent="0.25">
      <c r="O3874">
        <v>1</v>
      </c>
      <c r="S3874" t="e">
        <v>#DIV/0!</v>
      </c>
      <c r="T3874" t="s">
        <v>82</v>
      </c>
    </row>
    <row r="3875" spans="15:20" x14ac:dyDescent="0.25">
      <c r="O3875">
        <v>1</v>
      </c>
      <c r="S3875" t="e">
        <v>#DIV/0!</v>
      </c>
      <c r="T3875" t="s">
        <v>82</v>
      </c>
    </row>
    <row r="3876" spans="15:20" x14ac:dyDescent="0.25">
      <c r="O3876">
        <v>1</v>
      </c>
      <c r="S3876" t="e">
        <v>#DIV/0!</v>
      </c>
      <c r="T3876" t="s">
        <v>82</v>
      </c>
    </row>
    <row r="3877" spans="15:20" x14ac:dyDescent="0.25">
      <c r="O3877">
        <v>1</v>
      </c>
      <c r="S3877" t="e">
        <v>#DIV/0!</v>
      </c>
      <c r="T3877" t="s">
        <v>82</v>
      </c>
    </row>
    <row r="3878" spans="15:20" x14ac:dyDescent="0.25">
      <c r="O3878">
        <v>1</v>
      </c>
      <c r="S3878" t="e">
        <v>#DIV/0!</v>
      </c>
      <c r="T3878" t="s">
        <v>82</v>
      </c>
    </row>
    <row r="3879" spans="15:20" x14ac:dyDescent="0.25">
      <c r="O3879">
        <v>1</v>
      </c>
      <c r="S3879" t="e">
        <v>#DIV/0!</v>
      </c>
      <c r="T3879" t="s">
        <v>82</v>
      </c>
    </row>
    <row r="3880" spans="15:20" x14ac:dyDescent="0.25">
      <c r="O3880">
        <v>1</v>
      </c>
      <c r="S3880" t="e">
        <v>#DIV/0!</v>
      </c>
      <c r="T3880" t="s">
        <v>82</v>
      </c>
    </row>
    <row r="3881" spans="15:20" x14ac:dyDescent="0.25">
      <c r="O3881">
        <v>1</v>
      </c>
      <c r="S3881" t="e">
        <v>#DIV/0!</v>
      </c>
      <c r="T3881" t="s">
        <v>82</v>
      </c>
    </row>
    <row r="3882" spans="15:20" x14ac:dyDescent="0.25">
      <c r="O3882">
        <v>1</v>
      </c>
      <c r="S3882" t="e">
        <v>#DIV/0!</v>
      </c>
      <c r="T3882" t="s">
        <v>82</v>
      </c>
    </row>
    <row r="3883" spans="15:20" x14ac:dyDescent="0.25">
      <c r="O3883">
        <v>1</v>
      </c>
      <c r="S3883" t="e">
        <v>#DIV/0!</v>
      </c>
      <c r="T3883" t="s">
        <v>82</v>
      </c>
    </row>
    <row r="3884" spans="15:20" x14ac:dyDescent="0.25">
      <c r="O3884">
        <v>1</v>
      </c>
      <c r="S3884" t="e">
        <v>#DIV/0!</v>
      </c>
      <c r="T3884" t="s">
        <v>82</v>
      </c>
    </row>
    <row r="3885" spans="15:20" x14ac:dyDescent="0.25">
      <c r="O3885">
        <v>1</v>
      </c>
      <c r="S3885" t="e">
        <v>#DIV/0!</v>
      </c>
      <c r="T3885" t="s">
        <v>82</v>
      </c>
    </row>
    <row r="3886" spans="15:20" x14ac:dyDescent="0.25">
      <c r="O3886">
        <v>1</v>
      </c>
      <c r="S3886" t="e">
        <v>#DIV/0!</v>
      </c>
      <c r="T3886" t="s">
        <v>82</v>
      </c>
    </row>
    <row r="3887" spans="15:20" x14ac:dyDescent="0.25">
      <c r="O3887">
        <v>1</v>
      </c>
      <c r="S3887" t="e">
        <v>#DIV/0!</v>
      </c>
      <c r="T3887" t="s">
        <v>82</v>
      </c>
    </row>
    <row r="3888" spans="15:20" x14ac:dyDescent="0.25">
      <c r="O3888">
        <v>1</v>
      </c>
      <c r="S3888" t="e">
        <v>#DIV/0!</v>
      </c>
      <c r="T3888" t="s">
        <v>82</v>
      </c>
    </row>
    <row r="3889" spans="15:20" x14ac:dyDescent="0.25">
      <c r="O3889">
        <v>1</v>
      </c>
      <c r="S3889" t="e">
        <v>#DIV/0!</v>
      </c>
      <c r="T3889" t="s">
        <v>82</v>
      </c>
    </row>
    <row r="3890" spans="15:20" x14ac:dyDescent="0.25">
      <c r="O3890">
        <v>1</v>
      </c>
      <c r="S3890" t="e">
        <v>#DIV/0!</v>
      </c>
      <c r="T3890" t="s">
        <v>82</v>
      </c>
    </row>
    <row r="3891" spans="15:20" x14ac:dyDescent="0.25">
      <c r="O3891">
        <v>1</v>
      </c>
      <c r="S3891" t="e">
        <v>#DIV/0!</v>
      </c>
      <c r="T3891" t="s">
        <v>82</v>
      </c>
    </row>
    <row r="3892" spans="15:20" x14ac:dyDescent="0.25">
      <c r="O3892">
        <v>1</v>
      </c>
      <c r="S3892" t="e">
        <v>#DIV/0!</v>
      </c>
      <c r="T3892" t="s">
        <v>82</v>
      </c>
    </row>
    <row r="3893" spans="15:20" x14ac:dyDescent="0.25">
      <c r="O3893">
        <v>1</v>
      </c>
      <c r="S3893" t="e">
        <v>#DIV/0!</v>
      </c>
      <c r="T3893" t="s">
        <v>82</v>
      </c>
    </row>
    <row r="3894" spans="15:20" x14ac:dyDescent="0.25">
      <c r="O3894">
        <v>1</v>
      </c>
      <c r="S3894" t="e">
        <v>#DIV/0!</v>
      </c>
      <c r="T3894" t="s">
        <v>82</v>
      </c>
    </row>
    <row r="3895" spans="15:20" x14ac:dyDescent="0.25">
      <c r="O3895">
        <v>1</v>
      </c>
      <c r="S3895" t="e">
        <v>#DIV/0!</v>
      </c>
      <c r="T3895" t="s">
        <v>82</v>
      </c>
    </row>
    <row r="3896" spans="15:20" x14ac:dyDescent="0.25">
      <c r="O3896">
        <v>1</v>
      </c>
      <c r="S3896" t="e">
        <v>#DIV/0!</v>
      </c>
      <c r="T3896" t="s">
        <v>82</v>
      </c>
    </row>
    <row r="3897" spans="15:20" x14ac:dyDescent="0.25">
      <c r="O3897">
        <v>1</v>
      </c>
      <c r="S3897" t="e">
        <v>#DIV/0!</v>
      </c>
      <c r="T3897" t="s">
        <v>82</v>
      </c>
    </row>
    <row r="3898" spans="15:20" x14ac:dyDescent="0.25">
      <c r="O3898">
        <v>1</v>
      </c>
      <c r="S3898" t="e">
        <v>#DIV/0!</v>
      </c>
      <c r="T3898" t="s">
        <v>82</v>
      </c>
    </row>
    <row r="3899" spans="15:20" x14ac:dyDescent="0.25">
      <c r="O3899">
        <v>1</v>
      </c>
      <c r="S3899" t="e">
        <v>#DIV/0!</v>
      </c>
      <c r="T3899" t="s">
        <v>82</v>
      </c>
    </row>
    <row r="3900" spans="15:20" x14ac:dyDescent="0.25">
      <c r="O3900">
        <v>1</v>
      </c>
      <c r="S3900" t="e">
        <v>#DIV/0!</v>
      </c>
      <c r="T3900" t="s">
        <v>82</v>
      </c>
    </row>
    <row r="3901" spans="15:20" x14ac:dyDescent="0.25">
      <c r="O3901">
        <v>1</v>
      </c>
      <c r="S3901" t="e">
        <v>#DIV/0!</v>
      </c>
      <c r="T3901" t="s">
        <v>82</v>
      </c>
    </row>
    <row r="3902" spans="15:20" x14ac:dyDescent="0.25">
      <c r="O3902">
        <v>1</v>
      </c>
      <c r="S3902" t="e">
        <v>#DIV/0!</v>
      </c>
      <c r="T3902" t="s">
        <v>82</v>
      </c>
    </row>
    <row r="3903" spans="15:20" x14ac:dyDescent="0.25">
      <c r="O3903">
        <v>1</v>
      </c>
      <c r="S3903" t="e">
        <v>#DIV/0!</v>
      </c>
      <c r="T3903" t="s">
        <v>82</v>
      </c>
    </row>
    <row r="3904" spans="15:20" x14ac:dyDescent="0.25">
      <c r="O3904">
        <v>1</v>
      </c>
      <c r="S3904" t="e">
        <v>#DIV/0!</v>
      </c>
      <c r="T3904" t="s">
        <v>82</v>
      </c>
    </row>
    <row r="3905" spans="15:20" x14ac:dyDescent="0.25">
      <c r="O3905">
        <v>1</v>
      </c>
      <c r="S3905" t="e">
        <v>#DIV/0!</v>
      </c>
      <c r="T3905" t="s">
        <v>82</v>
      </c>
    </row>
    <row r="3906" spans="15:20" x14ac:dyDescent="0.25">
      <c r="O3906">
        <v>1</v>
      </c>
      <c r="S3906" t="e">
        <v>#DIV/0!</v>
      </c>
      <c r="T3906" t="s">
        <v>82</v>
      </c>
    </row>
    <row r="3907" spans="15:20" x14ac:dyDescent="0.25">
      <c r="O3907">
        <v>1</v>
      </c>
      <c r="S3907" t="e">
        <v>#DIV/0!</v>
      </c>
      <c r="T3907" t="s">
        <v>82</v>
      </c>
    </row>
    <row r="3908" spans="15:20" x14ac:dyDescent="0.25">
      <c r="O3908">
        <v>1</v>
      </c>
      <c r="S3908" t="e">
        <v>#DIV/0!</v>
      </c>
      <c r="T3908" t="s">
        <v>82</v>
      </c>
    </row>
    <row r="3909" spans="15:20" x14ac:dyDescent="0.25">
      <c r="O3909">
        <v>1</v>
      </c>
      <c r="S3909" t="e">
        <v>#DIV/0!</v>
      </c>
      <c r="T3909" t="s">
        <v>82</v>
      </c>
    </row>
    <row r="3910" spans="15:20" x14ac:dyDescent="0.25">
      <c r="O3910">
        <v>1</v>
      </c>
      <c r="S3910" t="e">
        <v>#DIV/0!</v>
      </c>
      <c r="T3910" t="s">
        <v>82</v>
      </c>
    </row>
    <row r="3911" spans="15:20" x14ac:dyDescent="0.25">
      <c r="O3911">
        <v>1</v>
      </c>
      <c r="S3911" t="e">
        <v>#DIV/0!</v>
      </c>
      <c r="T3911" t="s">
        <v>82</v>
      </c>
    </row>
    <row r="3912" spans="15:20" x14ac:dyDescent="0.25">
      <c r="O3912">
        <v>1</v>
      </c>
      <c r="S3912" t="e">
        <v>#DIV/0!</v>
      </c>
      <c r="T3912" t="s">
        <v>82</v>
      </c>
    </row>
    <row r="3913" spans="15:20" x14ac:dyDescent="0.25">
      <c r="O3913">
        <v>1</v>
      </c>
      <c r="S3913" t="e">
        <v>#DIV/0!</v>
      </c>
      <c r="T3913" t="s">
        <v>82</v>
      </c>
    </row>
    <row r="3914" spans="15:20" x14ac:dyDescent="0.25">
      <c r="O3914">
        <v>1</v>
      </c>
      <c r="S3914" t="e">
        <v>#DIV/0!</v>
      </c>
      <c r="T3914" t="s">
        <v>82</v>
      </c>
    </row>
    <row r="3915" spans="15:20" x14ac:dyDescent="0.25">
      <c r="O3915">
        <v>1</v>
      </c>
      <c r="S3915" t="e">
        <v>#DIV/0!</v>
      </c>
      <c r="T3915" t="s">
        <v>82</v>
      </c>
    </row>
    <row r="3916" spans="15:20" x14ac:dyDescent="0.25">
      <c r="O3916">
        <v>1</v>
      </c>
      <c r="S3916" t="e">
        <v>#DIV/0!</v>
      </c>
      <c r="T3916" t="s">
        <v>82</v>
      </c>
    </row>
    <row r="3917" spans="15:20" x14ac:dyDescent="0.25">
      <c r="O3917">
        <v>1</v>
      </c>
      <c r="S3917" t="e">
        <v>#DIV/0!</v>
      </c>
      <c r="T3917" t="s">
        <v>82</v>
      </c>
    </row>
    <row r="3918" spans="15:20" x14ac:dyDescent="0.25">
      <c r="O3918">
        <v>1</v>
      </c>
      <c r="S3918" t="e">
        <v>#DIV/0!</v>
      </c>
      <c r="T3918" t="s">
        <v>82</v>
      </c>
    </row>
    <row r="3919" spans="15:20" x14ac:dyDescent="0.25">
      <c r="O3919">
        <v>1</v>
      </c>
      <c r="S3919" t="e">
        <v>#DIV/0!</v>
      </c>
      <c r="T3919" t="s">
        <v>82</v>
      </c>
    </row>
    <row r="3920" spans="15:20" x14ac:dyDescent="0.25">
      <c r="O3920">
        <v>1</v>
      </c>
      <c r="S3920" t="e">
        <v>#DIV/0!</v>
      </c>
      <c r="T3920" t="s">
        <v>82</v>
      </c>
    </row>
    <row r="3921" spans="15:20" x14ac:dyDescent="0.25">
      <c r="O3921">
        <v>1</v>
      </c>
      <c r="S3921" t="e">
        <v>#DIV/0!</v>
      </c>
      <c r="T3921" t="s">
        <v>82</v>
      </c>
    </row>
    <row r="3922" spans="15:20" x14ac:dyDescent="0.25">
      <c r="O3922">
        <v>1</v>
      </c>
      <c r="S3922" t="e">
        <v>#DIV/0!</v>
      </c>
      <c r="T3922" t="s">
        <v>82</v>
      </c>
    </row>
    <row r="3923" spans="15:20" x14ac:dyDescent="0.25">
      <c r="O3923">
        <v>1</v>
      </c>
      <c r="S3923" t="e">
        <v>#DIV/0!</v>
      </c>
      <c r="T3923" t="s">
        <v>82</v>
      </c>
    </row>
    <row r="3924" spans="15:20" x14ac:dyDescent="0.25">
      <c r="O3924">
        <v>1</v>
      </c>
      <c r="S3924" t="e">
        <v>#DIV/0!</v>
      </c>
      <c r="T3924" t="s">
        <v>82</v>
      </c>
    </row>
    <row r="3925" spans="15:20" x14ac:dyDescent="0.25">
      <c r="O3925">
        <v>1</v>
      </c>
      <c r="S3925" t="e">
        <v>#DIV/0!</v>
      </c>
      <c r="T3925" t="s">
        <v>82</v>
      </c>
    </row>
    <row r="3926" spans="15:20" x14ac:dyDescent="0.25">
      <c r="O3926">
        <v>1</v>
      </c>
      <c r="S3926" t="e">
        <v>#DIV/0!</v>
      </c>
      <c r="T3926" t="s">
        <v>82</v>
      </c>
    </row>
    <row r="3927" spans="15:20" x14ac:dyDescent="0.25">
      <c r="O3927">
        <v>1</v>
      </c>
      <c r="S3927" t="e">
        <v>#DIV/0!</v>
      </c>
      <c r="T3927" t="s">
        <v>82</v>
      </c>
    </row>
    <row r="3928" spans="15:20" x14ac:dyDescent="0.25">
      <c r="O3928">
        <v>1</v>
      </c>
      <c r="S3928" t="e">
        <v>#DIV/0!</v>
      </c>
      <c r="T3928" t="s">
        <v>82</v>
      </c>
    </row>
    <row r="3929" spans="15:20" x14ac:dyDescent="0.25">
      <c r="O3929">
        <v>1</v>
      </c>
      <c r="S3929" t="e">
        <v>#DIV/0!</v>
      </c>
      <c r="T3929" t="s">
        <v>82</v>
      </c>
    </row>
    <row r="3930" spans="15:20" x14ac:dyDescent="0.25">
      <c r="O3930">
        <v>1</v>
      </c>
      <c r="S3930" t="e">
        <v>#DIV/0!</v>
      </c>
      <c r="T3930" t="s">
        <v>82</v>
      </c>
    </row>
    <row r="3931" spans="15:20" x14ac:dyDescent="0.25">
      <c r="O3931">
        <v>1</v>
      </c>
      <c r="S3931" t="e">
        <v>#DIV/0!</v>
      </c>
      <c r="T3931" t="s">
        <v>82</v>
      </c>
    </row>
    <row r="3932" spans="15:20" x14ac:dyDescent="0.25">
      <c r="O3932">
        <v>1</v>
      </c>
      <c r="S3932" t="e">
        <v>#DIV/0!</v>
      </c>
      <c r="T3932" t="s">
        <v>82</v>
      </c>
    </row>
    <row r="3933" spans="15:20" x14ac:dyDescent="0.25">
      <c r="O3933">
        <v>1</v>
      </c>
      <c r="S3933" t="e">
        <v>#DIV/0!</v>
      </c>
      <c r="T3933" t="s">
        <v>82</v>
      </c>
    </row>
    <row r="3934" spans="15:20" x14ac:dyDescent="0.25">
      <c r="O3934">
        <v>1</v>
      </c>
      <c r="S3934" t="e">
        <v>#DIV/0!</v>
      </c>
      <c r="T3934" t="s">
        <v>82</v>
      </c>
    </row>
    <row r="3935" spans="15:20" x14ac:dyDescent="0.25">
      <c r="O3935">
        <v>1</v>
      </c>
      <c r="S3935" t="e">
        <v>#DIV/0!</v>
      </c>
      <c r="T3935" t="s">
        <v>82</v>
      </c>
    </row>
    <row r="3936" spans="15:20" x14ac:dyDescent="0.25">
      <c r="O3936">
        <v>1</v>
      </c>
      <c r="S3936" t="e">
        <v>#DIV/0!</v>
      </c>
      <c r="T3936" t="s">
        <v>82</v>
      </c>
    </row>
    <row r="3937" spans="15:20" x14ac:dyDescent="0.25">
      <c r="O3937">
        <v>1</v>
      </c>
      <c r="S3937" t="e">
        <v>#DIV/0!</v>
      </c>
      <c r="T3937" t="s">
        <v>82</v>
      </c>
    </row>
    <row r="3938" spans="15:20" x14ac:dyDescent="0.25">
      <c r="O3938">
        <v>1</v>
      </c>
      <c r="S3938" t="e">
        <v>#DIV/0!</v>
      </c>
      <c r="T3938" t="s">
        <v>82</v>
      </c>
    </row>
    <row r="3939" spans="15:20" x14ac:dyDescent="0.25">
      <c r="O3939">
        <v>1</v>
      </c>
      <c r="S3939" t="e">
        <v>#DIV/0!</v>
      </c>
      <c r="T3939" t="s">
        <v>82</v>
      </c>
    </row>
    <row r="3940" spans="15:20" x14ac:dyDescent="0.25">
      <c r="O3940">
        <v>1</v>
      </c>
      <c r="S3940" t="e">
        <v>#DIV/0!</v>
      </c>
      <c r="T3940" t="s">
        <v>82</v>
      </c>
    </row>
    <row r="3941" spans="15:20" x14ac:dyDescent="0.25">
      <c r="O3941">
        <v>1</v>
      </c>
      <c r="S3941" t="e">
        <v>#DIV/0!</v>
      </c>
      <c r="T3941" t="s">
        <v>82</v>
      </c>
    </row>
    <row r="3942" spans="15:20" x14ac:dyDescent="0.25">
      <c r="O3942">
        <v>1</v>
      </c>
      <c r="S3942" t="e">
        <v>#DIV/0!</v>
      </c>
      <c r="T3942" t="s">
        <v>82</v>
      </c>
    </row>
    <row r="3943" spans="15:20" x14ac:dyDescent="0.25">
      <c r="O3943">
        <v>1</v>
      </c>
      <c r="S3943" t="e">
        <v>#DIV/0!</v>
      </c>
      <c r="T3943" t="s">
        <v>82</v>
      </c>
    </row>
    <row r="3944" spans="15:20" x14ac:dyDescent="0.25">
      <c r="O3944">
        <v>1</v>
      </c>
      <c r="S3944" t="e">
        <v>#DIV/0!</v>
      </c>
      <c r="T3944" t="s">
        <v>82</v>
      </c>
    </row>
    <row r="3945" spans="15:20" x14ac:dyDescent="0.25">
      <c r="O3945">
        <v>1</v>
      </c>
      <c r="S3945" t="e">
        <v>#DIV/0!</v>
      </c>
      <c r="T3945" t="s">
        <v>82</v>
      </c>
    </row>
    <row r="3946" spans="15:20" x14ac:dyDescent="0.25">
      <c r="O3946">
        <v>1</v>
      </c>
      <c r="S3946" t="e">
        <v>#DIV/0!</v>
      </c>
      <c r="T3946" t="s">
        <v>82</v>
      </c>
    </row>
    <row r="3947" spans="15:20" x14ac:dyDescent="0.25">
      <c r="O3947">
        <v>1</v>
      </c>
      <c r="S3947" t="e">
        <v>#DIV/0!</v>
      </c>
      <c r="T3947" t="s">
        <v>82</v>
      </c>
    </row>
    <row r="3948" spans="15:20" x14ac:dyDescent="0.25">
      <c r="O3948">
        <v>1</v>
      </c>
      <c r="S3948" t="e">
        <v>#DIV/0!</v>
      </c>
      <c r="T3948" t="s">
        <v>82</v>
      </c>
    </row>
    <row r="3949" spans="15:20" x14ac:dyDescent="0.25">
      <c r="O3949">
        <v>1</v>
      </c>
      <c r="S3949" t="e">
        <v>#DIV/0!</v>
      </c>
      <c r="T3949" t="s">
        <v>82</v>
      </c>
    </row>
    <row r="3950" spans="15:20" x14ac:dyDescent="0.25">
      <c r="O3950">
        <v>1</v>
      </c>
      <c r="S3950" t="e">
        <v>#DIV/0!</v>
      </c>
      <c r="T3950" t="s">
        <v>82</v>
      </c>
    </row>
    <row r="3951" spans="15:20" x14ac:dyDescent="0.25">
      <c r="O3951">
        <v>1</v>
      </c>
      <c r="S3951" t="e">
        <v>#DIV/0!</v>
      </c>
      <c r="T3951" t="s">
        <v>82</v>
      </c>
    </row>
    <row r="3952" spans="15:20" x14ac:dyDescent="0.25">
      <c r="O3952">
        <v>1</v>
      </c>
      <c r="S3952" t="e">
        <v>#DIV/0!</v>
      </c>
      <c r="T3952" t="s">
        <v>82</v>
      </c>
    </row>
    <row r="3953" spans="15:20" x14ac:dyDescent="0.25">
      <c r="O3953">
        <v>1</v>
      </c>
      <c r="S3953" t="e">
        <v>#DIV/0!</v>
      </c>
      <c r="T3953" t="s">
        <v>82</v>
      </c>
    </row>
    <row r="3954" spans="15:20" x14ac:dyDescent="0.25">
      <c r="O3954">
        <v>1</v>
      </c>
      <c r="S3954" t="e">
        <v>#DIV/0!</v>
      </c>
      <c r="T3954" t="s">
        <v>82</v>
      </c>
    </row>
    <row r="3955" spans="15:20" x14ac:dyDescent="0.25">
      <c r="O3955">
        <v>1</v>
      </c>
      <c r="S3955" t="e">
        <v>#DIV/0!</v>
      </c>
      <c r="T3955" t="s">
        <v>82</v>
      </c>
    </row>
    <row r="3956" spans="15:20" x14ac:dyDescent="0.25">
      <c r="O3956">
        <v>1</v>
      </c>
      <c r="S3956" t="e">
        <v>#DIV/0!</v>
      </c>
      <c r="T3956" t="s">
        <v>82</v>
      </c>
    </row>
    <row r="3957" spans="15:20" x14ac:dyDescent="0.25">
      <c r="O3957">
        <v>1</v>
      </c>
      <c r="S3957" t="e">
        <v>#DIV/0!</v>
      </c>
      <c r="T3957" t="s">
        <v>82</v>
      </c>
    </row>
    <row r="3958" spans="15:20" x14ac:dyDescent="0.25">
      <c r="O3958">
        <v>1</v>
      </c>
      <c r="S3958" t="e">
        <v>#DIV/0!</v>
      </c>
      <c r="T3958" t="s">
        <v>82</v>
      </c>
    </row>
    <row r="3959" spans="15:20" x14ac:dyDescent="0.25">
      <c r="O3959">
        <v>1</v>
      </c>
      <c r="S3959" t="e">
        <v>#DIV/0!</v>
      </c>
      <c r="T3959" t="s">
        <v>82</v>
      </c>
    </row>
    <row r="3960" spans="15:20" x14ac:dyDescent="0.25">
      <c r="O3960">
        <v>1</v>
      </c>
      <c r="S3960" t="e">
        <v>#DIV/0!</v>
      </c>
      <c r="T3960" t="s">
        <v>82</v>
      </c>
    </row>
    <row r="3961" spans="15:20" x14ac:dyDescent="0.25">
      <c r="O3961">
        <v>1</v>
      </c>
      <c r="S3961" t="e">
        <v>#DIV/0!</v>
      </c>
      <c r="T3961" t="s">
        <v>82</v>
      </c>
    </row>
    <row r="3962" spans="15:20" x14ac:dyDescent="0.25">
      <c r="O3962">
        <v>1</v>
      </c>
      <c r="S3962" t="e">
        <v>#DIV/0!</v>
      </c>
      <c r="T3962" t="s">
        <v>82</v>
      </c>
    </row>
    <row r="3963" spans="15:20" x14ac:dyDescent="0.25">
      <c r="O3963">
        <v>1</v>
      </c>
      <c r="S3963" t="e">
        <v>#DIV/0!</v>
      </c>
      <c r="T3963" t="s">
        <v>82</v>
      </c>
    </row>
    <row r="3964" spans="15:20" x14ac:dyDescent="0.25">
      <c r="O3964">
        <v>1</v>
      </c>
      <c r="S3964" t="e">
        <v>#DIV/0!</v>
      </c>
      <c r="T3964" t="s">
        <v>82</v>
      </c>
    </row>
    <row r="3965" spans="15:20" x14ac:dyDescent="0.25">
      <c r="O3965">
        <v>1</v>
      </c>
      <c r="S3965" t="e">
        <v>#DIV/0!</v>
      </c>
      <c r="T3965" t="s">
        <v>82</v>
      </c>
    </row>
    <row r="3966" spans="15:20" x14ac:dyDescent="0.25">
      <c r="O3966">
        <v>1</v>
      </c>
      <c r="S3966" t="e">
        <v>#DIV/0!</v>
      </c>
      <c r="T3966" t="s">
        <v>82</v>
      </c>
    </row>
    <row r="3967" spans="15:20" x14ac:dyDescent="0.25">
      <c r="O3967">
        <v>1</v>
      </c>
      <c r="S3967" t="e">
        <v>#DIV/0!</v>
      </c>
      <c r="T3967" t="s">
        <v>82</v>
      </c>
    </row>
    <row r="3968" spans="15:20" x14ac:dyDescent="0.25">
      <c r="O3968">
        <v>1</v>
      </c>
      <c r="S3968" t="e">
        <v>#DIV/0!</v>
      </c>
      <c r="T3968" t="s">
        <v>82</v>
      </c>
    </row>
    <row r="3969" spans="15:20" x14ac:dyDescent="0.25">
      <c r="O3969">
        <v>1</v>
      </c>
      <c r="S3969" t="e">
        <v>#DIV/0!</v>
      </c>
      <c r="T3969" t="s">
        <v>82</v>
      </c>
    </row>
    <row r="3970" spans="15:20" x14ac:dyDescent="0.25">
      <c r="O3970">
        <v>1</v>
      </c>
      <c r="S3970" t="e">
        <v>#DIV/0!</v>
      </c>
      <c r="T3970" t="s">
        <v>82</v>
      </c>
    </row>
    <row r="3971" spans="15:20" x14ac:dyDescent="0.25">
      <c r="O3971">
        <v>1</v>
      </c>
      <c r="S3971" t="e">
        <v>#DIV/0!</v>
      </c>
      <c r="T3971" t="s">
        <v>82</v>
      </c>
    </row>
    <row r="3972" spans="15:20" x14ac:dyDescent="0.25">
      <c r="O3972">
        <v>1</v>
      </c>
      <c r="S3972" t="e">
        <v>#DIV/0!</v>
      </c>
      <c r="T3972" t="s">
        <v>82</v>
      </c>
    </row>
    <row r="3973" spans="15:20" x14ac:dyDescent="0.25">
      <c r="O3973">
        <v>1</v>
      </c>
      <c r="S3973" t="e">
        <v>#DIV/0!</v>
      </c>
      <c r="T3973" t="s">
        <v>82</v>
      </c>
    </row>
    <row r="3974" spans="15:20" x14ac:dyDescent="0.25">
      <c r="O3974">
        <v>1</v>
      </c>
      <c r="S3974" t="e">
        <v>#DIV/0!</v>
      </c>
      <c r="T3974" t="s">
        <v>82</v>
      </c>
    </row>
    <row r="3975" spans="15:20" x14ac:dyDescent="0.25">
      <c r="O3975">
        <v>1</v>
      </c>
      <c r="S3975" t="e">
        <v>#DIV/0!</v>
      </c>
      <c r="T3975" t="s">
        <v>82</v>
      </c>
    </row>
    <row r="3976" spans="15:20" x14ac:dyDescent="0.25">
      <c r="O3976">
        <v>1</v>
      </c>
      <c r="S3976" t="e">
        <v>#DIV/0!</v>
      </c>
      <c r="T3976" t="s">
        <v>82</v>
      </c>
    </row>
    <row r="3977" spans="15:20" x14ac:dyDescent="0.25">
      <c r="O3977">
        <v>1</v>
      </c>
      <c r="S3977" t="e">
        <v>#DIV/0!</v>
      </c>
      <c r="T3977" t="s">
        <v>82</v>
      </c>
    </row>
    <row r="3978" spans="15:20" x14ac:dyDescent="0.25">
      <c r="O3978">
        <v>1</v>
      </c>
      <c r="S3978" t="e">
        <v>#DIV/0!</v>
      </c>
      <c r="T3978" t="s">
        <v>82</v>
      </c>
    </row>
    <row r="3979" spans="15:20" x14ac:dyDescent="0.25">
      <c r="O3979">
        <v>1</v>
      </c>
      <c r="S3979" t="e">
        <v>#DIV/0!</v>
      </c>
      <c r="T3979" t="s">
        <v>82</v>
      </c>
    </row>
    <row r="3980" spans="15:20" x14ac:dyDescent="0.25">
      <c r="O3980">
        <v>1</v>
      </c>
      <c r="S3980" t="e">
        <v>#DIV/0!</v>
      </c>
      <c r="T3980" t="s">
        <v>82</v>
      </c>
    </row>
    <row r="3981" spans="15:20" x14ac:dyDescent="0.25">
      <c r="O3981">
        <v>1</v>
      </c>
      <c r="S3981" t="e">
        <v>#DIV/0!</v>
      </c>
      <c r="T3981" t="s">
        <v>82</v>
      </c>
    </row>
    <row r="3982" spans="15:20" x14ac:dyDescent="0.25">
      <c r="O3982">
        <v>1</v>
      </c>
      <c r="S3982" t="e">
        <v>#DIV/0!</v>
      </c>
      <c r="T3982" t="s">
        <v>82</v>
      </c>
    </row>
    <row r="3983" spans="15:20" x14ac:dyDescent="0.25">
      <c r="O3983">
        <v>1</v>
      </c>
      <c r="S3983" t="e">
        <v>#DIV/0!</v>
      </c>
      <c r="T3983" t="s">
        <v>82</v>
      </c>
    </row>
    <row r="3984" spans="15:20" x14ac:dyDescent="0.25">
      <c r="O3984">
        <v>1</v>
      </c>
      <c r="S3984" t="e">
        <v>#DIV/0!</v>
      </c>
      <c r="T3984" t="s">
        <v>82</v>
      </c>
    </row>
    <row r="3985" spans="15:20" x14ac:dyDescent="0.25">
      <c r="O3985">
        <v>1</v>
      </c>
      <c r="S3985" t="e">
        <v>#DIV/0!</v>
      </c>
      <c r="T3985" t="s">
        <v>82</v>
      </c>
    </row>
    <row r="3986" spans="15:20" x14ac:dyDescent="0.25">
      <c r="O3986">
        <v>1</v>
      </c>
      <c r="S3986" t="e">
        <v>#DIV/0!</v>
      </c>
      <c r="T3986" t="s">
        <v>82</v>
      </c>
    </row>
    <row r="3987" spans="15:20" x14ac:dyDescent="0.25">
      <c r="O3987">
        <v>1</v>
      </c>
      <c r="S3987" t="e">
        <v>#DIV/0!</v>
      </c>
      <c r="T3987" t="s">
        <v>82</v>
      </c>
    </row>
    <row r="3988" spans="15:20" x14ac:dyDescent="0.25">
      <c r="O3988">
        <v>1</v>
      </c>
      <c r="S3988" t="e">
        <v>#DIV/0!</v>
      </c>
      <c r="T3988" t="s">
        <v>82</v>
      </c>
    </row>
    <row r="3989" spans="15:20" x14ac:dyDescent="0.25">
      <c r="O3989">
        <v>1</v>
      </c>
      <c r="S3989" t="e">
        <v>#DIV/0!</v>
      </c>
      <c r="T3989" t="s">
        <v>82</v>
      </c>
    </row>
    <row r="3990" spans="15:20" x14ac:dyDescent="0.25">
      <c r="O3990">
        <v>1</v>
      </c>
      <c r="S3990" t="e">
        <v>#DIV/0!</v>
      </c>
      <c r="T3990" t="s">
        <v>82</v>
      </c>
    </row>
    <row r="3991" spans="15:20" x14ac:dyDescent="0.25">
      <c r="O3991">
        <v>1</v>
      </c>
      <c r="S3991" t="e">
        <v>#DIV/0!</v>
      </c>
      <c r="T3991" t="s">
        <v>82</v>
      </c>
    </row>
    <row r="3992" spans="15:20" x14ac:dyDescent="0.25">
      <c r="O3992">
        <v>1</v>
      </c>
      <c r="S3992" t="e">
        <v>#DIV/0!</v>
      </c>
      <c r="T3992" t="s">
        <v>82</v>
      </c>
    </row>
    <row r="3993" spans="15:20" x14ac:dyDescent="0.25">
      <c r="O3993">
        <v>1</v>
      </c>
      <c r="S3993" t="e">
        <v>#DIV/0!</v>
      </c>
      <c r="T3993" t="s">
        <v>82</v>
      </c>
    </row>
    <row r="3994" spans="15:20" x14ac:dyDescent="0.25">
      <c r="O3994">
        <v>1</v>
      </c>
      <c r="S3994" t="e">
        <v>#DIV/0!</v>
      </c>
      <c r="T3994" t="s">
        <v>82</v>
      </c>
    </row>
    <row r="3995" spans="15:20" x14ac:dyDescent="0.25">
      <c r="O3995">
        <v>1</v>
      </c>
      <c r="S3995" t="e">
        <v>#DIV/0!</v>
      </c>
      <c r="T3995" t="s">
        <v>82</v>
      </c>
    </row>
    <row r="3996" spans="15:20" x14ac:dyDescent="0.25">
      <c r="O3996">
        <v>1</v>
      </c>
      <c r="S3996" t="e">
        <v>#DIV/0!</v>
      </c>
      <c r="T3996" t="s">
        <v>82</v>
      </c>
    </row>
    <row r="3997" spans="15:20" x14ac:dyDescent="0.25">
      <c r="O3997">
        <v>1</v>
      </c>
      <c r="S3997" t="e">
        <v>#DIV/0!</v>
      </c>
      <c r="T3997" t="s">
        <v>82</v>
      </c>
    </row>
    <row r="3998" spans="15:20" x14ac:dyDescent="0.25">
      <c r="O3998">
        <v>1</v>
      </c>
      <c r="S3998" t="e">
        <v>#DIV/0!</v>
      </c>
      <c r="T3998" t="s">
        <v>82</v>
      </c>
    </row>
    <row r="3999" spans="15:20" x14ac:dyDescent="0.25">
      <c r="O3999">
        <v>1</v>
      </c>
      <c r="S3999" t="e">
        <v>#DIV/0!</v>
      </c>
      <c r="T3999" t="s">
        <v>82</v>
      </c>
    </row>
    <row r="4000" spans="15:20" x14ac:dyDescent="0.25">
      <c r="O4000">
        <v>1</v>
      </c>
      <c r="S4000" t="e">
        <v>#DIV/0!</v>
      </c>
      <c r="T4000" t="s">
        <v>82</v>
      </c>
    </row>
    <row r="4001" spans="15:20" x14ac:dyDescent="0.25">
      <c r="O4001">
        <v>1</v>
      </c>
      <c r="S4001" t="e">
        <v>#DIV/0!</v>
      </c>
      <c r="T4001" t="s">
        <v>82</v>
      </c>
    </row>
    <row r="4002" spans="15:20" x14ac:dyDescent="0.25">
      <c r="O4002">
        <v>1</v>
      </c>
      <c r="S4002" t="e">
        <v>#DIV/0!</v>
      </c>
      <c r="T4002" t="s">
        <v>82</v>
      </c>
    </row>
    <row r="4003" spans="15:20" x14ac:dyDescent="0.25">
      <c r="O4003">
        <v>1</v>
      </c>
      <c r="S4003" t="e">
        <v>#DIV/0!</v>
      </c>
      <c r="T4003" t="s">
        <v>82</v>
      </c>
    </row>
    <row r="4004" spans="15:20" x14ac:dyDescent="0.25">
      <c r="O4004">
        <v>1</v>
      </c>
      <c r="S4004" t="e">
        <v>#DIV/0!</v>
      </c>
      <c r="T4004" t="s">
        <v>82</v>
      </c>
    </row>
    <row r="4005" spans="15:20" x14ac:dyDescent="0.25">
      <c r="O4005">
        <v>1</v>
      </c>
      <c r="S4005" t="e">
        <v>#DIV/0!</v>
      </c>
      <c r="T4005" t="s">
        <v>82</v>
      </c>
    </row>
    <row r="4006" spans="15:20" x14ac:dyDescent="0.25">
      <c r="O4006">
        <v>1</v>
      </c>
      <c r="S4006" t="e">
        <v>#DIV/0!</v>
      </c>
      <c r="T4006" t="s">
        <v>82</v>
      </c>
    </row>
    <row r="4007" spans="15:20" x14ac:dyDescent="0.25">
      <c r="O4007">
        <v>1</v>
      </c>
      <c r="S4007" t="e">
        <v>#DIV/0!</v>
      </c>
      <c r="T4007" t="s">
        <v>82</v>
      </c>
    </row>
    <row r="4008" spans="15:20" x14ac:dyDescent="0.25">
      <c r="O4008">
        <v>1</v>
      </c>
      <c r="S4008" t="e">
        <v>#DIV/0!</v>
      </c>
      <c r="T4008" t="s">
        <v>82</v>
      </c>
    </row>
    <row r="4009" spans="15:20" x14ac:dyDescent="0.25">
      <c r="O4009">
        <v>1</v>
      </c>
      <c r="S4009" t="e">
        <v>#DIV/0!</v>
      </c>
      <c r="T4009" t="s">
        <v>82</v>
      </c>
    </row>
    <row r="4010" spans="15:20" x14ac:dyDescent="0.25">
      <c r="O4010">
        <v>1</v>
      </c>
      <c r="S4010" t="e">
        <v>#DIV/0!</v>
      </c>
      <c r="T4010" t="s">
        <v>82</v>
      </c>
    </row>
    <row r="4011" spans="15:20" x14ac:dyDescent="0.25">
      <c r="O4011">
        <v>1</v>
      </c>
      <c r="S4011" t="e">
        <v>#DIV/0!</v>
      </c>
      <c r="T4011" t="s">
        <v>82</v>
      </c>
    </row>
    <row r="4012" spans="15:20" x14ac:dyDescent="0.25">
      <c r="O4012">
        <v>1</v>
      </c>
      <c r="S4012" t="e">
        <v>#DIV/0!</v>
      </c>
      <c r="T4012" t="s">
        <v>82</v>
      </c>
    </row>
    <row r="4013" spans="15:20" x14ac:dyDescent="0.25">
      <c r="O4013">
        <v>1</v>
      </c>
      <c r="S4013" t="e">
        <v>#DIV/0!</v>
      </c>
      <c r="T4013" t="s">
        <v>82</v>
      </c>
    </row>
    <row r="4014" spans="15:20" x14ac:dyDescent="0.25">
      <c r="O4014">
        <v>1</v>
      </c>
      <c r="S4014" t="e">
        <v>#DIV/0!</v>
      </c>
      <c r="T4014" t="s">
        <v>82</v>
      </c>
    </row>
    <row r="4015" spans="15:20" x14ac:dyDescent="0.25">
      <c r="O4015">
        <v>1</v>
      </c>
      <c r="S4015" t="e">
        <v>#DIV/0!</v>
      </c>
      <c r="T4015" t="s">
        <v>82</v>
      </c>
    </row>
    <row r="4016" spans="15:20" x14ac:dyDescent="0.25">
      <c r="O4016">
        <v>1</v>
      </c>
      <c r="S4016" t="e">
        <v>#DIV/0!</v>
      </c>
      <c r="T4016" t="s">
        <v>82</v>
      </c>
    </row>
    <row r="4017" spans="15:20" x14ac:dyDescent="0.25">
      <c r="O4017">
        <v>1</v>
      </c>
      <c r="S4017" t="e">
        <v>#DIV/0!</v>
      </c>
      <c r="T4017" t="s">
        <v>82</v>
      </c>
    </row>
    <row r="4018" spans="15:20" x14ac:dyDescent="0.25">
      <c r="O4018">
        <v>1</v>
      </c>
      <c r="S4018" t="e">
        <v>#DIV/0!</v>
      </c>
      <c r="T4018" t="s">
        <v>82</v>
      </c>
    </row>
    <row r="4019" spans="15:20" x14ac:dyDescent="0.25">
      <c r="O4019">
        <v>1</v>
      </c>
      <c r="S4019" t="e">
        <v>#DIV/0!</v>
      </c>
      <c r="T4019" t="s">
        <v>82</v>
      </c>
    </row>
    <row r="4020" spans="15:20" x14ac:dyDescent="0.25">
      <c r="O4020">
        <v>1</v>
      </c>
      <c r="S4020" t="e">
        <v>#DIV/0!</v>
      </c>
      <c r="T4020" t="s">
        <v>82</v>
      </c>
    </row>
    <row r="4021" spans="15:20" x14ac:dyDescent="0.25">
      <c r="O4021">
        <v>1</v>
      </c>
      <c r="S4021" t="e">
        <v>#DIV/0!</v>
      </c>
      <c r="T4021" t="s">
        <v>82</v>
      </c>
    </row>
    <row r="4022" spans="15:20" x14ac:dyDescent="0.25">
      <c r="O4022">
        <v>1</v>
      </c>
      <c r="S4022" t="e">
        <v>#DIV/0!</v>
      </c>
      <c r="T4022" t="s">
        <v>82</v>
      </c>
    </row>
    <row r="4023" spans="15:20" x14ac:dyDescent="0.25">
      <c r="O4023">
        <v>1</v>
      </c>
      <c r="S4023" t="e">
        <v>#DIV/0!</v>
      </c>
      <c r="T4023" t="s">
        <v>82</v>
      </c>
    </row>
    <row r="4024" spans="15:20" x14ac:dyDescent="0.25">
      <c r="O4024">
        <v>1</v>
      </c>
      <c r="S4024" t="e">
        <v>#DIV/0!</v>
      </c>
      <c r="T4024" t="s">
        <v>82</v>
      </c>
    </row>
    <row r="4025" spans="15:20" x14ac:dyDescent="0.25">
      <c r="O4025">
        <v>1</v>
      </c>
      <c r="S4025" t="e">
        <v>#DIV/0!</v>
      </c>
      <c r="T4025" t="s">
        <v>82</v>
      </c>
    </row>
    <row r="4026" spans="15:20" x14ac:dyDescent="0.25">
      <c r="O4026">
        <v>1</v>
      </c>
      <c r="S4026" t="e">
        <v>#DIV/0!</v>
      </c>
      <c r="T4026" t="s">
        <v>82</v>
      </c>
    </row>
    <row r="4027" spans="15:20" x14ac:dyDescent="0.25">
      <c r="O4027">
        <v>1</v>
      </c>
      <c r="S4027" t="e">
        <v>#DIV/0!</v>
      </c>
      <c r="T4027" t="s">
        <v>82</v>
      </c>
    </row>
    <row r="4028" spans="15:20" x14ac:dyDescent="0.25">
      <c r="O4028">
        <v>1</v>
      </c>
      <c r="S4028" t="e">
        <v>#DIV/0!</v>
      </c>
      <c r="T4028" t="s">
        <v>82</v>
      </c>
    </row>
    <row r="4029" spans="15:20" x14ac:dyDescent="0.25">
      <c r="O4029">
        <v>1</v>
      </c>
      <c r="S4029" t="e">
        <v>#DIV/0!</v>
      </c>
      <c r="T4029" t="s">
        <v>82</v>
      </c>
    </row>
    <row r="4030" spans="15:20" x14ac:dyDescent="0.25">
      <c r="O4030">
        <v>1</v>
      </c>
      <c r="S4030" t="e">
        <v>#DIV/0!</v>
      </c>
      <c r="T4030" t="s">
        <v>82</v>
      </c>
    </row>
    <row r="4031" spans="15:20" x14ac:dyDescent="0.25">
      <c r="O4031">
        <v>1</v>
      </c>
      <c r="S4031" t="e">
        <v>#DIV/0!</v>
      </c>
      <c r="T4031" t="s">
        <v>82</v>
      </c>
    </row>
    <row r="4032" spans="15:20" x14ac:dyDescent="0.25">
      <c r="O4032">
        <v>1</v>
      </c>
      <c r="S4032" t="e">
        <v>#DIV/0!</v>
      </c>
      <c r="T4032" t="s">
        <v>82</v>
      </c>
    </row>
    <row r="4033" spans="15:20" x14ac:dyDescent="0.25">
      <c r="O4033">
        <v>1</v>
      </c>
      <c r="S4033" t="e">
        <v>#DIV/0!</v>
      </c>
      <c r="T4033" t="s">
        <v>82</v>
      </c>
    </row>
    <row r="4034" spans="15:20" x14ac:dyDescent="0.25">
      <c r="O4034">
        <v>1</v>
      </c>
      <c r="S4034" t="e">
        <v>#DIV/0!</v>
      </c>
      <c r="T4034" t="s">
        <v>82</v>
      </c>
    </row>
    <row r="4035" spans="15:20" x14ac:dyDescent="0.25">
      <c r="O4035">
        <v>1</v>
      </c>
      <c r="S4035" t="e">
        <v>#DIV/0!</v>
      </c>
      <c r="T4035" t="s">
        <v>82</v>
      </c>
    </row>
    <row r="4036" spans="15:20" x14ac:dyDescent="0.25">
      <c r="O4036">
        <v>1</v>
      </c>
      <c r="S4036" t="e">
        <v>#DIV/0!</v>
      </c>
      <c r="T4036" t="s">
        <v>82</v>
      </c>
    </row>
    <row r="4037" spans="15:20" x14ac:dyDescent="0.25">
      <c r="O4037">
        <v>1</v>
      </c>
      <c r="S4037" t="e">
        <v>#DIV/0!</v>
      </c>
      <c r="T4037" t="s">
        <v>82</v>
      </c>
    </row>
    <row r="4038" spans="15:20" x14ac:dyDescent="0.25">
      <c r="O4038">
        <v>1</v>
      </c>
      <c r="S4038" t="e">
        <v>#DIV/0!</v>
      </c>
      <c r="T4038" t="s">
        <v>82</v>
      </c>
    </row>
    <row r="4039" spans="15:20" x14ac:dyDescent="0.25">
      <c r="O4039">
        <v>1</v>
      </c>
      <c r="S4039" t="e">
        <v>#DIV/0!</v>
      </c>
      <c r="T4039" t="s">
        <v>82</v>
      </c>
    </row>
    <row r="4040" spans="15:20" x14ac:dyDescent="0.25">
      <c r="O4040">
        <v>1</v>
      </c>
      <c r="S4040" t="e">
        <v>#DIV/0!</v>
      </c>
      <c r="T4040" t="s">
        <v>82</v>
      </c>
    </row>
    <row r="4041" spans="15:20" x14ac:dyDescent="0.25">
      <c r="O4041">
        <v>1</v>
      </c>
      <c r="S4041" t="e">
        <v>#DIV/0!</v>
      </c>
      <c r="T4041" t="s">
        <v>82</v>
      </c>
    </row>
    <row r="4042" spans="15:20" x14ac:dyDescent="0.25">
      <c r="O4042">
        <v>1</v>
      </c>
      <c r="S4042" t="e">
        <v>#DIV/0!</v>
      </c>
      <c r="T4042" t="s">
        <v>82</v>
      </c>
    </row>
    <row r="4043" spans="15:20" x14ac:dyDescent="0.25">
      <c r="O4043">
        <v>1</v>
      </c>
      <c r="S4043" t="e">
        <v>#DIV/0!</v>
      </c>
      <c r="T4043" t="s">
        <v>82</v>
      </c>
    </row>
    <row r="4044" spans="15:20" x14ac:dyDescent="0.25">
      <c r="O4044">
        <v>1</v>
      </c>
      <c r="S4044" t="e">
        <v>#DIV/0!</v>
      </c>
      <c r="T4044" t="s">
        <v>82</v>
      </c>
    </row>
    <row r="4045" spans="15:20" x14ac:dyDescent="0.25">
      <c r="O4045">
        <v>1</v>
      </c>
      <c r="S4045" t="e">
        <v>#DIV/0!</v>
      </c>
      <c r="T4045" t="s">
        <v>82</v>
      </c>
    </row>
    <row r="4046" spans="15:20" x14ac:dyDescent="0.25">
      <c r="O4046">
        <v>1</v>
      </c>
      <c r="S4046" t="e">
        <v>#DIV/0!</v>
      </c>
      <c r="T4046" t="s">
        <v>82</v>
      </c>
    </row>
    <row r="4047" spans="15:20" x14ac:dyDescent="0.25">
      <c r="O4047">
        <v>1</v>
      </c>
      <c r="S4047" t="e">
        <v>#DIV/0!</v>
      </c>
      <c r="T4047" t="s">
        <v>82</v>
      </c>
    </row>
    <row r="4048" spans="15:20" x14ac:dyDescent="0.25">
      <c r="O4048">
        <v>1</v>
      </c>
      <c r="S4048" t="e">
        <v>#DIV/0!</v>
      </c>
      <c r="T4048" t="s">
        <v>82</v>
      </c>
    </row>
    <row r="4049" spans="15:20" x14ac:dyDescent="0.25">
      <c r="O4049">
        <v>1</v>
      </c>
      <c r="S4049" t="e">
        <v>#DIV/0!</v>
      </c>
      <c r="T4049" t="s">
        <v>82</v>
      </c>
    </row>
    <row r="4050" spans="15:20" x14ac:dyDescent="0.25">
      <c r="O4050">
        <v>1</v>
      </c>
      <c r="S4050" t="e">
        <v>#DIV/0!</v>
      </c>
      <c r="T4050" t="s">
        <v>82</v>
      </c>
    </row>
    <row r="4051" spans="15:20" x14ac:dyDescent="0.25">
      <c r="O4051">
        <v>1</v>
      </c>
      <c r="S4051" t="e">
        <v>#DIV/0!</v>
      </c>
      <c r="T4051" t="s">
        <v>82</v>
      </c>
    </row>
    <row r="4052" spans="15:20" x14ac:dyDescent="0.25">
      <c r="O4052">
        <v>1</v>
      </c>
      <c r="S4052" t="e">
        <v>#DIV/0!</v>
      </c>
      <c r="T4052" t="s">
        <v>82</v>
      </c>
    </row>
    <row r="4053" spans="15:20" x14ac:dyDescent="0.25">
      <c r="O4053">
        <v>1</v>
      </c>
      <c r="S4053" t="e">
        <v>#DIV/0!</v>
      </c>
      <c r="T4053" t="s">
        <v>82</v>
      </c>
    </row>
    <row r="4054" spans="15:20" x14ac:dyDescent="0.25">
      <c r="O4054">
        <v>1</v>
      </c>
      <c r="S4054" t="e">
        <v>#DIV/0!</v>
      </c>
      <c r="T4054" t="s">
        <v>82</v>
      </c>
    </row>
    <row r="4055" spans="15:20" x14ac:dyDescent="0.25">
      <c r="O4055">
        <v>1</v>
      </c>
      <c r="S4055" t="e">
        <v>#DIV/0!</v>
      </c>
      <c r="T4055" t="s">
        <v>82</v>
      </c>
    </row>
    <row r="4056" spans="15:20" x14ac:dyDescent="0.25">
      <c r="O4056">
        <v>1</v>
      </c>
      <c r="S4056" t="e">
        <v>#DIV/0!</v>
      </c>
      <c r="T4056" t="s">
        <v>82</v>
      </c>
    </row>
    <row r="4057" spans="15:20" x14ac:dyDescent="0.25">
      <c r="O4057">
        <v>1</v>
      </c>
      <c r="S4057" t="e">
        <v>#DIV/0!</v>
      </c>
      <c r="T4057" t="s">
        <v>82</v>
      </c>
    </row>
    <row r="4058" spans="15:20" x14ac:dyDescent="0.25">
      <c r="O4058">
        <v>1</v>
      </c>
      <c r="S4058" t="e">
        <v>#DIV/0!</v>
      </c>
      <c r="T4058" t="s">
        <v>82</v>
      </c>
    </row>
    <row r="4059" spans="15:20" x14ac:dyDescent="0.25">
      <c r="O4059">
        <v>1</v>
      </c>
      <c r="S4059" t="e">
        <v>#DIV/0!</v>
      </c>
      <c r="T4059" t="s">
        <v>82</v>
      </c>
    </row>
    <row r="4060" spans="15:20" x14ac:dyDescent="0.25">
      <c r="O4060">
        <v>1</v>
      </c>
      <c r="S4060" t="e">
        <v>#DIV/0!</v>
      </c>
      <c r="T4060" t="s">
        <v>82</v>
      </c>
    </row>
    <row r="4061" spans="15:20" x14ac:dyDescent="0.25">
      <c r="O4061">
        <v>1</v>
      </c>
      <c r="S4061" t="e">
        <v>#DIV/0!</v>
      </c>
      <c r="T4061" t="s">
        <v>82</v>
      </c>
    </row>
    <row r="4062" spans="15:20" x14ac:dyDescent="0.25">
      <c r="O4062">
        <v>1</v>
      </c>
      <c r="S4062" t="e">
        <v>#DIV/0!</v>
      </c>
      <c r="T4062" t="s">
        <v>82</v>
      </c>
    </row>
    <row r="4063" spans="15:20" x14ac:dyDescent="0.25">
      <c r="O4063">
        <v>1</v>
      </c>
      <c r="S4063" t="e">
        <v>#DIV/0!</v>
      </c>
      <c r="T4063" t="s">
        <v>82</v>
      </c>
    </row>
    <row r="4064" spans="15:20" x14ac:dyDescent="0.25">
      <c r="O4064">
        <v>1</v>
      </c>
      <c r="S4064" t="e">
        <v>#DIV/0!</v>
      </c>
      <c r="T4064" t="s">
        <v>82</v>
      </c>
    </row>
    <row r="4065" spans="15:20" x14ac:dyDescent="0.25">
      <c r="O4065">
        <v>1</v>
      </c>
      <c r="S4065" t="e">
        <v>#DIV/0!</v>
      </c>
      <c r="T4065" t="s">
        <v>82</v>
      </c>
    </row>
    <row r="4066" spans="15:20" x14ac:dyDescent="0.25">
      <c r="O4066">
        <v>1</v>
      </c>
      <c r="S4066" t="e">
        <v>#DIV/0!</v>
      </c>
      <c r="T4066" t="s">
        <v>82</v>
      </c>
    </row>
    <row r="4067" spans="15:20" x14ac:dyDescent="0.25">
      <c r="O4067">
        <v>1</v>
      </c>
      <c r="S4067" t="e">
        <v>#DIV/0!</v>
      </c>
      <c r="T4067" t="s">
        <v>82</v>
      </c>
    </row>
    <row r="4068" spans="15:20" x14ac:dyDescent="0.25">
      <c r="O4068">
        <v>1</v>
      </c>
      <c r="S4068" t="e">
        <v>#DIV/0!</v>
      </c>
      <c r="T4068" t="s">
        <v>82</v>
      </c>
    </row>
    <row r="4069" spans="15:20" x14ac:dyDescent="0.25">
      <c r="O4069">
        <v>1</v>
      </c>
      <c r="S4069" t="e">
        <v>#DIV/0!</v>
      </c>
      <c r="T4069" t="s">
        <v>82</v>
      </c>
    </row>
    <row r="4070" spans="15:20" x14ac:dyDescent="0.25">
      <c r="O4070">
        <v>1</v>
      </c>
      <c r="S4070" t="e">
        <v>#DIV/0!</v>
      </c>
      <c r="T4070" t="s">
        <v>82</v>
      </c>
    </row>
    <row r="4071" spans="15:20" x14ac:dyDescent="0.25">
      <c r="O4071">
        <v>1</v>
      </c>
      <c r="S4071" t="e">
        <v>#DIV/0!</v>
      </c>
      <c r="T4071" t="s">
        <v>82</v>
      </c>
    </row>
    <row r="4072" spans="15:20" x14ac:dyDescent="0.25">
      <c r="O4072">
        <v>1</v>
      </c>
      <c r="S4072" t="e">
        <v>#DIV/0!</v>
      </c>
      <c r="T4072" t="s">
        <v>82</v>
      </c>
    </row>
    <row r="4073" spans="15:20" x14ac:dyDescent="0.25">
      <c r="O4073">
        <v>1</v>
      </c>
      <c r="S4073" t="e">
        <v>#DIV/0!</v>
      </c>
      <c r="T4073" t="s">
        <v>82</v>
      </c>
    </row>
    <row r="4074" spans="15:20" x14ac:dyDescent="0.25">
      <c r="O4074">
        <v>1</v>
      </c>
      <c r="S4074" t="e">
        <v>#DIV/0!</v>
      </c>
      <c r="T4074" t="s">
        <v>82</v>
      </c>
    </row>
    <row r="4075" spans="15:20" x14ac:dyDescent="0.25">
      <c r="O4075">
        <v>1</v>
      </c>
      <c r="S4075" t="e">
        <v>#DIV/0!</v>
      </c>
      <c r="T4075" t="s">
        <v>82</v>
      </c>
    </row>
    <row r="4076" spans="15:20" x14ac:dyDescent="0.25">
      <c r="O4076">
        <v>1</v>
      </c>
      <c r="S4076" t="e">
        <v>#DIV/0!</v>
      </c>
      <c r="T4076" t="s">
        <v>82</v>
      </c>
    </row>
    <row r="4077" spans="15:20" x14ac:dyDescent="0.25">
      <c r="O4077">
        <v>1</v>
      </c>
      <c r="S4077" t="e">
        <v>#DIV/0!</v>
      </c>
      <c r="T4077" t="s">
        <v>82</v>
      </c>
    </row>
    <row r="4078" spans="15:20" x14ac:dyDescent="0.25">
      <c r="O4078">
        <v>1</v>
      </c>
      <c r="S4078" t="e">
        <v>#DIV/0!</v>
      </c>
      <c r="T4078" t="s">
        <v>82</v>
      </c>
    </row>
    <row r="4079" spans="15:20" x14ac:dyDescent="0.25">
      <c r="O4079">
        <v>1</v>
      </c>
      <c r="S4079" t="e">
        <v>#DIV/0!</v>
      </c>
      <c r="T4079" t="s">
        <v>82</v>
      </c>
    </row>
    <row r="4080" spans="15:20" x14ac:dyDescent="0.25">
      <c r="O4080">
        <v>1</v>
      </c>
      <c r="S4080" t="e">
        <v>#DIV/0!</v>
      </c>
      <c r="T4080" t="s">
        <v>82</v>
      </c>
    </row>
    <row r="4081" spans="15:20" x14ac:dyDescent="0.25">
      <c r="O4081">
        <v>1</v>
      </c>
      <c r="S4081" t="e">
        <v>#DIV/0!</v>
      </c>
      <c r="T4081" t="s">
        <v>82</v>
      </c>
    </row>
    <row r="4082" spans="15:20" x14ac:dyDescent="0.25">
      <c r="O4082">
        <v>1</v>
      </c>
      <c r="S4082" t="e">
        <v>#DIV/0!</v>
      </c>
      <c r="T4082" t="s">
        <v>82</v>
      </c>
    </row>
    <row r="4083" spans="15:20" x14ac:dyDescent="0.25">
      <c r="O4083">
        <v>1</v>
      </c>
      <c r="S4083" t="e">
        <v>#DIV/0!</v>
      </c>
      <c r="T4083" t="s">
        <v>82</v>
      </c>
    </row>
    <row r="4084" spans="15:20" x14ac:dyDescent="0.25">
      <c r="O4084">
        <v>1</v>
      </c>
      <c r="S4084" t="e">
        <v>#DIV/0!</v>
      </c>
      <c r="T4084" t="s">
        <v>82</v>
      </c>
    </row>
    <row r="4085" spans="15:20" x14ac:dyDescent="0.25">
      <c r="O4085">
        <v>1</v>
      </c>
      <c r="S4085" t="e">
        <v>#DIV/0!</v>
      </c>
      <c r="T4085" t="s">
        <v>82</v>
      </c>
    </row>
    <row r="4086" spans="15:20" x14ac:dyDescent="0.25">
      <c r="O4086">
        <v>1</v>
      </c>
      <c r="S4086" t="e">
        <v>#DIV/0!</v>
      </c>
      <c r="T4086" t="s">
        <v>82</v>
      </c>
    </row>
    <row r="4087" spans="15:20" x14ac:dyDescent="0.25">
      <c r="O4087">
        <v>1</v>
      </c>
      <c r="S4087" t="e">
        <v>#DIV/0!</v>
      </c>
      <c r="T4087" t="s">
        <v>82</v>
      </c>
    </row>
    <row r="4088" spans="15:20" x14ac:dyDescent="0.25">
      <c r="O4088">
        <v>1</v>
      </c>
      <c r="S4088" t="e">
        <v>#DIV/0!</v>
      </c>
      <c r="T4088" t="s">
        <v>82</v>
      </c>
    </row>
    <row r="4089" spans="15:20" x14ac:dyDescent="0.25">
      <c r="O4089">
        <v>1</v>
      </c>
      <c r="S4089" t="e">
        <v>#DIV/0!</v>
      </c>
      <c r="T4089" t="s">
        <v>82</v>
      </c>
    </row>
    <row r="4090" spans="15:20" x14ac:dyDescent="0.25">
      <c r="O4090">
        <v>1</v>
      </c>
      <c r="S4090" t="e">
        <v>#DIV/0!</v>
      </c>
      <c r="T4090" t="s">
        <v>82</v>
      </c>
    </row>
    <row r="4091" spans="15:20" x14ac:dyDescent="0.25">
      <c r="O4091">
        <v>1</v>
      </c>
      <c r="S4091" t="e">
        <v>#DIV/0!</v>
      </c>
      <c r="T4091" t="s">
        <v>82</v>
      </c>
    </row>
    <row r="4092" spans="15:20" x14ac:dyDescent="0.25">
      <c r="O4092">
        <v>1</v>
      </c>
      <c r="S4092" t="e">
        <v>#DIV/0!</v>
      </c>
      <c r="T4092" t="s">
        <v>82</v>
      </c>
    </row>
    <row r="4093" spans="15:20" x14ac:dyDescent="0.25">
      <c r="O4093">
        <v>1</v>
      </c>
      <c r="S4093" t="e">
        <v>#DIV/0!</v>
      </c>
      <c r="T4093" t="s">
        <v>82</v>
      </c>
    </row>
    <row r="4094" spans="15:20" x14ac:dyDescent="0.25">
      <c r="O4094">
        <v>1</v>
      </c>
      <c r="S4094" t="e">
        <v>#DIV/0!</v>
      </c>
      <c r="T4094" t="s">
        <v>82</v>
      </c>
    </row>
    <row r="4095" spans="15:20" x14ac:dyDescent="0.25">
      <c r="O4095">
        <v>1</v>
      </c>
      <c r="S4095" t="e">
        <v>#DIV/0!</v>
      </c>
      <c r="T4095" t="s">
        <v>82</v>
      </c>
    </row>
    <row r="4096" spans="15:20" x14ac:dyDescent="0.25">
      <c r="O4096">
        <v>1</v>
      </c>
      <c r="S4096" t="e">
        <v>#DIV/0!</v>
      </c>
      <c r="T4096" t="s">
        <v>82</v>
      </c>
    </row>
    <row r="4097" spans="15:20" x14ac:dyDescent="0.25">
      <c r="O4097">
        <v>1</v>
      </c>
      <c r="S4097" t="e">
        <v>#DIV/0!</v>
      </c>
      <c r="T4097" t="s">
        <v>82</v>
      </c>
    </row>
    <row r="4098" spans="15:20" x14ac:dyDescent="0.25">
      <c r="O4098">
        <v>1</v>
      </c>
      <c r="S4098" t="e">
        <v>#DIV/0!</v>
      </c>
      <c r="T4098" t="s">
        <v>82</v>
      </c>
    </row>
    <row r="4099" spans="15:20" x14ac:dyDescent="0.25">
      <c r="O4099">
        <v>1</v>
      </c>
      <c r="S4099" t="e">
        <v>#DIV/0!</v>
      </c>
      <c r="T4099" t="s">
        <v>82</v>
      </c>
    </row>
    <row r="4100" spans="15:20" x14ac:dyDescent="0.25">
      <c r="O4100">
        <v>1</v>
      </c>
      <c r="S4100" t="e">
        <v>#DIV/0!</v>
      </c>
      <c r="T4100" t="s">
        <v>82</v>
      </c>
    </row>
    <row r="4101" spans="15:20" x14ac:dyDescent="0.25">
      <c r="O4101">
        <v>1</v>
      </c>
      <c r="S4101" t="e">
        <v>#DIV/0!</v>
      </c>
      <c r="T4101" t="s">
        <v>82</v>
      </c>
    </row>
    <row r="4102" spans="15:20" x14ac:dyDescent="0.25">
      <c r="O4102">
        <v>1</v>
      </c>
      <c r="S4102" t="e">
        <v>#DIV/0!</v>
      </c>
      <c r="T4102" t="s">
        <v>82</v>
      </c>
    </row>
    <row r="4103" spans="15:20" x14ac:dyDescent="0.25">
      <c r="O4103">
        <v>1</v>
      </c>
      <c r="S4103" t="e">
        <v>#DIV/0!</v>
      </c>
      <c r="T4103" t="s">
        <v>82</v>
      </c>
    </row>
    <row r="4104" spans="15:20" x14ac:dyDescent="0.25">
      <c r="O4104">
        <v>1</v>
      </c>
      <c r="S4104" t="e">
        <v>#DIV/0!</v>
      </c>
      <c r="T4104" t="s">
        <v>82</v>
      </c>
    </row>
    <row r="4105" spans="15:20" x14ac:dyDescent="0.25">
      <c r="O4105">
        <v>1</v>
      </c>
      <c r="S4105" t="e">
        <v>#DIV/0!</v>
      </c>
      <c r="T4105" t="s">
        <v>82</v>
      </c>
    </row>
    <row r="4106" spans="15:20" x14ac:dyDescent="0.25">
      <c r="O4106">
        <v>1</v>
      </c>
      <c r="S4106" t="e">
        <v>#DIV/0!</v>
      </c>
      <c r="T4106" t="s">
        <v>82</v>
      </c>
    </row>
    <row r="4107" spans="15:20" x14ac:dyDescent="0.25">
      <c r="O4107">
        <v>1</v>
      </c>
      <c r="S4107" t="e">
        <v>#DIV/0!</v>
      </c>
      <c r="T4107" t="s">
        <v>82</v>
      </c>
    </row>
    <row r="4108" spans="15:20" x14ac:dyDescent="0.25">
      <c r="O4108">
        <v>1</v>
      </c>
      <c r="S4108" t="e">
        <v>#DIV/0!</v>
      </c>
      <c r="T4108" t="s">
        <v>82</v>
      </c>
    </row>
    <row r="4109" spans="15:20" x14ac:dyDescent="0.25">
      <c r="O4109">
        <v>1</v>
      </c>
      <c r="S4109" t="e">
        <v>#DIV/0!</v>
      </c>
      <c r="T4109" t="s">
        <v>82</v>
      </c>
    </row>
    <row r="4110" spans="15:20" x14ac:dyDescent="0.25">
      <c r="O4110">
        <v>1</v>
      </c>
      <c r="S4110" t="e">
        <v>#DIV/0!</v>
      </c>
      <c r="T4110" t="s">
        <v>82</v>
      </c>
    </row>
    <row r="4111" spans="15:20" x14ac:dyDescent="0.25">
      <c r="O4111">
        <v>1</v>
      </c>
      <c r="S4111" t="e">
        <v>#DIV/0!</v>
      </c>
      <c r="T4111" t="s">
        <v>82</v>
      </c>
    </row>
    <row r="4112" spans="15:20" x14ac:dyDescent="0.25">
      <c r="O4112">
        <v>1</v>
      </c>
      <c r="S4112" t="e">
        <v>#DIV/0!</v>
      </c>
      <c r="T4112" t="s">
        <v>82</v>
      </c>
    </row>
    <row r="4113" spans="15:20" x14ac:dyDescent="0.25">
      <c r="O4113">
        <v>1</v>
      </c>
      <c r="S4113" t="e">
        <v>#DIV/0!</v>
      </c>
      <c r="T4113" t="s">
        <v>82</v>
      </c>
    </row>
    <row r="4114" spans="15:20" x14ac:dyDescent="0.25">
      <c r="O4114">
        <v>1</v>
      </c>
      <c r="S4114" t="e">
        <v>#DIV/0!</v>
      </c>
      <c r="T4114" t="s">
        <v>82</v>
      </c>
    </row>
    <row r="4115" spans="15:20" x14ac:dyDescent="0.25">
      <c r="O4115">
        <v>1</v>
      </c>
      <c r="S4115" t="e">
        <v>#DIV/0!</v>
      </c>
      <c r="T4115" t="s">
        <v>82</v>
      </c>
    </row>
    <row r="4116" spans="15:20" x14ac:dyDescent="0.25">
      <c r="O4116">
        <v>1</v>
      </c>
      <c r="S4116" t="e">
        <v>#DIV/0!</v>
      </c>
      <c r="T4116" t="s">
        <v>82</v>
      </c>
    </row>
    <row r="4117" spans="15:20" x14ac:dyDescent="0.25">
      <c r="O4117">
        <v>1</v>
      </c>
      <c r="S4117" t="e">
        <v>#DIV/0!</v>
      </c>
      <c r="T4117" t="s">
        <v>82</v>
      </c>
    </row>
    <row r="4118" spans="15:20" x14ac:dyDescent="0.25">
      <c r="O4118">
        <v>1</v>
      </c>
      <c r="S4118" t="e">
        <v>#DIV/0!</v>
      </c>
      <c r="T4118" t="s">
        <v>82</v>
      </c>
    </row>
    <row r="4119" spans="15:20" x14ac:dyDescent="0.25">
      <c r="O4119">
        <v>1</v>
      </c>
      <c r="S4119" t="e">
        <v>#DIV/0!</v>
      </c>
      <c r="T4119" t="s">
        <v>82</v>
      </c>
    </row>
    <row r="4120" spans="15:20" x14ac:dyDescent="0.25">
      <c r="O4120">
        <v>1</v>
      </c>
      <c r="S4120" t="e">
        <v>#DIV/0!</v>
      </c>
      <c r="T4120" t="s">
        <v>82</v>
      </c>
    </row>
    <row r="4121" spans="15:20" x14ac:dyDescent="0.25">
      <c r="O4121">
        <v>1</v>
      </c>
      <c r="S4121" t="e">
        <v>#DIV/0!</v>
      </c>
      <c r="T4121" t="s">
        <v>82</v>
      </c>
    </row>
    <row r="4122" spans="15:20" x14ac:dyDescent="0.25">
      <c r="O4122">
        <v>1</v>
      </c>
      <c r="S4122" t="e">
        <v>#DIV/0!</v>
      </c>
      <c r="T4122" t="s">
        <v>82</v>
      </c>
    </row>
    <row r="4123" spans="15:20" x14ac:dyDescent="0.25">
      <c r="O4123">
        <v>1</v>
      </c>
      <c r="S4123" t="e">
        <v>#DIV/0!</v>
      </c>
      <c r="T4123" t="s">
        <v>82</v>
      </c>
    </row>
    <row r="4124" spans="15:20" x14ac:dyDescent="0.25">
      <c r="O4124">
        <v>1</v>
      </c>
      <c r="S4124" t="e">
        <v>#DIV/0!</v>
      </c>
      <c r="T4124" t="s">
        <v>82</v>
      </c>
    </row>
    <row r="4125" spans="15:20" x14ac:dyDescent="0.25">
      <c r="O4125">
        <v>1</v>
      </c>
      <c r="S4125" t="e">
        <v>#DIV/0!</v>
      </c>
      <c r="T4125" t="s">
        <v>82</v>
      </c>
    </row>
    <row r="4126" spans="15:20" x14ac:dyDescent="0.25">
      <c r="O4126">
        <v>1</v>
      </c>
      <c r="S4126" t="e">
        <v>#DIV/0!</v>
      </c>
      <c r="T4126" t="s">
        <v>82</v>
      </c>
    </row>
    <row r="4127" spans="15:20" x14ac:dyDescent="0.25">
      <c r="O4127">
        <v>1</v>
      </c>
      <c r="S4127" t="e">
        <v>#DIV/0!</v>
      </c>
      <c r="T4127" t="s">
        <v>82</v>
      </c>
    </row>
    <row r="4128" spans="15:20" x14ac:dyDescent="0.25">
      <c r="O4128">
        <v>1</v>
      </c>
      <c r="S4128" t="e">
        <v>#DIV/0!</v>
      </c>
      <c r="T4128" t="s">
        <v>82</v>
      </c>
    </row>
    <row r="4129" spans="15:20" x14ac:dyDescent="0.25">
      <c r="O4129">
        <v>1</v>
      </c>
      <c r="S4129" t="e">
        <v>#DIV/0!</v>
      </c>
      <c r="T4129" t="s">
        <v>82</v>
      </c>
    </row>
    <row r="4130" spans="15:20" x14ac:dyDescent="0.25">
      <c r="O4130">
        <v>1</v>
      </c>
      <c r="S4130" t="e">
        <v>#DIV/0!</v>
      </c>
      <c r="T4130" t="s">
        <v>82</v>
      </c>
    </row>
    <row r="4131" spans="15:20" x14ac:dyDescent="0.25">
      <c r="O4131">
        <v>1</v>
      </c>
      <c r="S4131" t="e">
        <v>#DIV/0!</v>
      </c>
      <c r="T4131" t="s">
        <v>82</v>
      </c>
    </row>
    <row r="4132" spans="15:20" x14ac:dyDescent="0.25">
      <c r="O4132">
        <v>1</v>
      </c>
      <c r="S4132" t="e">
        <v>#DIV/0!</v>
      </c>
      <c r="T4132" t="s">
        <v>82</v>
      </c>
    </row>
    <row r="4133" spans="15:20" x14ac:dyDescent="0.25">
      <c r="O4133">
        <v>1</v>
      </c>
      <c r="S4133" t="e">
        <v>#DIV/0!</v>
      </c>
      <c r="T4133" t="s">
        <v>82</v>
      </c>
    </row>
    <row r="4134" spans="15:20" x14ac:dyDescent="0.25">
      <c r="O4134">
        <v>1</v>
      </c>
      <c r="S4134" t="e">
        <v>#DIV/0!</v>
      </c>
      <c r="T4134" t="s">
        <v>82</v>
      </c>
    </row>
    <row r="4135" spans="15:20" x14ac:dyDescent="0.25">
      <c r="O4135">
        <v>1</v>
      </c>
      <c r="S4135" t="e">
        <v>#DIV/0!</v>
      </c>
      <c r="T4135" t="s">
        <v>82</v>
      </c>
    </row>
    <row r="4136" spans="15:20" x14ac:dyDescent="0.25">
      <c r="O4136">
        <v>1</v>
      </c>
      <c r="S4136" t="e">
        <v>#DIV/0!</v>
      </c>
      <c r="T4136" t="s">
        <v>82</v>
      </c>
    </row>
    <row r="4137" spans="15:20" x14ac:dyDescent="0.25">
      <c r="O4137">
        <v>1</v>
      </c>
      <c r="S4137" t="e">
        <v>#DIV/0!</v>
      </c>
      <c r="T4137" t="s">
        <v>82</v>
      </c>
    </row>
    <row r="4138" spans="15:20" x14ac:dyDescent="0.25">
      <c r="O4138">
        <v>1</v>
      </c>
      <c r="S4138" t="e">
        <v>#DIV/0!</v>
      </c>
      <c r="T4138" t="s">
        <v>82</v>
      </c>
    </row>
    <row r="4139" spans="15:20" x14ac:dyDescent="0.25">
      <c r="O4139">
        <v>1</v>
      </c>
      <c r="S4139" t="e">
        <v>#DIV/0!</v>
      </c>
      <c r="T4139" t="s">
        <v>82</v>
      </c>
    </row>
    <row r="4140" spans="15:20" x14ac:dyDescent="0.25">
      <c r="O4140">
        <v>1</v>
      </c>
      <c r="S4140" t="e">
        <v>#DIV/0!</v>
      </c>
      <c r="T4140" t="s">
        <v>82</v>
      </c>
    </row>
    <row r="4141" spans="15:20" x14ac:dyDescent="0.25">
      <c r="O4141">
        <v>1</v>
      </c>
      <c r="S4141" t="e">
        <v>#DIV/0!</v>
      </c>
      <c r="T4141" t="s">
        <v>82</v>
      </c>
    </row>
    <row r="4142" spans="15:20" x14ac:dyDescent="0.25">
      <c r="O4142">
        <v>1</v>
      </c>
      <c r="S4142" t="e">
        <v>#DIV/0!</v>
      </c>
      <c r="T4142" t="s">
        <v>82</v>
      </c>
    </row>
    <row r="4143" spans="15:20" x14ac:dyDescent="0.25">
      <c r="O4143">
        <v>1</v>
      </c>
      <c r="S4143" t="e">
        <v>#DIV/0!</v>
      </c>
      <c r="T4143" t="s">
        <v>82</v>
      </c>
    </row>
    <row r="4144" spans="15:20" x14ac:dyDescent="0.25">
      <c r="O4144">
        <v>1</v>
      </c>
      <c r="S4144" t="e">
        <v>#DIV/0!</v>
      </c>
      <c r="T4144" t="s">
        <v>82</v>
      </c>
    </row>
    <row r="4145" spans="15:20" x14ac:dyDescent="0.25">
      <c r="O4145">
        <v>1</v>
      </c>
      <c r="S4145" t="e">
        <v>#DIV/0!</v>
      </c>
      <c r="T4145" t="s">
        <v>82</v>
      </c>
    </row>
    <row r="4146" spans="15:20" x14ac:dyDescent="0.25">
      <c r="O4146">
        <v>1</v>
      </c>
      <c r="S4146" t="e">
        <v>#DIV/0!</v>
      </c>
      <c r="T4146" t="s">
        <v>82</v>
      </c>
    </row>
    <row r="4147" spans="15:20" x14ac:dyDescent="0.25">
      <c r="O4147">
        <v>1</v>
      </c>
      <c r="S4147" t="e">
        <v>#DIV/0!</v>
      </c>
      <c r="T4147" t="s">
        <v>82</v>
      </c>
    </row>
    <row r="4148" spans="15:20" x14ac:dyDescent="0.25">
      <c r="O4148">
        <v>1</v>
      </c>
      <c r="S4148" t="e">
        <v>#DIV/0!</v>
      </c>
      <c r="T4148" t="s">
        <v>82</v>
      </c>
    </row>
    <row r="4149" spans="15:20" x14ac:dyDescent="0.25">
      <c r="O4149">
        <v>1</v>
      </c>
      <c r="S4149" t="e">
        <v>#DIV/0!</v>
      </c>
      <c r="T4149" t="s">
        <v>82</v>
      </c>
    </row>
    <row r="4150" spans="15:20" x14ac:dyDescent="0.25">
      <c r="O4150">
        <v>1</v>
      </c>
      <c r="S4150" t="e">
        <v>#DIV/0!</v>
      </c>
      <c r="T4150" t="s">
        <v>82</v>
      </c>
    </row>
    <row r="4151" spans="15:20" x14ac:dyDescent="0.25">
      <c r="O4151">
        <v>1</v>
      </c>
      <c r="S4151" t="e">
        <v>#DIV/0!</v>
      </c>
      <c r="T4151" t="s">
        <v>82</v>
      </c>
    </row>
    <row r="4152" spans="15:20" x14ac:dyDescent="0.25">
      <c r="O4152">
        <v>1</v>
      </c>
      <c r="S4152" t="e">
        <v>#DIV/0!</v>
      </c>
      <c r="T4152" t="s">
        <v>82</v>
      </c>
    </row>
    <row r="4153" spans="15:20" x14ac:dyDescent="0.25">
      <c r="O4153">
        <v>1</v>
      </c>
      <c r="S4153" t="e">
        <v>#DIV/0!</v>
      </c>
      <c r="T4153" t="s">
        <v>82</v>
      </c>
    </row>
    <row r="4154" spans="15:20" x14ac:dyDescent="0.25">
      <c r="O4154">
        <v>1</v>
      </c>
      <c r="S4154" t="e">
        <v>#DIV/0!</v>
      </c>
      <c r="T4154" t="s">
        <v>82</v>
      </c>
    </row>
    <row r="4155" spans="15:20" x14ac:dyDescent="0.25">
      <c r="O4155">
        <v>1</v>
      </c>
      <c r="S4155" t="e">
        <v>#DIV/0!</v>
      </c>
      <c r="T4155" t="s">
        <v>82</v>
      </c>
    </row>
    <row r="4156" spans="15:20" x14ac:dyDescent="0.25">
      <c r="O4156">
        <v>1</v>
      </c>
      <c r="S4156" t="e">
        <v>#DIV/0!</v>
      </c>
      <c r="T4156" t="s">
        <v>82</v>
      </c>
    </row>
    <row r="4157" spans="15:20" x14ac:dyDescent="0.25">
      <c r="O4157">
        <v>1</v>
      </c>
      <c r="S4157" t="e">
        <v>#DIV/0!</v>
      </c>
      <c r="T4157" t="s">
        <v>82</v>
      </c>
    </row>
    <row r="4158" spans="15:20" x14ac:dyDescent="0.25">
      <c r="O4158">
        <v>1</v>
      </c>
      <c r="S4158" t="e">
        <v>#DIV/0!</v>
      </c>
      <c r="T4158" t="s">
        <v>82</v>
      </c>
    </row>
    <row r="4159" spans="15:20" x14ac:dyDescent="0.25">
      <c r="O4159">
        <v>1</v>
      </c>
      <c r="S4159" t="e">
        <v>#DIV/0!</v>
      </c>
      <c r="T4159" t="s">
        <v>82</v>
      </c>
    </row>
    <row r="4160" spans="15:20" x14ac:dyDescent="0.25">
      <c r="O4160">
        <v>1</v>
      </c>
      <c r="S4160" t="e">
        <v>#DIV/0!</v>
      </c>
      <c r="T4160" t="s">
        <v>82</v>
      </c>
    </row>
    <row r="4161" spans="15:20" x14ac:dyDescent="0.25">
      <c r="O4161">
        <v>1</v>
      </c>
      <c r="S4161" t="e">
        <v>#DIV/0!</v>
      </c>
      <c r="T4161" t="s">
        <v>82</v>
      </c>
    </row>
    <row r="4162" spans="15:20" x14ac:dyDescent="0.25">
      <c r="O4162">
        <v>1</v>
      </c>
      <c r="S4162" t="e">
        <v>#DIV/0!</v>
      </c>
      <c r="T4162" t="s">
        <v>82</v>
      </c>
    </row>
    <row r="4163" spans="15:20" x14ac:dyDescent="0.25">
      <c r="O4163">
        <v>1</v>
      </c>
      <c r="S4163" t="e">
        <v>#DIV/0!</v>
      </c>
      <c r="T4163" t="s">
        <v>82</v>
      </c>
    </row>
    <row r="4164" spans="15:20" x14ac:dyDescent="0.25">
      <c r="O4164">
        <v>1</v>
      </c>
      <c r="S4164" t="e">
        <v>#DIV/0!</v>
      </c>
      <c r="T4164" t="s">
        <v>82</v>
      </c>
    </row>
    <row r="4165" spans="15:20" x14ac:dyDescent="0.25">
      <c r="O4165">
        <v>1</v>
      </c>
      <c r="S4165" t="e">
        <v>#DIV/0!</v>
      </c>
      <c r="T4165" t="s">
        <v>82</v>
      </c>
    </row>
    <row r="4166" spans="15:20" x14ac:dyDescent="0.25">
      <c r="O4166">
        <v>1</v>
      </c>
      <c r="S4166" t="e">
        <v>#DIV/0!</v>
      </c>
      <c r="T4166" t="s">
        <v>82</v>
      </c>
    </row>
    <row r="4167" spans="15:20" x14ac:dyDescent="0.25">
      <c r="O4167">
        <v>1</v>
      </c>
      <c r="S4167" t="e">
        <v>#DIV/0!</v>
      </c>
      <c r="T4167" t="s">
        <v>82</v>
      </c>
    </row>
    <row r="4168" spans="15:20" x14ac:dyDescent="0.25">
      <c r="O4168">
        <v>1</v>
      </c>
      <c r="S4168" t="e">
        <v>#DIV/0!</v>
      </c>
      <c r="T4168" t="s">
        <v>82</v>
      </c>
    </row>
    <row r="4169" spans="15:20" x14ac:dyDescent="0.25">
      <c r="O4169">
        <v>1</v>
      </c>
      <c r="S4169" t="e">
        <v>#DIV/0!</v>
      </c>
      <c r="T4169" t="s">
        <v>82</v>
      </c>
    </row>
    <row r="4170" spans="15:20" x14ac:dyDescent="0.25">
      <c r="O4170">
        <v>1</v>
      </c>
      <c r="S4170" t="e">
        <v>#DIV/0!</v>
      </c>
      <c r="T4170" t="s">
        <v>82</v>
      </c>
    </row>
    <row r="4171" spans="15:20" x14ac:dyDescent="0.25">
      <c r="O4171">
        <v>1</v>
      </c>
      <c r="S4171" t="e">
        <v>#DIV/0!</v>
      </c>
      <c r="T4171" t="s">
        <v>82</v>
      </c>
    </row>
    <row r="4172" spans="15:20" x14ac:dyDescent="0.25">
      <c r="O4172">
        <v>1</v>
      </c>
      <c r="S4172" t="e">
        <v>#DIV/0!</v>
      </c>
      <c r="T4172" t="s">
        <v>82</v>
      </c>
    </row>
    <row r="4173" spans="15:20" x14ac:dyDescent="0.25">
      <c r="O4173">
        <v>1</v>
      </c>
      <c r="S4173" t="e">
        <v>#DIV/0!</v>
      </c>
      <c r="T4173" t="s">
        <v>82</v>
      </c>
    </row>
    <row r="4174" spans="15:20" x14ac:dyDescent="0.25">
      <c r="O4174">
        <v>1</v>
      </c>
      <c r="S4174" t="e">
        <v>#DIV/0!</v>
      </c>
      <c r="T4174" t="s">
        <v>82</v>
      </c>
    </row>
    <row r="4175" spans="15:20" x14ac:dyDescent="0.25">
      <c r="O4175">
        <v>1</v>
      </c>
      <c r="S4175" t="e">
        <v>#DIV/0!</v>
      </c>
      <c r="T4175" t="s">
        <v>82</v>
      </c>
    </row>
    <row r="4176" spans="15:20" x14ac:dyDescent="0.25">
      <c r="O4176">
        <v>1</v>
      </c>
      <c r="S4176" t="e">
        <v>#DIV/0!</v>
      </c>
      <c r="T4176" t="s">
        <v>82</v>
      </c>
    </row>
    <row r="4177" spans="15:20" x14ac:dyDescent="0.25">
      <c r="O4177">
        <v>1</v>
      </c>
      <c r="S4177" t="e">
        <v>#DIV/0!</v>
      </c>
      <c r="T4177" t="s">
        <v>82</v>
      </c>
    </row>
    <row r="4178" spans="15:20" x14ac:dyDescent="0.25">
      <c r="O4178">
        <v>1</v>
      </c>
      <c r="S4178" t="e">
        <v>#DIV/0!</v>
      </c>
      <c r="T4178" t="s">
        <v>82</v>
      </c>
    </row>
    <row r="4179" spans="15:20" x14ac:dyDescent="0.25">
      <c r="O4179">
        <v>1</v>
      </c>
      <c r="S4179" t="e">
        <v>#DIV/0!</v>
      </c>
      <c r="T4179" t="s">
        <v>82</v>
      </c>
    </row>
    <row r="4180" spans="15:20" x14ac:dyDescent="0.25">
      <c r="O4180">
        <v>1</v>
      </c>
      <c r="S4180" t="e">
        <v>#DIV/0!</v>
      </c>
      <c r="T4180" t="s">
        <v>82</v>
      </c>
    </row>
    <row r="4181" spans="15:20" x14ac:dyDescent="0.25">
      <c r="O4181">
        <v>1</v>
      </c>
      <c r="S4181" t="e">
        <v>#DIV/0!</v>
      </c>
      <c r="T4181" t="s">
        <v>82</v>
      </c>
    </row>
    <row r="4182" spans="15:20" x14ac:dyDescent="0.25">
      <c r="O4182">
        <v>1</v>
      </c>
      <c r="S4182" t="e">
        <v>#DIV/0!</v>
      </c>
      <c r="T4182" t="s">
        <v>82</v>
      </c>
    </row>
    <row r="4183" spans="15:20" x14ac:dyDescent="0.25">
      <c r="O4183">
        <v>1</v>
      </c>
      <c r="S4183" t="e">
        <v>#DIV/0!</v>
      </c>
      <c r="T4183" t="s">
        <v>82</v>
      </c>
    </row>
    <row r="4184" spans="15:20" x14ac:dyDescent="0.25">
      <c r="O4184">
        <v>1</v>
      </c>
      <c r="S4184" t="e">
        <v>#DIV/0!</v>
      </c>
      <c r="T4184" t="s">
        <v>82</v>
      </c>
    </row>
    <row r="4185" spans="15:20" x14ac:dyDescent="0.25">
      <c r="O4185">
        <v>1</v>
      </c>
      <c r="S4185" t="e">
        <v>#DIV/0!</v>
      </c>
      <c r="T4185" t="s">
        <v>82</v>
      </c>
    </row>
    <row r="4186" spans="15:20" x14ac:dyDescent="0.25">
      <c r="O4186">
        <v>1</v>
      </c>
      <c r="S4186" t="e">
        <v>#DIV/0!</v>
      </c>
      <c r="T4186" t="s">
        <v>82</v>
      </c>
    </row>
    <row r="4187" spans="15:20" x14ac:dyDescent="0.25">
      <c r="O4187">
        <v>1</v>
      </c>
      <c r="S4187" t="e">
        <v>#DIV/0!</v>
      </c>
      <c r="T4187" t="s">
        <v>82</v>
      </c>
    </row>
    <row r="4188" spans="15:20" x14ac:dyDescent="0.25">
      <c r="O4188">
        <v>1</v>
      </c>
      <c r="S4188" t="e">
        <v>#DIV/0!</v>
      </c>
      <c r="T4188" t="s">
        <v>82</v>
      </c>
    </row>
    <row r="4189" spans="15:20" x14ac:dyDescent="0.25">
      <c r="O4189">
        <v>1</v>
      </c>
      <c r="S4189" t="e">
        <v>#DIV/0!</v>
      </c>
      <c r="T4189" t="s">
        <v>82</v>
      </c>
    </row>
    <row r="4190" spans="15:20" x14ac:dyDescent="0.25">
      <c r="O4190">
        <v>1</v>
      </c>
      <c r="S4190" t="e">
        <v>#DIV/0!</v>
      </c>
      <c r="T4190" t="s">
        <v>82</v>
      </c>
    </row>
    <row r="4191" spans="15:20" x14ac:dyDescent="0.25">
      <c r="O4191">
        <v>1</v>
      </c>
      <c r="S4191" t="e">
        <v>#DIV/0!</v>
      </c>
      <c r="T4191" t="s">
        <v>82</v>
      </c>
    </row>
    <row r="4192" spans="15:20" x14ac:dyDescent="0.25">
      <c r="O4192">
        <v>1</v>
      </c>
      <c r="S4192" t="e">
        <v>#DIV/0!</v>
      </c>
      <c r="T4192" t="s">
        <v>82</v>
      </c>
    </row>
    <row r="4193" spans="15:20" x14ac:dyDescent="0.25">
      <c r="O4193">
        <v>1</v>
      </c>
      <c r="S4193" t="e">
        <v>#DIV/0!</v>
      </c>
      <c r="T4193" t="s">
        <v>82</v>
      </c>
    </row>
    <row r="4194" spans="15:20" x14ac:dyDescent="0.25">
      <c r="O4194">
        <v>1</v>
      </c>
      <c r="S4194" t="e">
        <v>#DIV/0!</v>
      </c>
      <c r="T4194" t="s">
        <v>82</v>
      </c>
    </row>
    <row r="4195" spans="15:20" x14ac:dyDescent="0.25">
      <c r="O4195">
        <v>1</v>
      </c>
      <c r="S4195" t="e">
        <v>#DIV/0!</v>
      </c>
      <c r="T4195" t="s">
        <v>82</v>
      </c>
    </row>
    <row r="4196" spans="15:20" x14ac:dyDescent="0.25">
      <c r="O4196">
        <v>1</v>
      </c>
      <c r="S4196" t="e">
        <v>#DIV/0!</v>
      </c>
      <c r="T4196" t="s">
        <v>82</v>
      </c>
    </row>
    <row r="4197" spans="15:20" x14ac:dyDescent="0.25">
      <c r="O4197">
        <v>1</v>
      </c>
      <c r="S4197" t="e">
        <v>#DIV/0!</v>
      </c>
      <c r="T4197" t="s">
        <v>82</v>
      </c>
    </row>
    <row r="4198" spans="15:20" x14ac:dyDescent="0.25">
      <c r="O4198">
        <v>1</v>
      </c>
      <c r="S4198" t="e">
        <v>#DIV/0!</v>
      </c>
      <c r="T4198" t="s">
        <v>82</v>
      </c>
    </row>
    <row r="4199" spans="15:20" x14ac:dyDescent="0.25">
      <c r="O4199">
        <v>1</v>
      </c>
      <c r="S4199" t="e">
        <v>#DIV/0!</v>
      </c>
      <c r="T4199" t="s">
        <v>82</v>
      </c>
    </row>
    <row r="4200" spans="15:20" x14ac:dyDescent="0.25">
      <c r="O4200">
        <v>1</v>
      </c>
      <c r="S4200" t="e">
        <v>#DIV/0!</v>
      </c>
      <c r="T4200" t="s">
        <v>82</v>
      </c>
    </row>
    <row r="4201" spans="15:20" x14ac:dyDescent="0.25">
      <c r="O4201">
        <v>1</v>
      </c>
      <c r="S4201" t="e">
        <v>#DIV/0!</v>
      </c>
      <c r="T4201" t="s">
        <v>82</v>
      </c>
    </row>
    <row r="4202" spans="15:20" x14ac:dyDescent="0.25">
      <c r="O4202">
        <v>1</v>
      </c>
      <c r="S4202" t="e">
        <v>#DIV/0!</v>
      </c>
      <c r="T4202" t="s">
        <v>82</v>
      </c>
    </row>
    <row r="4203" spans="15:20" x14ac:dyDescent="0.25">
      <c r="O4203">
        <v>1</v>
      </c>
      <c r="S4203" t="e">
        <v>#DIV/0!</v>
      </c>
      <c r="T4203" t="s">
        <v>82</v>
      </c>
    </row>
    <row r="4204" spans="15:20" x14ac:dyDescent="0.25">
      <c r="O4204">
        <v>1</v>
      </c>
      <c r="S4204" t="e">
        <v>#DIV/0!</v>
      </c>
      <c r="T4204" t="s">
        <v>82</v>
      </c>
    </row>
    <row r="4205" spans="15:20" x14ac:dyDescent="0.25">
      <c r="O4205">
        <v>1</v>
      </c>
      <c r="S4205" t="e">
        <v>#DIV/0!</v>
      </c>
      <c r="T4205" t="s">
        <v>82</v>
      </c>
    </row>
    <row r="4206" spans="15:20" x14ac:dyDescent="0.25">
      <c r="O4206">
        <v>1</v>
      </c>
      <c r="S4206" t="e">
        <v>#DIV/0!</v>
      </c>
      <c r="T4206" t="s">
        <v>82</v>
      </c>
    </row>
    <row r="4207" spans="15:20" x14ac:dyDescent="0.25">
      <c r="O4207">
        <v>1</v>
      </c>
      <c r="S4207" t="e">
        <v>#DIV/0!</v>
      </c>
      <c r="T4207" t="s">
        <v>82</v>
      </c>
    </row>
    <row r="4208" spans="15:20" x14ac:dyDescent="0.25">
      <c r="O4208">
        <v>1</v>
      </c>
      <c r="S4208" t="e">
        <v>#DIV/0!</v>
      </c>
      <c r="T4208" t="s">
        <v>82</v>
      </c>
    </row>
    <row r="4209" spans="15:20" x14ac:dyDescent="0.25">
      <c r="O4209">
        <v>1</v>
      </c>
      <c r="S4209" t="e">
        <v>#DIV/0!</v>
      </c>
      <c r="T4209" t="s">
        <v>82</v>
      </c>
    </row>
    <row r="4210" spans="15:20" x14ac:dyDescent="0.25">
      <c r="O4210">
        <v>1</v>
      </c>
      <c r="S4210" t="e">
        <v>#DIV/0!</v>
      </c>
      <c r="T4210" t="s">
        <v>82</v>
      </c>
    </row>
    <row r="4211" spans="15:20" x14ac:dyDescent="0.25">
      <c r="O4211">
        <v>1</v>
      </c>
      <c r="S4211" t="e">
        <v>#DIV/0!</v>
      </c>
      <c r="T4211" t="s">
        <v>82</v>
      </c>
    </row>
    <row r="4212" spans="15:20" x14ac:dyDescent="0.25">
      <c r="O4212">
        <v>1</v>
      </c>
      <c r="S4212" t="e">
        <v>#DIV/0!</v>
      </c>
      <c r="T4212" t="s">
        <v>82</v>
      </c>
    </row>
    <row r="4213" spans="15:20" x14ac:dyDescent="0.25">
      <c r="O4213">
        <v>1</v>
      </c>
      <c r="S4213" t="e">
        <v>#DIV/0!</v>
      </c>
      <c r="T4213" t="s">
        <v>82</v>
      </c>
    </row>
    <row r="4214" spans="15:20" x14ac:dyDescent="0.25">
      <c r="O4214">
        <v>1</v>
      </c>
      <c r="S4214" t="e">
        <v>#DIV/0!</v>
      </c>
      <c r="T4214" t="s">
        <v>82</v>
      </c>
    </row>
    <row r="4215" spans="15:20" x14ac:dyDescent="0.25">
      <c r="O4215">
        <v>1</v>
      </c>
      <c r="S4215" t="e">
        <v>#DIV/0!</v>
      </c>
      <c r="T4215" t="s">
        <v>82</v>
      </c>
    </row>
    <row r="4216" spans="15:20" x14ac:dyDescent="0.25">
      <c r="O4216">
        <v>1</v>
      </c>
      <c r="S4216" t="e">
        <v>#DIV/0!</v>
      </c>
      <c r="T4216" t="s">
        <v>82</v>
      </c>
    </row>
    <row r="4217" spans="15:20" x14ac:dyDescent="0.25">
      <c r="O4217">
        <v>1</v>
      </c>
      <c r="S4217" t="e">
        <v>#DIV/0!</v>
      </c>
      <c r="T4217" t="s">
        <v>82</v>
      </c>
    </row>
    <row r="4218" spans="15:20" x14ac:dyDescent="0.25">
      <c r="O4218">
        <v>1</v>
      </c>
      <c r="S4218" t="e">
        <v>#DIV/0!</v>
      </c>
      <c r="T4218" t="s">
        <v>82</v>
      </c>
    </row>
    <row r="4219" spans="15:20" x14ac:dyDescent="0.25">
      <c r="O4219">
        <v>1</v>
      </c>
      <c r="S4219" t="e">
        <v>#DIV/0!</v>
      </c>
      <c r="T4219" t="s">
        <v>82</v>
      </c>
    </row>
    <row r="4220" spans="15:20" x14ac:dyDescent="0.25">
      <c r="O4220">
        <v>1</v>
      </c>
      <c r="S4220" t="e">
        <v>#DIV/0!</v>
      </c>
      <c r="T4220" t="s">
        <v>82</v>
      </c>
    </row>
    <row r="4221" spans="15:20" x14ac:dyDescent="0.25">
      <c r="O4221">
        <v>1</v>
      </c>
      <c r="S4221" t="e">
        <v>#DIV/0!</v>
      </c>
      <c r="T4221" t="s">
        <v>82</v>
      </c>
    </row>
    <row r="4222" spans="15:20" x14ac:dyDescent="0.25">
      <c r="O4222">
        <v>1</v>
      </c>
      <c r="S4222" t="e">
        <v>#DIV/0!</v>
      </c>
      <c r="T4222" t="s">
        <v>82</v>
      </c>
    </row>
    <row r="4223" spans="15:20" x14ac:dyDescent="0.25">
      <c r="O4223">
        <v>1</v>
      </c>
      <c r="S4223" t="e">
        <v>#DIV/0!</v>
      </c>
      <c r="T4223" t="s">
        <v>82</v>
      </c>
    </row>
    <row r="4224" spans="15:20" x14ac:dyDescent="0.25">
      <c r="O4224">
        <v>1</v>
      </c>
      <c r="S4224" t="e">
        <v>#DIV/0!</v>
      </c>
      <c r="T4224" t="s">
        <v>82</v>
      </c>
    </row>
    <row r="4225" spans="15:20" x14ac:dyDescent="0.25">
      <c r="O4225">
        <v>1</v>
      </c>
      <c r="S4225" t="e">
        <v>#DIV/0!</v>
      </c>
      <c r="T4225" t="s">
        <v>82</v>
      </c>
    </row>
    <row r="4226" spans="15:20" x14ac:dyDescent="0.25">
      <c r="O4226">
        <v>1</v>
      </c>
      <c r="S4226" t="e">
        <v>#DIV/0!</v>
      </c>
      <c r="T4226" t="s">
        <v>82</v>
      </c>
    </row>
    <row r="4227" spans="15:20" x14ac:dyDescent="0.25">
      <c r="O4227">
        <v>1</v>
      </c>
      <c r="S4227" t="e">
        <v>#DIV/0!</v>
      </c>
      <c r="T4227" t="s">
        <v>82</v>
      </c>
    </row>
    <row r="4228" spans="15:20" x14ac:dyDescent="0.25">
      <c r="O4228">
        <v>1</v>
      </c>
      <c r="S4228" t="e">
        <v>#DIV/0!</v>
      </c>
      <c r="T4228" t="s">
        <v>82</v>
      </c>
    </row>
    <row r="4229" spans="15:20" x14ac:dyDescent="0.25">
      <c r="O4229">
        <v>1</v>
      </c>
      <c r="S4229" t="e">
        <v>#DIV/0!</v>
      </c>
      <c r="T4229" t="s">
        <v>82</v>
      </c>
    </row>
    <row r="4230" spans="15:20" x14ac:dyDescent="0.25">
      <c r="O4230">
        <v>1</v>
      </c>
      <c r="S4230" t="e">
        <v>#DIV/0!</v>
      </c>
      <c r="T4230" t="s">
        <v>82</v>
      </c>
    </row>
    <row r="4231" spans="15:20" x14ac:dyDescent="0.25">
      <c r="O4231">
        <v>1</v>
      </c>
      <c r="S4231" t="e">
        <v>#DIV/0!</v>
      </c>
      <c r="T4231" t="s">
        <v>82</v>
      </c>
    </row>
    <row r="4232" spans="15:20" x14ac:dyDescent="0.25">
      <c r="O4232">
        <v>1</v>
      </c>
      <c r="S4232" t="e">
        <v>#DIV/0!</v>
      </c>
      <c r="T4232" t="s">
        <v>82</v>
      </c>
    </row>
    <row r="4233" spans="15:20" x14ac:dyDescent="0.25">
      <c r="O4233">
        <v>1</v>
      </c>
      <c r="S4233" t="e">
        <v>#DIV/0!</v>
      </c>
      <c r="T4233" t="s">
        <v>82</v>
      </c>
    </row>
    <row r="4234" spans="15:20" x14ac:dyDescent="0.25">
      <c r="O4234">
        <v>1</v>
      </c>
      <c r="S4234" t="e">
        <v>#DIV/0!</v>
      </c>
      <c r="T4234" t="s">
        <v>82</v>
      </c>
    </row>
    <row r="4235" spans="15:20" x14ac:dyDescent="0.25">
      <c r="O4235">
        <v>1</v>
      </c>
      <c r="S4235" t="e">
        <v>#DIV/0!</v>
      </c>
      <c r="T4235" t="s">
        <v>82</v>
      </c>
    </row>
    <row r="4236" spans="15:20" x14ac:dyDescent="0.25">
      <c r="O4236">
        <v>1</v>
      </c>
      <c r="S4236" t="e">
        <v>#DIV/0!</v>
      </c>
      <c r="T4236" t="s">
        <v>82</v>
      </c>
    </row>
    <row r="4237" spans="15:20" x14ac:dyDescent="0.25">
      <c r="O4237">
        <v>1</v>
      </c>
      <c r="S4237" t="e">
        <v>#DIV/0!</v>
      </c>
      <c r="T4237" t="s">
        <v>82</v>
      </c>
    </row>
    <row r="4238" spans="15:20" x14ac:dyDescent="0.25">
      <c r="O4238">
        <v>1</v>
      </c>
      <c r="S4238" t="e">
        <v>#DIV/0!</v>
      </c>
      <c r="T4238" t="s">
        <v>82</v>
      </c>
    </row>
    <row r="4239" spans="15:20" x14ac:dyDescent="0.25">
      <c r="O4239">
        <v>1</v>
      </c>
      <c r="S4239" t="e">
        <v>#DIV/0!</v>
      </c>
      <c r="T4239" t="s">
        <v>82</v>
      </c>
    </row>
    <row r="4240" spans="15:20" x14ac:dyDescent="0.25">
      <c r="O4240">
        <v>1</v>
      </c>
      <c r="S4240" t="e">
        <v>#DIV/0!</v>
      </c>
      <c r="T4240" t="s">
        <v>82</v>
      </c>
    </row>
    <row r="4241" spans="15:20" x14ac:dyDescent="0.25">
      <c r="O4241">
        <v>1</v>
      </c>
      <c r="S4241" t="e">
        <v>#DIV/0!</v>
      </c>
      <c r="T4241" t="s">
        <v>82</v>
      </c>
    </row>
    <row r="4242" spans="15:20" x14ac:dyDescent="0.25">
      <c r="O4242">
        <v>1</v>
      </c>
      <c r="S4242" t="e">
        <v>#DIV/0!</v>
      </c>
      <c r="T4242" t="s">
        <v>82</v>
      </c>
    </row>
    <row r="4243" spans="15:20" x14ac:dyDescent="0.25">
      <c r="O4243">
        <v>1</v>
      </c>
      <c r="S4243" t="e">
        <v>#DIV/0!</v>
      </c>
      <c r="T4243" t="s">
        <v>82</v>
      </c>
    </row>
    <row r="4244" spans="15:20" x14ac:dyDescent="0.25">
      <c r="O4244">
        <v>1</v>
      </c>
      <c r="S4244" t="e">
        <v>#DIV/0!</v>
      </c>
      <c r="T4244" t="s">
        <v>82</v>
      </c>
    </row>
    <row r="4245" spans="15:20" x14ac:dyDescent="0.25">
      <c r="O4245">
        <v>1</v>
      </c>
      <c r="S4245" t="e">
        <v>#DIV/0!</v>
      </c>
      <c r="T4245" t="s">
        <v>82</v>
      </c>
    </row>
    <row r="4246" spans="15:20" x14ac:dyDescent="0.25">
      <c r="O4246">
        <v>1</v>
      </c>
      <c r="S4246" t="e">
        <v>#DIV/0!</v>
      </c>
      <c r="T4246" t="s">
        <v>82</v>
      </c>
    </row>
    <row r="4247" spans="15:20" x14ac:dyDescent="0.25">
      <c r="O4247">
        <v>1</v>
      </c>
      <c r="S4247" t="e">
        <v>#DIV/0!</v>
      </c>
      <c r="T4247" t="s">
        <v>82</v>
      </c>
    </row>
    <row r="4248" spans="15:20" x14ac:dyDescent="0.25">
      <c r="O4248">
        <v>1</v>
      </c>
      <c r="S4248" t="e">
        <v>#DIV/0!</v>
      </c>
      <c r="T4248" t="s">
        <v>82</v>
      </c>
    </row>
    <row r="4249" spans="15:20" x14ac:dyDescent="0.25">
      <c r="O4249">
        <v>1</v>
      </c>
      <c r="S4249" t="e">
        <v>#DIV/0!</v>
      </c>
      <c r="T4249" t="s">
        <v>82</v>
      </c>
    </row>
    <row r="4250" spans="15:20" x14ac:dyDescent="0.25">
      <c r="O4250">
        <v>1</v>
      </c>
      <c r="S4250" t="e">
        <v>#DIV/0!</v>
      </c>
      <c r="T4250" t="s">
        <v>82</v>
      </c>
    </row>
    <row r="4251" spans="15:20" x14ac:dyDescent="0.25">
      <c r="O4251">
        <v>1</v>
      </c>
      <c r="S4251" t="e">
        <v>#DIV/0!</v>
      </c>
      <c r="T4251" t="s">
        <v>82</v>
      </c>
    </row>
    <row r="4252" spans="15:20" x14ac:dyDescent="0.25">
      <c r="O4252">
        <v>1</v>
      </c>
      <c r="S4252" t="e">
        <v>#DIV/0!</v>
      </c>
      <c r="T4252" t="s">
        <v>82</v>
      </c>
    </row>
    <row r="4253" spans="15:20" x14ac:dyDescent="0.25">
      <c r="O4253">
        <v>1</v>
      </c>
      <c r="S4253" t="e">
        <v>#DIV/0!</v>
      </c>
      <c r="T4253" t="s">
        <v>82</v>
      </c>
    </row>
    <row r="4254" spans="15:20" x14ac:dyDescent="0.25">
      <c r="O4254">
        <v>1</v>
      </c>
      <c r="S4254" t="e">
        <v>#DIV/0!</v>
      </c>
      <c r="T4254" t="s">
        <v>82</v>
      </c>
    </row>
    <row r="4255" spans="15:20" x14ac:dyDescent="0.25">
      <c r="O4255">
        <v>1</v>
      </c>
      <c r="S4255" t="e">
        <v>#DIV/0!</v>
      </c>
      <c r="T4255" t="s">
        <v>82</v>
      </c>
    </row>
    <row r="4256" spans="15:20" x14ac:dyDescent="0.25">
      <c r="O4256">
        <v>1</v>
      </c>
      <c r="S4256" t="e">
        <v>#DIV/0!</v>
      </c>
      <c r="T4256" t="s">
        <v>82</v>
      </c>
    </row>
    <row r="4257" spans="15:20" x14ac:dyDescent="0.25">
      <c r="O4257">
        <v>1</v>
      </c>
      <c r="S4257" t="e">
        <v>#DIV/0!</v>
      </c>
      <c r="T4257" t="s">
        <v>82</v>
      </c>
    </row>
    <row r="4258" spans="15:20" x14ac:dyDescent="0.25">
      <c r="O4258">
        <v>1</v>
      </c>
      <c r="S4258" t="e">
        <v>#DIV/0!</v>
      </c>
      <c r="T4258" t="s">
        <v>82</v>
      </c>
    </row>
    <row r="4259" spans="15:20" x14ac:dyDescent="0.25">
      <c r="O4259">
        <v>1</v>
      </c>
      <c r="S4259" t="e">
        <v>#DIV/0!</v>
      </c>
      <c r="T4259" t="s">
        <v>82</v>
      </c>
    </row>
    <row r="4260" spans="15:20" x14ac:dyDescent="0.25">
      <c r="O4260">
        <v>1</v>
      </c>
      <c r="S4260" t="e">
        <v>#DIV/0!</v>
      </c>
      <c r="T4260" t="s">
        <v>82</v>
      </c>
    </row>
    <row r="4261" spans="15:20" x14ac:dyDescent="0.25">
      <c r="O4261">
        <v>1</v>
      </c>
      <c r="S4261" t="e">
        <v>#DIV/0!</v>
      </c>
      <c r="T4261" t="s">
        <v>82</v>
      </c>
    </row>
    <row r="4262" spans="15:20" x14ac:dyDescent="0.25">
      <c r="O4262">
        <v>1</v>
      </c>
      <c r="S4262" t="e">
        <v>#DIV/0!</v>
      </c>
      <c r="T4262" t="s">
        <v>82</v>
      </c>
    </row>
    <row r="4263" spans="15:20" x14ac:dyDescent="0.25">
      <c r="O4263">
        <v>1</v>
      </c>
      <c r="S4263" t="e">
        <v>#DIV/0!</v>
      </c>
      <c r="T4263" t="s">
        <v>82</v>
      </c>
    </row>
    <row r="4264" spans="15:20" x14ac:dyDescent="0.25">
      <c r="O4264">
        <v>1</v>
      </c>
      <c r="S4264" t="e">
        <v>#DIV/0!</v>
      </c>
      <c r="T4264" t="s">
        <v>82</v>
      </c>
    </row>
    <row r="4265" spans="15:20" x14ac:dyDescent="0.25">
      <c r="O4265">
        <v>1</v>
      </c>
      <c r="S4265" t="e">
        <v>#DIV/0!</v>
      </c>
      <c r="T4265" t="s">
        <v>82</v>
      </c>
    </row>
    <row r="4266" spans="15:20" x14ac:dyDescent="0.25">
      <c r="O4266">
        <v>1</v>
      </c>
      <c r="S4266" t="e">
        <v>#DIV/0!</v>
      </c>
      <c r="T4266" t="s">
        <v>82</v>
      </c>
    </row>
    <row r="4267" spans="15:20" x14ac:dyDescent="0.25">
      <c r="O4267">
        <v>1</v>
      </c>
      <c r="S4267" t="e">
        <v>#DIV/0!</v>
      </c>
      <c r="T4267" t="s">
        <v>82</v>
      </c>
    </row>
    <row r="4268" spans="15:20" x14ac:dyDescent="0.25">
      <c r="O4268">
        <v>1</v>
      </c>
      <c r="S4268" t="e">
        <v>#DIV/0!</v>
      </c>
      <c r="T4268" t="s">
        <v>82</v>
      </c>
    </row>
    <row r="4269" spans="15:20" x14ac:dyDescent="0.25">
      <c r="O4269">
        <v>1</v>
      </c>
      <c r="S4269" t="e">
        <v>#DIV/0!</v>
      </c>
      <c r="T4269" t="s">
        <v>82</v>
      </c>
    </row>
    <row r="4270" spans="15:20" x14ac:dyDescent="0.25">
      <c r="O4270">
        <v>1</v>
      </c>
      <c r="S4270" t="e">
        <v>#DIV/0!</v>
      </c>
      <c r="T4270" t="s">
        <v>82</v>
      </c>
    </row>
    <row r="4271" spans="15:20" x14ac:dyDescent="0.25">
      <c r="O4271">
        <v>1</v>
      </c>
      <c r="S4271" t="e">
        <v>#DIV/0!</v>
      </c>
      <c r="T4271" t="s">
        <v>82</v>
      </c>
    </row>
    <row r="4272" spans="15:20" x14ac:dyDescent="0.25">
      <c r="O4272">
        <v>1</v>
      </c>
      <c r="S4272" t="e">
        <v>#DIV/0!</v>
      </c>
      <c r="T4272" t="s">
        <v>82</v>
      </c>
    </row>
    <row r="4273" spans="15:20" x14ac:dyDescent="0.25">
      <c r="O4273">
        <v>1</v>
      </c>
      <c r="S4273" t="e">
        <v>#DIV/0!</v>
      </c>
      <c r="T4273" t="s">
        <v>82</v>
      </c>
    </row>
    <row r="4274" spans="15:20" x14ac:dyDescent="0.25">
      <c r="O4274">
        <v>1</v>
      </c>
      <c r="S4274" t="e">
        <v>#DIV/0!</v>
      </c>
      <c r="T4274" t="s">
        <v>82</v>
      </c>
    </row>
    <row r="4275" spans="15:20" x14ac:dyDescent="0.25">
      <c r="O4275">
        <v>1</v>
      </c>
      <c r="S4275" t="e">
        <v>#DIV/0!</v>
      </c>
      <c r="T4275" t="s">
        <v>82</v>
      </c>
    </row>
    <row r="4276" spans="15:20" x14ac:dyDescent="0.25">
      <c r="O4276">
        <v>1</v>
      </c>
      <c r="S4276" t="e">
        <v>#DIV/0!</v>
      </c>
      <c r="T4276" t="s">
        <v>82</v>
      </c>
    </row>
    <row r="4277" spans="15:20" x14ac:dyDescent="0.25">
      <c r="O4277">
        <v>1</v>
      </c>
      <c r="S4277" t="e">
        <v>#DIV/0!</v>
      </c>
      <c r="T4277" t="s">
        <v>82</v>
      </c>
    </row>
    <row r="4278" spans="15:20" x14ac:dyDescent="0.25">
      <c r="O4278">
        <v>1</v>
      </c>
      <c r="S4278" t="e">
        <v>#DIV/0!</v>
      </c>
      <c r="T4278" t="s">
        <v>82</v>
      </c>
    </row>
    <row r="4279" spans="15:20" x14ac:dyDescent="0.25">
      <c r="O4279">
        <v>1</v>
      </c>
      <c r="S4279" t="e">
        <v>#DIV/0!</v>
      </c>
      <c r="T4279" t="s">
        <v>82</v>
      </c>
    </row>
    <row r="4280" spans="15:20" x14ac:dyDescent="0.25">
      <c r="O4280">
        <v>1</v>
      </c>
      <c r="S4280" t="e">
        <v>#DIV/0!</v>
      </c>
      <c r="T4280" t="s">
        <v>82</v>
      </c>
    </row>
    <row r="4281" spans="15:20" x14ac:dyDescent="0.25">
      <c r="O4281">
        <v>1</v>
      </c>
      <c r="S4281" t="e">
        <v>#DIV/0!</v>
      </c>
      <c r="T4281" t="s">
        <v>82</v>
      </c>
    </row>
    <row r="4282" spans="15:20" x14ac:dyDescent="0.25">
      <c r="O4282">
        <v>1</v>
      </c>
      <c r="S4282" t="e">
        <v>#DIV/0!</v>
      </c>
      <c r="T4282" t="s">
        <v>82</v>
      </c>
    </row>
    <row r="4283" spans="15:20" x14ac:dyDescent="0.25">
      <c r="O4283">
        <v>1</v>
      </c>
      <c r="S4283" t="e">
        <v>#DIV/0!</v>
      </c>
      <c r="T4283" t="s">
        <v>82</v>
      </c>
    </row>
    <row r="4284" spans="15:20" x14ac:dyDescent="0.25">
      <c r="O4284">
        <v>1</v>
      </c>
      <c r="S4284" t="e">
        <v>#DIV/0!</v>
      </c>
      <c r="T4284" t="s">
        <v>82</v>
      </c>
    </row>
    <row r="4285" spans="15:20" x14ac:dyDescent="0.25">
      <c r="O4285">
        <v>1</v>
      </c>
      <c r="S4285" t="e">
        <v>#DIV/0!</v>
      </c>
      <c r="T4285" t="s">
        <v>82</v>
      </c>
    </row>
    <row r="4286" spans="15:20" x14ac:dyDescent="0.25">
      <c r="O4286">
        <v>1</v>
      </c>
      <c r="S4286" t="e">
        <v>#DIV/0!</v>
      </c>
      <c r="T4286" t="s">
        <v>82</v>
      </c>
    </row>
    <row r="4287" spans="15:20" x14ac:dyDescent="0.25">
      <c r="O4287">
        <v>1</v>
      </c>
      <c r="S4287" t="e">
        <v>#DIV/0!</v>
      </c>
      <c r="T4287" t="s">
        <v>82</v>
      </c>
    </row>
    <row r="4288" spans="15:20" x14ac:dyDescent="0.25">
      <c r="O4288">
        <v>1</v>
      </c>
      <c r="S4288" t="e">
        <v>#DIV/0!</v>
      </c>
      <c r="T4288" t="s">
        <v>82</v>
      </c>
    </row>
    <row r="4289" spans="15:20" x14ac:dyDescent="0.25">
      <c r="O4289">
        <v>1</v>
      </c>
      <c r="S4289" t="e">
        <v>#DIV/0!</v>
      </c>
      <c r="T4289" t="s">
        <v>82</v>
      </c>
    </row>
    <row r="4290" spans="15:20" x14ac:dyDescent="0.25">
      <c r="O4290">
        <v>1</v>
      </c>
      <c r="S4290" t="e">
        <v>#DIV/0!</v>
      </c>
      <c r="T4290" t="s">
        <v>82</v>
      </c>
    </row>
    <row r="4291" spans="15:20" x14ac:dyDescent="0.25">
      <c r="O4291">
        <v>1</v>
      </c>
      <c r="S4291" t="e">
        <v>#DIV/0!</v>
      </c>
      <c r="T4291" t="s">
        <v>82</v>
      </c>
    </row>
    <row r="4292" spans="15:20" x14ac:dyDescent="0.25">
      <c r="O4292">
        <v>1</v>
      </c>
      <c r="S4292" t="e">
        <v>#DIV/0!</v>
      </c>
      <c r="T4292" t="s">
        <v>82</v>
      </c>
    </row>
    <row r="4293" spans="15:20" x14ac:dyDescent="0.25">
      <c r="O4293">
        <v>1</v>
      </c>
      <c r="S4293" t="e">
        <v>#DIV/0!</v>
      </c>
      <c r="T4293" t="s">
        <v>82</v>
      </c>
    </row>
    <row r="4294" spans="15:20" x14ac:dyDescent="0.25">
      <c r="O4294">
        <v>1</v>
      </c>
      <c r="S4294" t="e">
        <v>#DIV/0!</v>
      </c>
      <c r="T4294" t="s">
        <v>82</v>
      </c>
    </row>
    <row r="4295" spans="15:20" x14ac:dyDescent="0.25">
      <c r="O4295">
        <v>1</v>
      </c>
      <c r="S4295" t="e">
        <v>#DIV/0!</v>
      </c>
      <c r="T4295" t="s">
        <v>82</v>
      </c>
    </row>
    <row r="4296" spans="15:20" x14ac:dyDescent="0.25">
      <c r="O4296">
        <v>1</v>
      </c>
      <c r="S4296" t="e">
        <v>#DIV/0!</v>
      </c>
      <c r="T4296" t="s">
        <v>82</v>
      </c>
    </row>
    <row r="4297" spans="15:20" x14ac:dyDescent="0.25">
      <c r="O4297">
        <v>1</v>
      </c>
      <c r="S4297" t="e">
        <v>#DIV/0!</v>
      </c>
      <c r="T4297" t="s">
        <v>82</v>
      </c>
    </row>
    <row r="4298" spans="15:20" x14ac:dyDescent="0.25">
      <c r="O4298">
        <v>1</v>
      </c>
      <c r="S4298" t="e">
        <v>#DIV/0!</v>
      </c>
      <c r="T4298" t="s">
        <v>82</v>
      </c>
    </row>
    <row r="4299" spans="15:20" x14ac:dyDescent="0.25">
      <c r="O4299">
        <v>1</v>
      </c>
      <c r="S4299" t="e">
        <v>#DIV/0!</v>
      </c>
      <c r="T4299" t="s">
        <v>82</v>
      </c>
    </row>
    <row r="4300" spans="15:20" x14ac:dyDescent="0.25">
      <c r="O4300">
        <v>1</v>
      </c>
      <c r="S4300" t="e">
        <v>#DIV/0!</v>
      </c>
      <c r="T4300" t="s">
        <v>82</v>
      </c>
    </row>
    <row r="4301" spans="15:20" x14ac:dyDescent="0.25">
      <c r="O4301">
        <v>1</v>
      </c>
      <c r="S4301" t="e">
        <v>#DIV/0!</v>
      </c>
      <c r="T4301" t="s">
        <v>82</v>
      </c>
    </row>
    <row r="4302" spans="15:20" x14ac:dyDescent="0.25">
      <c r="O4302">
        <v>1</v>
      </c>
      <c r="S4302" t="e">
        <v>#DIV/0!</v>
      </c>
      <c r="T4302" t="s">
        <v>82</v>
      </c>
    </row>
    <row r="4303" spans="15:20" x14ac:dyDescent="0.25">
      <c r="O4303">
        <v>1</v>
      </c>
      <c r="S4303" t="e">
        <v>#DIV/0!</v>
      </c>
      <c r="T4303" t="s">
        <v>82</v>
      </c>
    </row>
    <row r="4304" spans="15:20" x14ac:dyDescent="0.25">
      <c r="O4304">
        <v>1</v>
      </c>
      <c r="S4304" t="e">
        <v>#DIV/0!</v>
      </c>
      <c r="T4304" t="s">
        <v>82</v>
      </c>
    </row>
    <row r="4305" spans="15:20" x14ac:dyDescent="0.25">
      <c r="O4305">
        <v>1</v>
      </c>
      <c r="S4305" t="e">
        <v>#DIV/0!</v>
      </c>
      <c r="T4305" t="s">
        <v>82</v>
      </c>
    </row>
    <row r="4306" spans="15:20" x14ac:dyDescent="0.25">
      <c r="O4306">
        <v>1</v>
      </c>
      <c r="S4306" t="e">
        <v>#DIV/0!</v>
      </c>
      <c r="T4306" t="s">
        <v>82</v>
      </c>
    </row>
    <row r="4307" spans="15:20" x14ac:dyDescent="0.25">
      <c r="O4307">
        <v>1</v>
      </c>
      <c r="S4307" t="e">
        <v>#DIV/0!</v>
      </c>
      <c r="T4307" t="s">
        <v>82</v>
      </c>
    </row>
    <row r="4308" spans="15:20" x14ac:dyDescent="0.25">
      <c r="O4308">
        <v>1</v>
      </c>
      <c r="S4308" t="e">
        <v>#DIV/0!</v>
      </c>
      <c r="T4308" t="s">
        <v>82</v>
      </c>
    </row>
    <row r="4309" spans="15:20" x14ac:dyDescent="0.25">
      <c r="O4309">
        <v>1</v>
      </c>
      <c r="S4309" t="e">
        <v>#DIV/0!</v>
      </c>
      <c r="T4309" t="s">
        <v>82</v>
      </c>
    </row>
    <row r="4310" spans="15:20" x14ac:dyDescent="0.25">
      <c r="O4310">
        <v>1</v>
      </c>
      <c r="S4310" t="e">
        <v>#DIV/0!</v>
      </c>
      <c r="T4310" t="s">
        <v>82</v>
      </c>
    </row>
    <row r="4311" spans="15:20" x14ac:dyDescent="0.25">
      <c r="O4311">
        <v>1</v>
      </c>
      <c r="S4311" t="e">
        <v>#DIV/0!</v>
      </c>
      <c r="T4311" t="s">
        <v>82</v>
      </c>
    </row>
    <row r="4312" spans="15:20" x14ac:dyDescent="0.25">
      <c r="O4312">
        <v>1</v>
      </c>
      <c r="S4312" t="e">
        <v>#DIV/0!</v>
      </c>
      <c r="T4312" t="s">
        <v>82</v>
      </c>
    </row>
    <row r="4313" spans="15:20" x14ac:dyDescent="0.25">
      <c r="O4313">
        <v>1</v>
      </c>
      <c r="S4313" t="e">
        <v>#DIV/0!</v>
      </c>
      <c r="T4313" t="s">
        <v>82</v>
      </c>
    </row>
    <row r="4314" spans="15:20" x14ac:dyDescent="0.25">
      <c r="O4314">
        <v>1</v>
      </c>
      <c r="S4314" t="e">
        <v>#DIV/0!</v>
      </c>
      <c r="T4314" t="s">
        <v>82</v>
      </c>
    </row>
    <row r="4315" spans="15:20" x14ac:dyDescent="0.25">
      <c r="O4315">
        <v>1</v>
      </c>
      <c r="S4315" t="e">
        <v>#DIV/0!</v>
      </c>
      <c r="T4315" t="s">
        <v>82</v>
      </c>
    </row>
    <row r="4316" spans="15:20" x14ac:dyDescent="0.25">
      <c r="O4316">
        <v>1</v>
      </c>
      <c r="S4316" t="e">
        <v>#DIV/0!</v>
      </c>
      <c r="T4316" t="s">
        <v>82</v>
      </c>
    </row>
    <row r="4317" spans="15:20" x14ac:dyDescent="0.25">
      <c r="O4317">
        <v>1</v>
      </c>
      <c r="S4317" t="e">
        <v>#DIV/0!</v>
      </c>
      <c r="T4317" t="s">
        <v>82</v>
      </c>
    </row>
    <row r="4318" spans="15:20" x14ac:dyDescent="0.25">
      <c r="O4318">
        <v>1</v>
      </c>
      <c r="S4318" t="e">
        <v>#DIV/0!</v>
      </c>
      <c r="T4318" t="s">
        <v>82</v>
      </c>
    </row>
    <row r="4319" spans="15:20" x14ac:dyDescent="0.25">
      <c r="O4319">
        <v>1</v>
      </c>
      <c r="S4319" t="e">
        <v>#DIV/0!</v>
      </c>
      <c r="T4319" t="s">
        <v>82</v>
      </c>
    </row>
    <row r="4320" spans="15:20" x14ac:dyDescent="0.25">
      <c r="O4320">
        <v>1</v>
      </c>
      <c r="S4320" t="e">
        <v>#DIV/0!</v>
      </c>
      <c r="T4320" t="s">
        <v>82</v>
      </c>
    </row>
    <row r="4321" spans="15:20" x14ac:dyDescent="0.25">
      <c r="O4321">
        <v>1</v>
      </c>
      <c r="S4321" t="e">
        <v>#DIV/0!</v>
      </c>
      <c r="T4321" t="s">
        <v>82</v>
      </c>
    </row>
    <row r="4322" spans="15:20" x14ac:dyDescent="0.25">
      <c r="O4322">
        <v>1</v>
      </c>
      <c r="S4322" t="e">
        <v>#DIV/0!</v>
      </c>
      <c r="T4322" t="s">
        <v>82</v>
      </c>
    </row>
    <row r="4323" spans="15:20" x14ac:dyDescent="0.25">
      <c r="O4323">
        <v>1</v>
      </c>
      <c r="S4323" t="e">
        <v>#DIV/0!</v>
      </c>
      <c r="T4323" t="s">
        <v>82</v>
      </c>
    </row>
    <row r="4324" spans="15:20" x14ac:dyDescent="0.25">
      <c r="O4324">
        <v>1</v>
      </c>
      <c r="S4324" t="e">
        <v>#DIV/0!</v>
      </c>
      <c r="T4324" t="s">
        <v>82</v>
      </c>
    </row>
    <row r="4325" spans="15:20" x14ac:dyDescent="0.25">
      <c r="O4325">
        <v>1</v>
      </c>
      <c r="S4325" t="e">
        <v>#DIV/0!</v>
      </c>
      <c r="T4325" t="s">
        <v>82</v>
      </c>
    </row>
    <row r="4326" spans="15:20" x14ac:dyDescent="0.25">
      <c r="O4326">
        <v>1</v>
      </c>
      <c r="S4326" t="e">
        <v>#DIV/0!</v>
      </c>
      <c r="T4326" t="s">
        <v>82</v>
      </c>
    </row>
    <row r="4327" spans="15:20" x14ac:dyDescent="0.25">
      <c r="O4327">
        <v>1</v>
      </c>
      <c r="S4327" t="e">
        <v>#DIV/0!</v>
      </c>
      <c r="T4327" t="s">
        <v>82</v>
      </c>
    </row>
    <row r="4328" spans="15:20" x14ac:dyDescent="0.25">
      <c r="O4328">
        <v>1</v>
      </c>
      <c r="S4328" t="e">
        <v>#DIV/0!</v>
      </c>
      <c r="T4328" t="s">
        <v>82</v>
      </c>
    </row>
    <row r="4329" spans="15:20" x14ac:dyDescent="0.25">
      <c r="O4329">
        <v>1</v>
      </c>
      <c r="S4329" t="e">
        <v>#DIV/0!</v>
      </c>
      <c r="T4329" t="s">
        <v>82</v>
      </c>
    </row>
    <row r="4330" spans="15:20" x14ac:dyDescent="0.25">
      <c r="O4330">
        <v>1</v>
      </c>
      <c r="S4330" t="e">
        <v>#DIV/0!</v>
      </c>
      <c r="T4330" t="s">
        <v>82</v>
      </c>
    </row>
    <row r="4331" spans="15:20" x14ac:dyDescent="0.25">
      <c r="O4331">
        <v>1</v>
      </c>
      <c r="S4331" t="e">
        <v>#DIV/0!</v>
      </c>
      <c r="T4331" t="s">
        <v>82</v>
      </c>
    </row>
    <row r="4332" spans="15:20" x14ac:dyDescent="0.25">
      <c r="O4332">
        <v>1</v>
      </c>
      <c r="S4332" t="e">
        <v>#DIV/0!</v>
      </c>
      <c r="T4332" t="s">
        <v>82</v>
      </c>
    </row>
    <row r="4333" spans="15:20" x14ac:dyDescent="0.25">
      <c r="O4333">
        <v>1</v>
      </c>
      <c r="S4333" t="e">
        <v>#DIV/0!</v>
      </c>
      <c r="T4333" t="s">
        <v>82</v>
      </c>
    </row>
    <row r="4334" spans="15:20" x14ac:dyDescent="0.25">
      <c r="O4334">
        <v>1</v>
      </c>
      <c r="S4334" t="e">
        <v>#DIV/0!</v>
      </c>
      <c r="T4334" t="s">
        <v>82</v>
      </c>
    </row>
    <row r="4335" spans="15:20" x14ac:dyDescent="0.25">
      <c r="O4335">
        <v>1</v>
      </c>
      <c r="S4335" t="e">
        <v>#DIV/0!</v>
      </c>
      <c r="T4335" t="s">
        <v>82</v>
      </c>
    </row>
    <row r="4336" spans="15:20" x14ac:dyDescent="0.25">
      <c r="O4336">
        <v>1</v>
      </c>
      <c r="S4336" t="e">
        <v>#DIV/0!</v>
      </c>
      <c r="T4336" t="s">
        <v>82</v>
      </c>
    </row>
    <row r="4337" spans="15:20" x14ac:dyDescent="0.25">
      <c r="O4337">
        <v>1</v>
      </c>
      <c r="S4337" t="e">
        <v>#DIV/0!</v>
      </c>
      <c r="T4337" t="s">
        <v>82</v>
      </c>
    </row>
    <row r="4338" spans="15:20" x14ac:dyDescent="0.25">
      <c r="O4338">
        <v>1</v>
      </c>
      <c r="S4338" t="e">
        <v>#DIV/0!</v>
      </c>
      <c r="T4338" t="s">
        <v>82</v>
      </c>
    </row>
    <row r="4339" spans="15:20" x14ac:dyDescent="0.25">
      <c r="O4339">
        <v>1</v>
      </c>
      <c r="S4339" t="e">
        <v>#DIV/0!</v>
      </c>
      <c r="T4339" t="s">
        <v>82</v>
      </c>
    </row>
    <row r="4340" spans="15:20" x14ac:dyDescent="0.25">
      <c r="O4340">
        <v>1</v>
      </c>
      <c r="S4340" t="e">
        <v>#DIV/0!</v>
      </c>
      <c r="T4340" t="s">
        <v>82</v>
      </c>
    </row>
    <row r="4341" spans="15:20" x14ac:dyDescent="0.25">
      <c r="O4341">
        <v>1</v>
      </c>
      <c r="S4341" t="e">
        <v>#DIV/0!</v>
      </c>
      <c r="T4341" t="s">
        <v>82</v>
      </c>
    </row>
    <row r="4342" spans="15:20" x14ac:dyDescent="0.25">
      <c r="O4342">
        <v>1</v>
      </c>
      <c r="S4342" t="e">
        <v>#DIV/0!</v>
      </c>
      <c r="T4342" t="s">
        <v>82</v>
      </c>
    </row>
    <row r="4343" spans="15:20" x14ac:dyDescent="0.25">
      <c r="O4343">
        <v>1</v>
      </c>
      <c r="S4343" t="e">
        <v>#DIV/0!</v>
      </c>
      <c r="T4343" t="s">
        <v>82</v>
      </c>
    </row>
    <row r="4344" spans="15:20" x14ac:dyDescent="0.25">
      <c r="O4344">
        <v>1</v>
      </c>
      <c r="S4344" t="e">
        <v>#DIV/0!</v>
      </c>
      <c r="T4344" t="s">
        <v>82</v>
      </c>
    </row>
    <row r="4345" spans="15:20" x14ac:dyDescent="0.25">
      <c r="O4345">
        <v>1</v>
      </c>
      <c r="S4345" t="e">
        <v>#DIV/0!</v>
      </c>
      <c r="T4345" t="s">
        <v>82</v>
      </c>
    </row>
    <row r="4346" spans="15:20" x14ac:dyDescent="0.25">
      <c r="O4346">
        <v>1</v>
      </c>
      <c r="S4346" t="e">
        <v>#DIV/0!</v>
      </c>
      <c r="T4346" t="s">
        <v>82</v>
      </c>
    </row>
    <row r="4347" spans="15:20" x14ac:dyDescent="0.25">
      <c r="O4347">
        <v>1</v>
      </c>
      <c r="S4347" t="e">
        <v>#DIV/0!</v>
      </c>
      <c r="T4347" t="s">
        <v>82</v>
      </c>
    </row>
    <row r="4348" spans="15:20" x14ac:dyDescent="0.25">
      <c r="O4348">
        <v>1</v>
      </c>
      <c r="S4348" t="e">
        <v>#DIV/0!</v>
      </c>
      <c r="T4348" t="s">
        <v>82</v>
      </c>
    </row>
    <row r="4349" spans="15:20" x14ac:dyDescent="0.25">
      <c r="O4349">
        <v>1</v>
      </c>
      <c r="S4349" t="e">
        <v>#DIV/0!</v>
      </c>
      <c r="T4349" t="s">
        <v>82</v>
      </c>
    </row>
    <row r="4350" spans="15:20" x14ac:dyDescent="0.25">
      <c r="O4350">
        <v>1</v>
      </c>
      <c r="S4350" t="e">
        <v>#DIV/0!</v>
      </c>
      <c r="T4350" t="s">
        <v>82</v>
      </c>
    </row>
    <row r="4351" spans="15:20" x14ac:dyDescent="0.25">
      <c r="O4351">
        <v>1</v>
      </c>
      <c r="S4351" t="e">
        <v>#DIV/0!</v>
      </c>
      <c r="T4351" t="s">
        <v>82</v>
      </c>
    </row>
    <row r="4352" spans="15:20" x14ac:dyDescent="0.25">
      <c r="O4352">
        <v>1</v>
      </c>
      <c r="S4352" t="e">
        <v>#DIV/0!</v>
      </c>
      <c r="T4352" t="s">
        <v>82</v>
      </c>
    </row>
    <row r="4353" spans="15:20" x14ac:dyDescent="0.25">
      <c r="O4353">
        <v>1</v>
      </c>
      <c r="S4353" t="e">
        <v>#DIV/0!</v>
      </c>
      <c r="T4353" t="s">
        <v>82</v>
      </c>
    </row>
    <row r="4354" spans="15:20" x14ac:dyDescent="0.25">
      <c r="O4354">
        <v>1</v>
      </c>
      <c r="S4354" t="e">
        <v>#DIV/0!</v>
      </c>
      <c r="T4354" t="s">
        <v>82</v>
      </c>
    </row>
    <row r="4355" spans="15:20" x14ac:dyDescent="0.25">
      <c r="O4355">
        <v>1</v>
      </c>
      <c r="S4355" t="e">
        <v>#DIV/0!</v>
      </c>
      <c r="T4355" t="s">
        <v>82</v>
      </c>
    </row>
    <row r="4356" spans="15:20" x14ac:dyDescent="0.25">
      <c r="O4356">
        <v>1</v>
      </c>
      <c r="S4356" t="e">
        <v>#DIV/0!</v>
      </c>
      <c r="T4356" t="s">
        <v>82</v>
      </c>
    </row>
    <row r="4357" spans="15:20" x14ac:dyDescent="0.25">
      <c r="O4357">
        <v>1</v>
      </c>
      <c r="S4357" t="e">
        <v>#DIV/0!</v>
      </c>
      <c r="T4357" t="s">
        <v>82</v>
      </c>
    </row>
    <row r="4358" spans="15:20" x14ac:dyDescent="0.25">
      <c r="O4358">
        <v>1</v>
      </c>
      <c r="S4358" t="e">
        <v>#DIV/0!</v>
      </c>
      <c r="T4358" t="s">
        <v>82</v>
      </c>
    </row>
    <row r="4359" spans="15:20" x14ac:dyDescent="0.25">
      <c r="O4359">
        <v>1</v>
      </c>
      <c r="S4359" t="e">
        <v>#DIV/0!</v>
      </c>
      <c r="T4359" t="s">
        <v>82</v>
      </c>
    </row>
    <row r="4360" spans="15:20" x14ac:dyDescent="0.25">
      <c r="O4360">
        <v>1</v>
      </c>
      <c r="S4360" t="e">
        <v>#DIV/0!</v>
      </c>
      <c r="T4360" t="s">
        <v>82</v>
      </c>
    </row>
    <row r="4361" spans="15:20" x14ac:dyDescent="0.25">
      <c r="O4361">
        <v>1</v>
      </c>
      <c r="S4361" t="e">
        <v>#DIV/0!</v>
      </c>
      <c r="T4361" t="s">
        <v>82</v>
      </c>
    </row>
    <row r="4362" spans="15:20" x14ac:dyDescent="0.25">
      <c r="O4362">
        <v>1</v>
      </c>
      <c r="S4362" t="e">
        <v>#DIV/0!</v>
      </c>
      <c r="T4362" t="s">
        <v>82</v>
      </c>
    </row>
    <row r="4363" spans="15:20" x14ac:dyDescent="0.25">
      <c r="O4363">
        <v>1</v>
      </c>
      <c r="S4363" t="e">
        <v>#DIV/0!</v>
      </c>
      <c r="T4363" t="s">
        <v>82</v>
      </c>
    </row>
    <row r="4364" spans="15:20" x14ac:dyDescent="0.25">
      <c r="O4364">
        <v>1</v>
      </c>
      <c r="S4364" t="e">
        <v>#DIV/0!</v>
      </c>
      <c r="T4364" t="s">
        <v>82</v>
      </c>
    </row>
    <row r="4365" spans="15:20" x14ac:dyDescent="0.25">
      <c r="O4365">
        <v>1</v>
      </c>
      <c r="S4365" t="e">
        <v>#DIV/0!</v>
      </c>
      <c r="T4365" t="s">
        <v>82</v>
      </c>
    </row>
    <row r="4366" spans="15:20" x14ac:dyDescent="0.25">
      <c r="O4366">
        <v>1</v>
      </c>
      <c r="S4366" t="e">
        <v>#DIV/0!</v>
      </c>
      <c r="T4366" t="s">
        <v>82</v>
      </c>
    </row>
    <row r="4367" spans="15:20" x14ac:dyDescent="0.25">
      <c r="O4367">
        <v>1</v>
      </c>
      <c r="S4367" t="e">
        <v>#DIV/0!</v>
      </c>
      <c r="T4367" t="s">
        <v>82</v>
      </c>
    </row>
    <row r="4368" spans="15:20" x14ac:dyDescent="0.25">
      <c r="O4368">
        <v>1</v>
      </c>
      <c r="S4368" t="e">
        <v>#DIV/0!</v>
      </c>
      <c r="T4368" t="s">
        <v>82</v>
      </c>
    </row>
    <row r="4369" spans="15:20" x14ac:dyDescent="0.25">
      <c r="O4369">
        <v>1</v>
      </c>
      <c r="S4369" t="e">
        <v>#DIV/0!</v>
      </c>
      <c r="T4369" t="s">
        <v>82</v>
      </c>
    </row>
    <row r="4370" spans="15:20" x14ac:dyDescent="0.25">
      <c r="O4370">
        <v>1</v>
      </c>
      <c r="S4370" t="e">
        <v>#DIV/0!</v>
      </c>
      <c r="T4370" t="s">
        <v>82</v>
      </c>
    </row>
    <row r="4371" spans="15:20" x14ac:dyDescent="0.25">
      <c r="O4371">
        <v>1</v>
      </c>
      <c r="S4371" t="e">
        <v>#DIV/0!</v>
      </c>
      <c r="T4371" t="s">
        <v>82</v>
      </c>
    </row>
    <row r="4372" spans="15:20" x14ac:dyDescent="0.25">
      <c r="O4372">
        <v>1</v>
      </c>
      <c r="S4372" t="e">
        <v>#DIV/0!</v>
      </c>
      <c r="T4372" t="s">
        <v>82</v>
      </c>
    </row>
    <row r="4373" spans="15:20" x14ac:dyDescent="0.25">
      <c r="O4373">
        <v>1</v>
      </c>
      <c r="S4373" t="e">
        <v>#DIV/0!</v>
      </c>
      <c r="T4373" t="s">
        <v>82</v>
      </c>
    </row>
    <row r="4374" spans="15:20" x14ac:dyDescent="0.25">
      <c r="O4374">
        <v>1</v>
      </c>
      <c r="S4374" t="e">
        <v>#DIV/0!</v>
      </c>
      <c r="T4374" t="s">
        <v>82</v>
      </c>
    </row>
    <row r="4375" spans="15:20" x14ac:dyDescent="0.25">
      <c r="O4375">
        <v>1</v>
      </c>
      <c r="S4375" t="e">
        <v>#DIV/0!</v>
      </c>
      <c r="T4375" t="s">
        <v>82</v>
      </c>
    </row>
    <row r="4376" spans="15:20" x14ac:dyDescent="0.25">
      <c r="O4376">
        <v>1</v>
      </c>
      <c r="S4376" t="e">
        <v>#DIV/0!</v>
      </c>
      <c r="T4376" t="s">
        <v>82</v>
      </c>
    </row>
    <row r="4377" spans="15:20" x14ac:dyDescent="0.25">
      <c r="O4377">
        <v>1</v>
      </c>
      <c r="S4377" t="e">
        <v>#DIV/0!</v>
      </c>
      <c r="T4377" t="s">
        <v>82</v>
      </c>
    </row>
    <row r="4378" spans="15:20" x14ac:dyDescent="0.25">
      <c r="O4378">
        <v>1</v>
      </c>
      <c r="S4378" t="e">
        <v>#DIV/0!</v>
      </c>
      <c r="T4378" t="s">
        <v>82</v>
      </c>
    </row>
    <row r="4379" spans="15:20" x14ac:dyDescent="0.25">
      <c r="O4379">
        <v>1</v>
      </c>
      <c r="S4379" t="e">
        <v>#DIV/0!</v>
      </c>
      <c r="T4379" t="s">
        <v>82</v>
      </c>
    </row>
    <row r="4380" spans="15:20" x14ac:dyDescent="0.25">
      <c r="O4380">
        <v>1</v>
      </c>
      <c r="S4380" t="e">
        <v>#DIV/0!</v>
      </c>
      <c r="T4380" t="s">
        <v>82</v>
      </c>
    </row>
    <row r="4381" spans="15:20" x14ac:dyDescent="0.25">
      <c r="O4381">
        <v>1</v>
      </c>
      <c r="S4381" t="e">
        <v>#DIV/0!</v>
      </c>
      <c r="T4381" t="s">
        <v>82</v>
      </c>
    </row>
    <row r="4382" spans="15:20" x14ac:dyDescent="0.25">
      <c r="O4382">
        <v>1</v>
      </c>
      <c r="S4382" t="e">
        <v>#DIV/0!</v>
      </c>
      <c r="T4382" t="s">
        <v>82</v>
      </c>
    </row>
    <row r="4383" spans="15:20" x14ac:dyDescent="0.25">
      <c r="O4383">
        <v>1</v>
      </c>
      <c r="S4383" t="e">
        <v>#DIV/0!</v>
      </c>
      <c r="T4383" t="s">
        <v>82</v>
      </c>
    </row>
    <row r="4384" spans="15:20" x14ac:dyDescent="0.25">
      <c r="O4384">
        <v>1</v>
      </c>
      <c r="S4384" t="e">
        <v>#DIV/0!</v>
      </c>
      <c r="T4384" t="s">
        <v>82</v>
      </c>
    </row>
    <row r="4385" spans="15:20" x14ac:dyDescent="0.25">
      <c r="O4385">
        <v>1</v>
      </c>
      <c r="S4385" t="e">
        <v>#DIV/0!</v>
      </c>
      <c r="T4385" t="s">
        <v>82</v>
      </c>
    </row>
    <row r="4386" spans="15:20" x14ac:dyDescent="0.25">
      <c r="O4386">
        <v>1</v>
      </c>
      <c r="S4386" t="e">
        <v>#DIV/0!</v>
      </c>
      <c r="T4386" t="s">
        <v>82</v>
      </c>
    </row>
    <row r="4387" spans="15:20" x14ac:dyDescent="0.25">
      <c r="O4387">
        <v>1</v>
      </c>
      <c r="S4387" t="e">
        <v>#DIV/0!</v>
      </c>
      <c r="T4387" t="s">
        <v>82</v>
      </c>
    </row>
    <row r="4388" spans="15:20" x14ac:dyDescent="0.25">
      <c r="O4388">
        <v>1</v>
      </c>
      <c r="S4388" t="e">
        <v>#DIV/0!</v>
      </c>
      <c r="T4388" t="s">
        <v>82</v>
      </c>
    </row>
    <row r="4389" spans="15:20" x14ac:dyDescent="0.25">
      <c r="O4389">
        <v>1</v>
      </c>
      <c r="S4389" t="e">
        <v>#DIV/0!</v>
      </c>
      <c r="T4389" t="s">
        <v>82</v>
      </c>
    </row>
    <row r="4390" spans="15:20" x14ac:dyDescent="0.25">
      <c r="O4390">
        <v>1</v>
      </c>
      <c r="S4390" t="e">
        <v>#DIV/0!</v>
      </c>
      <c r="T4390" t="s">
        <v>82</v>
      </c>
    </row>
    <row r="4391" spans="15:20" x14ac:dyDescent="0.25">
      <c r="O4391">
        <v>1</v>
      </c>
      <c r="S4391" t="e">
        <v>#DIV/0!</v>
      </c>
      <c r="T4391" t="s">
        <v>82</v>
      </c>
    </row>
    <row r="4392" spans="15:20" x14ac:dyDescent="0.25">
      <c r="O4392">
        <v>1</v>
      </c>
      <c r="S4392" t="e">
        <v>#DIV/0!</v>
      </c>
      <c r="T4392" t="s">
        <v>82</v>
      </c>
    </row>
    <row r="4393" spans="15:20" x14ac:dyDescent="0.25">
      <c r="O4393">
        <v>1</v>
      </c>
      <c r="S4393" t="e">
        <v>#DIV/0!</v>
      </c>
      <c r="T4393" t="s">
        <v>82</v>
      </c>
    </row>
    <row r="4394" spans="15:20" x14ac:dyDescent="0.25">
      <c r="O4394">
        <v>1</v>
      </c>
      <c r="S4394" t="e">
        <v>#DIV/0!</v>
      </c>
      <c r="T4394" t="s">
        <v>82</v>
      </c>
    </row>
    <row r="4395" spans="15:20" x14ac:dyDescent="0.25">
      <c r="O4395">
        <v>1</v>
      </c>
      <c r="S4395" t="e">
        <v>#DIV/0!</v>
      </c>
      <c r="T4395" t="s">
        <v>82</v>
      </c>
    </row>
    <row r="4396" spans="15:20" x14ac:dyDescent="0.25">
      <c r="O4396">
        <v>1</v>
      </c>
      <c r="S4396" t="e">
        <v>#DIV/0!</v>
      </c>
      <c r="T4396" t="s">
        <v>82</v>
      </c>
    </row>
    <row r="4397" spans="15:20" x14ac:dyDescent="0.25">
      <c r="O4397">
        <v>1</v>
      </c>
      <c r="S4397" t="e">
        <v>#DIV/0!</v>
      </c>
      <c r="T4397" t="s">
        <v>82</v>
      </c>
    </row>
    <row r="4398" spans="15:20" x14ac:dyDescent="0.25">
      <c r="O4398">
        <v>1</v>
      </c>
      <c r="S4398" t="e">
        <v>#DIV/0!</v>
      </c>
      <c r="T4398" t="s">
        <v>82</v>
      </c>
    </row>
    <row r="4399" spans="15:20" x14ac:dyDescent="0.25">
      <c r="O4399">
        <v>1</v>
      </c>
      <c r="S4399" t="e">
        <v>#DIV/0!</v>
      </c>
      <c r="T4399" t="s">
        <v>82</v>
      </c>
    </row>
    <row r="4400" spans="15:20" x14ac:dyDescent="0.25">
      <c r="O4400">
        <v>1</v>
      </c>
      <c r="S4400" t="e">
        <v>#DIV/0!</v>
      </c>
      <c r="T4400" t="s">
        <v>82</v>
      </c>
    </row>
    <row r="4401" spans="15:20" x14ac:dyDescent="0.25">
      <c r="O4401">
        <v>1</v>
      </c>
      <c r="S4401" t="e">
        <v>#DIV/0!</v>
      </c>
      <c r="T4401" t="s">
        <v>82</v>
      </c>
    </row>
    <row r="4402" spans="15:20" x14ac:dyDescent="0.25">
      <c r="O4402">
        <v>1</v>
      </c>
      <c r="S4402" t="e">
        <v>#DIV/0!</v>
      </c>
      <c r="T4402" t="s">
        <v>82</v>
      </c>
    </row>
    <row r="4403" spans="15:20" x14ac:dyDescent="0.25">
      <c r="O4403">
        <v>1</v>
      </c>
      <c r="S4403" t="e">
        <v>#DIV/0!</v>
      </c>
      <c r="T4403" t="s">
        <v>82</v>
      </c>
    </row>
    <row r="4404" spans="15:20" x14ac:dyDescent="0.25">
      <c r="O4404">
        <v>1</v>
      </c>
      <c r="S4404" t="e">
        <v>#DIV/0!</v>
      </c>
      <c r="T4404" t="s">
        <v>82</v>
      </c>
    </row>
    <row r="4405" spans="15:20" x14ac:dyDescent="0.25">
      <c r="O4405">
        <v>1</v>
      </c>
      <c r="S4405" t="e">
        <v>#DIV/0!</v>
      </c>
      <c r="T4405" t="s">
        <v>82</v>
      </c>
    </row>
    <row r="4406" spans="15:20" x14ac:dyDescent="0.25">
      <c r="O4406">
        <v>1</v>
      </c>
      <c r="S4406" t="e">
        <v>#DIV/0!</v>
      </c>
      <c r="T4406" t="s">
        <v>82</v>
      </c>
    </row>
    <row r="4407" spans="15:20" x14ac:dyDescent="0.25">
      <c r="O4407">
        <v>1</v>
      </c>
      <c r="S4407" t="e">
        <v>#DIV/0!</v>
      </c>
      <c r="T4407" t="s">
        <v>82</v>
      </c>
    </row>
    <row r="4408" spans="15:20" x14ac:dyDescent="0.25">
      <c r="O4408">
        <v>1</v>
      </c>
      <c r="S4408" t="e">
        <v>#DIV/0!</v>
      </c>
      <c r="T4408" t="s">
        <v>82</v>
      </c>
    </row>
    <row r="4409" spans="15:20" x14ac:dyDescent="0.25">
      <c r="O4409">
        <v>1</v>
      </c>
      <c r="S4409" t="e">
        <v>#DIV/0!</v>
      </c>
      <c r="T4409" t="s">
        <v>82</v>
      </c>
    </row>
    <row r="4410" spans="15:20" x14ac:dyDescent="0.25">
      <c r="O4410">
        <v>1</v>
      </c>
      <c r="S4410" t="e">
        <v>#DIV/0!</v>
      </c>
      <c r="T4410" t="s">
        <v>82</v>
      </c>
    </row>
    <row r="4411" spans="15:20" x14ac:dyDescent="0.25">
      <c r="O4411">
        <v>1</v>
      </c>
      <c r="S4411" t="e">
        <v>#DIV/0!</v>
      </c>
      <c r="T4411" t="s">
        <v>82</v>
      </c>
    </row>
    <row r="4412" spans="15:20" x14ac:dyDescent="0.25">
      <c r="O4412">
        <v>1</v>
      </c>
      <c r="S4412" t="e">
        <v>#DIV/0!</v>
      </c>
      <c r="T4412" t="s">
        <v>82</v>
      </c>
    </row>
    <row r="4413" spans="15:20" x14ac:dyDescent="0.25">
      <c r="O4413">
        <v>1</v>
      </c>
      <c r="S4413" t="e">
        <v>#DIV/0!</v>
      </c>
      <c r="T4413" t="s">
        <v>82</v>
      </c>
    </row>
    <row r="4414" spans="15:20" x14ac:dyDescent="0.25">
      <c r="O4414">
        <v>1</v>
      </c>
      <c r="S4414" t="e">
        <v>#DIV/0!</v>
      </c>
      <c r="T4414" t="s">
        <v>82</v>
      </c>
    </row>
    <row r="4415" spans="15:20" x14ac:dyDescent="0.25">
      <c r="O4415">
        <v>1</v>
      </c>
      <c r="S4415" t="e">
        <v>#DIV/0!</v>
      </c>
      <c r="T4415" t="s">
        <v>82</v>
      </c>
    </row>
    <row r="4416" spans="15:20" x14ac:dyDescent="0.25">
      <c r="O4416">
        <v>1</v>
      </c>
      <c r="S4416" t="e">
        <v>#DIV/0!</v>
      </c>
      <c r="T4416" t="s">
        <v>82</v>
      </c>
    </row>
    <row r="4417" spans="15:20" x14ac:dyDescent="0.25">
      <c r="O4417">
        <v>1</v>
      </c>
      <c r="S4417" t="e">
        <v>#DIV/0!</v>
      </c>
      <c r="T4417" t="s">
        <v>82</v>
      </c>
    </row>
    <row r="4418" spans="15:20" x14ac:dyDescent="0.25">
      <c r="O4418">
        <v>1</v>
      </c>
      <c r="S4418" t="e">
        <v>#DIV/0!</v>
      </c>
      <c r="T4418" t="s">
        <v>82</v>
      </c>
    </row>
    <row r="4419" spans="15:20" x14ac:dyDescent="0.25">
      <c r="O4419">
        <v>1</v>
      </c>
      <c r="S4419" t="e">
        <v>#DIV/0!</v>
      </c>
      <c r="T4419" t="s">
        <v>82</v>
      </c>
    </row>
    <row r="4420" spans="15:20" x14ac:dyDescent="0.25">
      <c r="O4420">
        <v>1</v>
      </c>
      <c r="S4420" t="e">
        <v>#DIV/0!</v>
      </c>
      <c r="T4420" t="s">
        <v>82</v>
      </c>
    </row>
    <row r="4421" spans="15:20" x14ac:dyDescent="0.25">
      <c r="O4421">
        <v>1</v>
      </c>
      <c r="S4421" t="e">
        <v>#DIV/0!</v>
      </c>
      <c r="T4421" t="s">
        <v>82</v>
      </c>
    </row>
    <row r="4422" spans="15:20" x14ac:dyDescent="0.25">
      <c r="O4422">
        <v>1</v>
      </c>
      <c r="S4422" t="e">
        <v>#DIV/0!</v>
      </c>
      <c r="T4422" t="s">
        <v>82</v>
      </c>
    </row>
    <row r="4423" spans="15:20" x14ac:dyDescent="0.25">
      <c r="O4423">
        <v>1</v>
      </c>
      <c r="S4423" t="e">
        <v>#DIV/0!</v>
      </c>
      <c r="T4423" t="s">
        <v>82</v>
      </c>
    </row>
    <row r="4424" spans="15:20" x14ac:dyDescent="0.25">
      <c r="O4424">
        <v>1</v>
      </c>
      <c r="S4424" t="e">
        <v>#DIV/0!</v>
      </c>
      <c r="T4424" t="s">
        <v>82</v>
      </c>
    </row>
    <row r="4425" spans="15:20" x14ac:dyDescent="0.25">
      <c r="O4425">
        <v>1</v>
      </c>
      <c r="S4425" t="e">
        <v>#DIV/0!</v>
      </c>
      <c r="T4425" t="s">
        <v>82</v>
      </c>
    </row>
    <row r="4426" spans="15:20" x14ac:dyDescent="0.25">
      <c r="O4426">
        <v>1</v>
      </c>
      <c r="S4426" t="e">
        <v>#DIV/0!</v>
      </c>
      <c r="T4426" t="s">
        <v>82</v>
      </c>
    </row>
    <row r="4427" spans="15:20" x14ac:dyDescent="0.25">
      <c r="O4427">
        <v>1</v>
      </c>
      <c r="S4427" t="e">
        <v>#DIV/0!</v>
      </c>
      <c r="T4427" t="s">
        <v>82</v>
      </c>
    </row>
    <row r="4428" spans="15:20" x14ac:dyDescent="0.25">
      <c r="O4428">
        <v>1</v>
      </c>
      <c r="S4428" t="e">
        <v>#DIV/0!</v>
      </c>
      <c r="T4428" t="s">
        <v>82</v>
      </c>
    </row>
    <row r="4429" spans="15:20" x14ac:dyDescent="0.25">
      <c r="O4429">
        <v>1</v>
      </c>
      <c r="S4429" t="e">
        <v>#DIV/0!</v>
      </c>
      <c r="T4429" t="s">
        <v>82</v>
      </c>
    </row>
    <row r="4430" spans="15:20" x14ac:dyDescent="0.25">
      <c r="O4430">
        <v>1</v>
      </c>
      <c r="S4430" t="e">
        <v>#DIV/0!</v>
      </c>
      <c r="T4430" t="s">
        <v>82</v>
      </c>
    </row>
    <row r="4431" spans="15:20" x14ac:dyDescent="0.25">
      <c r="O4431">
        <v>1</v>
      </c>
      <c r="S4431" t="e">
        <v>#DIV/0!</v>
      </c>
      <c r="T4431" t="s">
        <v>82</v>
      </c>
    </row>
    <row r="4432" spans="15:20" x14ac:dyDescent="0.25">
      <c r="O4432">
        <v>1</v>
      </c>
      <c r="S4432" t="e">
        <v>#DIV/0!</v>
      </c>
      <c r="T4432" t="s">
        <v>82</v>
      </c>
    </row>
    <row r="4433" spans="15:20" x14ac:dyDescent="0.25">
      <c r="O4433">
        <v>1</v>
      </c>
      <c r="S4433" t="e">
        <v>#DIV/0!</v>
      </c>
      <c r="T4433" t="s">
        <v>82</v>
      </c>
    </row>
    <row r="4434" spans="15:20" x14ac:dyDescent="0.25">
      <c r="O4434">
        <v>1</v>
      </c>
      <c r="S4434" t="e">
        <v>#DIV/0!</v>
      </c>
      <c r="T4434" t="s">
        <v>82</v>
      </c>
    </row>
    <row r="4435" spans="15:20" x14ac:dyDescent="0.25">
      <c r="O4435">
        <v>1</v>
      </c>
      <c r="S4435" t="e">
        <v>#DIV/0!</v>
      </c>
      <c r="T4435" t="s">
        <v>82</v>
      </c>
    </row>
    <row r="4436" spans="15:20" x14ac:dyDescent="0.25">
      <c r="O4436">
        <v>1</v>
      </c>
      <c r="S4436" t="e">
        <v>#DIV/0!</v>
      </c>
      <c r="T4436" t="s">
        <v>82</v>
      </c>
    </row>
    <row r="4437" spans="15:20" x14ac:dyDescent="0.25">
      <c r="O4437">
        <v>1</v>
      </c>
      <c r="S4437" t="e">
        <v>#DIV/0!</v>
      </c>
      <c r="T4437" t="s">
        <v>82</v>
      </c>
    </row>
    <row r="4438" spans="15:20" x14ac:dyDescent="0.25">
      <c r="O4438">
        <v>1</v>
      </c>
      <c r="S4438" t="e">
        <v>#DIV/0!</v>
      </c>
      <c r="T4438" t="s">
        <v>82</v>
      </c>
    </row>
    <row r="4439" spans="15:20" x14ac:dyDescent="0.25">
      <c r="O4439">
        <v>1</v>
      </c>
      <c r="S4439" t="e">
        <v>#DIV/0!</v>
      </c>
      <c r="T4439" t="s">
        <v>82</v>
      </c>
    </row>
    <row r="4440" spans="15:20" x14ac:dyDescent="0.25">
      <c r="O4440">
        <v>1</v>
      </c>
      <c r="S4440" t="e">
        <v>#DIV/0!</v>
      </c>
      <c r="T4440" t="s">
        <v>82</v>
      </c>
    </row>
    <row r="4441" spans="15:20" x14ac:dyDescent="0.25">
      <c r="O4441">
        <v>1</v>
      </c>
      <c r="S4441" t="e">
        <v>#DIV/0!</v>
      </c>
      <c r="T4441" t="s">
        <v>82</v>
      </c>
    </row>
    <row r="4442" spans="15:20" x14ac:dyDescent="0.25">
      <c r="O4442">
        <v>1</v>
      </c>
      <c r="S4442" t="e">
        <v>#DIV/0!</v>
      </c>
      <c r="T4442" t="s">
        <v>82</v>
      </c>
    </row>
    <row r="4443" spans="15:20" x14ac:dyDescent="0.25">
      <c r="O4443">
        <v>1</v>
      </c>
      <c r="S4443" t="e">
        <v>#DIV/0!</v>
      </c>
      <c r="T4443" t="s">
        <v>82</v>
      </c>
    </row>
    <row r="4444" spans="15:20" x14ac:dyDescent="0.25">
      <c r="O4444">
        <v>1</v>
      </c>
      <c r="S4444" t="e">
        <v>#DIV/0!</v>
      </c>
      <c r="T4444" t="s">
        <v>82</v>
      </c>
    </row>
    <row r="4445" spans="15:20" x14ac:dyDescent="0.25">
      <c r="O4445">
        <v>1</v>
      </c>
      <c r="S4445" t="e">
        <v>#DIV/0!</v>
      </c>
      <c r="T4445" t="s">
        <v>82</v>
      </c>
    </row>
    <row r="4446" spans="15:20" x14ac:dyDescent="0.25">
      <c r="O4446">
        <v>1</v>
      </c>
      <c r="S4446" t="e">
        <v>#DIV/0!</v>
      </c>
      <c r="T4446" t="s">
        <v>82</v>
      </c>
    </row>
    <row r="4447" spans="15:20" x14ac:dyDescent="0.25">
      <c r="O4447">
        <v>1</v>
      </c>
      <c r="S4447" t="e">
        <v>#DIV/0!</v>
      </c>
      <c r="T4447" t="s">
        <v>82</v>
      </c>
    </row>
    <row r="4448" spans="15:20" x14ac:dyDescent="0.25">
      <c r="O4448">
        <v>1</v>
      </c>
      <c r="S4448" t="e">
        <v>#DIV/0!</v>
      </c>
      <c r="T4448" t="s">
        <v>82</v>
      </c>
    </row>
    <row r="4449" spans="15:20" x14ac:dyDescent="0.25">
      <c r="O4449">
        <v>1</v>
      </c>
      <c r="S4449" t="e">
        <v>#DIV/0!</v>
      </c>
      <c r="T4449" t="s">
        <v>82</v>
      </c>
    </row>
    <row r="4450" spans="15:20" x14ac:dyDescent="0.25">
      <c r="O4450">
        <v>1</v>
      </c>
      <c r="S4450" t="e">
        <v>#DIV/0!</v>
      </c>
      <c r="T4450" t="s">
        <v>82</v>
      </c>
    </row>
    <row r="4451" spans="15:20" x14ac:dyDescent="0.25">
      <c r="O4451">
        <v>1</v>
      </c>
      <c r="S4451" t="e">
        <v>#DIV/0!</v>
      </c>
      <c r="T4451" t="s">
        <v>82</v>
      </c>
    </row>
    <row r="4452" spans="15:20" x14ac:dyDescent="0.25">
      <c r="O4452">
        <v>1</v>
      </c>
      <c r="S4452" t="e">
        <v>#DIV/0!</v>
      </c>
      <c r="T4452" t="s">
        <v>82</v>
      </c>
    </row>
    <row r="4453" spans="15:20" x14ac:dyDescent="0.25">
      <c r="O4453">
        <v>1</v>
      </c>
      <c r="S4453" t="e">
        <v>#DIV/0!</v>
      </c>
      <c r="T4453" t="s">
        <v>82</v>
      </c>
    </row>
    <row r="4454" spans="15:20" x14ac:dyDescent="0.25">
      <c r="O4454">
        <v>1</v>
      </c>
      <c r="S4454" t="e">
        <v>#DIV/0!</v>
      </c>
      <c r="T4454" t="s">
        <v>82</v>
      </c>
    </row>
    <row r="4455" spans="15:20" x14ac:dyDescent="0.25">
      <c r="O4455">
        <v>1</v>
      </c>
      <c r="S4455" t="e">
        <v>#DIV/0!</v>
      </c>
      <c r="T4455" t="s">
        <v>82</v>
      </c>
    </row>
    <row r="4456" spans="15:20" x14ac:dyDescent="0.25">
      <c r="O4456">
        <v>1</v>
      </c>
      <c r="S4456" t="e">
        <v>#DIV/0!</v>
      </c>
      <c r="T4456" t="s">
        <v>82</v>
      </c>
    </row>
    <row r="4457" spans="15:20" x14ac:dyDescent="0.25">
      <c r="O4457">
        <v>1</v>
      </c>
      <c r="S4457" t="e">
        <v>#DIV/0!</v>
      </c>
      <c r="T4457" t="s">
        <v>82</v>
      </c>
    </row>
    <row r="4458" spans="15:20" x14ac:dyDescent="0.25">
      <c r="O4458">
        <v>1</v>
      </c>
      <c r="S4458" t="e">
        <v>#DIV/0!</v>
      </c>
      <c r="T4458" t="s">
        <v>82</v>
      </c>
    </row>
    <row r="4459" spans="15:20" x14ac:dyDescent="0.25">
      <c r="O4459">
        <v>1</v>
      </c>
      <c r="S4459" t="e">
        <v>#DIV/0!</v>
      </c>
      <c r="T4459" t="s">
        <v>82</v>
      </c>
    </row>
    <row r="4460" spans="15:20" x14ac:dyDescent="0.25">
      <c r="O4460">
        <v>1</v>
      </c>
      <c r="S4460" t="e">
        <v>#DIV/0!</v>
      </c>
      <c r="T4460" t="s">
        <v>82</v>
      </c>
    </row>
    <row r="4461" spans="15:20" x14ac:dyDescent="0.25">
      <c r="O4461">
        <v>1</v>
      </c>
      <c r="S4461" t="e">
        <v>#DIV/0!</v>
      </c>
      <c r="T4461" t="s">
        <v>82</v>
      </c>
    </row>
    <row r="4462" spans="15:20" x14ac:dyDescent="0.25">
      <c r="O4462">
        <v>1</v>
      </c>
      <c r="S4462" t="e">
        <v>#DIV/0!</v>
      </c>
      <c r="T4462" t="s">
        <v>82</v>
      </c>
    </row>
    <row r="4463" spans="15:20" x14ac:dyDescent="0.25">
      <c r="O4463">
        <v>1</v>
      </c>
      <c r="S4463" t="e">
        <v>#DIV/0!</v>
      </c>
      <c r="T4463" t="s">
        <v>82</v>
      </c>
    </row>
    <row r="4464" spans="15:20" x14ac:dyDescent="0.25">
      <c r="O4464">
        <v>1</v>
      </c>
      <c r="S4464" t="e">
        <v>#DIV/0!</v>
      </c>
      <c r="T4464" t="s">
        <v>82</v>
      </c>
    </row>
    <row r="4465" spans="15:20" x14ac:dyDescent="0.25">
      <c r="O4465">
        <v>1</v>
      </c>
      <c r="S4465" t="e">
        <v>#DIV/0!</v>
      </c>
      <c r="T4465" t="s">
        <v>82</v>
      </c>
    </row>
    <row r="4466" spans="15:20" x14ac:dyDescent="0.25">
      <c r="O4466">
        <v>1</v>
      </c>
      <c r="S4466" t="e">
        <v>#DIV/0!</v>
      </c>
      <c r="T4466" t="s">
        <v>82</v>
      </c>
    </row>
    <row r="4467" spans="15:20" x14ac:dyDescent="0.25">
      <c r="O4467">
        <v>1</v>
      </c>
      <c r="S4467" t="e">
        <v>#DIV/0!</v>
      </c>
      <c r="T4467" t="s">
        <v>82</v>
      </c>
    </row>
    <row r="4468" spans="15:20" x14ac:dyDescent="0.25">
      <c r="O4468">
        <v>1</v>
      </c>
      <c r="S4468" t="e">
        <v>#DIV/0!</v>
      </c>
      <c r="T4468" t="s">
        <v>82</v>
      </c>
    </row>
    <row r="4469" spans="15:20" x14ac:dyDescent="0.25">
      <c r="O4469">
        <v>1</v>
      </c>
      <c r="S4469" t="e">
        <v>#DIV/0!</v>
      </c>
      <c r="T4469" t="s">
        <v>82</v>
      </c>
    </row>
    <row r="4470" spans="15:20" x14ac:dyDescent="0.25">
      <c r="O4470">
        <v>1</v>
      </c>
      <c r="S4470" t="e">
        <v>#DIV/0!</v>
      </c>
      <c r="T4470" t="s">
        <v>82</v>
      </c>
    </row>
    <row r="4471" spans="15:20" x14ac:dyDescent="0.25">
      <c r="O4471">
        <v>1</v>
      </c>
      <c r="S4471" t="e">
        <v>#DIV/0!</v>
      </c>
      <c r="T4471" t="s">
        <v>82</v>
      </c>
    </row>
    <row r="4472" spans="15:20" x14ac:dyDescent="0.25">
      <c r="O4472">
        <v>1</v>
      </c>
      <c r="S4472" t="e">
        <v>#DIV/0!</v>
      </c>
      <c r="T4472" t="s">
        <v>82</v>
      </c>
    </row>
    <row r="4473" spans="15:20" x14ac:dyDescent="0.25">
      <c r="O4473">
        <v>1</v>
      </c>
      <c r="S4473" t="e">
        <v>#DIV/0!</v>
      </c>
      <c r="T4473" t="s">
        <v>82</v>
      </c>
    </row>
    <row r="4474" spans="15:20" x14ac:dyDescent="0.25">
      <c r="O4474">
        <v>1</v>
      </c>
      <c r="S4474" t="e">
        <v>#DIV/0!</v>
      </c>
      <c r="T4474" t="s">
        <v>82</v>
      </c>
    </row>
    <row r="4475" spans="15:20" x14ac:dyDescent="0.25">
      <c r="O4475">
        <v>1</v>
      </c>
      <c r="S4475" t="e">
        <v>#DIV/0!</v>
      </c>
      <c r="T4475" t="s">
        <v>82</v>
      </c>
    </row>
    <row r="4476" spans="15:20" x14ac:dyDescent="0.25">
      <c r="O4476">
        <v>1</v>
      </c>
      <c r="S4476" t="e">
        <v>#DIV/0!</v>
      </c>
      <c r="T4476" t="s">
        <v>82</v>
      </c>
    </row>
    <row r="4477" spans="15:20" x14ac:dyDescent="0.25">
      <c r="O4477">
        <v>1</v>
      </c>
      <c r="S4477" t="e">
        <v>#DIV/0!</v>
      </c>
      <c r="T4477" t="s">
        <v>82</v>
      </c>
    </row>
    <row r="4478" spans="15:20" x14ac:dyDescent="0.25">
      <c r="O4478">
        <v>1</v>
      </c>
      <c r="S4478" t="e">
        <v>#DIV/0!</v>
      </c>
      <c r="T4478" t="s">
        <v>82</v>
      </c>
    </row>
    <row r="4479" spans="15:20" x14ac:dyDescent="0.25">
      <c r="O4479">
        <v>1</v>
      </c>
      <c r="S4479" t="e">
        <v>#DIV/0!</v>
      </c>
      <c r="T4479" t="s">
        <v>82</v>
      </c>
    </row>
    <row r="4480" spans="15:20" x14ac:dyDescent="0.25">
      <c r="O4480">
        <v>1</v>
      </c>
      <c r="S4480" t="e">
        <v>#DIV/0!</v>
      </c>
      <c r="T4480" t="s">
        <v>82</v>
      </c>
    </row>
    <row r="4481" spans="15:20" x14ac:dyDescent="0.25">
      <c r="O4481">
        <v>1</v>
      </c>
      <c r="S4481" t="e">
        <v>#DIV/0!</v>
      </c>
      <c r="T4481" t="s">
        <v>82</v>
      </c>
    </row>
    <row r="4482" spans="15:20" x14ac:dyDescent="0.25">
      <c r="O4482">
        <v>1</v>
      </c>
      <c r="S4482" t="e">
        <v>#DIV/0!</v>
      </c>
      <c r="T4482" t="s">
        <v>82</v>
      </c>
    </row>
    <row r="4483" spans="15:20" x14ac:dyDescent="0.25">
      <c r="O4483">
        <v>1</v>
      </c>
      <c r="S4483" t="e">
        <v>#DIV/0!</v>
      </c>
      <c r="T4483" t="s">
        <v>82</v>
      </c>
    </row>
    <row r="4484" spans="15:20" x14ac:dyDescent="0.25">
      <c r="O4484">
        <v>1</v>
      </c>
      <c r="S4484" t="e">
        <v>#DIV/0!</v>
      </c>
      <c r="T4484" t="s">
        <v>82</v>
      </c>
    </row>
    <row r="4485" spans="15:20" x14ac:dyDescent="0.25">
      <c r="O4485">
        <v>1</v>
      </c>
      <c r="S4485" t="e">
        <v>#DIV/0!</v>
      </c>
      <c r="T4485" t="s">
        <v>82</v>
      </c>
    </row>
    <row r="4486" spans="15:20" x14ac:dyDescent="0.25">
      <c r="O4486">
        <v>1</v>
      </c>
      <c r="S4486" t="e">
        <v>#DIV/0!</v>
      </c>
      <c r="T4486" t="s">
        <v>82</v>
      </c>
    </row>
    <row r="4487" spans="15:20" x14ac:dyDescent="0.25">
      <c r="O4487">
        <v>1</v>
      </c>
      <c r="S4487" t="e">
        <v>#DIV/0!</v>
      </c>
      <c r="T4487" t="s">
        <v>82</v>
      </c>
    </row>
    <row r="4488" spans="15:20" x14ac:dyDescent="0.25">
      <c r="O4488">
        <v>1</v>
      </c>
      <c r="S4488" t="e">
        <v>#DIV/0!</v>
      </c>
      <c r="T4488" t="s">
        <v>82</v>
      </c>
    </row>
    <row r="4489" spans="15:20" x14ac:dyDescent="0.25">
      <c r="O4489">
        <v>1</v>
      </c>
      <c r="S4489" t="e">
        <v>#DIV/0!</v>
      </c>
      <c r="T4489" t="s">
        <v>82</v>
      </c>
    </row>
    <row r="4490" spans="15:20" x14ac:dyDescent="0.25">
      <c r="O4490">
        <v>1</v>
      </c>
      <c r="S4490" t="e">
        <v>#DIV/0!</v>
      </c>
      <c r="T4490" t="s">
        <v>82</v>
      </c>
    </row>
    <row r="4491" spans="15:20" x14ac:dyDescent="0.25">
      <c r="O4491">
        <v>1</v>
      </c>
      <c r="S4491" t="e">
        <v>#DIV/0!</v>
      </c>
      <c r="T4491" t="s">
        <v>82</v>
      </c>
    </row>
    <row r="4492" spans="15:20" x14ac:dyDescent="0.25">
      <c r="O4492">
        <v>1</v>
      </c>
      <c r="S4492" t="e">
        <v>#DIV/0!</v>
      </c>
      <c r="T4492" t="s">
        <v>82</v>
      </c>
    </row>
    <row r="4493" spans="15:20" x14ac:dyDescent="0.25">
      <c r="O4493">
        <v>1</v>
      </c>
      <c r="S4493" t="e">
        <v>#DIV/0!</v>
      </c>
      <c r="T4493" t="s">
        <v>82</v>
      </c>
    </row>
    <row r="4494" spans="15:20" x14ac:dyDescent="0.25">
      <c r="O4494">
        <v>1</v>
      </c>
      <c r="S4494" t="e">
        <v>#DIV/0!</v>
      </c>
      <c r="T4494" t="s">
        <v>82</v>
      </c>
    </row>
    <row r="4495" spans="15:20" x14ac:dyDescent="0.25">
      <c r="O4495">
        <v>1</v>
      </c>
      <c r="S4495" t="e">
        <v>#DIV/0!</v>
      </c>
      <c r="T4495" t="s">
        <v>82</v>
      </c>
    </row>
    <row r="4496" spans="15:20" x14ac:dyDescent="0.25">
      <c r="O4496">
        <v>1</v>
      </c>
      <c r="S4496" t="e">
        <v>#DIV/0!</v>
      </c>
      <c r="T4496" t="s">
        <v>82</v>
      </c>
    </row>
    <row r="4497" spans="15:20" x14ac:dyDescent="0.25">
      <c r="O4497">
        <v>1</v>
      </c>
      <c r="S4497" t="e">
        <v>#DIV/0!</v>
      </c>
      <c r="T4497" t="s">
        <v>82</v>
      </c>
    </row>
    <row r="4498" spans="15:20" x14ac:dyDescent="0.25">
      <c r="O4498">
        <v>1</v>
      </c>
      <c r="S4498" t="e">
        <v>#DIV/0!</v>
      </c>
      <c r="T4498" t="s">
        <v>82</v>
      </c>
    </row>
    <row r="4499" spans="15:20" x14ac:dyDescent="0.25">
      <c r="O4499">
        <v>1</v>
      </c>
      <c r="S4499" t="e">
        <v>#DIV/0!</v>
      </c>
      <c r="T4499" t="s">
        <v>82</v>
      </c>
    </row>
    <row r="4500" spans="15:20" x14ac:dyDescent="0.25">
      <c r="O4500">
        <v>1</v>
      </c>
      <c r="S4500" t="e">
        <v>#DIV/0!</v>
      </c>
      <c r="T4500" t="s">
        <v>82</v>
      </c>
    </row>
    <row r="4501" spans="15:20" x14ac:dyDescent="0.25">
      <c r="O4501">
        <v>1</v>
      </c>
      <c r="S4501" t="e">
        <v>#DIV/0!</v>
      </c>
      <c r="T4501" t="s">
        <v>82</v>
      </c>
    </row>
    <row r="4502" spans="15:20" x14ac:dyDescent="0.25">
      <c r="O4502">
        <v>1</v>
      </c>
      <c r="S4502" t="e">
        <v>#DIV/0!</v>
      </c>
      <c r="T4502" t="s">
        <v>82</v>
      </c>
    </row>
    <row r="4503" spans="15:20" x14ac:dyDescent="0.25">
      <c r="O4503">
        <v>1</v>
      </c>
      <c r="S4503" t="e">
        <v>#DIV/0!</v>
      </c>
      <c r="T4503" t="s">
        <v>82</v>
      </c>
    </row>
    <row r="4504" spans="15:20" x14ac:dyDescent="0.25">
      <c r="O4504">
        <v>1</v>
      </c>
      <c r="S4504" t="e">
        <v>#DIV/0!</v>
      </c>
      <c r="T4504" t="s">
        <v>82</v>
      </c>
    </row>
    <row r="4505" spans="15:20" x14ac:dyDescent="0.25">
      <c r="O4505">
        <v>1</v>
      </c>
      <c r="S4505" t="e">
        <v>#DIV/0!</v>
      </c>
      <c r="T4505" t="s">
        <v>82</v>
      </c>
    </row>
    <row r="4506" spans="15:20" x14ac:dyDescent="0.25">
      <c r="O4506">
        <v>1</v>
      </c>
      <c r="S4506" t="e">
        <v>#DIV/0!</v>
      </c>
      <c r="T4506" t="s">
        <v>82</v>
      </c>
    </row>
    <row r="4507" spans="15:20" x14ac:dyDescent="0.25">
      <c r="O4507">
        <v>1</v>
      </c>
      <c r="S4507" t="e">
        <v>#DIV/0!</v>
      </c>
      <c r="T4507" t="s">
        <v>82</v>
      </c>
    </row>
    <row r="4508" spans="15:20" x14ac:dyDescent="0.25">
      <c r="O4508">
        <v>1</v>
      </c>
      <c r="S4508" t="e">
        <v>#DIV/0!</v>
      </c>
      <c r="T4508" t="s">
        <v>82</v>
      </c>
    </row>
    <row r="4509" spans="15:20" x14ac:dyDescent="0.25">
      <c r="O4509">
        <v>1</v>
      </c>
      <c r="S4509" t="e">
        <v>#DIV/0!</v>
      </c>
      <c r="T4509" t="s">
        <v>82</v>
      </c>
    </row>
    <row r="4510" spans="15:20" x14ac:dyDescent="0.25">
      <c r="O4510">
        <v>1</v>
      </c>
      <c r="S4510" t="e">
        <v>#DIV/0!</v>
      </c>
      <c r="T4510" t="s">
        <v>82</v>
      </c>
    </row>
    <row r="4511" spans="15:20" x14ac:dyDescent="0.25">
      <c r="O4511">
        <v>1</v>
      </c>
      <c r="S4511" t="e">
        <v>#DIV/0!</v>
      </c>
      <c r="T4511" t="s">
        <v>82</v>
      </c>
    </row>
    <row r="4512" spans="15:20" x14ac:dyDescent="0.25">
      <c r="O4512">
        <v>1</v>
      </c>
      <c r="S4512" t="e">
        <v>#DIV/0!</v>
      </c>
      <c r="T4512" t="s">
        <v>82</v>
      </c>
    </row>
    <row r="4513" spans="15:20" x14ac:dyDescent="0.25">
      <c r="O4513">
        <v>1</v>
      </c>
      <c r="S4513" t="e">
        <v>#DIV/0!</v>
      </c>
      <c r="T4513" t="s">
        <v>82</v>
      </c>
    </row>
    <row r="4514" spans="15:20" x14ac:dyDescent="0.25">
      <c r="O4514">
        <v>1</v>
      </c>
      <c r="S4514" t="e">
        <v>#DIV/0!</v>
      </c>
      <c r="T4514" t="s">
        <v>82</v>
      </c>
    </row>
    <row r="4515" spans="15:20" x14ac:dyDescent="0.25">
      <c r="O4515">
        <v>1</v>
      </c>
      <c r="S4515" t="e">
        <v>#DIV/0!</v>
      </c>
      <c r="T4515" t="s">
        <v>82</v>
      </c>
    </row>
    <row r="4516" spans="15:20" x14ac:dyDescent="0.25">
      <c r="O4516">
        <v>1</v>
      </c>
      <c r="S4516" t="e">
        <v>#DIV/0!</v>
      </c>
      <c r="T4516" t="s">
        <v>82</v>
      </c>
    </row>
    <row r="4517" spans="15:20" x14ac:dyDescent="0.25">
      <c r="O4517">
        <v>1</v>
      </c>
      <c r="S4517" t="e">
        <v>#DIV/0!</v>
      </c>
      <c r="T4517" t="s">
        <v>82</v>
      </c>
    </row>
    <row r="4518" spans="15:20" x14ac:dyDescent="0.25">
      <c r="O4518">
        <v>1</v>
      </c>
      <c r="S4518" t="e">
        <v>#DIV/0!</v>
      </c>
      <c r="T4518" t="s">
        <v>82</v>
      </c>
    </row>
    <row r="4519" spans="15:20" x14ac:dyDescent="0.25">
      <c r="O4519">
        <v>1</v>
      </c>
      <c r="S4519" t="e">
        <v>#DIV/0!</v>
      </c>
      <c r="T4519" t="s">
        <v>82</v>
      </c>
    </row>
    <row r="4520" spans="15:20" x14ac:dyDescent="0.25">
      <c r="O4520">
        <v>1</v>
      </c>
      <c r="S4520" t="e">
        <v>#DIV/0!</v>
      </c>
      <c r="T4520" t="s">
        <v>82</v>
      </c>
    </row>
    <row r="4521" spans="15:20" x14ac:dyDescent="0.25">
      <c r="O4521">
        <v>1</v>
      </c>
      <c r="S4521" t="e">
        <v>#DIV/0!</v>
      </c>
      <c r="T4521" t="s">
        <v>82</v>
      </c>
    </row>
    <row r="4522" spans="15:20" x14ac:dyDescent="0.25">
      <c r="O4522">
        <v>1</v>
      </c>
      <c r="S4522" t="e">
        <v>#DIV/0!</v>
      </c>
      <c r="T4522" t="s">
        <v>82</v>
      </c>
    </row>
    <row r="4523" spans="15:20" x14ac:dyDescent="0.25">
      <c r="O4523">
        <v>1</v>
      </c>
      <c r="S4523" t="e">
        <v>#DIV/0!</v>
      </c>
      <c r="T4523" t="s">
        <v>82</v>
      </c>
    </row>
    <row r="4524" spans="15:20" x14ac:dyDescent="0.25">
      <c r="O4524">
        <v>1</v>
      </c>
      <c r="S4524" t="e">
        <v>#DIV/0!</v>
      </c>
      <c r="T4524" t="s">
        <v>82</v>
      </c>
    </row>
    <row r="4525" spans="15:20" x14ac:dyDescent="0.25">
      <c r="O4525">
        <v>1</v>
      </c>
      <c r="S4525" t="e">
        <v>#DIV/0!</v>
      </c>
      <c r="T4525" t="s">
        <v>82</v>
      </c>
    </row>
    <row r="4526" spans="15:20" x14ac:dyDescent="0.25">
      <c r="O4526">
        <v>1</v>
      </c>
      <c r="S4526" t="e">
        <v>#DIV/0!</v>
      </c>
      <c r="T4526" t="s">
        <v>82</v>
      </c>
    </row>
    <row r="4527" spans="15:20" x14ac:dyDescent="0.25">
      <c r="O4527">
        <v>1</v>
      </c>
      <c r="S4527" t="e">
        <v>#DIV/0!</v>
      </c>
      <c r="T4527" t="s">
        <v>82</v>
      </c>
    </row>
    <row r="4528" spans="15:20" x14ac:dyDescent="0.25">
      <c r="O4528">
        <v>1</v>
      </c>
      <c r="S4528" t="e">
        <v>#DIV/0!</v>
      </c>
      <c r="T4528" t="s">
        <v>82</v>
      </c>
    </row>
    <row r="4529" spans="15:20" x14ac:dyDescent="0.25">
      <c r="O4529">
        <v>1</v>
      </c>
      <c r="S4529" t="e">
        <v>#DIV/0!</v>
      </c>
      <c r="T4529" t="s">
        <v>82</v>
      </c>
    </row>
    <row r="4530" spans="15:20" x14ac:dyDescent="0.25">
      <c r="O4530">
        <v>1</v>
      </c>
      <c r="S4530" t="e">
        <v>#DIV/0!</v>
      </c>
      <c r="T4530" t="s">
        <v>82</v>
      </c>
    </row>
    <row r="4531" spans="15:20" x14ac:dyDescent="0.25">
      <c r="O4531">
        <v>1</v>
      </c>
      <c r="S4531" t="e">
        <v>#DIV/0!</v>
      </c>
      <c r="T4531" t="s">
        <v>82</v>
      </c>
    </row>
    <row r="4532" spans="15:20" x14ac:dyDescent="0.25">
      <c r="O4532">
        <v>1</v>
      </c>
      <c r="S4532" t="e">
        <v>#DIV/0!</v>
      </c>
      <c r="T4532" t="s">
        <v>82</v>
      </c>
    </row>
    <row r="4533" spans="15:20" x14ac:dyDescent="0.25">
      <c r="O4533">
        <v>1</v>
      </c>
      <c r="S4533" t="e">
        <v>#DIV/0!</v>
      </c>
      <c r="T4533" t="s">
        <v>82</v>
      </c>
    </row>
    <row r="4534" spans="15:20" x14ac:dyDescent="0.25">
      <c r="O4534">
        <v>1</v>
      </c>
      <c r="S4534" t="e">
        <v>#DIV/0!</v>
      </c>
      <c r="T4534" t="s">
        <v>82</v>
      </c>
    </row>
    <row r="4535" spans="15:20" x14ac:dyDescent="0.25">
      <c r="O4535">
        <v>1</v>
      </c>
      <c r="S4535" t="e">
        <v>#DIV/0!</v>
      </c>
      <c r="T4535" t="s">
        <v>82</v>
      </c>
    </row>
    <row r="4536" spans="15:20" x14ac:dyDescent="0.25">
      <c r="O4536">
        <v>1</v>
      </c>
      <c r="S4536" t="e">
        <v>#DIV/0!</v>
      </c>
      <c r="T4536" t="s">
        <v>82</v>
      </c>
    </row>
    <row r="4537" spans="15:20" x14ac:dyDescent="0.25">
      <c r="O4537">
        <v>1</v>
      </c>
      <c r="S4537" t="e">
        <v>#DIV/0!</v>
      </c>
      <c r="T4537" t="s">
        <v>82</v>
      </c>
    </row>
    <row r="4538" spans="15:20" x14ac:dyDescent="0.25">
      <c r="O4538">
        <v>1</v>
      </c>
      <c r="S4538" t="e">
        <v>#DIV/0!</v>
      </c>
      <c r="T4538" t="s">
        <v>82</v>
      </c>
    </row>
    <row r="4539" spans="15:20" x14ac:dyDescent="0.25">
      <c r="O4539">
        <v>1</v>
      </c>
      <c r="S4539" t="e">
        <v>#DIV/0!</v>
      </c>
      <c r="T4539" t="s">
        <v>82</v>
      </c>
    </row>
    <row r="4540" spans="15:20" x14ac:dyDescent="0.25">
      <c r="O4540">
        <v>1</v>
      </c>
      <c r="S4540" t="e">
        <v>#DIV/0!</v>
      </c>
      <c r="T4540" t="s">
        <v>82</v>
      </c>
    </row>
    <row r="4541" spans="15:20" x14ac:dyDescent="0.25">
      <c r="O4541">
        <v>1</v>
      </c>
      <c r="S4541" t="e">
        <v>#DIV/0!</v>
      </c>
      <c r="T4541" t="s">
        <v>82</v>
      </c>
    </row>
    <row r="4542" spans="15:20" x14ac:dyDescent="0.25">
      <c r="O4542">
        <v>1</v>
      </c>
      <c r="S4542" t="e">
        <v>#DIV/0!</v>
      </c>
      <c r="T4542" t="s">
        <v>82</v>
      </c>
    </row>
    <row r="4543" spans="15:20" x14ac:dyDescent="0.25">
      <c r="O4543">
        <v>1</v>
      </c>
      <c r="S4543" t="e">
        <v>#DIV/0!</v>
      </c>
      <c r="T4543" t="s">
        <v>82</v>
      </c>
    </row>
    <row r="4544" spans="15:20" x14ac:dyDescent="0.25">
      <c r="O4544">
        <v>1</v>
      </c>
      <c r="S4544" t="e">
        <v>#DIV/0!</v>
      </c>
      <c r="T4544" t="s">
        <v>82</v>
      </c>
    </row>
    <row r="4545" spans="15:20" x14ac:dyDescent="0.25">
      <c r="O4545">
        <v>1</v>
      </c>
      <c r="S4545" t="e">
        <v>#DIV/0!</v>
      </c>
      <c r="T4545" t="s">
        <v>82</v>
      </c>
    </row>
    <row r="4546" spans="15:20" x14ac:dyDescent="0.25">
      <c r="O4546">
        <v>1</v>
      </c>
      <c r="S4546" t="e">
        <v>#DIV/0!</v>
      </c>
      <c r="T4546" t="s">
        <v>82</v>
      </c>
    </row>
    <row r="4547" spans="15:20" x14ac:dyDescent="0.25">
      <c r="O4547">
        <v>1</v>
      </c>
      <c r="S4547" t="e">
        <v>#DIV/0!</v>
      </c>
      <c r="T4547" t="s">
        <v>82</v>
      </c>
    </row>
    <row r="4548" spans="15:20" x14ac:dyDescent="0.25">
      <c r="O4548">
        <v>1</v>
      </c>
      <c r="S4548" t="e">
        <v>#DIV/0!</v>
      </c>
      <c r="T4548" t="s">
        <v>82</v>
      </c>
    </row>
    <row r="4549" spans="15:20" x14ac:dyDescent="0.25">
      <c r="O4549">
        <v>1</v>
      </c>
      <c r="S4549" t="e">
        <v>#DIV/0!</v>
      </c>
      <c r="T4549" t="s">
        <v>82</v>
      </c>
    </row>
    <row r="4550" spans="15:20" x14ac:dyDescent="0.25">
      <c r="O4550">
        <v>1</v>
      </c>
      <c r="S4550" t="e">
        <v>#DIV/0!</v>
      </c>
      <c r="T4550" t="s">
        <v>82</v>
      </c>
    </row>
    <row r="4551" spans="15:20" x14ac:dyDescent="0.25">
      <c r="O4551">
        <v>1</v>
      </c>
      <c r="S4551" t="e">
        <v>#DIV/0!</v>
      </c>
      <c r="T4551" t="s">
        <v>82</v>
      </c>
    </row>
    <row r="4552" spans="15:20" x14ac:dyDescent="0.25">
      <c r="O4552">
        <v>1</v>
      </c>
      <c r="S4552" t="e">
        <v>#DIV/0!</v>
      </c>
      <c r="T4552" t="s">
        <v>82</v>
      </c>
    </row>
    <row r="4553" spans="15:20" x14ac:dyDescent="0.25">
      <c r="O4553">
        <v>1</v>
      </c>
      <c r="S4553" t="e">
        <v>#DIV/0!</v>
      </c>
      <c r="T4553" t="s">
        <v>82</v>
      </c>
    </row>
    <row r="4554" spans="15:20" x14ac:dyDescent="0.25">
      <c r="O4554">
        <v>1</v>
      </c>
      <c r="S4554" t="e">
        <v>#DIV/0!</v>
      </c>
      <c r="T4554" t="s">
        <v>82</v>
      </c>
    </row>
    <row r="4555" spans="15:20" x14ac:dyDescent="0.25">
      <c r="O4555">
        <v>1</v>
      </c>
      <c r="S4555" t="e">
        <v>#DIV/0!</v>
      </c>
      <c r="T4555" t="s">
        <v>82</v>
      </c>
    </row>
    <row r="4556" spans="15:20" x14ac:dyDescent="0.25">
      <c r="O4556">
        <v>1</v>
      </c>
      <c r="S4556" t="e">
        <v>#DIV/0!</v>
      </c>
      <c r="T4556" t="s">
        <v>82</v>
      </c>
    </row>
    <row r="4557" spans="15:20" x14ac:dyDescent="0.25">
      <c r="O4557">
        <v>1</v>
      </c>
      <c r="S4557" t="e">
        <v>#DIV/0!</v>
      </c>
      <c r="T4557" t="s">
        <v>82</v>
      </c>
    </row>
    <row r="4558" spans="15:20" x14ac:dyDescent="0.25">
      <c r="O4558">
        <v>1</v>
      </c>
      <c r="S4558" t="e">
        <v>#DIV/0!</v>
      </c>
      <c r="T4558" t="s">
        <v>82</v>
      </c>
    </row>
    <row r="4559" spans="15:20" x14ac:dyDescent="0.25">
      <c r="O4559">
        <v>1</v>
      </c>
      <c r="S4559" t="e">
        <v>#DIV/0!</v>
      </c>
      <c r="T4559" t="s">
        <v>82</v>
      </c>
    </row>
    <row r="4560" spans="15:20" x14ac:dyDescent="0.25">
      <c r="O4560">
        <v>1</v>
      </c>
      <c r="S4560" t="e">
        <v>#DIV/0!</v>
      </c>
      <c r="T4560" t="s">
        <v>82</v>
      </c>
    </row>
    <row r="4561" spans="15:20" x14ac:dyDescent="0.25">
      <c r="O4561">
        <v>1</v>
      </c>
      <c r="S4561" t="e">
        <v>#DIV/0!</v>
      </c>
      <c r="T4561" t="s">
        <v>82</v>
      </c>
    </row>
    <row r="4562" spans="15:20" x14ac:dyDescent="0.25">
      <c r="O4562">
        <v>1</v>
      </c>
      <c r="S4562" t="e">
        <v>#DIV/0!</v>
      </c>
      <c r="T4562" t="s">
        <v>82</v>
      </c>
    </row>
    <row r="4563" spans="15:20" x14ac:dyDescent="0.25">
      <c r="O4563">
        <v>1</v>
      </c>
      <c r="S4563" t="e">
        <v>#DIV/0!</v>
      </c>
      <c r="T4563" t="s">
        <v>82</v>
      </c>
    </row>
    <row r="4564" spans="15:20" x14ac:dyDescent="0.25">
      <c r="O4564">
        <v>1</v>
      </c>
      <c r="S4564" t="e">
        <v>#DIV/0!</v>
      </c>
      <c r="T4564" t="s">
        <v>82</v>
      </c>
    </row>
    <row r="4565" spans="15:20" x14ac:dyDescent="0.25">
      <c r="O4565">
        <v>1</v>
      </c>
      <c r="S4565" t="e">
        <v>#DIV/0!</v>
      </c>
      <c r="T4565" t="s">
        <v>82</v>
      </c>
    </row>
    <row r="4566" spans="15:20" x14ac:dyDescent="0.25">
      <c r="O4566">
        <v>1</v>
      </c>
      <c r="S4566" t="e">
        <v>#DIV/0!</v>
      </c>
      <c r="T4566" t="s">
        <v>82</v>
      </c>
    </row>
    <row r="4567" spans="15:20" x14ac:dyDescent="0.25">
      <c r="O4567">
        <v>1</v>
      </c>
      <c r="S4567" t="e">
        <v>#DIV/0!</v>
      </c>
      <c r="T4567" t="s">
        <v>82</v>
      </c>
    </row>
    <row r="4568" spans="15:20" x14ac:dyDescent="0.25">
      <c r="O4568">
        <v>1</v>
      </c>
      <c r="S4568" t="e">
        <v>#DIV/0!</v>
      </c>
      <c r="T4568" t="s">
        <v>82</v>
      </c>
    </row>
    <row r="4569" spans="15:20" x14ac:dyDescent="0.25">
      <c r="O4569">
        <v>1</v>
      </c>
      <c r="S4569" t="e">
        <v>#DIV/0!</v>
      </c>
      <c r="T4569" t="s">
        <v>82</v>
      </c>
    </row>
    <row r="4570" spans="15:20" x14ac:dyDescent="0.25">
      <c r="O4570">
        <v>1</v>
      </c>
      <c r="S4570" t="e">
        <v>#DIV/0!</v>
      </c>
      <c r="T4570" t="s">
        <v>82</v>
      </c>
    </row>
    <row r="4571" spans="15:20" x14ac:dyDescent="0.25">
      <c r="O4571">
        <v>1</v>
      </c>
      <c r="S4571" t="e">
        <v>#DIV/0!</v>
      </c>
      <c r="T4571" t="s">
        <v>82</v>
      </c>
    </row>
    <row r="4572" spans="15:20" x14ac:dyDescent="0.25">
      <c r="O4572">
        <v>1</v>
      </c>
      <c r="S4572" t="e">
        <v>#DIV/0!</v>
      </c>
      <c r="T4572" t="s">
        <v>82</v>
      </c>
    </row>
    <row r="4573" spans="15:20" x14ac:dyDescent="0.25">
      <c r="O4573">
        <v>1</v>
      </c>
      <c r="S4573" t="e">
        <v>#DIV/0!</v>
      </c>
      <c r="T4573" t="s">
        <v>82</v>
      </c>
    </row>
    <row r="4574" spans="15:20" x14ac:dyDescent="0.25">
      <c r="O4574">
        <v>1</v>
      </c>
      <c r="S4574" t="e">
        <v>#DIV/0!</v>
      </c>
      <c r="T4574" t="s">
        <v>82</v>
      </c>
    </row>
    <row r="4575" spans="15:20" x14ac:dyDescent="0.25">
      <c r="O4575">
        <v>1</v>
      </c>
      <c r="S4575" t="e">
        <v>#DIV/0!</v>
      </c>
      <c r="T4575" t="s">
        <v>82</v>
      </c>
    </row>
    <row r="4576" spans="15:20" x14ac:dyDescent="0.25">
      <c r="O4576">
        <v>1</v>
      </c>
      <c r="S4576" t="e">
        <v>#DIV/0!</v>
      </c>
      <c r="T4576" t="s">
        <v>82</v>
      </c>
    </row>
    <row r="4577" spans="15:20" x14ac:dyDescent="0.25">
      <c r="O4577">
        <v>1</v>
      </c>
      <c r="S4577" t="e">
        <v>#DIV/0!</v>
      </c>
      <c r="T4577" t="s">
        <v>82</v>
      </c>
    </row>
    <row r="4578" spans="15:20" x14ac:dyDescent="0.25">
      <c r="O4578">
        <v>1</v>
      </c>
      <c r="S4578" t="e">
        <v>#DIV/0!</v>
      </c>
      <c r="T4578" t="s">
        <v>82</v>
      </c>
    </row>
    <row r="4579" spans="15:20" x14ac:dyDescent="0.25">
      <c r="O4579">
        <v>1</v>
      </c>
      <c r="S4579" t="e">
        <v>#DIV/0!</v>
      </c>
      <c r="T4579" t="s">
        <v>82</v>
      </c>
    </row>
    <row r="4580" spans="15:20" x14ac:dyDescent="0.25">
      <c r="O4580">
        <v>1</v>
      </c>
      <c r="S4580" t="e">
        <v>#DIV/0!</v>
      </c>
      <c r="T4580" t="s">
        <v>82</v>
      </c>
    </row>
    <row r="4581" spans="15:20" x14ac:dyDescent="0.25">
      <c r="O4581">
        <v>1</v>
      </c>
      <c r="S4581" t="e">
        <v>#DIV/0!</v>
      </c>
      <c r="T4581" t="s">
        <v>82</v>
      </c>
    </row>
    <row r="4582" spans="15:20" x14ac:dyDescent="0.25">
      <c r="O4582">
        <v>1</v>
      </c>
      <c r="S4582" t="e">
        <v>#DIV/0!</v>
      </c>
      <c r="T4582" t="s">
        <v>82</v>
      </c>
    </row>
    <row r="4583" spans="15:20" x14ac:dyDescent="0.25">
      <c r="O4583">
        <v>1</v>
      </c>
      <c r="S4583" t="e">
        <v>#DIV/0!</v>
      </c>
      <c r="T4583" t="s">
        <v>82</v>
      </c>
    </row>
    <row r="4584" spans="15:20" x14ac:dyDescent="0.25">
      <c r="O4584">
        <v>1</v>
      </c>
      <c r="S4584" t="e">
        <v>#DIV/0!</v>
      </c>
      <c r="T4584" t="s">
        <v>82</v>
      </c>
    </row>
    <row r="4585" spans="15:20" x14ac:dyDescent="0.25">
      <c r="O4585">
        <v>1</v>
      </c>
      <c r="S4585" t="e">
        <v>#DIV/0!</v>
      </c>
      <c r="T4585" t="s">
        <v>82</v>
      </c>
    </row>
    <row r="4586" spans="15:20" x14ac:dyDescent="0.25">
      <c r="O4586">
        <v>1</v>
      </c>
      <c r="S4586" t="e">
        <v>#DIV/0!</v>
      </c>
      <c r="T4586" t="s">
        <v>82</v>
      </c>
    </row>
    <row r="4587" spans="15:20" x14ac:dyDescent="0.25">
      <c r="O4587">
        <v>1</v>
      </c>
      <c r="S4587" t="e">
        <v>#DIV/0!</v>
      </c>
      <c r="T4587" t="s">
        <v>82</v>
      </c>
    </row>
    <row r="4588" spans="15:20" x14ac:dyDescent="0.25">
      <c r="O4588">
        <v>1</v>
      </c>
      <c r="S4588" t="e">
        <v>#DIV/0!</v>
      </c>
      <c r="T4588" t="s">
        <v>82</v>
      </c>
    </row>
    <row r="4589" spans="15:20" x14ac:dyDescent="0.25">
      <c r="O4589">
        <v>1</v>
      </c>
      <c r="S4589" t="e">
        <v>#DIV/0!</v>
      </c>
      <c r="T4589" t="s">
        <v>82</v>
      </c>
    </row>
    <row r="4590" spans="15:20" x14ac:dyDescent="0.25">
      <c r="O4590">
        <v>1</v>
      </c>
      <c r="S4590" t="e">
        <v>#DIV/0!</v>
      </c>
      <c r="T4590" t="s">
        <v>82</v>
      </c>
    </row>
    <row r="4591" spans="15:20" x14ac:dyDescent="0.25">
      <c r="O4591">
        <v>1</v>
      </c>
      <c r="S4591" t="e">
        <v>#DIV/0!</v>
      </c>
      <c r="T4591" t="s">
        <v>82</v>
      </c>
    </row>
    <row r="4592" spans="15:20" x14ac:dyDescent="0.25">
      <c r="O4592">
        <v>1</v>
      </c>
      <c r="S4592" t="e">
        <v>#DIV/0!</v>
      </c>
      <c r="T4592" t="s">
        <v>82</v>
      </c>
    </row>
    <row r="4593" spans="15:20" x14ac:dyDescent="0.25">
      <c r="O4593">
        <v>1</v>
      </c>
      <c r="S4593" t="e">
        <v>#DIV/0!</v>
      </c>
      <c r="T4593" t="s">
        <v>82</v>
      </c>
    </row>
    <row r="4594" spans="15:20" x14ac:dyDescent="0.25">
      <c r="O4594">
        <v>1</v>
      </c>
      <c r="S4594" t="e">
        <v>#DIV/0!</v>
      </c>
      <c r="T4594" t="s">
        <v>82</v>
      </c>
    </row>
    <row r="4595" spans="15:20" x14ac:dyDescent="0.25">
      <c r="O4595">
        <v>1</v>
      </c>
      <c r="S4595" t="e">
        <v>#DIV/0!</v>
      </c>
      <c r="T4595" t="s">
        <v>82</v>
      </c>
    </row>
    <row r="4596" spans="15:20" x14ac:dyDescent="0.25">
      <c r="O4596">
        <v>1</v>
      </c>
      <c r="S4596" t="e">
        <v>#DIV/0!</v>
      </c>
      <c r="T4596" t="s">
        <v>82</v>
      </c>
    </row>
    <row r="4597" spans="15:20" x14ac:dyDescent="0.25">
      <c r="O4597">
        <v>1</v>
      </c>
      <c r="S4597" t="e">
        <v>#DIV/0!</v>
      </c>
      <c r="T4597" t="s">
        <v>82</v>
      </c>
    </row>
    <row r="4598" spans="15:20" x14ac:dyDescent="0.25">
      <c r="O4598">
        <v>1</v>
      </c>
      <c r="S4598" t="e">
        <v>#DIV/0!</v>
      </c>
      <c r="T4598" t="s">
        <v>82</v>
      </c>
    </row>
    <row r="4599" spans="15:20" x14ac:dyDescent="0.25">
      <c r="O4599">
        <v>1</v>
      </c>
      <c r="S4599" t="e">
        <v>#DIV/0!</v>
      </c>
      <c r="T4599" t="s">
        <v>82</v>
      </c>
    </row>
    <row r="4600" spans="15:20" x14ac:dyDescent="0.25">
      <c r="O4600">
        <v>1</v>
      </c>
      <c r="S4600" t="e">
        <v>#DIV/0!</v>
      </c>
      <c r="T4600" t="s">
        <v>82</v>
      </c>
    </row>
    <row r="4601" spans="15:20" x14ac:dyDescent="0.25">
      <c r="O4601">
        <v>1</v>
      </c>
      <c r="S4601" t="e">
        <v>#DIV/0!</v>
      </c>
      <c r="T4601" t="s">
        <v>82</v>
      </c>
    </row>
    <row r="4602" spans="15:20" x14ac:dyDescent="0.25">
      <c r="O4602">
        <v>1</v>
      </c>
      <c r="S4602" t="e">
        <v>#DIV/0!</v>
      </c>
      <c r="T4602" t="s">
        <v>82</v>
      </c>
    </row>
    <row r="4603" spans="15:20" x14ac:dyDescent="0.25">
      <c r="O4603">
        <v>1</v>
      </c>
      <c r="S4603" t="e">
        <v>#DIV/0!</v>
      </c>
      <c r="T4603" t="s">
        <v>82</v>
      </c>
    </row>
    <row r="4604" spans="15:20" x14ac:dyDescent="0.25">
      <c r="O4604">
        <v>1</v>
      </c>
      <c r="S4604" t="e">
        <v>#DIV/0!</v>
      </c>
      <c r="T4604" t="s">
        <v>82</v>
      </c>
    </row>
    <row r="4605" spans="15:20" x14ac:dyDescent="0.25">
      <c r="O4605">
        <v>1</v>
      </c>
      <c r="S4605" t="e">
        <v>#DIV/0!</v>
      </c>
      <c r="T4605" t="s">
        <v>82</v>
      </c>
    </row>
    <row r="4606" spans="15:20" x14ac:dyDescent="0.25">
      <c r="O4606">
        <v>1</v>
      </c>
      <c r="S4606" t="e">
        <v>#DIV/0!</v>
      </c>
      <c r="T4606" t="s">
        <v>82</v>
      </c>
    </row>
    <row r="4607" spans="15:20" x14ac:dyDescent="0.25">
      <c r="O4607">
        <v>1</v>
      </c>
      <c r="S4607" t="e">
        <v>#DIV/0!</v>
      </c>
      <c r="T4607" t="s">
        <v>82</v>
      </c>
    </row>
    <row r="4608" spans="15:20" x14ac:dyDescent="0.25">
      <c r="O4608">
        <v>1</v>
      </c>
      <c r="S4608" t="e">
        <v>#DIV/0!</v>
      </c>
      <c r="T4608" t="s">
        <v>82</v>
      </c>
    </row>
    <row r="4609" spans="15:20" x14ac:dyDescent="0.25">
      <c r="O4609">
        <v>1</v>
      </c>
      <c r="S4609" t="e">
        <v>#DIV/0!</v>
      </c>
      <c r="T4609" t="s">
        <v>82</v>
      </c>
    </row>
    <row r="4610" spans="15:20" x14ac:dyDescent="0.25">
      <c r="O4610">
        <v>1</v>
      </c>
      <c r="S4610" t="e">
        <v>#DIV/0!</v>
      </c>
      <c r="T4610" t="s">
        <v>82</v>
      </c>
    </row>
    <row r="4611" spans="15:20" x14ac:dyDescent="0.25">
      <c r="O4611">
        <v>1</v>
      </c>
      <c r="S4611" t="e">
        <v>#DIV/0!</v>
      </c>
      <c r="T4611" t="s">
        <v>82</v>
      </c>
    </row>
    <row r="4612" spans="15:20" x14ac:dyDescent="0.25">
      <c r="O4612">
        <v>1</v>
      </c>
      <c r="S4612" t="e">
        <v>#DIV/0!</v>
      </c>
      <c r="T4612" t="s">
        <v>82</v>
      </c>
    </row>
    <row r="4613" spans="15:20" x14ac:dyDescent="0.25">
      <c r="O4613">
        <v>1</v>
      </c>
      <c r="S4613" t="e">
        <v>#DIV/0!</v>
      </c>
      <c r="T4613" t="s">
        <v>82</v>
      </c>
    </row>
    <row r="4614" spans="15:20" x14ac:dyDescent="0.25">
      <c r="O4614">
        <v>1</v>
      </c>
      <c r="S4614" t="e">
        <v>#DIV/0!</v>
      </c>
      <c r="T4614" t="s">
        <v>82</v>
      </c>
    </row>
    <row r="4615" spans="15:20" x14ac:dyDescent="0.25">
      <c r="O4615">
        <v>1</v>
      </c>
      <c r="S4615" t="e">
        <v>#DIV/0!</v>
      </c>
      <c r="T4615" t="s">
        <v>82</v>
      </c>
    </row>
    <row r="4616" spans="15:20" x14ac:dyDescent="0.25">
      <c r="O4616">
        <v>1</v>
      </c>
      <c r="S4616" t="e">
        <v>#DIV/0!</v>
      </c>
      <c r="T4616" t="s">
        <v>82</v>
      </c>
    </row>
    <row r="4617" spans="15:20" x14ac:dyDescent="0.25">
      <c r="O4617">
        <v>1</v>
      </c>
      <c r="S4617" t="e">
        <v>#DIV/0!</v>
      </c>
      <c r="T4617" t="s">
        <v>82</v>
      </c>
    </row>
    <row r="4618" spans="15:20" x14ac:dyDescent="0.25">
      <c r="O4618">
        <v>1</v>
      </c>
      <c r="S4618" t="e">
        <v>#DIV/0!</v>
      </c>
      <c r="T4618" t="s">
        <v>82</v>
      </c>
    </row>
    <row r="4619" spans="15:20" x14ac:dyDescent="0.25">
      <c r="O4619">
        <v>1</v>
      </c>
      <c r="S4619" t="e">
        <v>#DIV/0!</v>
      </c>
      <c r="T4619" t="s">
        <v>82</v>
      </c>
    </row>
    <row r="4620" spans="15:20" x14ac:dyDescent="0.25">
      <c r="O4620">
        <v>1</v>
      </c>
      <c r="S4620" t="e">
        <v>#DIV/0!</v>
      </c>
      <c r="T4620" t="s">
        <v>82</v>
      </c>
    </row>
    <row r="4621" spans="15:20" x14ac:dyDescent="0.25">
      <c r="O4621">
        <v>1</v>
      </c>
      <c r="S4621" t="e">
        <v>#DIV/0!</v>
      </c>
      <c r="T4621" t="s">
        <v>82</v>
      </c>
    </row>
    <row r="4622" spans="15:20" x14ac:dyDescent="0.25">
      <c r="O4622">
        <v>1</v>
      </c>
      <c r="S4622" t="e">
        <v>#DIV/0!</v>
      </c>
      <c r="T4622" t="s">
        <v>82</v>
      </c>
    </row>
    <row r="4623" spans="15:20" x14ac:dyDescent="0.25">
      <c r="O4623">
        <v>1</v>
      </c>
      <c r="S4623" t="e">
        <v>#DIV/0!</v>
      </c>
      <c r="T4623" t="s">
        <v>82</v>
      </c>
    </row>
    <row r="4624" spans="15:20" x14ac:dyDescent="0.25">
      <c r="O4624">
        <v>1</v>
      </c>
      <c r="S4624" t="e">
        <v>#DIV/0!</v>
      </c>
      <c r="T4624" t="s">
        <v>82</v>
      </c>
    </row>
    <row r="4625" spans="15:20" x14ac:dyDescent="0.25">
      <c r="O4625">
        <v>1</v>
      </c>
      <c r="S4625" t="e">
        <v>#DIV/0!</v>
      </c>
      <c r="T4625" t="s">
        <v>82</v>
      </c>
    </row>
    <row r="4626" spans="15:20" x14ac:dyDescent="0.25">
      <c r="O4626">
        <v>1</v>
      </c>
      <c r="S4626" t="e">
        <v>#DIV/0!</v>
      </c>
      <c r="T4626" t="s">
        <v>82</v>
      </c>
    </row>
    <row r="4627" spans="15:20" x14ac:dyDescent="0.25">
      <c r="O4627">
        <v>1</v>
      </c>
      <c r="S4627" t="e">
        <v>#DIV/0!</v>
      </c>
      <c r="T4627" t="s">
        <v>82</v>
      </c>
    </row>
    <row r="4628" spans="15:20" x14ac:dyDescent="0.25">
      <c r="O4628">
        <v>1</v>
      </c>
      <c r="S4628" t="e">
        <v>#DIV/0!</v>
      </c>
      <c r="T4628" t="s">
        <v>82</v>
      </c>
    </row>
    <row r="4629" spans="15:20" x14ac:dyDescent="0.25">
      <c r="O4629">
        <v>1</v>
      </c>
      <c r="S4629" t="e">
        <v>#DIV/0!</v>
      </c>
      <c r="T4629" t="s">
        <v>82</v>
      </c>
    </row>
    <row r="4630" spans="15:20" x14ac:dyDescent="0.25">
      <c r="O4630">
        <v>1</v>
      </c>
      <c r="S4630" t="e">
        <v>#DIV/0!</v>
      </c>
      <c r="T4630" t="s">
        <v>82</v>
      </c>
    </row>
    <row r="4631" spans="15:20" x14ac:dyDescent="0.25">
      <c r="O4631">
        <v>1</v>
      </c>
      <c r="S4631" t="e">
        <v>#DIV/0!</v>
      </c>
      <c r="T4631" t="s">
        <v>82</v>
      </c>
    </row>
    <row r="4632" spans="15:20" x14ac:dyDescent="0.25">
      <c r="O4632">
        <v>1</v>
      </c>
      <c r="S4632" t="e">
        <v>#DIV/0!</v>
      </c>
      <c r="T4632" t="s">
        <v>82</v>
      </c>
    </row>
    <row r="4633" spans="15:20" x14ac:dyDescent="0.25">
      <c r="O4633">
        <v>1</v>
      </c>
      <c r="S4633" t="e">
        <v>#DIV/0!</v>
      </c>
      <c r="T4633" t="s">
        <v>82</v>
      </c>
    </row>
    <row r="4634" spans="15:20" x14ac:dyDescent="0.25">
      <c r="O4634">
        <v>1</v>
      </c>
      <c r="S4634" t="e">
        <v>#DIV/0!</v>
      </c>
      <c r="T4634" t="s">
        <v>82</v>
      </c>
    </row>
    <row r="4635" spans="15:20" x14ac:dyDescent="0.25">
      <c r="O4635">
        <v>1</v>
      </c>
      <c r="S4635" t="e">
        <v>#DIV/0!</v>
      </c>
      <c r="T4635" t="s">
        <v>82</v>
      </c>
    </row>
    <row r="4636" spans="15:20" x14ac:dyDescent="0.25">
      <c r="O4636">
        <v>1</v>
      </c>
      <c r="S4636" t="e">
        <v>#DIV/0!</v>
      </c>
      <c r="T4636" t="s">
        <v>82</v>
      </c>
    </row>
    <row r="4637" spans="15:20" x14ac:dyDescent="0.25">
      <c r="O4637">
        <v>1</v>
      </c>
      <c r="S4637" t="e">
        <v>#DIV/0!</v>
      </c>
      <c r="T4637" t="s">
        <v>82</v>
      </c>
    </row>
    <row r="4638" spans="15:20" x14ac:dyDescent="0.25">
      <c r="O4638">
        <v>1</v>
      </c>
      <c r="S4638" t="e">
        <v>#DIV/0!</v>
      </c>
      <c r="T4638" t="s">
        <v>82</v>
      </c>
    </row>
    <row r="4639" spans="15:20" x14ac:dyDescent="0.25">
      <c r="O4639">
        <v>1</v>
      </c>
      <c r="S4639" t="e">
        <v>#DIV/0!</v>
      </c>
      <c r="T4639" t="s">
        <v>82</v>
      </c>
    </row>
    <row r="4640" spans="15:20" x14ac:dyDescent="0.25">
      <c r="O4640">
        <v>1</v>
      </c>
      <c r="S4640" t="e">
        <v>#DIV/0!</v>
      </c>
      <c r="T4640" t="s">
        <v>82</v>
      </c>
    </row>
    <row r="4641" spans="15:20" x14ac:dyDescent="0.25">
      <c r="O4641">
        <v>1</v>
      </c>
      <c r="S4641" t="e">
        <v>#DIV/0!</v>
      </c>
      <c r="T4641" t="s">
        <v>82</v>
      </c>
    </row>
    <row r="4642" spans="15:20" x14ac:dyDescent="0.25">
      <c r="O4642">
        <v>1</v>
      </c>
      <c r="S4642" t="e">
        <v>#DIV/0!</v>
      </c>
      <c r="T4642" t="s">
        <v>82</v>
      </c>
    </row>
    <row r="4643" spans="15:20" x14ac:dyDescent="0.25">
      <c r="O4643">
        <v>1</v>
      </c>
      <c r="S4643" t="e">
        <v>#DIV/0!</v>
      </c>
      <c r="T4643" t="s">
        <v>82</v>
      </c>
    </row>
    <row r="4644" spans="15:20" x14ac:dyDescent="0.25">
      <c r="O4644">
        <v>1</v>
      </c>
      <c r="S4644" t="e">
        <v>#DIV/0!</v>
      </c>
      <c r="T4644" t="s">
        <v>82</v>
      </c>
    </row>
    <row r="4645" spans="15:20" x14ac:dyDescent="0.25">
      <c r="O4645">
        <v>1</v>
      </c>
      <c r="S4645" t="e">
        <v>#DIV/0!</v>
      </c>
      <c r="T4645" t="s">
        <v>82</v>
      </c>
    </row>
    <row r="4646" spans="15:20" x14ac:dyDescent="0.25">
      <c r="O4646">
        <v>1</v>
      </c>
      <c r="S4646" t="e">
        <v>#DIV/0!</v>
      </c>
      <c r="T4646" t="s">
        <v>82</v>
      </c>
    </row>
    <row r="4647" spans="15:20" x14ac:dyDescent="0.25">
      <c r="O4647">
        <v>1</v>
      </c>
      <c r="S4647" t="e">
        <v>#DIV/0!</v>
      </c>
      <c r="T4647" t="s">
        <v>82</v>
      </c>
    </row>
    <row r="4648" spans="15:20" x14ac:dyDescent="0.25">
      <c r="O4648">
        <v>1</v>
      </c>
      <c r="S4648" t="e">
        <v>#DIV/0!</v>
      </c>
      <c r="T4648" t="s">
        <v>82</v>
      </c>
    </row>
    <row r="4649" spans="15:20" x14ac:dyDescent="0.25">
      <c r="O4649">
        <v>1</v>
      </c>
      <c r="S4649" t="e">
        <v>#DIV/0!</v>
      </c>
      <c r="T4649" t="s">
        <v>82</v>
      </c>
    </row>
    <row r="4650" spans="15:20" x14ac:dyDescent="0.25">
      <c r="O4650">
        <v>1</v>
      </c>
      <c r="S4650" t="e">
        <v>#DIV/0!</v>
      </c>
      <c r="T4650" t="s">
        <v>82</v>
      </c>
    </row>
    <row r="4651" spans="15:20" x14ac:dyDescent="0.25">
      <c r="O4651">
        <v>1</v>
      </c>
      <c r="S4651" t="e">
        <v>#DIV/0!</v>
      </c>
      <c r="T4651" t="s">
        <v>82</v>
      </c>
    </row>
    <row r="4652" spans="15:20" x14ac:dyDescent="0.25">
      <c r="O4652">
        <v>1</v>
      </c>
      <c r="S4652" t="e">
        <v>#DIV/0!</v>
      </c>
      <c r="T4652" t="s">
        <v>82</v>
      </c>
    </row>
    <row r="4653" spans="15:20" x14ac:dyDescent="0.25">
      <c r="O4653">
        <v>1</v>
      </c>
      <c r="S4653" t="e">
        <v>#DIV/0!</v>
      </c>
      <c r="T4653" t="s">
        <v>82</v>
      </c>
    </row>
    <row r="4654" spans="15:20" x14ac:dyDescent="0.25">
      <c r="O4654">
        <v>1</v>
      </c>
      <c r="S4654" t="e">
        <v>#DIV/0!</v>
      </c>
      <c r="T4654" t="s">
        <v>82</v>
      </c>
    </row>
    <row r="4655" spans="15:20" x14ac:dyDescent="0.25">
      <c r="O4655">
        <v>1</v>
      </c>
      <c r="S4655" t="e">
        <v>#DIV/0!</v>
      </c>
      <c r="T4655" t="s">
        <v>82</v>
      </c>
    </row>
    <row r="4656" spans="15:20" x14ac:dyDescent="0.25">
      <c r="O4656">
        <v>1</v>
      </c>
      <c r="S4656" t="e">
        <v>#DIV/0!</v>
      </c>
      <c r="T4656" t="s">
        <v>82</v>
      </c>
    </row>
    <row r="4657" spans="15:20" x14ac:dyDescent="0.25">
      <c r="O4657">
        <v>1</v>
      </c>
      <c r="S4657" t="e">
        <v>#DIV/0!</v>
      </c>
      <c r="T4657" t="s">
        <v>82</v>
      </c>
    </row>
    <row r="4658" spans="15:20" x14ac:dyDescent="0.25">
      <c r="O4658">
        <v>1</v>
      </c>
      <c r="S4658" t="e">
        <v>#DIV/0!</v>
      </c>
      <c r="T4658" t="s">
        <v>82</v>
      </c>
    </row>
    <row r="4659" spans="15:20" x14ac:dyDescent="0.25">
      <c r="O4659">
        <v>1</v>
      </c>
      <c r="S4659" t="e">
        <v>#DIV/0!</v>
      </c>
      <c r="T4659" t="s">
        <v>82</v>
      </c>
    </row>
    <row r="4660" spans="15:20" x14ac:dyDescent="0.25">
      <c r="O4660">
        <v>1</v>
      </c>
      <c r="S4660" t="e">
        <v>#DIV/0!</v>
      </c>
      <c r="T4660" t="s">
        <v>82</v>
      </c>
    </row>
    <row r="4661" spans="15:20" x14ac:dyDescent="0.25">
      <c r="O4661">
        <v>1</v>
      </c>
      <c r="S4661" t="e">
        <v>#DIV/0!</v>
      </c>
      <c r="T4661" t="s">
        <v>82</v>
      </c>
    </row>
    <row r="4662" spans="15:20" x14ac:dyDescent="0.25">
      <c r="O4662">
        <v>1</v>
      </c>
      <c r="S4662" t="e">
        <v>#DIV/0!</v>
      </c>
      <c r="T4662" t="s">
        <v>82</v>
      </c>
    </row>
    <row r="4663" spans="15:20" x14ac:dyDescent="0.25">
      <c r="O4663">
        <v>1</v>
      </c>
      <c r="S4663" t="e">
        <v>#DIV/0!</v>
      </c>
      <c r="T4663" t="s">
        <v>82</v>
      </c>
    </row>
    <row r="4664" spans="15:20" x14ac:dyDescent="0.25">
      <c r="O4664">
        <v>1</v>
      </c>
      <c r="S4664" t="e">
        <v>#DIV/0!</v>
      </c>
      <c r="T4664" t="s">
        <v>82</v>
      </c>
    </row>
    <row r="4665" spans="15:20" x14ac:dyDescent="0.25">
      <c r="O4665">
        <v>1</v>
      </c>
      <c r="S4665" t="e">
        <v>#DIV/0!</v>
      </c>
      <c r="T4665" t="s">
        <v>82</v>
      </c>
    </row>
    <row r="4666" spans="15:20" x14ac:dyDescent="0.25">
      <c r="O4666">
        <v>1</v>
      </c>
      <c r="S4666" t="e">
        <v>#DIV/0!</v>
      </c>
      <c r="T4666" t="s">
        <v>82</v>
      </c>
    </row>
    <row r="4667" spans="15:20" x14ac:dyDescent="0.25">
      <c r="O4667">
        <v>1</v>
      </c>
      <c r="S4667" t="e">
        <v>#DIV/0!</v>
      </c>
      <c r="T4667" t="s">
        <v>82</v>
      </c>
    </row>
    <row r="4668" spans="15:20" x14ac:dyDescent="0.25">
      <c r="O4668">
        <v>1</v>
      </c>
      <c r="S4668" t="e">
        <v>#DIV/0!</v>
      </c>
      <c r="T4668" t="s">
        <v>82</v>
      </c>
    </row>
    <row r="4669" spans="15:20" x14ac:dyDescent="0.25">
      <c r="O4669">
        <v>1</v>
      </c>
      <c r="S4669" t="e">
        <v>#DIV/0!</v>
      </c>
      <c r="T4669" t="s">
        <v>82</v>
      </c>
    </row>
    <row r="4670" spans="15:20" x14ac:dyDescent="0.25">
      <c r="O4670">
        <v>1</v>
      </c>
      <c r="S4670" t="e">
        <v>#DIV/0!</v>
      </c>
      <c r="T4670" t="s">
        <v>82</v>
      </c>
    </row>
    <row r="4671" spans="15:20" x14ac:dyDescent="0.25">
      <c r="O4671">
        <v>1</v>
      </c>
      <c r="S4671" t="e">
        <v>#DIV/0!</v>
      </c>
      <c r="T4671" t="s">
        <v>82</v>
      </c>
    </row>
    <row r="4672" spans="15:20" x14ac:dyDescent="0.25">
      <c r="O4672">
        <v>1</v>
      </c>
      <c r="S4672" t="e">
        <v>#DIV/0!</v>
      </c>
      <c r="T4672" t="s">
        <v>82</v>
      </c>
    </row>
    <row r="4673" spans="15:20" x14ac:dyDescent="0.25">
      <c r="O4673">
        <v>1</v>
      </c>
      <c r="S4673" t="e">
        <v>#DIV/0!</v>
      </c>
      <c r="T4673" t="s">
        <v>82</v>
      </c>
    </row>
    <row r="4674" spans="15:20" x14ac:dyDescent="0.25">
      <c r="O4674">
        <v>1</v>
      </c>
      <c r="S4674" t="e">
        <v>#DIV/0!</v>
      </c>
      <c r="T4674" t="s">
        <v>82</v>
      </c>
    </row>
    <row r="4675" spans="15:20" x14ac:dyDescent="0.25">
      <c r="O4675">
        <v>1</v>
      </c>
      <c r="S4675" t="e">
        <v>#DIV/0!</v>
      </c>
      <c r="T4675" t="s">
        <v>82</v>
      </c>
    </row>
    <row r="4676" spans="15:20" x14ac:dyDescent="0.25">
      <c r="O4676">
        <v>1</v>
      </c>
      <c r="S4676" t="e">
        <v>#DIV/0!</v>
      </c>
      <c r="T4676" t="s">
        <v>82</v>
      </c>
    </row>
    <row r="4677" spans="15:20" x14ac:dyDescent="0.25">
      <c r="O4677">
        <v>1</v>
      </c>
      <c r="S4677" t="e">
        <v>#DIV/0!</v>
      </c>
      <c r="T4677" t="s">
        <v>82</v>
      </c>
    </row>
    <row r="4678" spans="15:20" x14ac:dyDescent="0.25">
      <c r="O4678">
        <v>1</v>
      </c>
      <c r="S4678" t="e">
        <v>#DIV/0!</v>
      </c>
      <c r="T4678" t="s">
        <v>82</v>
      </c>
    </row>
    <row r="4679" spans="15:20" x14ac:dyDescent="0.25">
      <c r="O4679">
        <v>1</v>
      </c>
      <c r="S4679" t="e">
        <v>#DIV/0!</v>
      </c>
      <c r="T4679" t="s">
        <v>82</v>
      </c>
    </row>
    <row r="4680" spans="15:20" x14ac:dyDescent="0.25">
      <c r="O4680">
        <v>1</v>
      </c>
      <c r="S4680" t="e">
        <v>#DIV/0!</v>
      </c>
      <c r="T4680" t="s">
        <v>82</v>
      </c>
    </row>
    <row r="4681" spans="15:20" x14ac:dyDescent="0.25">
      <c r="O4681">
        <v>1</v>
      </c>
      <c r="S4681" t="e">
        <v>#DIV/0!</v>
      </c>
      <c r="T4681" t="s">
        <v>82</v>
      </c>
    </row>
    <row r="4682" spans="15:20" x14ac:dyDescent="0.25">
      <c r="O4682">
        <v>1</v>
      </c>
      <c r="S4682" t="e">
        <v>#DIV/0!</v>
      </c>
      <c r="T4682" t="s">
        <v>82</v>
      </c>
    </row>
    <row r="4683" spans="15:20" x14ac:dyDescent="0.25">
      <c r="O4683">
        <v>1</v>
      </c>
      <c r="S4683" t="e">
        <v>#DIV/0!</v>
      </c>
      <c r="T4683" t="s">
        <v>82</v>
      </c>
    </row>
    <row r="4684" spans="15:20" x14ac:dyDescent="0.25">
      <c r="O4684">
        <v>1</v>
      </c>
      <c r="S4684" t="e">
        <v>#DIV/0!</v>
      </c>
      <c r="T4684" t="s">
        <v>82</v>
      </c>
    </row>
    <row r="4685" spans="15:20" x14ac:dyDescent="0.25">
      <c r="O4685">
        <v>1</v>
      </c>
      <c r="S4685" t="e">
        <v>#DIV/0!</v>
      </c>
      <c r="T4685" t="s">
        <v>82</v>
      </c>
    </row>
    <row r="4686" spans="15:20" x14ac:dyDescent="0.25">
      <c r="O4686">
        <v>1</v>
      </c>
      <c r="S4686" t="e">
        <v>#DIV/0!</v>
      </c>
      <c r="T4686" t="s">
        <v>82</v>
      </c>
    </row>
    <row r="4687" spans="15:20" x14ac:dyDescent="0.25">
      <c r="O4687">
        <v>1</v>
      </c>
      <c r="S4687" t="e">
        <v>#DIV/0!</v>
      </c>
      <c r="T4687" t="s">
        <v>82</v>
      </c>
    </row>
    <row r="4688" spans="15:20" x14ac:dyDescent="0.25">
      <c r="O4688">
        <v>1</v>
      </c>
      <c r="S4688" t="e">
        <v>#DIV/0!</v>
      </c>
      <c r="T4688" t="s">
        <v>82</v>
      </c>
    </row>
    <row r="4689" spans="15:20" x14ac:dyDescent="0.25">
      <c r="O4689">
        <v>1</v>
      </c>
      <c r="S4689" t="e">
        <v>#DIV/0!</v>
      </c>
      <c r="T4689" t="s">
        <v>82</v>
      </c>
    </row>
    <row r="4690" spans="15:20" x14ac:dyDescent="0.25">
      <c r="O4690">
        <v>1</v>
      </c>
      <c r="S4690" t="e">
        <v>#DIV/0!</v>
      </c>
      <c r="T4690" t="s">
        <v>82</v>
      </c>
    </row>
    <row r="4691" spans="15:20" x14ac:dyDescent="0.25">
      <c r="O4691">
        <v>1</v>
      </c>
      <c r="S4691" t="e">
        <v>#DIV/0!</v>
      </c>
      <c r="T4691" t="s">
        <v>82</v>
      </c>
    </row>
    <row r="4692" spans="15:20" x14ac:dyDescent="0.25">
      <c r="O4692">
        <v>1</v>
      </c>
      <c r="S4692" t="e">
        <v>#DIV/0!</v>
      </c>
      <c r="T4692" t="s">
        <v>82</v>
      </c>
    </row>
    <row r="4693" spans="15:20" x14ac:dyDescent="0.25">
      <c r="O4693">
        <v>1</v>
      </c>
      <c r="S4693" t="e">
        <v>#DIV/0!</v>
      </c>
      <c r="T4693" t="s">
        <v>82</v>
      </c>
    </row>
    <row r="4694" spans="15:20" x14ac:dyDescent="0.25">
      <c r="O4694">
        <v>1</v>
      </c>
      <c r="S4694" t="e">
        <v>#DIV/0!</v>
      </c>
      <c r="T4694" t="s">
        <v>82</v>
      </c>
    </row>
    <row r="4695" spans="15:20" x14ac:dyDescent="0.25">
      <c r="O4695">
        <v>1</v>
      </c>
      <c r="S4695" t="e">
        <v>#DIV/0!</v>
      </c>
      <c r="T4695" t="s">
        <v>82</v>
      </c>
    </row>
    <row r="4696" spans="15:20" x14ac:dyDescent="0.25">
      <c r="O4696">
        <v>1</v>
      </c>
      <c r="S4696" t="e">
        <v>#DIV/0!</v>
      </c>
      <c r="T4696" t="s">
        <v>82</v>
      </c>
    </row>
    <row r="4697" spans="15:20" x14ac:dyDescent="0.25">
      <c r="O4697">
        <v>1</v>
      </c>
      <c r="S4697" t="e">
        <v>#DIV/0!</v>
      </c>
      <c r="T4697" t="s">
        <v>82</v>
      </c>
    </row>
    <row r="4698" spans="15:20" x14ac:dyDescent="0.25">
      <c r="O4698">
        <v>1</v>
      </c>
      <c r="S4698" t="e">
        <v>#DIV/0!</v>
      </c>
      <c r="T4698" t="s">
        <v>82</v>
      </c>
    </row>
    <row r="4699" spans="15:20" x14ac:dyDescent="0.25">
      <c r="O4699">
        <v>1</v>
      </c>
      <c r="S4699" t="e">
        <v>#DIV/0!</v>
      </c>
      <c r="T4699" t="s">
        <v>82</v>
      </c>
    </row>
    <row r="4700" spans="15:20" x14ac:dyDescent="0.25">
      <c r="O4700">
        <v>1</v>
      </c>
      <c r="S4700" t="e">
        <v>#DIV/0!</v>
      </c>
      <c r="T4700" t="s">
        <v>82</v>
      </c>
    </row>
    <row r="4701" spans="15:20" x14ac:dyDescent="0.25">
      <c r="O4701">
        <v>1</v>
      </c>
      <c r="S4701" t="e">
        <v>#DIV/0!</v>
      </c>
      <c r="T4701" t="s">
        <v>82</v>
      </c>
    </row>
    <row r="4702" spans="15:20" x14ac:dyDescent="0.25">
      <c r="O4702">
        <v>1</v>
      </c>
      <c r="S4702" t="e">
        <v>#DIV/0!</v>
      </c>
      <c r="T4702" t="s">
        <v>82</v>
      </c>
    </row>
    <row r="4703" spans="15:20" x14ac:dyDescent="0.25">
      <c r="O4703">
        <v>1</v>
      </c>
      <c r="S4703" t="e">
        <v>#DIV/0!</v>
      </c>
      <c r="T4703" t="s">
        <v>82</v>
      </c>
    </row>
    <row r="4704" spans="15:20" x14ac:dyDescent="0.25">
      <c r="O4704">
        <v>1</v>
      </c>
      <c r="S4704" t="e">
        <v>#DIV/0!</v>
      </c>
      <c r="T4704" t="s">
        <v>82</v>
      </c>
    </row>
    <row r="4705" spans="15:20" x14ac:dyDescent="0.25">
      <c r="O4705">
        <v>1</v>
      </c>
      <c r="S4705" t="e">
        <v>#DIV/0!</v>
      </c>
      <c r="T4705" t="s">
        <v>82</v>
      </c>
    </row>
    <row r="4706" spans="15:20" x14ac:dyDescent="0.25">
      <c r="O4706">
        <v>1</v>
      </c>
      <c r="S4706" t="e">
        <v>#DIV/0!</v>
      </c>
      <c r="T4706" t="s">
        <v>82</v>
      </c>
    </row>
    <row r="4707" spans="15:20" x14ac:dyDescent="0.25">
      <c r="O4707">
        <v>1</v>
      </c>
      <c r="S4707" t="e">
        <v>#DIV/0!</v>
      </c>
      <c r="T4707" t="s">
        <v>82</v>
      </c>
    </row>
    <row r="4708" spans="15:20" x14ac:dyDescent="0.25">
      <c r="O4708">
        <v>1</v>
      </c>
      <c r="S4708" t="e">
        <v>#DIV/0!</v>
      </c>
      <c r="T4708" t="s">
        <v>82</v>
      </c>
    </row>
    <row r="4709" spans="15:20" x14ac:dyDescent="0.25">
      <c r="O4709">
        <v>1</v>
      </c>
      <c r="S4709" t="e">
        <v>#DIV/0!</v>
      </c>
      <c r="T4709" t="s">
        <v>82</v>
      </c>
    </row>
    <row r="4710" spans="15:20" x14ac:dyDescent="0.25">
      <c r="O4710">
        <v>1</v>
      </c>
      <c r="S4710" t="e">
        <v>#DIV/0!</v>
      </c>
      <c r="T4710" t="s">
        <v>82</v>
      </c>
    </row>
    <row r="4711" spans="15:20" x14ac:dyDescent="0.25">
      <c r="O4711">
        <v>1</v>
      </c>
      <c r="S4711" t="e">
        <v>#DIV/0!</v>
      </c>
      <c r="T4711" t="s">
        <v>82</v>
      </c>
    </row>
    <row r="4712" spans="15:20" x14ac:dyDescent="0.25">
      <c r="O4712">
        <v>1</v>
      </c>
      <c r="S4712" t="e">
        <v>#DIV/0!</v>
      </c>
      <c r="T4712" t="s">
        <v>82</v>
      </c>
    </row>
    <row r="4713" spans="15:20" x14ac:dyDescent="0.25">
      <c r="O4713">
        <v>1</v>
      </c>
      <c r="S4713" t="e">
        <v>#DIV/0!</v>
      </c>
      <c r="T4713" t="s">
        <v>82</v>
      </c>
    </row>
    <row r="4714" spans="15:20" x14ac:dyDescent="0.25">
      <c r="O4714">
        <v>1</v>
      </c>
      <c r="S4714" t="e">
        <v>#DIV/0!</v>
      </c>
      <c r="T4714" t="s">
        <v>82</v>
      </c>
    </row>
    <row r="4715" spans="15:20" x14ac:dyDescent="0.25">
      <c r="O4715">
        <v>1</v>
      </c>
      <c r="S4715" t="e">
        <v>#DIV/0!</v>
      </c>
      <c r="T4715" t="s">
        <v>82</v>
      </c>
    </row>
    <row r="4716" spans="15:20" x14ac:dyDescent="0.25">
      <c r="O4716">
        <v>1</v>
      </c>
      <c r="S4716" t="e">
        <v>#DIV/0!</v>
      </c>
      <c r="T4716" t="s">
        <v>82</v>
      </c>
    </row>
    <row r="4717" spans="15:20" x14ac:dyDescent="0.25">
      <c r="O4717">
        <v>1</v>
      </c>
      <c r="S4717" t="e">
        <v>#DIV/0!</v>
      </c>
      <c r="T4717" t="s">
        <v>82</v>
      </c>
    </row>
    <row r="4718" spans="15:20" x14ac:dyDescent="0.25">
      <c r="O4718">
        <v>1</v>
      </c>
      <c r="S4718" t="e">
        <v>#DIV/0!</v>
      </c>
      <c r="T4718" t="s">
        <v>82</v>
      </c>
    </row>
    <row r="4719" spans="15:20" x14ac:dyDescent="0.25">
      <c r="O4719">
        <v>1</v>
      </c>
      <c r="S4719" t="e">
        <v>#DIV/0!</v>
      </c>
      <c r="T4719" t="s">
        <v>82</v>
      </c>
    </row>
    <row r="4720" spans="15:20" x14ac:dyDescent="0.25">
      <c r="O4720">
        <v>1</v>
      </c>
      <c r="S4720" t="e">
        <v>#DIV/0!</v>
      </c>
      <c r="T4720" t="s">
        <v>82</v>
      </c>
    </row>
    <row r="4721" spans="15:20" x14ac:dyDescent="0.25">
      <c r="O4721">
        <v>1</v>
      </c>
      <c r="S4721" t="e">
        <v>#DIV/0!</v>
      </c>
      <c r="T4721" t="s">
        <v>82</v>
      </c>
    </row>
    <row r="4722" spans="15:20" x14ac:dyDescent="0.25">
      <c r="O4722">
        <v>1</v>
      </c>
      <c r="S4722" t="e">
        <v>#DIV/0!</v>
      </c>
      <c r="T4722" t="s">
        <v>82</v>
      </c>
    </row>
    <row r="4723" spans="15:20" x14ac:dyDescent="0.25">
      <c r="O4723">
        <v>1</v>
      </c>
      <c r="S4723" t="e">
        <v>#DIV/0!</v>
      </c>
      <c r="T4723" t="s">
        <v>82</v>
      </c>
    </row>
    <row r="4724" spans="15:20" x14ac:dyDescent="0.25">
      <c r="O4724">
        <v>1</v>
      </c>
      <c r="S4724" t="e">
        <v>#DIV/0!</v>
      </c>
      <c r="T4724" t="s">
        <v>82</v>
      </c>
    </row>
    <row r="4725" spans="15:20" x14ac:dyDescent="0.25">
      <c r="O4725">
        <v>1</v>
      </c>
      <c r="S4725" t="e">
        <v>#DIV/0!</v>
      </c>
      <c r="T4725" t="s">
        <v>82</v>
      </c>
    </row>
    <row r="4726" spans="15:20" x14ac:dyDescent="0.25">
      <c r="O4726">
        <v>1</v>
      </c>
      <c r="S4726" t="e">
        <v>#DIV/0!</v>
      </c>
      <c r="T4726" t="s">
        <v>82</v>
      </c>
    </row>
    <row r="4727" spans="15:20" x14ac:dyDescent="0.25">
      <c r="O4727">
        <v>1</v>
      </c>
      <c r="S4727" t="e">
        <v>#DIV/0!</v>
      </c>
      <c r="T4727" t="s">
        <v>82</v>
      </c>
    </row>
    <row r="4728" spans="15:20" x14ac:dyDescent="0.25">
      <c r="O4728">
        <v>1</v>
      </c>
      <c r="S4728" t="e">
        <v>#DIV/0!</v>
      </c>
      <c r="T4728" t="s">
        <v>82</v>
      </c>
    </row>
    <row r="4729" spans="15:20" x14ac:dyDescent="0.25">
      <c r="O4729">
        <v>1</v>
      </c>
      <c r="S4729" t="e">
        <v>#DIV/0!</v>
      </c>
      <c r="T4729" t="s">
        <v>82</v>
      </c>
    </row>
    <row r="4730" spans="15:20" x14ac:dyDescent="0.25">
      <c r="O4730">
        <v>1</v>
      </c>
      <c r="S4730" t="e">
        <v>#DIV/0!</v>
      </c>
      <c r="T4730" t="s">
        <v>82</v>
      </c>
    </row>
    <row r="4731" spans="15:20" x14ac:dyDescent="0.25">
      <c r="O4731">
        <v>1</v>
      </c>
      <c r="S4731" t="e">
        <v>#DIV/0!</v>
      </c>
      <c r="T4731" t="s">
        <v>82</v>
      </c>
    </row>
    <row r="4732" spans="15:20" x14ac:dyDescent="0.25">
      <c r="O4732">
        <v>1</v>
      </c>
      <c r="S4732" t="e">
        <v>#DIV/0!</v>
      </c>
      <c r="T4732" t="s">
        <v>82</v>
      </c>
    </row>
    <row r="4733" spans="15:20" x14ac:dyDescent="0.25">
      <c r="O4733">
        <v>1</v>
      </c>
      <c r="S4733" t="e">
        <v>#DIV/0!</v>
      </c>
      <c r="T4733" t="s">
        <v>82</v>
      </c>
    </row>
    <row r="4734" spans="15:20" x14ac:dyDescent="0.25">
      <c r="O4734">
        <v>1</v>
      </c>
      <c r="S4734" t="e">
        <v>#DIV/0!</v>
      </c>
      <c r="T4734" t="s">
        <v>82</v>
      </c>
    </row>
    <row r="4735" spans="15:20" x14ac:dyDescent="0.25">
      <c r="O4735">
        <v>1</v>
      </c>
      <c r="S4735" t="e">
        <v>#DIV/0!</v>
      </c>
      <c r="T4735" t="s">
        <v>82</v>
      </c>
    </row>
    <row r="4736" spans="15:20" x14ac:dyDescent="0.25">
      <c r="O4736">
        <v>1</v>
      </c>
      <c r="S4736" t="e">
        <v>#DIV/0!</v>
      </c>
      <c r="T4736" t="s">
        <v>82</v>
      </c>
    </row>
    <row r="4737" spans="15:20" x14ac:dyDescent="0.25">
      <c r="O4737">
        <v>1</v>
      </c>
      <c r="S4737" t="e">
        <v>#DIV/0!</v>
      </c>
      <c r="T4737" t="s">
        <v>82</v>
      </c>
    </row>
    <row r="4738" spans="15:20" x14ac:dyDescent="0.25">
      <c r="O4738">
        <v>1</v>
      </c>
      <c r="S4738" t="e">
        <v>#DIV/0!</v>
      </c>
      <c r="T4738" t="s">
        <v>82</v>
      </c>
    </row>
    <row r="4739" spans="15:20" x14ac:dyDescent="0.25">
      <c r="O4739">
        <v>1</v>
      </c>
      <c r="S4739" t="e">
        <v>#DIV/0!</v>
      </c>
      <c r="T4739" t="s">
        <v>82</v>
      </c>
    </row>
    <row r="4740" spans="15:20" x14ac:dyDescent="0.25">
      <c r="O4740">
        <v>1</v>
      </c>
      <c r="S4740" t="e">
        <v>#DIV/0!</v>
      </c>
      <c r="T4740" t="s">
        <v>82</v>
      </c>
    </row>
    <row r="4741" spans="15:20" x14ac:dyDescent="0.25">
      <c r="O4741">
        <v>1</v>
      </c>
      <c r="S4741" t="e">
        <v>#DIV/0!</v>
      </c>
      <c r="T4741" t="s">
        <v>82</v>
      </c>
    </row>
    <row r="4742" spans="15:20" x14ac:dyDescent="0.25">
      <c r="O4742">
        <v>1</v>
      </c>
      <c r="S4742" t="e">
        <v>#DIV/0!</v>
      </c>
      <c r="T4742" t="s">
        <v>82</v>
      </c>
    </row>
    <row r="4743" spans="15:20" x14ac:dyDescent="0.25">
      <c r="O4743">
        <v>1</v>
      </c>
      <c r="S4743" t="e">
        <v>#DIV/0!</v>
      </c>
      <c r="T4743" t="s">
        <v>82</v>
      </c>
    </row>
    <row r="4744" spans="15:20" x14ac:dyDescent="0.25">
      <c r="O4744">
        <v>1</v>
      </c>
      <c r="S4744" t="e">
        <v>#DIV/0!</v>
      </c>
      <c r="T4744" t="s">
        <v>82</v>
      </c>
    </row>
    <row r="4745" spans="15:20" x14ac:dyDescent="0.25">
      <c r="O4745">
        <v>1</v>
      </c>
      <c r="S4745" t="e">
        <v>#DIV/0!</v>
      </c>
      <c r="T4745" t="s">
        <v>82</v>
      </c>
    </row>
    <row r="4746" spans="15:20" x14ac:dyDescent="0.25">
      <c r="O4746">
        <v>1</v>
      </c>
      <c r="S4746" t="e">
        <v>#DIV/0!</v>
      </c>
      <c r="T4746" t="s">
        <v>82</v>
      </c>
    </row>
    <row r="4747" spans="15:20" x14ac:dyDescent="0.25">
      <c r="O4747">
        <v>1</v>
      </c>
      <c r="S4747" t="e">
        <v>#DIV/0!</v>
      </c>
      <c r="T4747" t="s">
        <v>82</v>
      </c>
    </row>
    <row r="4748" spans="15:20" x14ac:dyDescent="0.25">
      <c r="O4748">
        <v>1</v>
      </c>
      <c r="S4748" t="e">
        <v>#DIV/0!</v>
      </c>
      <c r="T4748" t="s">
        <v>82</v>
      </c>
    </row>
    <row r="4749" spans="15:20" x14ac:dyDescent="0.25">
      <c r="O4749">
        <v>1</v>
      </c>
      <c r="S4749" t="e">
        <v>#DIV/0!</v>
      </c>
      <c r="T4749" t="s">
        <v>82</v>
      </c>
    </row>
    <row r="4750" spans="15:20" x14ac:dyDescent="0.25">
      <c r="O4750">
        <v>1</v>
      </c>
      <c r="S4750" t="e">
        <v>#DIV/0!</v>
      </c>
      <c r="T4750" t="s">
        <v>82</v>
      </c>
    </row>
    <row r="4751" spans="15:20" x14ac:dyDescent="0.25">
      <c r="O4751">
        <v>1</v>
      </c>
      <c r="S4751" t="e">
        <v>#DIV/0!</v>
      </c>
      <c r="T4751" t="s">
        <v>82</v>
      </c>
    </row>
    <row r="4752" spans="15:20" x14ac:dyDescent="0.25">
      <c r="O4752">
        <v>1</v>
      </c>
      <c r="S4752" t="e">
        <v>#DIV/0!</v>
      </c>
      <c r="T4752" t="s">
        <v>82</v>
      </c>
    </row>
    <row r="4753" spans="15:20" x14ac:dyDescent="0.25">
      <c r="O4753">
        <v>1</v>
      </c>
      <c r="S4753" t="e">
        <v>#DIV/0!</v>
      </c>
      <c r="T4753" t="s">
        <v>82</v>
      </c>
    </row>
    <row r="4754" spans="15:20" x14ac:dyDescent="0.25">
      <c r="O4754">
        <v>1</v>
      </c>
      <c r="S4754" t="e">
        <v>#DIV/0!</v>
      </c>
      <c r="T4754" t="s">
        <v>82</v>
      </c>
    </row>
    <row r="4755" spans="15:20" x14ac:dyDescent="0.25">
      <c r="O4755">
        <v>1</v>
      </c>
      <c r="S4755" t="e">
        <v>#DIV/0!</v>
      </c>
      <c r="T4755" t="s">
        <v>82</v>
      </c>
    </row>
    <row r="4756" spans="15:20" x14ac:dyDescent="0.25">
      <c r="O4756">
        <v>1</v>
      </c>
      <c r="S4756" t="e">
        <v>#DIV/0!</v>
      </c>
      <c r="T4756" t="s">
        <v>82</v>
      </c>
    </row>
    <row r="4757" spans="15:20" x14ac:dyDescent="0.25">
      <c r="O4757">
        <v>1</v>
      </c>
      <c r="S4757" t="e">
        <v>#DIV/0!</v>
      </c>
      <c r="T4757" t="s">
        <v>82</v>
      </c>
    </row>
    <row r="4758" spans="15:20" x14ac:dyDescent="0.25">
      <c r="O4758">
        <v>1</v>
      </c>
      <c r="S4758" t="e">
        <v>#DIV/0!</v>
      </c>
      <c r="T4758" t="s">
        <v>82</v>
      </c>
    </row>
    <row r="4759" spans="15:20" x14ac:dyDescent="0.25">
      <c r="O4759">
        <v>1</v>
      </c>
      <c r="S4759" t="e">
        <v>#DIV/0!</v>
      </c>
      <c r="T4759" t="s">
        <v>82</v>
      </c>
    </row>
    <row r="4760" spans="15:20" x14ac:dyDescent="0.25">
      <c r="O4760">
        <v>1</v>
      </c>
      <c r="S4760" t="e">
        <v>#DIV/0!</v>
      </c>
      <c r="T4760" t="s">
        <v>82</v>
      </c>
    </row>
    <row r="4761" spans="15:20" x14ac:dyDescent="0.25">
      <c r="O4761">
        <v>1</v>
      </c>
      <c r="S4761" t="e">
        <v>#DIV/0!</v>
      </c>
      <c r="T4761" t="s">
        <v>82</v>
      </c>
    </row>
    <row r="4762" spans="15:20" x14ac:dyDescent="0.25">
      <c r="O4762">
        <v>1</v>
      </c>
      <c r="S4762" t="e">
        <v>#DIV/0!</v>
      </c>
      <c r="T4762" t="s">
        <v>82</v>
      </c>
    </row>
    <row r="4763" spans="15:20" x14ac:dyDescent="0.25">
      <c r="O4763">
        <v>1</v>
      </c>
      <c r="S4763" t="e">
        <v>#DIV/0!</v>
      </c>
      <c r="T4763" t="s">
        <v>82</v>
      </c>
    </row>
    <row r="4764" spans="15:20" x14ac:dyDescent="0.25">
      <c r="O4764">
        <v>1</v>
      </c>
      <c r="S4764" t="e">
        <v>#DIV/0!</v>
      </c>
      <c r="T4764" t="s">
        <v>82</v>
      </c>
    </row>
    <row r="4765" spans="15:20" x14ac:dyDescent="0.25">
      <c r="O4765">
        <v>1</v>
      </c>
      <c r="S4765" t="e">
        <v>#DIV/0!</v>
      </c>
      <c r="T4765" t="s">
        <v>82</v>
      </c>
    </row>
    <row r="4766" spans="15:20" x14ac:dyDescent="0.25">
      <c r="O4766">
        <v>1</v>
      </c>
      <c r="S4766" t="e">
        <v>#DIV/0!</v>
      </c>
      <c r="T4766" t="s">
        <v>82</v>
      </c>
    </row>
    <row r="4767" spans="15:20" x14ac:dyDescent="0.25">
      <c r="O4767">
        <v>1</v>
      </c>
      <c r="S4767" t="e">
        <v>#DIV/0!</v>
      </c>
      <c r="T4767" t="s">
        <v>82</v>
      </c>
    </row>
    <row r="4768" spans="15:20" x14ac:dyDescent="0.25">
      <c r="O4768">
        <v>1</v>
      </c>
      <c r="S4768" t="e">
        <v>#DIV/0!</v>
      </c>
      <c r="T4768" t="s">
        <v>82</v>
      </c>
    </row>
    <row r="4769" spans="15:20" x14ac:dyDescent="0.25">
      <c r="O4769">
        <v>1</v>
      </c>
      <c r="S4769" t="e">
        <v>#DIV/0!</v>
      </c>
      <c r="T4769" t="s">
        <v>82</v>
      </c>
    </row>
    <row r="4770" spans="15:20" x14ac:dyDescent="0.25">
      <c r="O4770">
        <v>1</v>
      </c>
      <c r="S4770" t="e">
        <v>#DIV/0!</v>
      </c>
      <c r="T4770" t="s">
        <v>82</v>
      </c>
    </row>
    <row r="4771" spans="15:20" x14ac:dyDescent="0.25">
      <c r="O4771">
        <v>1</v>
      </c>
      <c r="S4771" t="e">
        <v>#DIV/0!</v>
      </c>
      <c r="T4771" t="s">
        <v>82</v>
      </c>
    </row>
    <row r="4772" spans="15:20" x14ac:dyDescent="0.25">
      <c r="O4772">
        <v>1</v>
      </c>
      <c r="S4772" t="e">
        <v>#DIV/0!</v>
      </c>
      <c r="T4772" t="s">
        <v>82</v>
      </c>
    </row>
    <row r="4773" spans="15:20" x14ac:dyDescent="0.25">
      <c r="O4773">
        <v>1</v>
      </c>
      <c r="S4773" t="e">
        <v>#DIV/0!</v>
      </c>
      <c r="T4773" t="s">
        <v>82</v>
      </c>
    </row>
    <row r="4774" spans="15:20" x14ac:dyDescent="0.25">
      <c r="O4774">
        <v>1</v>
      </c>
      <c r="S4774" t="e">
        <v>#DIV/0!</v>
      </c>
      <c r="T4774" t="s">
        <v>82</v>
      </c>
    </row>
    <row r="4775" spans="15:20" x14ac:dyDescent="0.25">
      <c r="O4775">
        <v>1</v>
      </c>
      <c r="S4775" t="e">
        <v>#DIV/0!</v>
      </c>
      <c r="T4775" t="s">
        <v>82</v>
      </c>
    </row>
    <row r="4776" spans="15:20" x14ac:dyDescent="0.25">
      <c r="O4776">
        <v>1</v>
      </c>
      <c r="S4776" t="e">
        <v>#DIV/0!</v>
      </c>
      <c r="T4776" t="s">
        <v>82</v>
      </c>
    </row>
    <row r="4777" spans="15:20" x14ac:dyDescent="0.25">
      <c r="O4777">
        <v>1</v>
      </c>
      <c r="S4777" t="e">
        <v>#DIV/0!</v>
      </c>
      <c r="T4777" t="s">
        <v>82</v>
      </c>
    </row>
    <row r="4778" spans="15:20" x14ac:dyDescent="0.25">
      <c r="O4778">
        <v>1</v>
      </c>
      <c r="S4778" t="e">
        <v>#DIV/0!</v>
      </c>
      <c r="T4778" t="s">
        <v>82</v>
      </c>
    </row>
    <row r="4779" spans="15:20" x14ac:dyDescent="0.25">
      <c r="O4779">
        <v>1</v>
      </c>
      <c r="S4779" t="e">
        <v>#DIV/0!</v>
      </c>
      <c r="T4779" t="s">
        <v>82</v>
      </c>
    </row>
    <row r="4780" spans="15:20" x14ac:dyDescent="0.25">
      <c r="O4780">
        <v>1</v>
      </c>
      <c r="S4780" t="e">
        <v>#DIV/0!</v>
      </c>
      <c r="T4780" t="s">
        <v>82</v>
      </c>
    </row>
    <row r="4781" spans="15:20" x14ac:dyDescent="0.25">
      <c r="O4781">
        <v>1</v>
      </c>
      <c r="S4781" t="e">
        <v>#DIV/0!</v>
      </c>
      <c r="T4781" t="s">
        <v>82</v>
      </c>
    </row>
    <row r="4782" spans="15:20" x14ac:dyDescent="0.25">
      <c r="O4782">
        <v>1</v>
      </c>
      <c r="S4782" t="e">
        <v>#DIV/0!</v>
      </c>
      <c r="T4782" t="s">
        <v>82</v>
      </c>
    </row>
    <row r="4783" spans="15:20" x14ac:dyDescent="0.25">
      <c r="O4783">
        <v>1</v>
      </c>
      <c r="S4783" t="e">
        <v>#DIV/0!</v>
      </c>
      <c r="T4783" t="s">
        <v>82</v>
      </c>
    </row>
    <row r="4784" spans="15:20" x14ac:dyDescent="0.25">
      <c r="O4784">
        <v>1</v>
      </c>
      <c r="S4784" t="e">
        <v>#DIV/0!</v>
      </c>
      <c r="T4784" t="s">
        <v>82</v>
      </c>
    </row>
    <row r="4785" spans="15:20" x14ac:dyDescent="0.25">
      <c r="O4785">
        <v>1</v>
      </c>
      <c r="S4785" t="e">
        <v>#DIV/0!</v>
      </c>
      <c r="T4785" t="s">
        <v>82</v>
      </c>
    </row>
    <row r="4786" spans="15:20" x14ac:dyDescent="0.25">
      <c r="O4786">
        <v>1</v>
      </c>
      <c r="S4786" t="e">
        <v>#DIV/0!</v>
      </c>
      <c r="T4786" t="s">
        <v>82</v>
      </c>
    </row>
    <row r="4787" spans="15:20" x14ac:dyDescent="0.25">
      <c r="O4787">
        <v>1</v>
      </c>
      <c r="S4787" t="e">
        <v>#DIV/0!</v>
      </c>
      <c r="T4787" t="s">
        <v>82</v>
      </c>
    </row>
    <row r="4788" spans="15:20" x14ac:dyDescent="0.25">
      <c r="O4788">
        <v>1</v>
      </c>
      <c r="S4788" t="e">
        <v>#DIV/0!</v>
      </c>
      <c r="T4788" t="s">
        <v>82</v>
      </c>
    </row>
    <row r="4789" spans="15:20" x14ac:dyDescent="0.25">
      <c r="O4789">
        <v>1</v>
      </c>
      <c r="S4789" t="e">
        <v>#DIV/0!</v>
      </c>
      <c r="T4789" t="s">
        <v>82</v>
      </c>
    </row>
    <row r="4790" spans="15:20" x14ac:dyDescent="0.25">
      <c r="O4790">
        <v>1</v>
      </c>
      <c r="S4790" t="e">
        <v>#DIV/0!</v>
      </c>
      <c r="T4790" t="s">
        <v>82</v>
      </c>
    </row>
    <row r="4791" spans="15:20" x14ac:dyDescent="0.25">
      <c r="O4791">
        <v>1</v>
      </c>
      <c r="S4791" t="e">
        <v>#DIV/0!</v>
      </c>
      <c r="T4791" t="s">
        <v>82</v>
      </c>
    </row>
    <row r="4792" spans="15:20" x14ac:dyDescent="0.25">
      <c r="O4792">
        <v>1</v>
      </c>
      <c r="S4792" t="e">
        <v>#DIV/0!</v>
      </c>
      <c r="T4792" t="s">
        <v>82</v>
      </c>
    </row>
    <row r="4793" spans="15:20" x14ac:dyDescent="0.25">
      <c r="O4793">
        <v>1</v>
      </c>
      <c r="S4793" t="e">
        <v>#DIV/0!</v>
      </c>
      <c r="T4793" t="s">
        <v>82</v>
      </c>
    </row>
    <row r="4794" spans="15:20" x14ac:dyDescent="0.25">
      <c r="O4794">
        <v>1</v>
      </c>
      <c r="S4794" t="e">
        <v>#DIV/0!</v>
      </c>
      <c r="T4794" t="s">
        <v>82</v>
      </c>
    </row>
    <row r="4795" spans="15:20" x14ac:dyDescent="0.25">
      <c r="O4795">
        <v>1</v>
      </c>
      <c r="S4795" t="e">
        <v>#DIV/0!</v>
      </c>
      <c r="T4795" t="s">
        <v>82</v>
      </c>
    </row>
    <row r="4796" spans="15:20" x14ac:dyDescent="0.25">
      <c r="O4796">
        <v>1</v>
      </c>
      <c r="S4796" t="e">
        <v>#DIV/0!</v>
      </c>
      <c r="T4796" t="s">
        <v>82</v>
      </c>
    </row>
    <row r="4797" spans="15:20" x14ac:dyDescent="0.25">
      <c r="O4797">
        <v>1</v>
      </c>
      <c r="S4797" t="e">
        <v>#DIV/0!</v>
      </c>
      <c r="T4797" t="s">
        <v>82</v>
      </c>
    </row>
    <row r="4798" spans="15:20" x14ac:dyDescent="0.25">
      <c r="O4798">
        <v>1</v>
      </c>
      <c r="S4798" t="e">
        <v>#DIV/0!</v>
      </c>
      <c r="T4798" t="s">
        <v>82</v>
      </c>
    </row>
    <row r="4799" spans="15:20" x14ac:dyDescent="0.25">
      <c r="O4799">
        <v>1</v>
      </c>
      <c r="S4799" t="e">
        <v>#DIV/0!</v>
      </c>
      <c r="T4799" t="s">
        <v>82</v>
      </c>
    </row>
    <row r="4800" spans="15:20" x14ac:dyDescent="0.25">
      <c r="O4800">
        <v>1</v>
      </c>
      <c r="S4800" t="e">
        <v>#DIV/0!</v>
      </c>
      <c r="T4800" t="s">
        <v>82</v>
      </c>
    </row>
    <row r="4801" spans="15:20" x14ac:dyDescent="0.25">
      <c r="O4801">
        <v>1</v>
      </c>
      <c r="S4801" t="e">
        <v>#DIV/0!</v>
      </c>
      <c r="T4801" t="s">
        <v>82</v>
      </c>
    </row>
    <row r="4802" spans="15:20" x14ac:dyDescent="0.25">
      <c r="O4802">
        <v>1</v>
      </c>
      <c r="S4802" t="e">
        <v>#DIV/0!</v>
      </c>
      <c r="T4802" t="s">
        <v>82</v>
      </c>
    </row>
    <row r="4803" spans="15:20" x14ac:dyDescent="0.25">
      <c r="O4803">
        <v>1</v>
      </c>
      <c r="S4803" t="e">
        <v>#DIV/0!</v>
      </c>
      <c r="T4803" t="s">
        <v>82</v>
      </c>
    </row>
    <row r="4804" spans="15:20" x14ac:dyDescent="0.25">
      <c r="O4804">
        <v>1</v>
      </c>
      <c r="S4804" t="e">
        <v>#DIV/0!</v>
      </c>
      <c r="T4804" t="s">
        <v>82</v>
      </c>
    </row>
    <row r="4805" spans="15:20" x14ac:dyDescent="0.25">
      <c r="O4805">
        <v>1</v>
      </c>
      <c r="S4805" t="e">
        <v>#DIV/0!</v>
      </c>
      <c r="T4805" t="s">
        <v>82</v>
      </c>
    </row>
    <row r="4806" spans="15:20" x14ac:dyDescent="0.25">
      <c r="O4806">
        <v>1</v>
      </c>
      <c r="S4806" t="e">
        <v>#DIV/0!</v>
      </c>
      <c r="T4806" t="s">
        <v>82</v>
      </c>
    </row>
    <row r="4807" spans="15:20" x14ac:dyDescent="0.25">
      <c r="O4807">
        <v>1</v>
      </c>
      <c r="S4807" t="e">
        <v>#DIV/0!</v>
      </c>
      <c r="T4807" t="s">
        <v>82</v>
      </c>
    </row>
    <row r="4808" spans="15:20" x14ac:dyDescent="0.25">
      <c r="O4808">
        <v>1</v>
      </c>
      <c r="S4808" t="e">
        <v>#DIV/0!</v>
      </c>
      <c r="T4808" t="s">
        <v>82</v>
      </c>
    </row>
    <row r="4809" spans="15:20" x14ac:dyDescent="0.25">
      <c r="O4809">
        <v>1</v>
      </c>
      <c r="S4809" t="e">
        <v>#DIV/0!</v>
      </c>
      <c r="T4809" t="s">
        <v>82</v>
      </c>
    </row>
    <row r="4810" spans="15:20" x14ac:dyDescent="0.25">
      <c r="O4810">
        <v>1</v>
      </c>
      <c r="S4810" t="e">
        <v>#DIV/0!</v>
      </c>
      <c r="T4810" t="s">
        <v>82</v>
      </c>
    </row>
    <row r="4811" spans="15:20" x14ac:dyDescent="0.25">
      <c r="O4811">
        <v>1</v>
      </c>
      <c r="S4811" t="e">
        <v>#DIV/0!</v>
      </c>
      <c r="T4811" t="s">
        <v>82</v>
      </c>
    </row>
    <row r="4812" spans="15:20" x14ac:dyDescent="0.25">
      <c r="O4812">
        <v>1</v>
      </c>
      <c r="S4812" t="e">
        <v>#DIV/0!</v>
      </c>
      <c r="T4812" t="s">
        <v>82</v>
      </c>
    </row>
    <row r="4813" spans="15:20" x14ac:dyDescent="0.25">
      <c r="O4813">
        <v>1</v>
      </c>
      <c r="S4813" t="e">
        <v>#DIV/0!</v>
      </c>
      <c r="T4813" t="s">
        <v>82</v>
      </c>
    </row>
    <row r="4814" spans="15:20" x14ac:dyDescent="0.25">
      <c r="O4814">
        <v>1</v>
      </c>
      <c r="S4814" t="e">
        <v>#DIV/0!</v>
      </c>
      <c r="T4814" t="s">
        <v>82</v>
      </c>
    </row>
    <row r="4815" spans="15:20" x14ac:dyDescent="0.25">
      <c r="O4815">
        <v>1</v>
      </c>
      <c r="S4815" t="e">
        <v>#DIV/0!</v>
      </c>
      <c r="T4815" t="s">
        <v>82</v>
      </c>
    </row>
    <row r="4816" spans="15:20" x14ac:dyDescent="0.25">
      <c r="O4816">
        <v>1</v>
      </c>
      <c r="S4816" t="e">
        <v>#DIV/0!</v>
      </c>
      <c r="T4816" t="s">
        <v>82</v>
      </c>
    </row>
    <row r="4817" spans="15:20" x14ac:dyDescent="0.25">
      <c r="O4817">
        <v>1</v>
      </c>
      <c r="S4817" t="e">
        <v>#DIV/0!</v>
      </c>
      <c r="T4817" t="s">
        <v>82</v>
      </c>
    </row>
    <row r="4818" spans="15:20" x14ac:dyDescent="0.25">
      <c r="O4818">
        <v>1</v>
      </c>
      <c r="S4818" t="e">
        <v>#DIV/0!</v>
      </c>
      <c r="T4818" t="s">
        <v>82</v>
      </c>
    </row>
    <row r="4819" spans="15:20" x14ac:dyDescent="0.25">
      <c r="O4819">
        <v>1</v>
      </c>
      <c r="S4819" t="e">
        <v>#DIV/0!</v>
      </c>
      <c r="T4819" t="s">
        <v>82</v>
      </c>
    </row>
    <row r="4820" spans="15:20" x14ac:dyDescent="0.25">
      <c r="O4820">
        <v>1</v>
      </c>
      <c r="S4820" t="e">
        <v>#DIV/0!</v>
      </c>
      <c r="T4820" t="s">
        <v>82</v>
      </c>
    </row>
    <row r="4821" spans="15:20" x14ac:dyDescent="0.25">
      <c r="O4821">
        <v>1</v>
      </c>
      <c r="S4821" t="e">
        <v>#DIV/0!</v>
      </c>
      <c r="T4821" t="s">
        <v>82</v>
      </c>
    </row>
    <row r="4822" spans="15:20" x14ac:dyDescent="0.25">
      <c r="O4822">
        <v>1</v>
      </c>
      <c r="S4822" t="e">
        <v>#DIV/0!</v>
      </c>
      <c r="T4822" t="s">
        <v>82</v>
      </c>
    </row>
    <row r="4823" spans="15:20" x14ac:dyDescent="0.25">
      <c r="O4823">
        <v>1</v>
      </c>
      <c r="S4823" t="e">
        <v>#DIV/0!</v>
      </c>
      <c r="T4823" t="s">
        <v>82</v>
      </c>
    </row>
    <row r="4824" spans="15:20" x14ac:dyDescent="0.25">
      <c r="O4824">
        <v>1</v>
      </c>
      <c r="S4824" t="e">
        <v>#DIV/0!</v>
      </c>
      <c r="T4824" t="s">
        <v>82</v>
      </c>
    </row>
    <row r="4825" spans="15:20" x14ac:dyDescent="0.25">
      <c r="O4825">
        <v>1</v>
      </c>
      <c r="S4825" t="e">
        <v>#DIV/0!</v>
      </c>
      <c r="T4825" t="s">
        <v>82</v>
      </c>
    </row>
    <row r="4826" spans="15:20" x14ac:dyDescent="0.25">
      <c r="O4826">
        <v>1</v>
      </c>
      <c r="S4826" t="e">
        <v>#DIV/0!</v>
      </c>
      <c r="T4826" t="s">
        <v>82</v>
      </c>
    </row>
    <row r="4827" spans="15:20" x14ac:dyDescent="0.25">
      <c r="O4827">
        <v>1</v>
      </c>
      <c r="S4827" t="e">
        <v>#DIV/0!</v>
      </c>
      <c r="T4827" t="s">
        <v>82</v>
      </c>
    </row>
    <row r="4828" spans="15:20" x14ac:dyDescent="0.25">
      <c r="O4828">
        <v>1</v>
      </c>
      <c r="S4828" t="e">
        <v>#DIV/0!</v>
      </c>
      <c r="T4828" t="s">
        <v>82</v>
      </c>
    </row>
    <row r="4829" spans="15:20" x14ac:dyDescent="0.25">
      <c r="O4829">
        <v>1</v>
      </c>
      <c r="S4829" t="e">
        <v>#DIV/0!</v>
      </c>
      <c r="T4829" t="s">
        <v>82</v>
      </c>
    </row>
    <row r="4830" spans="15:20" x14ac:dyDescent="0.25">
      <c r="O4830">
        <v>1</v>
      </c>
      <c r="S4830" t="e">
        <v>#DIV/0!</v>
      </c>
      <c r="T4830" t="s">
        <v>82</v>
      </c>
    </row>
    <row r="4831" spans="15:20" x14ac:dyDescent="0.25">
      <c r="O4831">
        <v>1</v>
      </c>
      <c r="S4831" t="e">
        <v>#DIV/0!</v>
      </c>
      <c r="T4831" t="s">
        <v>82</v>
      </c>
    </row>
    <row r="4832" spans="15:20" x14ac:dyDescent="0.25">
      <c r="O4832">
        <v>1</v>
      </c>
      <c r="S4832" t="e">
        <v>#DIV/0!</v>
      </c>
      <c r="T4832" t="s">
        <v>82</v>
      </c>
    </row>
    <row r="4833" spans="15:20" x14ac:dyDescent="0.25">
      <c r="O4833">
        <v>1</v>
      </c>
      <c r="S4833" t="e">
        <v>#DIV/0!</v>
      </c>
      <c r="T4833" t="s">
        <v>82</v>
      </c>
    </row>
    <row r="4834" spans="15:20" x14ac:dyDescent="0.25">
      <c r="O4834">
        <v>1</v>
      </c>
      <c r="S4834" t="e">
        <v>#DIV/0!</v>
      </c>
      <c r="T4834" t="s">
        <v>82</v>
      </c>
    </row>
    <row r="4835" spans="15:20" x14ac:dyDescent="0.25">
      <c r="O4835">
        <v>1</v>
      </c>
      <c r="S4835" t="e">
        <v>#DIV/0!</v>
      </c>
      <c r="T4835" t="s">
        <v>82</v>
      </c>
    </row>
    <row r="4836" spans="15:20" x14ac:dyDescent="0.25">
      <c r="O4836">
        <v>1</v>
      </c>
      <c r="S4836" t="e">
        <v>#DIV/0!</v>
      </c>
      <c r="T4836" t="s">
        <v>82</v>
      </c>
    </row>
    <row r="4837" spans="15:20" x14ac:dyDescent="0.25">
      <c r="O4837">
        <v>1</v>
      </c>
      <c r="S4837" t="e">
        <v>#DIV/0!</v>
      </c>
      <c r="T4837" t="s">
        <v>82</v>
      </c>
    </row>
    <row r="4838" spans="15:20" x14ac:dyDescent="0.25">
      <c r="O4838">
        <v>1</v>
      </c>
      <c r="S4838" t="e">
        <v>#DIV/0!</v>
      </c>
      <c r="T4838" t="s">
        <v>82</v>
      </c>
    </row>
    <row r="4839" spans="15:20" x14ac:dyDescent="0.25">
      <c r="O4839">
        <v>1</v>
      </c>
      <c r="S4839" t="e">
        <v>#DIV/0!</v>
      </c>
      <c r="T4839" t="s">
        <v>82</v>
      </c>
    </row>
    <row r="4840" spans="15:20" x14ac:dyDescent="0.25">
      <c r="O4840">
        <v>1</v>
      </c>
      <c r="S4840" t="e">
        <v>#DIV/0!</v>
      </c>
      <c r="T4840" t="s">
        <v>82</v>
      </c>
    </row>
    <row r="4841" spans="15:20" x14ac:dyDescent="0.25">
      <c r="O4841">
        <v>1</v>
      </c>
      <c r="S4841" t="e">
        <v>#DIV/0!</v>
      </c>
      <c r="T4841" t="s">
        <v>82</v>
      </c>
    </row>
    <row r="4842" spans="15:20" x14ac:dyDescent="0.25">
      <c r="O4842">
        <v>1</v>
      </c>
      <c r="S4842" t="e">
        <v>#DIV/0!</v>
      </c>
      <c r="T4842" t="s">
        <v>82</v>
      </c>
    </row>
    <row r="4843" spans="15:20" x14ac:dyDescent="0.25">
      <c r="O4843">
        <v>1</v>
      </c>
      <c r="S4843" t="e">
        <v>#DIV/0!</v>
      </c>
      <c r="T4843" t="s">
        <v>82</v>
      </c>
    </row>
    <row r="4844" spans="15:20" x14ac:dyDescent="0.25">
      <c r="O4844">
        <v>1</v>
      </c>
      <c r="S4844" t="e">
        <v>#DIV/0!</v>
      </c>
      <c r="T4844" t="s">
        <v>82</v>
      </c>
    </row>
    <row r="4845" spans="15:20" x14ac:dyDescent="0.25">
      <c r="O4845">
        <v>1</v>
      </c>
      <c r="S4845" t="e">
        <v>#DIV/0!</v>
      </c>
      <c r="T4845" t="s">
        <v>82</v>
      </c>
    </row>
    <row r="4846" spans="15:20" x14ac:dyDescent="0.25">
      <c r="O4846">
        <v>1</v>
      </c>
      <c r="S4846" t="e">
        <v>#DIV/0!</v>
      </c>
      <c r="T4846" t="s">
        <v>82</v>
      </c>
    </row>
    <row r="4847" spans="15:20" x14ac:dyDescent="0.25">
      <c r="O4847">
        <v>1</v>
      </c>
      <c r="S4847" t="e">
        <v>#DIV/0!</v>
      </c>
      <c r="T4847" t="s">
        <v>82</v>
      </c>
    </row>
    <row r="4848" spans="15:20" x14ac:dyDescent="0.25">
      <c r="O4848">
        <v>1</v>
      </c>
      <c r="S4848" t="e">
        <v>#DIV/0!</v>
      </c>
      <c r="T4848" t="s">
        <v>82</v>
      </c>
    </row>
    <row r="4849" spans="15:20" x14ac:dyDescent="0.25">
      <c r="O4849">
        <v>1</v>
      </c>
      <c r="S4849" t="e">
        <v>#DIV/0!</v>
      </c>
      <c r="T4849" t="s">
        <v>82</v>
      </c>
    </row>
    <row r="4850" spans="15:20" x14ac:dyDescent="0.25">
      <c r="O4850">
        <v>1</v>
      </c>
      <c r="S4850" t="e">
        <v>#DIV/0!</v>
      </c>
      <c r="T4850" t="s">
        <v>82</v>
      </c>
    </row>
    <row r="4851" spans="15:20" x14ac:dyDescent="0.25">
      <c r="O4851">
        <v>1</v>
      </c>
      <c r="S4851" t="e">
        <v>#DIV/0!</v>
      </c>
      <c r="T4851" t="s">
        <v>82</v>
      </c>
    </row>
    <row r="4852" spans="15:20" x14ac:dyDescent="0.25">
      <c r="O4852">
        <v>1</v>
      </c>
      <c r="S4852" t="e">
        <v>#DIV/0!</v>
      </c>
      <c r="T4852" t="s">
        <v>82</v>
      </c>
    </row>
    <row r="4853" spans="15:20" x14ac:dyDescent="0.25">
      <c r="O4853">
        <v>1</v>
      </c>
      <c r="S4853" t="e">
        <v>#DIV/0!</v>
      </c>
      <c r="T4853" t="s">
        <v>82</v>
      </c>
    </row>
    <row r="4854" spans="15:20" x14ac:dyDescent="0.25">
      <c r="O4854">
        <v>1</v>
      </c>
      <c r="S4854" t="e">
        <v>#DIV/0!</v>
      </c>
      <c r="T4854" t="s">
        <v>82</v>
      </c>
    </row>
    <row r="4855" spans="15:20" x14ac:dyDescent="0.25">
      <c r="O4855">
        <v>1</v>
      </c>
      <c r="S4855" t="e">
        <v>#DIV/0!</v>
      </c>
      <c r="T4855" t="s">
        <v>82</v>
      </c>
    </row>
    <row r="4856" spans="15:20" x14ac:dyDescent="0.25">
      <c r="O4856">
        <v>1</v>
      </c>
      <c r="S4856" t="e">
        <v>#DIV/0!</v>
      </c>
      <c r="T4856" t="s">
        <v>82</v>
      </c>
    </row>
    <row r="4857" spans="15:20" x14ac:dyDescent="0.25">
      <c r="O4857">
        <v>1</v>
      </c>
      <c r="S4857" t="e">
        <v>#DIV/0!</v>
      </c>
      <c r="T4857" t="s">
        <v>82</v>
      </c>
    </row>
    <row r="4858" spans="15:20" x14ac:dyDescent="0.25">
      <c r="O4858">
        <v>1</v>
      </c>
      <c r="S4858" t="e">
        <v>#DIV/0!</v>
      </c>
      <c r="T4858" t="s">
        <v>82</v>
      </c>
    </row>
    <row r="4859" spans="15:20" x14ac:dyDescent="0.25">
      <c r="O4859">
        <v>1</v>
      </c>
      <c r="S4859" t="e">
        <v>#DIV/0!</v>
      </c>
      <c r="T4859" t="s">
        <v>82</v>
      </c>
    </row>
    <row r="4860" spans="15:20" x14ac:dyDescent="0.25">
      <c r="O4860">
        <v>1</v>
      </c>
      <c r="S4860" t="e">
        <v>#DIV/0!</v>
      </c>
      <c r="T4860" t="s">
        <v>82</v>
      </c>
    </row>
    <row r="4861" spans="15:20" x14ac:dyDescent="0.25">
      <c r="O4861">
        <v>1</v>
      </c>
      <c r="S4861" t="e">
        <v>#DIV/0!</v>
      </c>
      <c r="T4861" t="s">
        <v>82</v>
      </c>
    </row>
    <row r="4862" spans="15:20" x14ac:dyDescent="0.25">
      <c r="O4862">
        <v>1</v>
      </c>
      <c r="S4862" t="e">
        <v>#DIV/0!</v>
      </c>
      <c r="T4862" t="s">
        <v>82</v>
      </c>
    </row>
    <row r="4863" spans="15:20" x14ac:dyDescent="0.25">
      <c r="O4863">
        <v>1</v>
      </c>
      <c r="S4863" t="e">
        <v>#DIV/0!</v>
      </c>
      <c r="T4863" t="s">
        <v>82</v>
      </c>
    </row>
    <row r="4864" spans="15:20" x14ac:dyDescent="0.25">
      <c r="O4864">
        <v>1</v>
      </c>
      <c r="S4864" t="e">
        <v>#DIV/0!</v>
      </c>
      <c r="T4864" t="s">
        <v>82</v>
      </c>
    </row>
    <row r="4865" spans="15:20" x14ac:dyDescent="0.25">
      <c r="O4865">
        <v>1</v>
      </c>
      <c r="S4865" t="e">
        <v>#DIV/0!</v>
      </c>
      <c r="T4865" t="s">
        <v>82</v>
      </c>
    </row>
    <row r="4866" spans="15:20" x14ac:dyDescent="0.25">
      <c r="O4866">
        <v>1</v>
      </c>
      <c r="S4866" t="e">
        <v>#DIV/0!</v>
      </c>
      <c r="T4866" t="s">
        <v>82</v>
      </c>
    </row>
    <row r="4867" spans="15:20" x14ac:dyDescent="0.25">
      <c r="O4867">
        <v>1</v>
      </c>
      <c r="S4867" t="e">
        <v>#DIV/0!</v>
      </c>
      <c r="T4867" t="s">
        <v>82</v>
      </c>
    </row>
    <row r="4868" spans="15:20" x14ac:dyDescent="0.25">
      <c r="O4868">
        <v>1</v>
      </c>
      <c r="S4868" t="e">
        <v>#DIV/0!</v>
      </c>
      <c r="T4868" t="s">
        <v>82</v>
      </c>
    </row>
    <row r="4869" spans="15:20" x14ac:dyDescent="0.25">
      <c r="O4869">
        <v>1</v>
      </c>
      <c r="S4869" t="e">
        <v>#DIV/0!</v>
      </c>
      <c r="T4869" t="s">
        <v>82</v>
      </c>
    </row>
    <row r="4870" spans="15:20" x14ac:dyDescent="0.25">
      <c r="O4870">
        <v>1</v>
      </c>
      <c r="S4870" t="e">
        <v>#DIV/0!</v>
      </c>
      <c r="T4870" t="s">
        <v>82</v>
      </c>
    </row>
    <row r="4871" spans="15:20" x14ac:dyDescent="0.25">
      <c r="O4871">
        <v>1</v>
      </c>
      <c r="S4871" t="e">
        <v>#DIV/0!</v>
      </c>
      <c r="T4871" t="s">
        <v>82</v>
      </c>
    </row>
    <row r="4872" spans="15:20" x14ac:dyDescent="0.25">
      <c r="O4872">
        <v>1</v>
      </c>
      <c r="S4872" t="e">
        <v>#DIV/0!</v>
      </c>
      <c r="T4872" t="s">
        <v>82</v>
      </c>
    </row>
    <row r="4873" spans="15:20" x14ac:dyDescent="0.25">
      <c r="O4873">
        <v>1</v>
      </c>
      <c r="S4873" t="e">
        <v>#DIV/0!</v>
      </c>
      <c r="T4873" t="s">
        <v>82</v>
      </c>
    </row>
    <row r="4874" spans="15:20" x14ac:dyDescent="0.25">
      <c r="O4874">
        <v>1</v>
      </c>
      <c r="S4874" t="e">
        <v>#DIV/0!</v>
      </c>
      <c r="T4874" t="s">
        <v>82</v>
      </c>
    </row>
    <row r="4875" spans="15:20" x14ac:dyDescent="0.25">
      <c r="O4875">
        <v>1</v>
      </c>
      <c r="S4875" t="e">
        <v>#DIV/0!</v>
      </c>
      <c r="T4875" t="s">
        <v>82</v>
      </c>
    </row>
    <row r="4876" spans="15:20" x14ac:dyDescent="0.25">
      <c r="O4876">
        <v>1</v>
      </c>
      <c r="S4876" t="e">
        <v>#DIV/0!</v>
      </c>
      <c r="T4876" t="s">
        <v>82</v>
      </c>
    </row>
    <row r="4877" spans="15:20" x14ac:dyDescent="0.25">
      <c r="O4877">
        <v>1</v>
      </c>
      <c r="S4877" t="e">
        <v>#DIV/0!</v>
      </c>
      <c r="T4877" t="s">
        <v>82</v>
      </c>
    </row>
    <row r="4878" spans="15:20" x14ac:dyDescent="0.25">
      <c r="O4878">
        <v>1</v>
      </c>
      <c r="S4878" t="e">
        <v>#DIV/0!</v>
      </c>
      <c r="T4878" t="s">
        <v>82</v>
      </c>
    </row>
    <row r="4879" spans="15:20" x14ac:dyDescent="0.25">
      <c r="O4879">
        <v>1</v>
      </c>
      <c r="S4879" t="e">
        <v>#DIV/0!</v>
      </c>
      <c r="T4879" t="s">
        <v>82</v>
      </c>
    </row>
    <row r="4880" spans="15:20" x14ac:dyDescent="0.25">
      <c r="O4880">
        <v>1</v>
      </c>
      <c r="S4880" t="e">
        <v>#DIV/0!</v>
      </c>
      <c r="T4880" t="s">
        <v>82</v>
      </c>
    </row>
    <row r="4881" spans="15:20" x14ac:dyDescent="0.25">
      <c r="O4881">
        <v>1</v>
      </c>
      <c r="S4881" t="e">
        <v>#DIV/0!</v>
      </c>
      <c r="T4881" t="s">
        <v>82</v>
      </c>
    </row>
    <row r="4882" spans="15:20" x14ac:dyDescent="0.25">
      <c r="O4882">
        <v>1</v>
      </c>
      <c r="S4882" t="e">
        <v>#DIV/0!</v>
      </c>
      <c r="T4882" t="s">
        <v>82</v>
      </c>
    </row>
    <row r="4883" spans="15:20" x14ac:dyDescent="0.25">
      <c r="O4883">
        <v>1</v>
      </c>
      <c r="S4883" t="e">
        <v>#DIV/0!</v>
      </c>
      <c r="T4883" t="s">
        <v>82</v>
      </c>
    </row>
    <row r="4884" spans="15:20" x14ac:dyDescent="0.25">
      <c r="O4884">
        <v>1</v>
      </c>
      <c r="S4884" t="e">
        <v>#DIV/0!</v>
      </c>
      <c r="T4884" t="s">
        <v>82</v>
      </c>
    </row>
    <row r="4885" spans="15:20" x14ac:dyDescent="0.25">
      <c r="O4885">
        <v>1</v>
      </c>
      <c r="S4885" t="e">
        <v>#DIV/0!</v>
      </c>
      <c r="T4885" t="s">
        <v>82</v>
      </c>
    </row>
    <row r="4886" spans="15:20" x14ac:dyDescent="0.25">
      <c r="O4886">
        <v>1</v>
      </c>
      <c r="S4886" t="e">
        <v>#DIV/0!</v>
      </c>
      <c r="T4886" t="s">
        <v>82</v>
      </c>
    </row>
    <row r="4887" spans="15:20" x14ac:dyDescent="0.25">
      <c r="O4887">
        <v>1</v>
      </c>
      <c r="S4887" t="e">
        <v>#DIV/0!</v>
      </c>
      <c r="T4887" t="s">
        <v>82</v>
      </c>
    </row>
    <row r="4888" spans="15:20" x14ac:dyDescent="0.25">
      <c r="O4888">
        <v>1</v>
      </c>
      <c r="S4888" t="e">
        <v>#DIV/0!</v>
      </c>
      <c r="T4888" t="s">
        <v>82</v>
      </c>
    </row>
    <row r="4889" spans="15:20" x14ac:dyDescent="0.25">
      <c r="O4889">
        <v>1</v>
      </c>
      <c r="S4889" t="e">
        <v>#DIV/0!</v>
      </c>
      <c r="T4889" t="s">
        <v>82</v>
      </c>
    </row>
    <row r="4890" spans="15:20" x14ac:dyDescent="0.25">
      <c r="O4890">
        <v>1</v>
      </c>
      <c r="S4890" t="e">
        <v>#DIV/0!</v>
      </c>
      <c r="T4890" t="s">
        <v>82</v>
      </c>
    </row>
    <row r="4891" spans="15:20" x14ac:dyDescent="0.25">
      <c r="O4891">
        <v>1</v>
      </c>
      <c r="S4891" t="e">
        <v>#DIV/0!</v>
      </c>
      <c r="T4891" t="s">
        <v>82</v>
      </c>
    </row>
    <row r="4892" spans="15:20" x14ac:dyDescent="0.25">
      <c r="O4892">
        <v>1</v>
      </c>
      <c r="S4892" t="e">
        <v>#DIV/0!</v>
      </c>
      <c r="T4892" t="s">
        <v>82</v>
      </c>
    </row>
    <row r="4893" spans="15:20" x14ac:dyDescent="0.25">
      <c r="O4893">
        <v>1</v>
      </c>
      <c r="S4893" t="e">
        <v>#DIV/0!</v>
      </c>
      <c r="T4893" t="s">
        <v>82</v>
      </c>
    </row>
    <row r="4894" spans="15:20" x14ac:dyDescent="0.25">
      <c r="O4894">
        <v>1</v>
      </c>
      <c r="S4894" t="e">
        <v>#DIV/0!</v>
      </c>
      <c r="T4894" t="s">
        <v>82</v>
      </c>
    </row>
    <row r="4895" spans="15:20" x14ac:dyDescent="0.25">
      <c r="O4895">
        <v>1</v>
      </c>
      <c r="S4895" t="e">
        <v>#DIV/0!</v>
      </c>
      <c r="T4895" t="s">
        <v>82</v>
      </c>
    </row>
    <row r="4896" spans="15:20" x14ac:dyDescent="0.25">
      <c r="O4896">
        <v>1</v>
      </c>
      <c r="S4896" t="e">
        <v>#DIV/0!</v>
      </c>
      <c r="T4896" t="s">
        <v>82</v>
      </c>
    </row>
    <row r="4897" spans="15:20" x14ac:dyDescent="0.25">
      <c r="O4897">
        <v>1</v>
      </c>
      <c r="S4897" t="e">
        <v>#DIV/0!</v>
      </c>
      <c r="T4897" t="s">
        <v>82</v>
      </c>
    </row>
    <row r="4898" spans="15:20" x14ac:dyDescent="0.25">
      <c r="O4898">
        <v>1</v>
      </c>
      <c r="S4898" t="e">
        <v>#DIV/0!</v>
      </c>
      <c r="T4898" t="s">
        <v>82</v>
      </c>
    </row>
    <row r="4899" spans="15:20" x14ac:dyDescent="0.25">
      <c r="O4899">
        <v>1</v>
      </c>
      <c r="S4899" t="e">
        <v>#DIV/0!</v>
      </c>
      <c r="T4899" t="s">
        <v>82</v>
      </c>
    </row>
    <row r="4900" spans="15:20" x14ac:dyDescent="0.25">
      <c r="O4900">
        <v>1</v>
      </c>
      <c r="S4900" t="e">
        <v>#DIV/0!</v>
      </c>
      <c r="T4900" t="s">
        <v>82</v>
      </c>
    </row>
    <row r="4901" spans="15:20" x14ac:dyDescent="0.25">
      <c r="O4901">
        <v>1</v>
      </c>
      <c r="S4901" t="e">
        <v>#DIV/0!</v>
      </c>
      <c r="T4901" t="s">
        <v>82</v>
      </c>
    </row>
    <row r="4902" spans="15:20" x14ac:dyDescent="0.25">
      <c r="O4902">
        <v>1</v>
      </c>
      <c r="S4902" t="e">
        <v>#DIV/0!</v>
      </c>
      <c r="T4902" t="s">
        <v>82</v>
      </c>
    </row>
    <row r="4903" spans="15:20" x14ac:dyDescent="0.25">
      <c r="O4903">
        <v>1</v>
      </c>
      <c r="S4903" t="e">
        <v>#DIV/0!</v>
      </c>
      <c r="T4903" t="s">
        <v>82</v>
      </c>
    </row>
    <row r="4904" spans="15:20" x14ac:dyDescent="0.25">
      <c r="O4904">
        <v>1</v>
      </c>
      <c r="S4904" t="e">
        <v>#DIV/0!</v>
      </c>
      <c r="T4904" t="s">
        <v>82</v>
      </c>
    </row>
    <row r="4905" spans="15:20" x14ac:dyDescent="0.25">
      <c r="O4905">
        <v>1</v>
      </c>
      <c r="S4905" t="e">
        <v>#DIV/0!</v>
      </c>
      <c r="T4905" t="s">
        <v>82</v>
      </c>
    </row>
    <row r="4906" spans="15:20" x14ac:dyDescent="0.25">
      <c r="O4906">
        <v>1</v>
      </c>
      <c r="S4906" t="e">
        <v>#DIV/0!</v>
      </c>
      <c r="T4906" t="s">
        <v>82</v>
      </c>
    </row>
    <row r="4907" spans="15:20" x14ac:dyDescent="0.25">
      <c r="O4907">
        <v>1</v>
      </c>
      <c r="S4907" t="e">
        <v>#DIV/0!</v>
      </c>
      <c r="T4907" t="s">
        <v>82</v>
      </c>
    </row>
    <row r="4908" spans="15:20" x14ac:dyDescent="0.25">
      <c r="O4908">
        <v>1</v>
      </c>
      <c r="S4908" t="e">
        <v>#DIV/0!</v>
      </c>
      <c r="T4908" t="s">
        <v>82</v>
      </c>
    </row>
    <row r="4909" spans="15:20" x14ac:dyDescent="0.25">
      <c r="O4909">
        <v>1</v>
      </c>
      <c r="S4909" t="e">
        <v>#DIV/0!</v>
      </c>
      <c r="T4909" t="s">
        <v>82</v>
      </c>
    </row>
    <row r="4910" spans="15:20" x14ac:dyDescent="0.25">
      <c r="O4910">
        <v>1</v>
      </c>
      <c r="S4910" t="e">
        <v>#DIV/0!</v>
      </c>
      <c r="T4910" t="s">
        <v>82</v>
      </c>
    </row>
    <row r="4911" spans="15:20" x14ac:dyDescent="0.25">
      <c r="O4911">
        <v>1</v>
      </c>
      <c r="S4911" t="e">
        <v>#DIV/0!</v>
      </c>
      <c r="T4911" t="s">
        <v>82</v>
      </c>
    </row>
    <row r="4912" spans="15:20" x14ac:dyDescent="0.25">
      <c r="O4912">
        <v>1</v>
      </c>
      <c r="S4912" t="e">
        <v>#DIV/0!</v>
      </c>
      <c r="T4912" t="s">
        <v>82</v>
      </c>
    </row>
    <row r="4913" spans="15:20" x14ac:dyDescent="0.25">
      <c r="O4913">
        <v>1</v>
      </c>
      <c r="S4913" t="e">
        <v>#DIV/0!</v>
      </c>
      <c r="T4913" t="s">
        <v>82</v>
      </c>
    </row>
    <row r="4914" spans="15:20" x14ac:dyDescent="0.25">
      <c r="O4914">
        <v>1</v>
      </c>
      <c r="S4914" t="e">
        <v>#DIV/0!</v>
      </c>
      <c r="T4914" t="s">
        <v>82</v>
      </c>
    </row>
    <row r="4915" spans="15:20" x14ac:dyDescent="0.25">
      <c r="O4915">
        <v>1</v>
      </c>
      <c r="S4915" t="e">
        <v>#DIV/0!</v>
      </c>
      <c r="T4915" t="s">
        <v>82</v>
      </c>
    </row>
    <row r="4916" spans="15:20" x14ac:dyDescent="0.25">
      <c r="O4916">
        <v>1</v>
      </c>
      <c r="S4916" t="e">
        <v>#DIV/0!</v>
      </c>
      <c r="T4916" t="s">
        <v>82</v>
      </c>
    </row>
    <row r="4917" spans="15:20" x14ac:dyDescent="0.25">
      <c r="O4917">
        <v>1</v>
      </c>
      <c r="S4917" t="e">
        <v>#DIV/0!</v>
      </c>
      <c r="T4917" t="s">
        <v>82</v>
      </c>
    </row>
    <row r="4918" spans="15:20" x14ac:dyDescent="0.25">
      <c r="O4918">
        <v>1</v>
      </c>
      <c r="S4918" t="e">
        <v>#DIV/0!</v>
      </c>
      <c r="T4918" t="s">
        <v>82</v>
      </c>
    </row>
    <row r="4919" spans="15:20" x14ac:dyDescent="0.25">
      <c r="O4919">
        <v>1</v>
      </c>
      <c r="S4919" t="e">
        <v>#DIV/0!</v>
      </c>
      <c r="T4919" t="s">
        <v>82</v>
      </c>
    </row>
    <row r="4920" spans="15:20" x14ac:dyDescent="0.25">
      <c r="O4920">
        <v>1</v>
      </c>
      <c r="S4920" t="e">
        <v>#DIV/0!</v>
      </c>
      <c r="T4920" t="s">
        <v>82</v>
      </c>
    </row>
    <row r="4921" spans="15:20" x14ac:dyDescent="0.25">
      <c r="O4921">
        <v>1</v>
      </c>
      <c r="S4921" t="e">
        <v>#DIV/0!</v>
      </c>
      <c r="T4921" t="s">
        <v>82</v>
      </c>
    </row>
    <row r="4922" spans="15:20" x14ac:dyDescent="0.25">
      <c r="O4922">
        <v>1</v>
      </c>
      <c r="S4922" t="e">
        <v>#DIV/0!</v>
      </c>
      <c r="T4922" t="s">
        <v>82</v>
      </c>
    </row>
    <row r="4923" spans="15:20" x14ac:dyDescent="0.25">
      <c r="O4923">
        <v>1</v>
      </c>
      <c r="S4923" t="e">
        <v>#DIV/0!</v>
      </c>
      <c r="T4923" t="s">
        <v>82</v>
      </c>
    </row>
    <row r="4924" spans="15:20" x14ac:dyDescent="0.25">
      <c r="O4924">
        <v>1</v>
      </c>
      <c r="S4924" t="e">
        <v>#DIV/0!</v>
      </c>
      <c r="T4924" t="s">
        <v>82</v>
      </c>
    </row>
    <row r="4925" spans="15:20" x14ac:dyDescent="0.25">
      <c r="O4925">
        <v>1</v>
      </c>
      <c r="S4925" t="e">
        <v>#DIV/0!</v>
      </c>
      <c r="T4925" t="s">
        <v>82</v>
      </c>
    </row>
    <row r="4926" spans="15:20" x14ac:dyDescent="0.25">
      <c r="O4926">
        <v>1</v>
      </c>
      <c r="S4926" t="e">
        <v>#DIV/0!</v>
      </c>
      <c r="T4926" t="s">
        <v>82</v>
      </c>
    </row>
    <row r="4927" spans="15:20" x14ac:dyDescent="0.25">
      <c r="O4927">
        <v>1</v>
      </c>
      <c r="S4927" t="e">
        <v>#DIV/0!</v>
      </c>
      <c r="T4927" t="s">
        <v>82</v>
      </c>
    </row>
    <row r="4928" spans="15:20" x14ac:dyDescent="0.25">
      <c r="O4928">
        <v>1</v>
      </c>
      <c r="S4928" t="e">
        <v>#DIV/0!</v>
      </c>
      <c r="T4928" t="s">
        <v>82</v>
      </c>
    </row>
    <row r="4929" spans="15:20" x14ac:dyDescent="0.25">
      <c r="O4929">
        <v>1</v>
      </c>
      <c r="S4929" t="e">
        <v>#DIV/0!</v>
      </c>
      <c r="T4929" t="s">
        <v>82</v>
      </c>
    </row>
    <row r="4930" spans="15:20" x14ac:dyDescent="0.25">
      <c r="O4930">
        <v>1</v>
      </c>
      <c r="S4930" t="e">
        <v>#DIV/0!</v>
      </c>
      <c r="T4930" t="s">
        <v>82</v>
      </c>
    </row>
    <row r="4931" spans="15:20" x14ac:dyDescent="0.25">
      <c r="O4931">
        <v>1</v>
      </c>
      <c r="S4931" t="e">
        <v>#DIV/0!</v>
      </c>
      <c r="T4931" t="s">
        <v>82</v>
      </c>
    </row>
    <row r="4932" spans="15:20" x14ac:dyDescent="0.25">
      <c r="O4932">
        <v>1</v>
      </c>
      <c r="S4932" t="e">
        <v>#DIV/0!</v>
      </c>
      <c r="T4932" t="s">
        <v>82</v>
      </c>
    </row>
    <row r="4933" spans="15:20" x14ac:dyDescent="0.25">
      <c r="O4933">
        <v>1</v>
      </c>
      <c r="S4933" t="e">
        <v>#DIV/0!</v>
      </c>
      <c r="T4933" t="s">
        <v>82</v>
      </c>
    </row>
    <row r="4934" spans="15:20" x14ac:dyDescent="0.25">
      <c r="O4934">
        <v>1</v>
      </c>
      <c r="S4934" t="e">
        <v>#DIV/0!</v>
      </c>
      <c r="T4934" t="s">
        <v>82</v>
      </c>
    </row>
    <row r="4935" spans="15:20" x14ac:dyDescent="0.25">
      <c r="O4935">
        <v>1</v>
      </c>
      <c r="S4935" t="e">
        <v>#DIV/0!</v>
      </c>
      <c r="T4935" t="s">
        <v>82</v>
      </c>
    </row>
    <row r="4936" spans="15:20" x14ac:dyDescent="0.25">
      <c r="O4936">
        <v>1</v>
      </c>
      <c r="S4936" t="e">
        <v>#DIV/0!</v>
      </c>
      <c r="T4936" t="s">
        <v>82</v>
      </c>
    </row>
    <row r="4937" spans="15:20" x14ac:dyDescent="0.25">
      <c r="O4937">
        <v>1</v>
      </c>
      <c r="S4937" t="e">
        <v>#DIV/0!</v>
      </c>
      <c r="T4937" t="s">
        <v>82</v>
      </c>
    </row>
    <row r="4938" spans="15:20" x14ac:dyDescent="0.25">
      <c r="O4938">
        <v>1</v>
      </c>
      <c r="S4938" t="e">
        <v>#DIV/0!</v>
      </c>
      <c r="T4938" t="s">
        <v>82</v>
      </c>
    </row>
    <row r="4939" spans="15:20" x14ac:dyDescent="0.25">
      <c r="O4939">
        <v>1</v>
      </c>
      <c r="S4939" t="e">
        <v>#DIV/0!</v>
      </c>
      <c r="T4939" t="s">
        <v>82</v>
      </c>
    </row>
    <row r="4940" spans="15:20" x14ac:dyDescent="0.25">
      <c r="O4940">
        <v>1</v>
      </c>
      <c r="S4940" t="e">
        <v>#DIV/0!</v>
      </c>
      <c r="T4940" t="s">
        <v>82</v>
      </c>
    </row>
    <row r="4941" spans="15:20" x14ac:dyDescent="0.25">
      <c r="O4941">
        <v>1</v>
      </c>
      <c r="S4941" t="e">
        <v>#DIV/0!</v>
      </c>
      <c r="T4941" t="s">
        <v>82</v>
      </c>
    </row>
    <row r="4942" spans="15:20" x14ac:dyDescent="0.25">
      <c r="O4942">
        <v>1</v>
      </c>
      <c r="S4942" t="e">
        <v>#DIV/0!</v>
      </c>
      <c r="T4942" t="s">
        <v>82</v>
      </c>
    </row>
    <row r="4943" spans="15:20" x14ac:dyDescent="0.25">
      <c r="O4943">
        <v>1</v>
      </c>
      <c r="S4943" t="e">
        <v>#DIV/0!</v>
      </c>
      <c r="T4943" t="s">
        <v>82</v>
      </c>
    </row>
    <row r="4944" spans="15:20" x14ac:dyDescent="0.25">
      <c r="O4944">
        <v>1</v>
      </c>
      <c r="S4944" t="e">
        <v>#DIV/0!</v>
      </c>
      <c r="T4944" t="s">
        <v>82</v>
      </c>
    </row>
    <row r="4945" spans="15:20" x14ac:dyDescent="0.25">
      <c r="O4945">
        <v>1</v>
      </c>
      <c r="S4945" t="e">
        <v>#DIV/0!</v>
      </c>
      <c r="T4945" t="s">
        <v>82</v>
      </c>
    </row>
    <row r="4946" spans="15:20" x14ac:dyDescent="0.25">
      <c r="O4946">
        <v>1</v>
      </c>
      <c r="S4946" t="e">
        <v>#DIV/0!</v>
      </c>
      <c r="T4946" t="s">
        <v>82</v>
      </c>
    </row>
    <row r="4947" spans="15:20" x14ac:dyDescent="0.25">
      <c r="O4947">
        <v>1</v>
      </c>
      <c r="S4947" t="e">
        <v>#DIV/0!</v>
      </c>
      <c r="T4947" t="s">
        <v>82</v>
      </c>
    </row>
    <row r="4948" spans="15:20" x14ac:dyDescent="0.25">
      <c r="O4948">
        <v>1</v>
      </c>
      <c r="S4948" t="e">
        <v>#DIV/0!</v>
      </c>
      <c r="T4948" t="s">
        <v>82</v>
      </c>
    </row>
    <row r="4949" spans="15:20" x14ac:dyDescent="0.25">
      <c r="O4949">
        <v>1</v>
      </c>
      <c r="S4949" t="e">
        <v>#DIV/0!</v>
      </c>
      <c r="T4949" t="s">
        <v>82</v>
      </c>
    </row>
    <row r="4950" spans="15:20" x14ac:dyDescent="0.25">
      <c r="O4950">
        <v>1</v>
      </c>
      <c r="S4950" t="e">
        <v>#DIV/0!</v>
      </c>
      <c r="T4950" t="s">
        <v>82</v>
      </c>
    </row>
    <row r="4951" spans="15:20" x14ac:dyDescent="0.25">
      <c r="O4951">
        <v>1</v>
      </c>
      <c r="S4951" t="e">
        <v>#DIV/0!</v>
      </c>
      <c r="T4951" t="s">
        <v>82</v>
      </c>
    </row>
    <row r="4952" spans="15:20" x14ac:dyDescent="0.25">
      <c r="O4952">
        <v>1</v>
      </c>
      <c r="S4952" t="e">
        <v>#DIV/0!</v>
      </c>
      <c r="T4952" t="s">
        <v>82</v>
      </c>
    </row>
    <row r="4953" spans="15:20" x14ac:dyDescent="0.25">
      <c r="O4953">
        <v>1</v>
      </c>
      <c r="S4953" t="e">
        <v>#DIV/0!</v>
      </c>
      <c r="T4953" t="s">
        <v>82</v>
      </c>
    </row>
    <row r="4954" spans="15:20" x14ac:dyDescent="0.25">
      <c r="O4954">
        <v>1</v>
      </c>
      <c r="S4954" t="e">
        <v>#DIV/0!</v>
      </c>
      <c r="T4954" t="s">
        <v>82</v>
      </c>
    </row>
    <row r="4955" spans="15:20" x14ac:dyDescent="0.25">
      <c r="O4955">
        <v>1</v>
      </c>
      <c r="S4955" t="e">
        <v>#DIV/0!</v>
      </c>
      <c r="T4955" t="s">
        <v>82</v>
      </c>
    </row>
    <row r="4956" spans="15:20" x14ac:dyDescent="0.25">
      <c r="O4956">
        <v>1</v>
      </c>
      <c r="S4956" t="e">
        <v>#DIV/0!</v>
      </c>
      <c r="T4956" t="s">
        <v>82</v>
      </c>
    </row>
    <row r="4957" spans="15:20" x14ac:dyDescent="0.25">
      <c r="O4957">
        <v>1</v>
      </c>
      <c r="S4957" t="e">
        <v>#DIV/0!</v>
      </c>
      <c r="T4957" t="s">
        <v>82</v>
      </c>
    </row>
    <row r="4958" spans="15:20" x14ac:dyDescent="0.25">
      <c r="O4958">
        <v>1</v>
      </c>
      <c r="S4958" t="e">
        <v>#DIV/0!</v>
      </c>
      <c r="T4958" t="s">
        <v>82</v>
      </c>
    </row>
    <row r="4959" spans="15:20" x14ac:dyDescent="0.25">
      <c r="O4959">
        <v>1</v>
      </c>
      <c r="S4959" t="e">
        <v>#DIV/0!</v>
      </c>
      <c r="T4959" t="s">
        <v>82</v>
      </c>
    </row>
    <row r="4960" spans="15:20" x14ac:dyDescent="0.25">
      <c r="O4960">
        <v>1</v>
      </c>
      <c r="S4960" t="e">
        <v>#DIV/0!</v>
      </c>
      <c r="T4960" t="s">
        <v>82</v>
      </c>
    </row>
    <row r="4961" spans="15:20" x14ac:dyDescent="0.25">
      <c r="O4961">
        <v>1</v>
      </c>
      <c r="S4961" t="e">
        <v>#DIV/0!</v>
      </c>
      <c r="T4961" t="s">
        <v>82</v>
      </c>
    </row>
    <row r="4962" spans="15:20" x14ac:dyDescent="0.25">
      <c r="O4962">
        <v>1</v>
      </c>
      <c r="S4962" t="e">
        <v>#DIV/0!</v>
      </c>
      <c r="T4962" t="s">
        <v>82</v>
      </c>
    </row>
    <row r="4963" spans="15:20" x14ac:dyDescent="0.25">
      <c r="O4963">
        <v>1</v>
      </c>
      <c r="S4963" t="e">
        <v>#DIV/0!</v>
      </c>
      <c r="T4963" t="s">
        <v>82</v>
      </c>
    </row>
    <row r="4964" spans="15:20" x14ac:dyDescent="0.25">
      <c r="O4964">
        <v>1</v>
      </c>
      <c r="S4964" t="e">
        <v>#DIV/0!</v>
      </c>
      <c r="T4964" t="s">
        <v>82</v>
      </c>
    </row>
    <row r="4965" spans="15:20" x14ac:dyDescent="0.25">
      <c r="O4965">
        <v>1</v>
      </c>
      <c r="S4965" t="e">
        <v>#DIV/0!</v>
      </c>
      <c r="T4965" t="s">
        <v>82</v>
      </c>
    </row>
    <row r="4966" spans="15:20" x14ac:dyDescent="0.25">
      <c r="O4966">
        <v>1</v>
      </c>
      <c r="S4966" t="e">
        <v>#DIV/0!</v>
      </c>
      <c r="T4966" t="s">
        <v>82</v>
      </c>
    </row>
    <row r="4967" spans="15:20" x14ac:dyDescent="0.25">
      <c r="O4967">
        <v>1</v>
      </c>
      <c r="S4967" t="e">
        <v>#DIV/0!</v>
      </c>
      <c r="T4967" t="s">
        <v>82</v>
      </c>
    </row>
    <row r="4968" spans="15:20" x14ac:dyDescent="0.25">
      <c r="O4968">
        <v>1</v>
      </c>
      <c r="S4968" t="e">
        <v>#DIV/0!</v>
      </c>
      <c r="T4968" t="s">
        <v>82</v>
      </c>
    </row>
    <row r="4969" spans="15:20" x14ac:dyDescent="0.25">
      <c r="O4969">
        <v>1</v>
      </c>
      <c r="S4969" t="e">
        <v>#DIV/0!</v>
      </c>
      <c r="T4969" t="s">
        <v>82</v>
      </c>
    </row>
    <row r="4970" spans="15:20" x14ac:dyDescent="0.25">
      <c r="O4970">
        <v>1</v>
      </c>
      <c r="S4970" t="e">
        <v>#DIV/0!</v>
      </c>
      <c r="T4970" t="s">
        <v>82</v>
      </c>
    </row>
    <row r="4971" spans="15:20" x14ac:dyDescent="0.25">
      <c r="O4971">
        <v>1</v>
      </c>
      <c r="S4971" t="e">
        <v>#DIV/0!</v>
      </c>
      <c r="T4971" t="s">
        <v>82</v>
      </c>
    </row>
    <row r="4972" spans="15:20" x14ac:dyDescent="0.25">
      <c r="O4972">
        <v>1</v>
      </c>
      <c r="S4972" t="e">
        <v>#DIV/0!</v>
      </c>
      <c r="T4972" t="s">
        <v>82</v>
      </c>
    </row>
    <row r="4973" spans="15:20" x14ac:dyDescent="0.25">
      <c r="O4973">
        <v>1</v>
      </c>
      <c r="S4973" t="e">
        <v>#DIV/0!</v>
      </c>
      <c r="T4973" t="s">
        <v>82</v>
      </c>
    </row>
    <row r="4974" spans="15:20" x14ac:dyDescent="0.25">
      <c r="O4974">
        <v>1</v>
      </c>
      <c r="S4974" t="e">
        <v>#DIV/0!</v>
      </c>
      <c r="T4974" t="s">
        <v>82</v>
      </c>
    </row>
    <row r="4975" spans="15:20" x14ac:dyDescent="0.25">
      <c r="O4975">
        <v>1</v>
      </c>
      <c r="S4975" t="e">
        <v>#DIV/0!</v>
      </c>
      <c r="T4975" t="s">
        <v>82</v>
      </c>
    </row>
    <row r="4976" spans="15:20" x14ac:dyDescent="0.25">
      <c r="O4976">
        <v>1</v>
      </c>
      <c r="S4976" t="e">
        <v>#DIV/0!</v>
      </c>
      <c r="T4976" t="s">
        <v>82</v>
      </c>
    </row>
    <row r="4977" spans="15:20" x14ac:dyDescent="0.25">
      <c r="O4977">
        <v>1</v>
      </c>
      <c r="S4977" t="e">
        <v>#DIV/0!</v>
      </c>
      <c r="T4977" t="s">
        <v>82</v>
      </c>
    </row>
    <row r="4978" spans="15:20" x14ac:dyDescent="0.25">
      <c r="O4978">
        <v>1</v>
      </c>
      <c r="S4978" t="e">
        <v>#DIV/0!</v>
      </c>
      <c r="T4978" t="s">
        <v>82</v>
      </c>
    </row>
    <row r="4979" spans="15:20" x14ac:dyDescent="0.25">
      <c r="O4979">
        <v>1</v>
      </c>
      <c r="S4979" t="e">
        <v>#DIV/0!</v>
      </c>
      <c r="T4979" t="s">
        <v>82</v>
      </c>
    </row>
    <row r="4980" spans="15:20" x14ac:dyDescent="0.25">
      <c r="O4980">
        <v>1</v>
      </c>
      <c r="S4980" t="e">
        <v>#DIV/0!</v>
      </c>
      <c r="T4980" t="s">
        <v>82</v>
      </c>
    </row>
    <row r="4981" spans="15:20" x14ac:dyDescent="0.25">
      <c r="O4981">
        <v>1</v>
      </c>
      <c r="S4981" t="e">
        <v>#DIV/0!</v>
      </c>
      <c r="T4981" t="s">
        <v>82</v>
      </c>
    </row>
    <row r="4982" spans="15:20" x14ac:dyDescent="0.25">
      <c r="O4982">
        <v>1</v>
      </c>
      <c r="S4982" t="e">
        <v>#DIV/0!</v>
      </c>
      <c r="T4982" t="s">
        <v>82</v>
      </c>
    </row>
    <row r="4983" spans="15:20" x14ac:dyDescent="0.25">
      <c r="O4983">
        <v>1</v>
      </c>
      <c r="S4983" t="e">
        <v>#DIV/0!</v>
      </c>
      <c r="T4983" t="s">
        <v>82</v>
      </c>
    </row>
    <row r="4984" spans="15:20" x14ac:dyDescent="0.25">
      <c r="O4984">
        <v>1</v>
      </c>
      <c r="S4984" t="e">
        <v>#DIV/0!</v>
      </c>
      <c r="T4984" t="s">
        <v>82</v>
      </c>
    </row>
    <row r="4985" spans="15:20" x14ac:dyDescent="0.25">
      <c r="O4985">
        <v>1</v>
      </c>
      <c r="S4985" t="e">
        <v>#DIV/0!</v>
      </c>
      <c r="T4985" t="s">
        <v>82</v>
      </c>
    </row>
    <row r="4986" spans="15:20" x14ac:dyDescent="0.25">
      <c r="O4986">
        <v>1</v>
      </c>
      <c r="S4986" t="e">
        <v>#DIV/0!</v>
      </c>
      <c r="T4986" t="s">
        <v>82</v>
      </c>
    </row>
    <row r="4987" spans="15:20" x14ac:dyDescent="0.25">
      <c r="O4987">
        <v>1</v>
      </c>
      <c r="S4987" t="e">
        <v>#DIV/0!</v>
      </c>
      <c r="T4987" t="s">
        <v>82</v>
      </c>
    </row>
    <row r="4988" spans="15:20" x14ac:dyDescent="0.25">
      <c r="O4988">
        <v>1</v>
      </c>
      <c r="S4988" t="e">
        <v>#DIV/0!</v>
      </c>
      <c r="T4988" t="s">
        <v>82</v>
      </c>
    </row>
    <row r="4989" spans="15:20" x14ac:dyDescent="0.25">
      <c r="O4989">
        <v>1</v>
      </c>
      <c r="S4989" t="e">
        <v>#DIV/0!</v>
      </c>
      <c r="T4989" t="s">
        <v>82</v>
      </c>
    </row>
    <row r="4990" spans="15:20" x14ac:dyDescent="0.25">
      <c r="O4990">
        <v>1</v>
      </c>
      <c r="S4990" t="e">
        <v>#DIV/0!</v>
      </c>
      <c r="T4990" t="s">
        <v>82</v>
      </c>
    </row>
    <row r="4991" spans="15:20" x14ac:dyDescent="0.25">
      <c r="O4991">
        <v>1</v>
      </c>
      <c r="S4991" t="e">
        <v>#DIV/0!</v>
      </c>
      <c r="T4991" t="s">
        <v>82</v>
      </c>
    </row>
    <row r="4992" spans="15:20" x14ac:dyDescent="0.25">
      <c r="O4992">
        <v>1</v>
      </c>
      <c r="S4992" t="e">
        <v>#DIV/0!</v>
      </c>
      <c r="T4992" t="s">
        <v>82</v>
      </c>
    </row>
    <row r="4993" spans="15:20" x14ac:dyDescent="0.25">
      <c r="O4993">
        <v>1</v>
      </c>
      <c r="S4993" t="e">
        <v>#DIV/0!</v>
      </c>
      <c r="T4993" t="s">
        <v>82</v>
      </c>
    </row>
    <row r="4994" spans="15:20" x14ac:dyDescent="0.25">
      <c r="O4994">
        <v>1</v>
      </c>
      <c r="S4994" t="e">
        <v>#DIV/0!</v>
      </c>
      <c r="T4994" t="s">
        <v>82</v>
      </c>
    </row>
    <row r="4995" spans="15:20" x14ac:dyDescent="0.25">
      <c r="O4995">
        <v>1</v>
      </c>
      <c r="S4995" t="e">
        <v>#DIV/0!</v>
      </c>
      <c r="T4995" t="s">
        <v>82</v>
      </c>
    </row>
    <row r="4996" spans="15:20" x14ac:dyDescent="0.25">
      <c r="O4996">
        <v>1</v>
      </c>
      <c r="S4996" t="e">
        <v>#DIV/0!</v>
      </c>
      <c r="T4996" t="s">
        <v>82</v>
      </c>
    </row>
    <row r="4997" spans="15:20" x14ac:dyDescent="0.25">
      <c r="O4997">
        <v>1</v>
      </c>
      <c r="S4997" t="e">
        <v>#DIV/0!</v>
      </c>
      <c r="T4997" t="s">
        <v>82</v>
      </c>
    </row>
    <row r="4998" spans="15:20" x14ac:dyDescent="0.25">
      <c r="O4998">
        <v>1</v>
      </c>
      <c r="S4998" t="e">
        <v>#DIV/0!</v>
      </c>
      <c r="T4998" t="s">
        <v>82</v>
      </c>
    </row>
    <row r="4999" spans="15:20" x14ac:dyDescent="0.25">
      <c r="O4999">
        <v>1</v>
      </c>
      <c r="S4999" t="e">
        <v>#DIV/0!</v>
      </c>
      <c r="T4999" t="s">
        <v>82</v>
      </c>
    </row>
    <row r="5000" spans="15:20" x14ac:dyDescent="0.25">
      <c r="O5000">
        <v>1</v>
      </c>
      <c r="S5000" t="e">
        <v>#DIV/0!</v>
      </c>
      <c r="T5000" t="s">
        <v>82</v>
      </c>
    </row>
    <row r="5001" spans="15:20" x14ac:dyDescent="0.25">
      <c r="O5001">
        <v>1</v>
      </c>
      <c r="S5001" t="e">
        <v>#DIV/0!</v>
      </c>
      <c r="T5001" t="s">
        <v>82</v>
      </c>
    </row>
    <row r="5002" spans="15:20" x14ac:dyDescent="0.25">
      <c r="O5002">
        <v>1</v>
      </c>
      <c r="S5002" t="e">
        <v>#DIV/0!</v>
      </c>
      <c r="T5002" t="s">
        <v>82</v>
      </c>
    </row>
    <row r="5003" spans="15:20" x14ac:dyDescent="0.25">
      <c r="O5003">
        <v>1</v>
      </c>
      <c r="S5003" t="e">
        <v>#DIV/0!</v>
      </c>
      <c r="T5003" t="s">
        <v>82</v>
      </c>
    </row>
    <row r="5004" spans="15:20" x14ac:dyDescent="0.25">
      <c r="O5004">
        <v>1</v>
      </c>
      <c r="S5004" t="e">
        <v>#DIV/0!</v>
      </c>
      <c r="T5004" t="s">
        <v>82</v>
      </c>
    </row>
    <row r="5005" spans="15:20" x14ac:dyDescent="0.25">
      <c r="O5005">
        <v>1</v>
      </c>
      <c r="S5005" t="e">
        <v>#DIV/0!</v>
      </c>
      <c r="T5005" t="s">
        <v>82</v>
      </c>
    </row>
    <row r="5006" spans="15:20" x14ac:dyDescent="0.25">
      <c r="O5006">
        <v>1</v>
      </c>
      <c r="S5006" t="e">
        <v>#DIV/0!</v>
      </c>
      <c r="T5006" t="s">
        <v>82</v>
      </c>
    </row>
    <row r="5007" spans="15:20" x14ac:dyDescent="0.25">
      <c r="O5007">
        <v>1</v>
      </c>
      <c r="S5007" t="e">
        <v>#DIV/0!</v>
      </c>
      <c r="T5007" t="s">
        <v>82</v>
      </c>
    </row>
    <row r="5008" spans="15:20" x14ac:dyDescent="0.25">
      <c r="O5008">
        <v>1</v>
      </c>
      <c r="S5008" t="e">
        <v>#DIV/0!</v>
      </c>
      <c r="T5008" t="s">
        <v>82</v>
      </c>
    </row>
    <row r="5009" spans="15:20" x14ac:dyDescent="0.25">
      <c r="O5009">
        <v>1</v>
      </c>
      <c r="S5009" t="e">
        <v>#DIV/0!</v>
      </c>
      <c r="T5009" t="s">
        <v>82</v>
      </c>
    </row>
    <row r="5010" spans="15:20" x14ac:dyDescent="0.25">
      <c r="O5010">
        <v>1</v>
      </c>
      <c r="S5010" t="e">
        <v>#DIV/0!</v>
      </c>
      <c r="T5010" t="s">
        <v>82</v>
      </c>
    </row>
    <row r="5011" spans="15:20" x14ac:dyDescent="0.25">
      <c r="O5011">
        <v>1</v>
      </c>
      <c r="S5011" t="e">
        <v>#DIV/0!</v>
      </c>
      <c r="T5011" t="s">
        <v>82</v>
      </c>
    </row>
    <row r="5012" spans="15:20" x14ac:dyDescent="0.25">
      <c r="O5012">
        <v>1</v>
      </c>
      <c r="S5012" t="e">
        <v>#DIV/0!</v>
      </c>
      <c r="T5012" t="s">
        <v>82</v>
      </c>
    </row>
    <row r="5013" spans="15:20" x14ac:dyDescent="0.25">
      <c r="O5013">
        <v>1</v>
      </c>
      <c r="S5013" t="e">
        <v>#DIV/0!</v>
      </c>
      <c r="T5013" t="s">
        <v>82</v>
      </c>
    </row>
    <row r="5014" spans="15:20" x14ac:dyDescent="0.25">
      <c r="O5014">
        <v>1</v>
      </c>
      <c r="S5014" t="e">
        <v>#DIV/0!</v>
      </c>
      <c r="T5014" t="s">
        <v>82</v>
      </c>
    </row>
    <row r="5015" spans="15:20" x14ac:dyDescent="0.25">
      <c r="O5015">
        <v>1</v>
      </c>
      <c r="S5015" t="e">
        <v>#DIV/0!</v>
      </c>
      <c r="T5015" t="s">
        <v>82</v>
      </c>
    </row>
    <row r="5016" spans="15:20" x14ac:dyDescent="0.25">
      <c r="O5016">
        <v>1</v>
      </c>
      <c r="S5016" t="e">
        <v>#DIV/0!</v>
      </c>
      <c r="T5016" t="s">
        <v>82</v>
      </c>
    </row>
    <row r="5017" spans="15:20" x14ac:dyDescent="0.25">
      <c r="O5017">
        <v>1</v>
      </c>
      <c r="S5017" t="e">
        <v>#DIV/0!</v>
      </c>
      <c r="T5017" t="s">
        <v>82</v>
      </c>
    </row>
    <row r="5018" spans="15:20" x14ac:dyDescent="0.25">
      <c r="O5018">
        <v>1</v>
      </c>
      <c r="S5018" t="e">
        <v>#DIV/0!</v>
      </c>
      <c r="T5018" t="s">
        <v>82</v>
      </c>
    </row>
    <row r="5019" spans="15:20" x14ac:dyDescent="0.25">
      <c r="O5019">
        <v>1</v>
      </c>
      <c r="S5019" t="e">
        <v>#DIV/0!</v>
      </c>
      <c r="T5019" t="s">
        <v>82</v>
      </c>
    </row>
    <row r="5020" spans="15:20" x14ac:dyDescent="0.25">
      <c r="O5020">
        <v>1</v>
      </c>
      <c r="S5020" t="e">
        <v>#DIV/0!</v>
      </c>
      <c r="T5020" t="s">
        <v>82</v>
      </c>
    </row>
    <row r="5021" spans="15:20" x14ac:dyDescent="0.25">
      <c r="O5021">
        <v>1</v>
      </c>
      <c r="S5021" t="e">
        <v>#DIV/0!</v>
      </c>
      <c r="T5021" t="s">
        <v>82</v>
      </c>
    </row>
    <row r="5022" spans="15:20" x14ac:dyDescent="0.25">
      <c r="O5022">
        <v>1</v>
      </c>
      <c r="S5022" t="e">
        <v>#DIV/0!</v>
      </c>
      <c r="T5022" t="s">
        <v>82</v>
      </c>
    </row>
    <row r="5023" spans="15:20" x14ac:dyDescent="0.25">
      <c r="O5023">
        <v>1</v>
      </c>
      <c r="S5023" t="e">
        <v>#DIV/0!</v>
      </c>
      <c r="T5023" t="s">
        <v>82</v>
      </c>
    </row>
    <row r="5024" spans="15:20" x14ac:dyDescent="0.25">
      <c r="O5024">
        <v>1</v>
      </c>
      <c r="S5024" t="e">
        <v>#DIV/0!</v>
      </c>
      <c r="T5024" t="s">
        <v>82</v>
      </c>
    </row>
    <row r="5025" spans="15:20" x14ac:dyDescent="0.25">
      <c r="O5025">
        <v>1</v>
      </c>
      <c r="S5025" t="e">
        <v>#DIV/0!</v>
      </c>
      <c r="T5025" t="s">
        <v>82</v>
      </c>
    </row>
    <row r="5026" spans="15:20" x14ac:dyDescent="0.25">
      <c r="O5026">
        <v>1</v>
      </c>
      <c r="S5026" t="e">
        <v>#DIV/0!</v>
      </c>
      <c r="T5026" t="s">
        <v>82</v>
      </c>
    </row>
    <row r="5027" spans="15:20" x14ac:dyDescent="0.25">
      <c r="O5027">
        <v>1</v>
      </c>
      <c r="S5027" t="e">
        <v>#DIV/0!</v>
      </c>
      <c r="T5027" t="s">
        <v>82</v>
      </c>
    </row>
    <row r="5028" spans="15:20" x14ac:dyDescent="0.25">
      <c r="O5028">
        <v>1</v>
      </c>
      <c r="S5028" t="e">
        <v>#DIV/0!</v>
      </c>
      <c r="T5028" t="s">
        <v>82</v>
      </c>
    </row>
    <row r="5029" spans="15:20" x14ac:dyDescent="0.25">
      <c r="O5029">
        <v>1</v>
      </c>
      <c r="S5029" t="e">
        <v>#DIV/0!</v>
      </c>
      <c r="T5029" t="s">
        <v>82</v>
      </c>
    </row>
    <row r="5030" spans="15:20" x14ac:dyDescent="0.25">
      <c r="O5030">
        <v>1</v>
      </c>
      <c r="S5030" t="e">
        <v>#DIV/0!</v>
      </c>
      <c r="T5030" t="s">
        <v>82</v>
      </c>
    </row>
    <row r="5031" spans="15:20" x14ac:dyDescent="0.25">
      <c r="O5031">
        <v>1</v>
      </c>
      <c r="S5031" t="e">
        <v>#DIV/0!</v>
      </c>
      <c r="T5031" t="s">
        <v>82</v>
      </c>
    </row>
    <row r="5032" spans="15:20" x14ac:dyDescent="0.25">
      <c r="O5032">
        <v>1</v>
      </c>
      <c r="S5032" t="e">
        <v>#DIV/0!</v>
      </c>
      <c r="T5032" t="s">
        <v>82</v>
      </c>
    </row>
    <row r="5033" spans="15:20" x14ac:dyDescent="0.25">
      <c r="O5033">
        <v>1</v>
      </c>
      <c r="S5033" t="e">
        <v>#DIV/0!</v>
      </c>
      <c r="T5033" t="s">
        <v>82</v>
      </c>
    </row>
    <row r="5034" spans="15:20" x14ac:dyDescent="0.25">
      <c r="O5034">
        <v>1</v>
      </c>
      <c r="S5034" t="e">
        <v>#DIV/0!</v>
      </c>
      <c r="T5034" t="s">
        <v>82</v>
      </c>
    </row>
    <row r="5035" spans="15:20" x14ac:dyDescent="0.25">
      <c r="O5035">
        <v>1</v>
      </c>
      <c r="S5035" t="e">
        <v>#DIV/0!</v>
      </c>
      <c r="T5035" t="s">
        <v>82</v>
      </c>
    </row>
    <row r="5036" spans="15:20" x14ac:dyDescent="0.25">
      <c r="O5036">
        <v>1</v>
      </c>
      <c r="S5036" t="e">
        <v>#DIV/0!</v>
      </c>
      <c r="T5036" t="s">
        <v>82</v>
      </c>
    </row>
    <row r="5037" spans="15:20" x14ac:dyDescent="0.25">
      <c r="O5037">
        <v>1</v>
      </c>
      <c r="S5037" t="e">
        <v>#DIV/0!</v>
      </c>
      <c r="T5037" t="s">
        <v>82</v>
      </c>
    </row>
    <row r="5038" spans="15:20" x14ac:dyDescent="0.25">
      <c r="O5038">
        <v>1</v>
      </c>
      <c r="S5038" t="e">
        <v>#DIV/0!</v>
      </c>
      <c r="T5038" t="s">
        <v>82</v>
      </c>
    </row>
    <row r="5039" spans="15:20" x14ac:dyDescent="0.25">
      <c r="O5039">
        <v>1</v>
      </c>
      <c r="S5039" t="e">
        <v>#DIV/0!</v>
      </c>
      <c r="T5039" t="s">
        <v>82</v>
      </c>
    </row>
    <row r="5040" spans="15:20" x14ac:dyDescent="0.25">
      <c r="O5040">
        <v>1</v>
      </c>
      <c r="S5040" t="e">
        <v>#DIV/0!</v>
      </c>
      <c r="T5040" t="s">
        <v>82</v>
      </c>
    </row>
    <row r="5041" spans="15:20" x14ac:dyDescent="0.25">
      <c r="O5041">
        <v>1</v>
      </c>
      <c r="S5041" t="e">
        <v>#DIV/0!</v>
      </c>
      <c r="T5041" t="s">
        <v>82</v>
      </c>
    </row>
    <row r="5042" spans="15:20" x14ac:dyDescent="0.25">
      <c r="O5042">
        <v>1</v>
      </c>
      <c r="S5042" t="e">
        <v>#DIV/0!</v>
      </c>
      <c r="T5042" t="s">
        <v>82</v>
      </c>
    </row>
    <row r="5043" spans="15:20" x14ac:dyDescent="0.25">
      <c r="O5043">
        <v>1</v>
      </c>
      <c r="S5043" t="e">
        <v>#DIV/0!</v>
      </c>
      <c r="T5043" t="s">
        <v>82</v>
      </c>
    </row>
    <row r="5044" spans="15:20" x14ac:dyDescent="0.25">
      <c r="O5044">
        <v>1</v>
      </c>
      <c r="S5044" t="e">
        <v>#DIV/0!</v>
      </c>
      <c r="T5044" t="s">
        <v>82</v>
      </c>
    </row>
    <row r="5045" spans="15:20" x14ac:dyDescent="0.25">
      <c r="O5045">
        <v>1</v>
      </c>
      <c r="S5045" t="e">
        <v>#DIV/0!</v>
      </c>
      <c r="T5045" t="s">
        <v>82</v>
      </c>
    </row>
    <row r="5046" spans="15:20" x14ac:dyDescent="0.25">
      <c r="O5046">
        <v>1</v>
      </c>
      <c r="S5046" t="e">
        <v>#DIV/0!</v>
      </c>
      <c r="T5046" t="s">
        <v>82</v>
      </c>
    </row>
    <row r="5047" spans="15:20" x14ac:dyDescent="0.25">
      <c r="O5047">
        <v>1</v>
      </c>
      <c r="S5047" t="e">
        <v>#DIV/0!</v>
      </c>
      <c r="T5047" t="s">
        <v>82</v>
      </c>
    </row>
    <row r="5048" spans="15:20" x14ac:dyDescent="0.25">
      <c r="O5048">
        <v>1</v>
      </c>
      <c r="S5048" t="e">
        <v>#DIV/0!</v>
      </c>
      <c r="T5048" t="s">
        <v>82</v>
      </c>
    </row>
    <row r="5049" spans="15:20" x14ac:dyDescent="0.25">
      <c r="O5049">
        <v>1</v>
      </c>
      <c r="S5049" t="e">
        <v>#DIV/0!</v>
      </c>
      <c r="T5049" t="s">
        <v>82</v>
      </c>
    </row>
    <row r="5050" spans="15:20" x14ac:dyDescent="0.25">
      <c r="O5050">
        <v>1</v>
      </c>
      <c r="S5050" t="e">
        <v>#DIV/0!</v>
      </c>
      <c r="T5050" t="s">
        <v>82</v>
      </c>
    </row>
    <row r="5051" spans="15:20" x14ac:dyDescent="0.25">
      <c r="O5051">
        <v>1</v>
      </c>
      <c r="S5051" t="e">
        <v>#DIV/0!</v>
      </c>
      <c r="T5051" t="s">
        <v>82</v>
      </c>
    </row>
    <row r="5052" spans="15:20" x14ac:dyDescent="0.25">
      <c r="O5052">
        <v>1</v>
      </c>
      <c r="S5052" t="e">
        <v>#DIV/0!</v>
      </c>
      <c r="T5052" t="s">
        <v>82</v>
      </c>
    </row>
    <row r="5053" spans="15:20" x14ac:dyDescent="0.25">
      <c r="O5053">
        <v>1</v>
      </c>
      <c r="S5053" t="e">
        <v>#DIV/0!</v>
      </c>
      <c r="T5053" t="s">
        <v>82</v>
      </c>
    </row>
    <row r="5054" spans="15:20" x14ac:dyDescent="0.25">
      <c r="O5054">
        <v>1</v>
      </c>
      <c r="S5054" t="e">
        <v>#DIV/0!</v>
      </c>
      <c r="T5054" t="s">
        <v>82</v>
      </c>
    </row>
    <row r="5055" spans="15:20" x14ac:dyDescent="0.25">
      <c r="O5055">
        <v>1</v>
      </c>
      <c r="S5055" t="e">
        <v>#DIV/0!</v>
      </c>
      <c r="T5055" t="s">
        <v>82</v>
      </c>
    </row>
    <row r="5056" spans="15:20" x14ac:dyDescent="0.25">
      <c r="O5056">
        <v>1</v>
      </c>
      <c r="S5056" t="e">
        <v>#DIV/0!</v>
      </c>
      <c r="T5056" t="s">
        <v>82</v>
      </c>
    </row>
    <row r="5057" spans="15:20" x14ac:dyDescent="0.25">
      <c r="O5057">
        <v>1</v>
      </c>
      <c r="S5057" t="e">
        <v>#DIV/0!</v>
      </c>
      <c r="T5057" t="s">
        <v>82</v>
      </c>
    </row>
    <row r="5058" spans="15:20" x14ac:dyDescent="0.25">
      <c r="O5058">
        <v>1</v>
      </c>
      <c r="S5058" t="e">
        <v>#DIV/0!</v>
      </c>
      <c r="T5058" t="s">
        <v>82</v>
      </c>
    </row>
    <row r="5059" spans="15:20" x14ac:dyDescent="0.25">
      <c r="O5059">
        <v>1</v>
      </c>
      <c r="S5059" t="e">
        <v>#DIV/0!</v>
      </c>
      <c r="T5059" t="s">
        <v>82</v>
      </c>
    </row>
    <row r="5060" spans="15:20" x14ac:dyDescent="0.25">
      <c r="O5060">
        <v>1</v>
      </c>
      <c r="S5060" t="e">
        <v>#DIV/0!</v>
      </c>
      <c r="T5060" t="s">
        <v>82</v>
      </c>
    </row>
    <row r="5061" spans="15:20" x14ac:dyDescent="0.25">
      <c r="O5061">
        <v>1</v>
      </c>
      <c r="S5061" t="e">
        <v>#DIV/0!</v>
      </c>
      <c r="T5061" t="s">
        <v>82</v>
      </c>
    </row>
    <row r="5062" spans="15:20" x14ac:dyDescent="0.25">
      <c r="O5062">
        <v>1</v>
      </c>
      <c r="S5062" t="e">
        <v>#DIV/0!</v>
      </c>
      <c r="T5062" t="s">
        <v>82</v>
      </c>
    </row>
    <row r="5063" spans="15:20" x14ac:dyDescent="0.25">
      <c r="O5063">
        <v>1</v>
      </c>
      <c r="S5063" t="e">
        <v>#DIV/0!</v>
      </c>
      <c r="T5063" t="s">
        <v>82</v>
      </c>
    </row>
    <row r="5064" spans="15:20" x14ac:dyDescent="0.25">
      <c r="O5064">
        <v>1</v>
      </c>
      <c r="S5064" t="e">
        <v>#DIV/0!</v>
      </c>
      <c r="T5064" t="s">
        <v>82</v>
      </c>
    </row>
    <row r="5065" spans="15:20" x14ac:dyDescent="0.25">
      <c r="O5065">
        <v>1</v>
      </c>
      <c r="S5065" t="e">
        <v>#DIV/0!</v>
      </c>
      <c r="T5065" t="s">
        <v>82</v>
      </c>
    </row>
    <row r="5066" spans="15:20" x14ac:dyDescent="0.25">
      <c r="O5066">
        <v>1</v>
      </c>
      <c r="S5066" t="e">
        <v>#DIV/0!</v>
      </c>
      <c r="T5066" t="s">
        <v>82</v>
      </c>
    </row>
    <row r="5067" spans="15:20" x14ac:dyDescent="0.25">
      <c r="O5067">
        <v>1</v>
      </c>
      <c r="S5067" t="e">
        <v>#DIV/0!</v>
      </c>
      <c r="T5067" t="s">
        <v>82</v>
      </c>
    </row>
    <row r="5068" spans="15:20" x14ac:dyDescent="0.25">
      <c r="O5068">
        <v>1</v>
      </c>
      <c r="S5068" t="e">
        <v>#DIV/0!</v>
      </c>
      <c r="T5068" t="s">
        <v>82</v>
      </c>
    </row>
    <row r="5069" spans="15:20" x14ac:dyDescent="0.25">
      <c r="O5069">
        <v>1</v>
      </c>
      <c r="S5069" t="e">
        <v>#DIV/0!</v>
      </c>
      <c r="T5069" t="s">
        <v>82</v>
      </c>
    </row>
    <row r="5070" spans="15:20" x14ac:dyDescent="0.25">
      <c r="O5070">
        <v>1</v>
      </c>
      <c r="S5070" t="e">
        <v>#DIV/0!</v>
      </c>
      <c r="T5070" t="s">
        <v>82</v>
      </c>
    </row>
    <row r="5071" spans="15:20" x14ac:dyDescent="0.25">
      <c r="O5071">
        <v>1</v>
      </c>
      <c r="S5071" t="e">
        <v>#DIV/0!</v>
      </c>
      <c r="T5071" t="s">
        <v>82</v>
      </c>
    </row>
    <row r="5072" spans="15:20" x14ac:dyDescent="0.25">
      <c r="O5072">
        <v>1</v>
      </c>
      <c r="S5072" t="e">
        <v>#DIV/0!</v>
      </c>
      <c r="T5072" t="s">
        <v>82</v>
      </c>
    </row>
    <row r="5073" spans="15:20" x14ac:dyDescent="0.25">
      <c r="O5073">
        <v>1</v>
      </c>
      <c r="S5073" t="e">
        <v>#DIV/0!</v>
      </c>
      <c r="T5073" t="s">
        <v>82</v>
      </c>
    </row>
    <row r="5074" spans="15:20" x14ac:dyDescent="0.25">
      <c r="O5074">
        <v>1</v>
      </c>
      <c r="S5074" t="e">
        <v>#DIV/0!</v>
      </c>
      <c r="T5074" t="s">
        <v>82</v>
      </c>
    </row>
    <row r="5075" spans="15:20" x14ac:dyDescent="0.25">
      <c r="O5075">
        <v>1</v>
      </c>
      <c r="S5075" t="e">
        <v>#DIV/0!</v>
      </c>
      <c r="T5075" t="s">
        <v>82</v>
      </c>
    </row>
    <row r="5076" spans="15:20" x14ac:dyDescent="0.25">
      <c r="O5076">
        <v>1</v>
      </c>
      <c r="S5076" t="e">
        <v>#DIV/0!</v>
      </c>
      <c r="T5076" t="s">
        <v>82</v>
      </c>
    </row>
    <row r="5077" spans="15:20" x14ac:dyDescent="0.25">
      <c r="O5077">
        <v>1</v>
      </c>
      <c r="S5077" t="e">
        <v>#DIV/0!</v>
      </c>
      <c r="T5077" t="s">
        <v>82</v>
      </c>
    </row>
    <row r="5078" spans="15:20" x14ac:dyDescent="0.25">
      <c r="O5078">
        <v>1</v>
      </c>
      <c r="S5078" t="e">
        <v>#DIV/0!</v>
      </c>
      <c r="T5078" t="s">
        <v>82</v>
      </c>
    </row>
    <row r="5079" spans="15:20" x14ac:dyDescent="0.25">
      <c r="O5079">
        <v>1</v>
      </c>
      <c r="S5079" t="e">
        <v>#DIV/0!</v>
      </c>
      <c r="T5079" t="s">
        <v>82</v>
      </c>
    </row>
    <row r="5080" spans="15:20" x14ac:dyDescent="0.25">
      <c r="O5080">
        <v>1</v>
      </c>
      <c r="S5080" t="e">
        <v>#DIV/0!</v>
      </c>
      <c r="T5080" t="s">
        <v>82</v>
      </c>
    </row>
    <row r="5081" spans="15:20" x14ac:dyDescent="0.25">
      <c r="O5081">
        <v>1</v>
      </c>
      <c r="S5081" t="e">
        <v>#DIV/0!</v>
      </c>
      <c r="T5081" t="s">
        <v>82</v>
      </c>
    </row>
    <row r="5082" spans="15:20" x14ac:dyDescent="0.25">
      <c r="O5082">
        <v>1</v>
      </c>
      <c r="S5082" t="e">
        <v>#DIV/0!</v>
      </c>
      <c r="T5082" t="s">
        <v>82</v>
      </c>
    </row>
    <row r="5083" spans="15:20" x14ac:dyDescent="0.25">
      <c r="O5083">
        <v>1</v>
      </c>
      <c r="S5083" t="e">
        <v>#DIV/0!</v>
      </c>
      <c r="T5083" t="s">
        <v>82</v>
      </c>
    </row>
    <row r="5084" spans="15:20" x14ac:dyDescent="0.25">
      <c r="O5084">
        <v>1</v>
      </c>
      <c r="S5084" t="e">
        <v>#DIV/0!</v>
      </c>
      <c r="T5084" t="s">
        <v>82</v>
      </c>
    </row>
    <row r="5085" spans="15:20" x14ac:dyDescent="0.25">
      <c r="O5085">
        <v>1</v>
      </c>
      <c r="S5085" t="e">
        <v>#DIV/0!</v>
      </c>
      <c r="T5085" t="s">
        <v>82</v>
      </c>
    </row>
    <row r="5086" spans="15:20" x14ac:dyDescent="0.25">
      <c r="O5086">
        <v>1</v>
      </c>
      <c r="S5086" t="e">
        <v>#DIV/0!</v>
      </c>
      <c r="T5086" t="s">
        <v>82</v>
      </c>
    </row>
    <row r="5087" spans="15:20" x14ac:dyDescent="0.25">
      <c r="O5087">
        <v>1</v>
      </c>
      <c r="S5087" t="e">
        <v>#DIV/0!</v>
      </c>
      <c r="T5087" t="s">
        <v>82</v>
      </c>
    </row>
    <row r="5088" spans="15:20" x14ac:dyDescent="0.25">
      <c r="O5088">
        <v>1</v>
      </c>
      <c r="S5088" t="e">
        <v>#DIV/0!</v>
      </c>
      <c r="T5088" t="s">
        <v>82</v>
      </c>
    </row>
    <row r="5089" spans="15:20" x14ac:dyDescent="0.25">
      <c r="O5089">
        <v>1</v>
      </c>
      <c r="S5089" t="e">
        <v>#DIV/0!</v>
      </c>
      <c r="T5089" t="s">
        <v>82</v>
      </c>
    </row>
    <row r="5090" spans="15:20" x14ac:dyDescent="0.25">
      <c r="O5090">
        <v>1</v>
      </c>
      <c r="S5090" t="e">
        <v>#DIV/0!</v>
      </c>
      <c r="T5090" t="s">
        <v>82</v>
      </c>
    </row>
    <row r="5091" spans="15:20" x14ac:dyDescent="0.25">
      <c r="O5091">
        <v>1</v>
      </c>
      <c r="S5091" t="e">
        <v>#DIV/0!</v>
      </c>
      <c r="T5091" t="s">
        <v>82</v>
      </c>
    </row>
    <row r="5092" spans="15:20" x14ac:dyDescent="0.25">
      <c r="O5092">
        <v>1</v>
      </c>
      <c r="S5092" t="e">
        <v>#DIV/0!</v>
      </c>
      <c r="T5092" t="s">
        <v>82</v>
      </c>
    </row>
    <row r="5093" spans="15:20" x14ac:dyDescent="0.25">
      <c r="O5093">
        <v>1</v>
      </c>
      <c r="S5093" t="e">
        <v>#DIV/0!</v>
      </c>
      <c r="T5093" t="s">
        <v>82</v>
      </c>
    </row>
    <row r="5094" spans="15:20" x14ac:dyDescent="0.25">
      <c r="O5094">
        <v>1</v>
      </c>
      <c r="S5094" t="e">
        <v>#DIV/0!</v>
      </c>
      <c r="T5094" t="s">
        <v>82</v>
      </c>
    </row>
    <row r="5095" spans="15:20" x14ac:dyDescent="0.25">
      <c r="O5095">
        <v>1</v>
      </c>
      <c r="S5095" t="e">
        <v>#DIV/0!</v>
      </c>
      <c r="T5095" t="s">
        <v>82</v>
      </c>
    </row>
    <row r="5096" spans="15:20" x14ac:dyDescent="0.25">
      <c r="O5096">
        <v>1</v>
      </c>
      <c r="S5096" t="e">
        <v>#DIV/0!</v>
      </c>
      <c r="T5096" t="s">
        <v>82</v>
      </c>
    </row>
    <row r="5097" spans="15:20" x14ac:dyDescent="0.25">
      <c r="O5097">
        <v>1</v>
      </c>
      <c r="S5097" t="e">
        <v>#DIV/0!</v>
      </c>
      <c r="T5097" t="s">
        <v>82</v>
      </c>
    </row>
    <row r="5098" spans="15:20" x14ac:dyDescent="0.25">
      <c r="O5098">
        <v>1</v>
      </c>
      <c r="S5098" t="e">
        <v>#DIV/0!</v>
      </c>
      <c r="T5098" t="s">
        <v>82</v>
      </c>
    </row>
    <row r="5099" spans="15:20" x14ac:dyDescent="0.25">
      <c r="O5099">
        <v>1</v>
      </c>
      <c r="S5099" t="e">
        <v>#DIV/0!</v>
      </c>
      <c r="T5099" t="s">
        <v>82</v>
      </c>
    </row>
    <row r="5100" spans="15:20" x14ac:dyDescent="0.25">
      <c r="O5100">
        <v>1</v>
      </c>
      <c r="S5100" t="e">
        <v>#DIV/0!</v>
      </c>
      <c r="T5100" t="s">
        <v>82</v>
      </c>
    </row>
    <row r="5101" spans="15:20" x14ac:dyDescent="0.25">
      <c r="O5101">
        <v>1</v>
      </c>
      <c r="S5101" t="e">
        <v>#DIV/0!</v>
      </c>
      <c r="T5101" t="s">
        <v>82</v>
      </c>
    </row>
    <row r="5102" spans="15:20" x14ac:dyDescent="0.25">
      <c r="O5102">
        <v>1</v>
      </c>
      <c r="S5102" t="e">
        <v>#DIV/0!</v>
      </c>
      <c r="T5102" t="s">
        <v>82</v>
      </c>
    </row>
    <row r="5103" spans="15:20" x14ac:dyDescent="0.25">
      <c r="O5103">
        <v>1</v>
      </c>
      <c r="S5103" t="e">
        <v>#DIV/0!</v>
      </c>
      <c r="T5103" t="s">
        <v>82</v>
      </c>
    </row>
    <row r="5104" spans="15:20" x14ac:dyDescent="0.25">
      <c r="O5104">
        <v>1</v>
      </c>
      <c r="S5104" t="e">
        <v>#DIV/0!</v>
      </c>
      <c r="T5104" t="s">
        <v>82</v>
      </c>
    </row>
    <row r="5105" spans="15:20" x14ac:dyDescent="0.25">
      <c r="O5105">
        <v>1</v>
      </c>
      <c r="S5105" t="e">
        <v>#DIV/0!</v>
      </c>
      <c r="T5105" t="s">
        <v>82</v>
      </c>
    </row>
    <row r="5106" spans="15:20" x14ac:dyDescent="0.25">
      <c r="O5106">
        <v>1</v>
      </c>
      <c r="S5106" t="e">
        <v>#DIV/0!</v>
      </c>
      <c r="T5106" t="s">
        <v>82</v>
      </c>
    </row>
    <row r="5107" spans="15:20" x14ac:dyDescent="0.25">
      <c r="O5107">
        <v>1</v>
      </c>
      <c r="S5107" t="e">
        <v>#DIV/0!</v>
      </c>
      <c r="T5107" t="s">
        <v>82</v>
      </c>
    </row>
    <row r="5108" spans="15:20" x14ac:dyDescent="0.25">
      <c r="O5108">
        <v>1</v>
      </c>
      <c r="S5108" t="e">
        <v>#DIV/0!</v>
      </c>
      <c r="T5108" t="s">
        <v>82</v>
      </c>
    </row>
    <row r="5109" spans="15:20" x14ac:dyDescent="0.25">
      <c r="O5109">
        <v>1</v>
      </c>
      <c r="S5109" t="e">
        <v>#DIV/0!</v>
      </c>
      <c r="T5109" t="s">
        <v>82</v>
      </c>
    </row>
    <row r="5110" spans="15:20" x14ac:dyDescent="0.25">
      <c r="O5110">
        <v>1</v>
      </c>
      <c r="S5110" t="e">
        <v>#DIV/0!</v>
      </c>
      <c r="T5110" t="s">
        <v>82</v>
      </c>
    </row>
    <row r="5111" spans="15:20" x14ac:dyDescent="0.25">
      <c r="O5111">
        <v>1</v>
      </c>
      <c r="S5111" t="e">
        <v>#DIV/0!</v>
      </c>
      <c r="T5111" t="s">
        <v>82</v>
      </c>
    </row>
    <row r="5112" spans="15:20" x14ac:dyDescent="0.25">
      <c r="O5112">
        <v>1</v>
      </c>
      <c r="S5112" t="e">
        <v>#DIV/0!</v>
      </c>
      <c r="T5112" t="s">
        <v>82</v>
      </c>
    </row>
    <row r="5113" spans="15:20" x14ac:dyDescent="0.25">
      <c r="O5113">
        <v>1</v>
      </c>
      <c r="S5113" t="e">
        <v>#DIV/0!</v>
      </c>
      <c r="T5113" t="s">
        <v>82</v>
      </c>
    </row>
    <row r="5114" spans="15:20" x14ac:dyDescent="0.25">
      <c r="O5114">
        <v>1</v>
      </c>
      <c r="S5114" t="e">
        <v>#DIV/0!</v>
      </c>
      <c r="T5114" t="s">
        <v>82</v>
      </c>
    </row>
    <row r="5115" spans="15:20" x14ac:dyDescent="0.25">
      <c r="O5115">
        <v>1</v>
      </c>
      <c r="S5115" t="e">
        <v>#DIV/0!</v>
      </c>
      <c r="T5115" t="s">
        <v>82</v>
      </c>
    </row>
    <row r="5116" spans="15:20" x14ac:dyDescent="0.25">
      <c r="O5116">
        <v>1</v>
      </c>
      <c r="S5116" t="e">
        <v>#DIV/0!</v>
      </c>
      <c r="T5116" t="s">
        <v>82</v>
      </c>
    </row>
    <row r="5117" spans="15:20" x14ac:dyDescent="0.25">
      <c r="O5117">
        <v>1</v>
      </c>
      <c r="S5117" t="e">
        <v>#DIV/0!</v>
      </c>
      <c r="T5117" t="s">
        <v>82</v>
      </c>
    </row>
    <row r="5118" spans="15:20" x14ac:dyDescent="0.25">
      <c r="O5118">
        <v>1</v>
      </c>
      <c r="S5118" t="e">
        <v>#DIV/0!</v>
      </c>
      <c r="T5118" t="s">
        <v>82</v>
      </c>
    </row>
    <row r="5119" spans="15:20" x14ac:dyDescent="0.25">
      <c r="O5119">
        <v>1</v>
      </c>
      <c r="S5119" t="e">
        <v>#DIV/0!</v>
      </c>
      <c r="T5119" t="s">
        <v>82</v>
      </c>
    </row>
    <row r="5120" spans="15:20" x14ac:dyDescent="0.25">
      <c r="O5120">
        <v>1</v>
      </c>
      <c r="S5120" t="e">
        <v>#DIV/0!</v>
      </c>
      <c r="T5120" t="s">
        <v>82</v>
      </c>
    </row>
    <row r="5121" spans="15:20" x14ac:dyDescent="0.25">
      <c r="O5121">
        <v>1</v>
      </c>
      <c r="S5121" t="e">
        <v>#DIV/0!</v>
      </c>
      <c r="T5121" t="s">
        <v>82</v>
      </c>
    </row>
    <row r="5122" spans="15:20" x14ac:dyDescent="0.25">
      <c r="O5122">
        <v>1</v>
      </c>
      <c r="S5122" t="e">
        <v>#DIV/0!</v>
      </c>
      <c r="T5122" t="s">
        <v>82</v>
      </c>
    </row>
    <row r="5123" spans="15:20" x14ac:dyDescent="0.25">
      <c r="O5123">
        <v>1</v>
      </c>
      <c r="S5123" t="e">
        <v>#DIV/0!</v>
      </c>
      <c r="T5123" t="s">
        <v>82</v>
      </c>
    </row>
    <row r="5124" spans="15:20" x14ac:dyDescent="0.25">
      <c r="O5124">
        <v>1</v>
      </c>
      <c r="S5124" t="e">
        <v>#DIV/0!</v>
      </c>
      <c r="T5124" t="s">
        <v>82</v>
      </c>
    </row>
    <row r="5125" spans="15:20" x14ac:dyDescent="0.25">
      <c r="O5125">
        <v>1</v>
      </c>
      <c r="S5125" t="e">
        <v>#DIV/0!</v>
      </c>
      <c r="T5125" t="s">
        <v>82</v>
      </c>
    </row>
    <row r="5126" spans="15:20" x14ac:dyDescent="0.25">
      <c r="O5126">
        <v>1</v>
      </c>
      <c r="S5126" t="e">
        <v>#DIV/0!</v>
      </c>
      <c r="T5126" t="s">
        <v>82</v>
      </c>
    </row>
    <row r="5127" spans="15:20" x14ac:dyDescent="0.25">
      <c r="O5127">
        <v>1</v>
      </c>
      <c r="S5127" t="e">
        <v>#DIV/0!</v>
      </c>
      <c r="T5127" t="s">
        <v>82</v>
      </c>
    </row>
    <row r="5128" spans="15:20" x14ac:dyDescent="0.25">
      <c r="O5128">
        <v>1</v>
      </c>
      <c r="S5128" t="e">
        <v>#DIV/0!</v>
      </c>
      <c r="T5128" t="s">
        <v>82</v>
      </c>
    </row>
    <row r="5129" spans="15:20" x14ac:dyDescent="0.25">
      <c r="O5129">
        <v>1</v>
      </c>
      <c r="S5129" t="e">
        <v>#DIV/0!</v>
      </c>
      <c r="T5129" t="s">
        <v>82</v>
      </c>
    </row>
    <row r="5130" spans="15:20" x14ac:dyDescent="0.25">
      <c r="O5130">
        <v>1</v>
      </c>
      <c r="S5130" t="e">
        <v>#DIV/0!</v>
      </c>
      <c r="T5130" t="s">
        <v>82</v>
      </c>
    </row>
    <row r="5131" spans="15:20" x14ac:dyDescent="0.25">
      <c r="O5131">
        <v>1</v>
      </c>
      <c r="S5131" t="e">
        <v>#DIV/0!</v>
      </c>
      <c r="T5131" t="s">
        <v>82</v>
      </c>
    </row>
    <row r="5132" spans="15:20" x14ac:dyDescent="0.25">
      <c r="O5132">
        <v>1</v>
      </c>
      <c r="S5132" t="e">
        <v>#DIV/0!</v>
      </c>
      <c r="T5132" t="s">
        <v>82</v>
      </c>
    </row>
    <row r="5133" spans="15:20" x14ac:dyDescent="0.25">
      <c r="O5133">
        <v>1</v>
      </c>
      <c r="S5133" t="e">
        <v>#DIV/0!</v>
      </c>
      <c r="T5133" t="s">
        <v>82</v>
      </c>
    </row>
    <row r="5134" spans="15:20" x14ac:dyDescent="0.25">
      <c r="O5134">
        <v>1</v>
      </c>
      <c r="S5134" t="e">
        <v>#DIV/0!</v>
      </c>
      <c r="T5134" t="s">
        <v>82</v>
      </c>
    </row>
    <row r="5135" spans="15:20" x14ac:dyDescent="0.25">
      <c r="O5135">
        <v>1</v>
      </c>
      <c r="S5135" t="e">
        <v>#DIV/0!</v>
      </c>
      <c r="T5135" t="s">
        <v>82</v>
      </c>
    </row>
    <row r="5136" spans="15:20" x14ac:dyDescent="0.25">
      <c r="O5136">
        <v>1</v>
      </c>
      <c r="S5136" t="e">
        <v>#DIV/0!</v>
      </c>
      <c r="T5136" t="s">
        <v>82</v>
      </c>
    </row>
    <row r="5137" spans="15:20" x14ac:dyDescent="0.25">
      <c r="O5137">
        <v>1</v>
      </c>
      <c r="S5137" t="e">
        <v>#DIV/0!</v>
      </c>
      <c r="T5137" t="s">
        <v>82</v>
      </c>
    </row>
    <row r="5138" spans="15:20" x14ac:dyDescent="0.25">
      <c r="O5138">
        <v>1</v>
      </c>
      <c r="S5138" t="e">
        <v>#DIV/0!</v>
      </c>
      <c r="T5138" t="s">
        <v>82</v>
      </c>
    </row>
    <row r="5139" spans="15:20" x14ac:dyDescent="0.25">
      <c r="O5139">
        <v>1</v>
      </c>
      <c r="S5139" t="e">
        <v>#DIV/0!</v>
      </c>
      <c r="T5139" t="s">
        <v>82</v>
      </c>
    </row>
    <row r="5140" spans="15:20" x14ac:dyDescent="0.25">
      <c r="O5140">
        <v>1</v>
      </c>
      <c r="S5140" t="e">
        <v>#DIV/0!</v>
      </c>
      <c r="T5140" t="s">
        <v>82</v>
      </c>
    </row>
    <row r="5141" spans="15:20" x14ac:dyDescent="0.25">
      <c r="O5141">
        <v>1</v>
      </c>
      <c r="S5141" t="e">
        <v>#DIV/0!</v>
      </c>
      <c r="T5141" t="s">
        <v>82</v>
      </c>
    </row>
    <row r="5142" spans="15:20" x14ac:dyDescent="0.25">
      <c r="O5142">
        <v>1</v>
      </c>
      <c r="S5142" t="e">
        <v>#DIV/0!</v>
      </c>
      <c r="T5142" t="s">
        <v>82</v>
      </c>
    </row>
    <row r="5143" spans="15:20" x14ac:dyDescent="0.25">
      <c r="O5143">
        <v>1</v>
      </c>
      <c r="S5143" t="e">
        <v>#DIV/0!</v>
      </c>
      <c r="T5143" t="s">
        <v>82</v>
      </c>
    </row>
    <row r="5144" spans="15:20" x14ac:dyDescent="0.25">
      <c r="O5144">
        <v>1</v>
      </c>
      <c r="S5144" t="e">
        <v>#DIV/0!</v>
      </c>
      <c r="T5144" t="s">
        <v>82</v>
      </c>
    </row>
    <row r="5145" spans="15:20" x14ac:dyDescent="0.25">
      <c r="O5145">
        <v>1</v>
      </c>
      <c r="S5145" t="e">
        <v>#DIV/0!</v>
      </c>
      <c r="T5145" t="s">
        <v>82</v>
      </c>
    </row>
    <row r="5146" spans="15:20" x14ac:dyDescent="0.25">
      <c r="O5146">
        <v>1</v>
      </c>
      <c r="S5146" t="e">
        <v>#DIV/0!</v>
      </c>
      <c r="T5146" t="s">
        <v>82</v>
      </c>
    </row>
    <row r="5147" spans="15:20" x14ac:dyDescent="0.25">
      <c r="O5147">
        <v>1</v>
      </c>
      <c r="S5147" t="e">
        <v>#DIV/0!</v>
      </c>
      <c r="T5147" t="s">
        <v>82</v>
      </c>
    </row>
    <row r="5148" spans="15:20" x14ac:dyDescent="0.25">
      <c r="O5148">
        <v>1</v>
      </c>
      <c r="S5148" t="e">
        <v>#DIV/0!</v>
      </c>
      <c r="T5148" t="s">
        <v>82</v>
      </c>
    </row>
    <row r="5149" spans="15:20" x14ac:dyDescent="0.25">
      <c r="O5149">
        <v>1</v>
      </c>
      <c r="S5149" t="e">
        <v>#DIV/0!</v>
      </c>
      <c r="T5149" t="s">
        <v>82</v>
      </c>
    </row>
    <row r="5150" spans="15:20" x14ac:dyDescent="0.25">
      <c r="O5150">
        <v>1</v>
      </c>
      <c r="S5150" t="e">
        <v>#DIV/0!</v>
      </c>
      <c r="T5150" t="s">
        <v>82</v>
      </c>
    </row>
    <row r="5151" spans="15:20" x14ac:dyDescent="0.25">
      <c r="O5151">
        <v>1</v>
      </c>
      <c r="S5151" t="e">
        <v>#DIV/0!</v>
      </c>
      <c r="T5151" t="s">
        <v>82</v>
      </c>
    </row>
    <row r="5152" spans="15:20" x14ac:dyDescent="0.25">
      <c r="O5152">
        <v>1</v>
      </c>
      <c r="S5152" t="e">
        <v>#DIV/0!</v>
      </c>
      <c r="T5152" t="s">
        <v>82</v>
      </c>
    </row>
    <row r="5153" spans="15:20" x14ac:dyDescent="0.25">
      <c r="O5153">
        <v>1</v>
      </c>
      <c r="S5153" t="e">
        <v>#DIV/0!</v>
      </c>
      <c r="T5153" t="s">
        <v>82</v>
      </c>
    </row>
    <row r="5154" spans="15:20" x14ac:dyDescent="0.25">
      <c r="O5154">
        <v>1</v>
      </c>
      <c r="S5154" t="e">
        <v>#DIV/0!</v>
      </c>
      <c r="T5154" t="s">
        <v>82</v>
      </c>
    </row>
    <row r="5155" spans="15:20" x14ac:dyDescent="0.25">
      <c r="O5155">
        <v>1</v>
      </c>
      <c r="S5155" t="e">
        <v>#DIV/0!</v>
      </c>
      <c r="T5155" t="s">
        <v>82</v>
      </c>
    </row>
    <row r="5156" spans="15:20" x14ac:dyDescent="0.25">
      <c r="O5156">
        <v>1</v>
      </c>
      <c r="S5156" t="e">
        <v>#DIV/0!</v>
      </c>
      <c r="T5156" t="s">
        <v>82</v>
      </c>
    </row>
    <row r="5157" spans="15:20" x14ac:dyDescent="0.25">
      <c r="O5157">
        <v>1</v>
      </c>
      <c r="S5157" t="e">
        <v>#DIV/0!</v>
      </c>
      <c r="T5157" t="s">
        <v>82</v>
      </c>
    </row>
    <row r="5158" spans="15:20" x14ac:dyDescent="0.25">
      <c r="O5158">
        <v>1</v>
      </c>
      <c r="S5158" t="e">
        <v>#DIV/0!</v>
      </c>
      <c r="T5158" t="s">
        <v>82</v>
      </c>
    </row>
    <row r="5159" spans="15:20" x14ac:dyDescent="0.25">
      <c r="O5159">
        <v>1</v>
      </c>
      <c r="S5159" t="e">
        <v>#DIV/0!</v>
      </c>
      <c r="T5159" t="s">
        <v>82</v>
      </c>
    </row>
    <row r="5160" spans="15:20" x14ac:dyDescent="0.25">
      <c r="O5160">
        <v>1</v>
      </c>
      <c r="S5160" t="e">
        <v>#DIV/0!</v>
      </c>
      <c r="T5160" t="s">
        <v>82</v>
      </c>
    </row>
    <row r="5161" spans="15:20" x14ac:dyDescent="0.25">
      <c r="O5161">
        <v>1</v>
      </c>
      <c r="S5161" t="e">
        <v>#DIV/0!</v>
      </c>
      <c r="T5161" t="s">
        <v>82</v>
      </c>
    </row>
    <row r="5162" spans="15:20" x14ac:dyDescent="0.25">
      <c r="O5162">
        <v>1</v>
      </c>
      <c r="S5162" t="e">
        <v>#DIV/0!</v>
      </c>
      <c r="T5162" t="s">
        <v>82</v>
      </c>
    </row>
    <row r="5163" spans="15:20" x14ac:dyDescent="0.25">
      <c r="O5163">
        <v>1</v>
      </c>
      <c r="S5163" t="e">
        <v>#DIV/0!</v>
      </c>
      <c r="T5163" t="s">
        <v>82</v>
      </c>
    </row>
    <row r="5164" spans="15:20" x14ac:dyDescent="0.25">
      <c r="O5164">
        <v>1</v>
      </c>
      <c r="S5164" t="e">
        <v>#DIV/0!</v>
      </c>
      <c r="T5164" t="s">
        <v>82</v>
      </c>
    </row>
    <row r="5165" spans="15:20" x14ac:dyDescent="0.25">
      <c r="O5165">
        <v>1</v>
      </c>
      <c r="S5165" t="e">
        <v>#DIV/0!</v>
      </c>
      <c r="T5165" t="s">
        <v>82</v>
      </c>
    </row>
    <row r="5166" spans="15:20" x14ac:dyDescent="0.25">
      <c r="O5166">
        <v>1</v>
      </c>
      <c r="S5166" t="e">
        <v>#DIV/0!</v>
      </c>
      <c r="T5166" t="s">
        <v>82</v>
      </c>
    </row>
    <row r="5167" spans="15:20" x14ac:dyDescent="0.25">
      <c r="O5167">
        <v>1</v>
      </c>
      <c r="S5167" t="e">
        <v>#DIV/0!</v>
      </c>
      <c r="T5167" t="s">
        <v>82</v>
      </c>
    </row>
    <row r="5168" spans="15:20" x14ac:dyDescent="0.25">
      <c r="O5168">
        <v>1</v>
      </c>
      <c r="S5168" t="e">
        <v>#DIV/0!</v>
      </c>
      <c r="T5168" t="s">
        <v>82</v>
      </c>
    </row>
    <row r="5169" spans="15:20" x14ac:dyDescent="0.25">
      <c r="O5169">
        <v>1</v>
      </c>
      <c r="S5169" t="e">
        <v>#DIV/0!</v>
      </c>
      <c r="T5169" t="s">
        <v>82</v>
      </c>
    </row>
    <row r="5170" spans="15:20" x14ac:dyDescent="0.25">
      <c r="O5170">
        <v>1</v>
      </c>
      <c r="S5170" t="e">
        <v>#DIV/0!</v>
      </c>
      <c r="T5170" t="s">
        <v>82</v>
      </c>
    </row>
    <row r="5171" spans="15:20" x14ac:dyDescent="0.25">
      <c r="O5171">
        <v>1</v>
      </c>
      <c r="S5171" t="e">
        <v>#DIV/0!</v>
      </c>
      <c r="T5171" t="s">
        <v>82</v>
      </c>
    </row>
    <row r="5172" spans="15:20" x14ac:dyDescent="0.25">
      <c r="O5172">
        <v>1</v>
      </c>
      <c r="S5172" t="e">
        <v>#DIV/0!</v>
      </c>
      <c r="T5172" t="s">
        <v>82</v>
      </c>
    </row>
    <row r="5173" spans="15:20" x14ac:dyDescent="0.25">
      <c r="O5173">
        <v>1</v>
      </c>
      <c r="S5173" t="e">
        <v>#DIV/0!</v>
      </c>
      <c r="T5173" t="s">
        <v>82</v>
      </c>
    </row>
    <row r="5174" spans="15:20" x14ac:dyDescent="0.25">
      <c r="O5174">
        <v>1</v>
      </c>
      <c r="S5174" t="e">
        <v>#DIV/0!</v>
      </c>
      <c r="T5174" t="s">
        <v>82</v>
      </c>
    </row>
    <row r="5175" spans="15:20" x14ac:dyDescent="0.25">
      <c r="O5175">
        <v>1</v>
      </c>
      <c r="S5175" t="e">
        <v>#DIV/0!</v>
      </c>
      <c r="T5175" t="s">
        <v>82</v>
      </c>
    </row>
    <row r="5176" spans="15:20" x14ac:dyDescent="0.25">
      <c r="O5176">
        <v>1</v>
      </c>
      <c r="S5176" t="e">
        <v>#DIV/0!</v>
      </c>
      <c r="T5176" t="s">
        <v>82</v>
      </c>
    </row>
    <row r="5177" spans="15:20" x14ac:dyDescent="0.25">
      <c r="O5177">
        <v>1</v>
      </c>
      <c r="S5177" t="e">
        <v>#DIV/0!</v>
      </c>
      <c r="T5177" t="s">
        <v>82</v>
      </c>
    </row>
    <row r="5178" spans="15:20" x14ac:dyDescent="0.25">
      <c r="O5178">
        <v>1</v>
      </c>
      <c r="S5178" t="e">
        <v>#DIV/0!</v>
      </c>
      <c r="T5178" t="s">
        <v>82</v>
      </c>
    </row>
    <row r="5179" spans="15:20" x14ac:dyDescent="0.25">
      <c r="O5179">
        <v>1</v>
      </c>
      <c r="S5179" t="e">
        <v>#DIV/0!</v>
      </c>
      <c r="T5179" t="s">
        <v>82</v>
      </c>
    </row>
    <row r="5180" spans="15:20" x14ac:dyDescent="0.25">
      <c r="O5180">
        <v>1</v>
      </c>
      <c r="S5180" t="e">
        <v>#DIV/0!</v>
      </c>
      <c r="T5180" t="s">
        <v>82</v>
      </c>
    </row>
    <row r="5181" spans="15:20" x14ac:dyDescent="0.25">
      <c r="O5181">
        <v>1</v>
      </c>
      <c r="S5181" t="e">
        <v>#DIV/0!</v>
      </c>
      <c r="T5181" t="s">
        <v>82</v>
      </c>
    </row>
    <row r="5182" spans="15:20" x14ac:dyDescent="0.25">
      <c r="O5182">
        <v>1</v>
      </c>
      <c r="S5182" t="e">
        <v>#DIV/0!</v>
      </c>
      <c r="T5182" t="s">
        <v>82</v>
      </c>
    </row>
    <row r="5183" spans="15:20" x14ac:dyDescent="0.25">
      <c r="O5183">
        <v>1</v>
      </c>
      <c r="S5183" t="e">
        <v>#DIV/0!</v>
      </c>
      <c r="T5183" t="s">
        <v>82</v>
      </c>
    </row>
    <row r="5184" spans="15:20" x14ac:dyDescent="0.25">
      <c r="O5184">
        <v>1</v>
      </c>
      <c r="S5184" t="e">
        <v>#DIV/0!</v>
      </c>
      <c r="T5184" t="s">
        <v>82</v>
      </c>
    </row>
    <row r="5185" spans="15:20" x14ac:dyDescent="0.25">
      <c r="O5185">
        <v>1</v>
      </c>
      <c r="S5185" t="e">
        <v>#DIV/0!</v>
      </c>
      <c r="T5185" t="s">
        <v>82</v>
      </c>
    </row>
    <row r="5186" spans="15:20" x14ac:dyDescent="0.25">
      <c r="O5186">
        <v>1</v>
      </c>
      <c r="S5186" t="e">
        <v>#DIV/0!</v>
      </c>
      <c r="T5186" t="s">
        <v>82</v>
      </c>
    </row>
    <row r="5187" spans="15:20" x14ac:dyDescent="0.25">
      <c r="O5187">
        <v>1</v>
      </c>
      <c r="S5187" t="e">
        <v>#DIV/0!</v>
      </c>
      <c r="T5187" t="s">
        <v>82</v>
      </c>
    </row>
    <row r="5188" spans="15:20" x14ac:dyDescent="0.25">
      <c r="O5188">
        <v>1</v>
      </c>
      <c r="S5188" t="e">
        <v>#DIV/0!</v>
      </c>
      <c r="T5188" t="s">
        <v>82</v>
      </c>
    </row>
    <row r="5189" spans="15:20" x14ac:dyDescent="0.25">
      <c r="O5189">
        <v>1</v>
      </c>
      <c r="S5189" t="e">
        <v>#DIV/0!</v>
      </c>
      <c r="T5189" t="s">
        <v>82</v>
      </c>
    </row>
    <row r="5190" spans="15:20" x14ac:dyDescent="0.25">
      <c r="O5190">
        <v>1</v>
      </c>
      <c r="S5190" t="e">
        <v>#DIV/0!</v>
      </c>
      <c r="T5190" t="s">
        <v>82</v>
      </c>
    </row>
    <row r="5191" spans="15:20" x14ac:dyDescent="0.25">
      <c r="O5191">
        <v>1</v>
      </c>
      <c r="S5191" t="e">
        <v>#DIV/0!</v>
      </c>
      <c r="T5191" t="s">
        <v>82</v>
      </c>
    </row>
    <row r="5192" spans="15:20" x14ac:dyDescent="0.25">
      <c r="O5192">
        <v>1</v>
      </c>
      <c r="S5192" t="e">
        <v>#DIV/0!</v>
      </c>
      <c r="T5192" t="s">
        <v>82</v>
      </c>
    </row>
    <row r="5193" spans="15:20" x14ac:dyDescent="0.25">
      <c r="O5193">
        <v>1</v>
      </c>
      <c r="S5193" t="e">
        <v>#DIV/0!</v>
      </c>
      <c r="T5193" t="s">
        <v>82</v>
      </c>
    </row>
    <row r="5194" spans="15:20" x14ac:dyDescent="0.25">
      <c r="O5194">
        <v>1</v>
      </c>
      <c r="S5194" t="e">
        <v>#DIV/0!</v>
      </c>
      <c r="T5194" t="s">
        <v>82</v>
      </c>
    </row>
    <row r="5195" spans="15:20" x14ac:dyDescent="0.25">
      <c r="O5195">
        <v>1</v>
      </c>
      <c r="S5195" t="e">
        <v>#DIV/0!</v>
      </c>
      <c r="T5195" t="s">
        <v>82</v>
      </c>
    </row>
    <row r="5196" spans="15:20" x14ac:dyDescent="0.25">
      <c r="O5196">
        <v>1</v>
      </c>
      <c r="S5196" t="e">
        <v>#DIV/0!</v>
      </c>
      <c r="T5196" t="s">
        <v>82</v>
      </c>
    </row>
    <row r="5197" spans="15:20" x14ac:dyDescent="0.25">
      <c r="O5197">
        <v>1</v>
      </c>
      <c r="S5197" t="e">
        <v>#DIV/0!</v>
      </c>
      <c r="T5197" t="s">
        <v>82</v>
      </c>
    </row>
    <row r="5198" spans="15:20" x14ac:dyDescent="0.25">
      <c r="O5198">
        <v>1</v>
      </c>
      <c r="S5198" t="e">
        <v>#DIV/0!</v>
      </c>
      <c r="T5198" t="s">
        <v>82</v>
      </c>
    </row>
    <row r="5199" spans="15:20" x14ac:dyDescent="0.25">
      <c r="O5199">
        <v>1</v>
      </c>
      <c r="S5199" t="e">
        <v>#DIV/0!</v>
      </c>
      <c r="T5199" t="s">
        <v>82</v>
      </c>
    </row>
    <row r="5200" spans="15:20" x14ac:dyDescent="0.25">
      <c r="O5200">
        <v>1</v>
      </c>
      <c r="S5200" t="e">
        <v>#DIV/0!</v>
      </c>
      <c r="T5200" t="s">
        <v>82</v>
      </c>
    </row>
    <row r="5201" spans="15:20" x14ac:dyDescent="0.25">
      <c r="O5201">
        <v>1</v>
      </c>
      <c r="S5201" t="e">
        <v>#DIV/0!</v>
      </c>
      <c r="T5201" t="s">
        <v>82</v>
      </c>
    </row>
    <row r="5202" spans="15:20" x14ac:dyDescent="0.25">
      <c r="O5202">
        <v>1</v>
      </c>
      <c r="S5202" t="e">
        <v>#DIV/0!</v>
      </c>
      <c r="T5202" t="s">
        <v>82</v>
      </c>
    </row>
    <row r="5203" spans="15:20" x14ac:dyDescent="0.25">
      <c r="O5203">
        <v>1</v>
      </c>
      <c r="S5203" t="e">
        <v>#DIV/0!</v>
      </c>
      <c r="T5203" t="s">
        <v>82</v>
      </c>
    </row>
    <row r="5204" spans="15:20" x14ac:dyDescent="0.25">
      <c r="O5204">
        <v>1</v>
      </c>
      <c r="S5204" t="e">
        <v>#DIV/0!</v>
      </c>
      <c r="T5204" t="s">
        <v>82</v>
      </c>
    </row>
    <row r="5205" spans="15:20" x14ac:dyDescent="0.25">
      <c r="O5205">
        <v>1</v>
      </c>
      <c r="S5205" t="e">
        <v>#DIV/0!</v>
      </c>
      <c r="T5205" t="s">
        <v>82</v>
      </c>
    </row>
    <row r="5206" spans="15:20" x14ac:dyDescent="0.25">
      <c r="O5206">
        <v>1</v>
      </c>
      <c r="S5206" t="e">
        <v>#DIV/0!</v>
      </c>
      <c r="T5206" t="s">
        <v>82</v>
      </c>
    </row>
    <row r="5207" spans="15:20" x14ac:dyDescent="0.25">
      <c r="O5207">
        <v>1</v>
      </c>
      <c r="S5207" t="e">
        <v>#DIV/0!</v>
      </c>
      <c r="T5207" t="s">
        <v>82</v>
      </c>
    </row>
    <row r="5208" spans="15:20" x14ac:dyDescent="0.25">
      <c r="O5208">
        <v>1</v>
      </c>
      <c r="S5208" t="e">
        <v>#DIV/0!</v>
      </c>
      <c r="T5208" t="s">
        <v>82</v>
      </c>
    </row>
    <row r="5209" spans="15:20" x14ac:dyDescent="0.25">
      <c r="O5209">
        <v>1</v>
      </c>
      <c r="S5209" t="e">
        <v>#DIV/0!</v>
      </c>
      <c r="T5209" t="s">
        <v>82</v>
      </c>
    </row>
    <row r="5210" spans="15:20" x14ac:dyDescent="0.25">
      <c r="O5210">
        <v>1</v>
      </c>
      <c r="S5210" t="e">
        <v>#DIV/0!</v>
      </c>
      <c r="T5210" t="s">
        <v>82</v>
      </c>
    </row>
    <row r="5211" spans="15:20" x14ac:dyDescent="0.25">
      <c r="O5211">
        <v>1</v>
      </c>
      <c r="S5211" t="e">
        <v>#DIV/0!</v>
      </c>
      <c r="T5211" t="s">
        <v>82</v>
      </c>
    </row>
    <row r="5212" spans="15:20" x14ac:dyDescent="0.25">
      <c r="O5212">
        <v>1</v>
      </c>
      <c r="S5212" t="e">
        <v>#DIV/0!</v>
      </c>
      <c r="T5212" t="s">
        <v>82</v>
      </c>
    </row>
    <row r="5213" spans="15:20" x14ac:dyDescent="0.25">
      <c r="O5213">
        <v>1</v>
      </c>
      <c r="S5213" t="e">
        <v>#DIV/0!</v>
      </c>
      <c r="T5213" t="s">
        <v>82</v>
      </c>
    </row>
    <row r="5214" spans="15:20" x14ac:dyDescent="0.25">
      <c r="O5214">
        <v>1</v>
      </c>
      <c r="S5214" t="e">
        <v>#DIV/0!</v>
      </c>
      <c r="T5214" t="s">
        <v>82</v>
      </c>
    </row>
    <row r="5215" spans="15:20" x14ac:dyDescent="0.25">
      <c r="O5215">
        <v>1</v>
      </c>
      <c r="S5215" t="e">
        <v>#DIV/0!</v>
      </c>
      <c r="T5215" t="s">
        <v>82</v>
      </c>
    </row>
    <row r="5216" spans="15:20" x14ac:dyDescent="0.25">
      <c r="O5216">
        <v>1</v>
      </c>
      <c r="S5216" t="e">
        <v>#DIV/0!</v>
      </c>
      <c r="T5216" t="s">
        <v>82</v>
      </c>
    </row>
    <row r="5217" spans="15:20" x14ac:dyDescent="0.25">
      <c r="O5217">
        <v>1</v>
      </c>
      <c r="S5217" t="e">
        <v>#DIV/0!</v>
      </c>
      <c r="T5217" t="s">
        <v>82</v>
      </c>
    </row>
    <row r="5218" spans="15:20" x14ac:dyDescent="0.25">
      <c r="O5218">
        <v>1</v>
      </c>
      <c r="S5218" t="e">
        <v>#DIV/0!</v>
      </c>
      <c r="T5218" t="s">
        <v>82</v>
      </c>
    </row>
    <row r="5219" spans="15:20" x14ac:dyDescent="0.25">
      <c r="O5219">
        <v>1</v>
      </c>
      <c r="S5219" t="e">
        <v>#DIV/0!</v>
      </c>
      <c r="T5219" t="s">
        <v>82</v>
      </c>
    </row>
    <row r="5220" spans="15:20" x14ac:dyDescent="0.25">
      <c r="O5220">
        <v>1</v>
      </c>
      <c r="S5220" t="e">
        <v>#DIV/0!</v>
      </c>
      <c r="T5220" t="s">
        <v>82</v>
      </c>
    </row>
    <row r="5221" spans="15:20" x14ac:dyDescent="0.25">
      <c r="O5221">
        <v>1</v>
      </c>
      <c r="S5221" t="e">
        <v>#DIV/0!</v>
      </c>
      <c r="T5221" t="s">
        <v>82</v>
      </c>
    </row>
    <row r="5222" spans="15:20" x14ac:dyDescent="0.25">
      <c r="O5222">
        <v>1</v>
      </c>
      <c r="S5222" t="e">
        <v>#DIV/0!</v>
      </c>
      <c r="T5222" t="s">
        <v>82</v>
      </c>
    </row>
    <row r="5223" spans="15:20" x14ac:dyDescent="0.25">
      <c r="O5223">
        <v>1</v>
      </c>
      <c r="S5223" t="e">
        <v>#DIV/0!</v>
      </c>
      <c r="T5223" t="s">
        <v>82</v>
      </c>
    </row>
    <row r="5224" spans="15:20" x14ac:dyDescent="0.25">
      <c r="O5224">
        <v>1</v>
      </c>
      <c r="S5224" t="e">
        <v>#DIV/0!</v>
      </c>
      <c r="T5224" t="s">
        <v>82</v>
      </c>
    </row>
    <row r="5225" spans="15:20" x14ac:dyDescent="0.25">
      <c r="O5225">
        <v>1</v>
      </c>
      <c r="S5225" t="e">
        <v>#DIV/0!</v>
      </c>
      <c r="T5225" t="s">
        <v>82</v>
      </c>
    </row>
    <row r="5226" spans="15:20" x14ac:dyDescent="0.25">
      <c r="O5226">
        <v>1</v>
      </c>
      <c r="S5226" t="e">
        <v>#DIV/0!</v>
      </c>
      <c r="T5226" t="s">
        <v>82</v>
      </c>
    </row>
    <row r="5227" spans="15:20" x14ac:dyDescent="0.25">
      <c r="O5227">
        <v>1</v>
      </c>
      <c r="S5227" t="e">
        <v>#DIV/0!</v>
      </c>
      <c r="T5227" t="s">
        <v>82</v>
      </c>
    </row>
    <row r="5228" spans="15:20" x14ac:dyDescent="0.25">
      <c r="O5228">
        <v>1</v>
      </c>
      <c r="S5228" t="e">
        <v>#DIV/0!</v>
      </c>
      <c r="T5228" t="s">
        <v>82</v>
      </c>
    </row>
    <row r="5229" spans="15:20" x14ac:dyDescent="0.25">
      <c r="O5229">
        <v>1</v>
      </c>
      <c r="S5229" t="e">
        <v>#DIV/0!</v>
      </c>
      <c r="T5229" t="s">
        <v>82</v>
      </c>
    </row>
    <row r="5230" spans="15:20" x14ac:dyDescent="0.25">
      <c r="O5230">
        <v>1</v>
      </c>
      <c r="S5230" t="e">
        <v>#DIV/0!</v>
      </c>
      <c r="T5230" t="s">
        <v>82</v>
      </c>
    </row>
    <row r="5231" spans="15:20" x14ac:dyDescent="0.25">
      <c r="O5231">
        <v>1</v>
      </c>
      <c r="S5231" t="e">
        <v>#DIV/0!</v>
      </c>
      <c r="T5231" t="s">
        <v>82</v>
      </c>
    </row>
    <row r="5232" spans="15:20" x14ac:dyDescent="0.25">
      <c r="O5232">
        <v>1</v>
      </c>
      <c r="S5232" t="e">
        <v>#DIV/0!</v>
      </c>
      <c r="T5232" t="s">
        <v>82</v>
      </c>
    </row>
    <row r="5233" spans="15:20" x14ac:dyDescent="0.25">
      <c r="O5233">
        <v>1</v>
      </c>
      <c r="S5233" t="e">
        <v>#DIV/0!</v>
      </c>
      <c r="T5233" t="s">
        <v>82</v>
      </c>
    </row>
    <row r="5234" spans="15:20" x14ac:dyDescent="0.25">
      <c r="O5234">
        <v>1</v>
      </c>
      <c r="S5234" t="e">
        <v>#DIV/0!</v>
      </c>
      <c r="T5234" t="s">
        <v>82</v>
      </c>
    </row>
    <row r="5235" spans="15:20" x14ac:dyDescent="0.25">
      <c r="O5235">
        <v>1</v>
      </c>
      <c r="S5235" t="e">
        <v>#DIV/0!</v>
      </c>
      <c r="T5235" t="s">
        <v>82</v>
      </c>
    </row>
    <row r="5236" spans="15:20" x14ac:dyDescent="0.25">
      <c r="O5236">
        <v>1</v>
      </c>
      <c r="S5236" t="e">
        <v>#DIV/0!</v>
      </c>
      <c r="T5236" t="s">
        <v>82</v>
      </c>
    </row>
    <row r="5237" spans="15:20" x14ac:dyDescent="0.25">
      <c r="O5237">
        <v>1</v>
      </c>
      <c r="S5237" t="e">
        <v>#DIV/0!</v>
      </c>
      <c r="T5237" t="s">
        <v>82</v>
      </c>
    </row>
    <row r="5238" spans="15:20" x14ac:dyDescent="0.25">
      <c r="O5238">
        <v>1</v>
      </c>
      <c r="S5238" t="e">
        <v>#DIV/0!</v>
      </c>
      <c r="T5238" t="s">
        <v>82</v>
      </c>
    </row>
    <row r="5239" spans="15:20" x14ac:dyDescent="0.25">
      <c r="O5239">
        <v>1</v>
      </c>
      <c r="S5239" t="e">
        <v>#DIV/0!</v>
      </c>
      <c r="T5239" t="s">
        <v>82</v>
      </c>
    </row>
    <row r="5240" spans="15:20" x14ac:dyDescent="0.25">
      <c r="O5240">
        <v>1</v>
      </c>
      <c r="S5240" t="e">
        <v>#DIV/0!</v>
      </c>
      <c r="T5240" t="s">
        <v>82</v>
      </c>
    </row>
    <row r="5241" spans="15:20" x14ac:dyDescent="0.25">
      <c r="O5241">
        <v>1</v>
      </c>
      <c r="S5241" t="e">
        <v>#DIV/0!</v>
      </c>
      <c r="T5241" t="s">
        <v>82</v>
      </c>
    </row>
    <row r="5242" spans="15:20" x14ac:dyDescent="0.25">
      <c r="O5242">
        <v>1</v>
      </c>
      <c r="S5242" t="e">
        <v>#DIV/0!</v>
      </c>
      <c r="T5242" t="s">
        <v>82</v>
      </c>
    </row>
    <row r="5243" spans="15:20" x14ac:dyDescent="0.25">
      <c r="O5243">
        <v>1</v>
      </c>
      <c r="S5243" t="e">
        <v>#DIV/0!</v>
      </c>
      <c r="T5243" t="s">
        <v>82</v>
      </c>
    </row>
    <row r="5244" spans="15:20" x14ac:dyDescent="0.25">
      <c r="O5244">
        <v>1</v>
      </c>
      <c r="S5244" t="e">
        <v>#DIV/0!</v>
      </c>
      <c r="T5244" t="s">
        <v>82</v>
      </c>
    </row>
    <row r="5245" spans="15:20" x14ac:dyDescent="0.25">
      <c r="O5245">
        <v>1</v>
      </c>
      <c r="S5245" t="e">
        <v>#DIV/0!</v>
      </c>
      <c r="T5245" t="s">
        <v>82</v>
      </c>
    </row>
    <row r="5246" spans="15:20" x14ac:dyDescent="0.25">
      <c r="O5246">
        <v>1</v>
      </c>
      <c r="S5246" t="e">
        <v>#DIV/0!</v>
      </c>
      <c r="T5246" t="s">
        <v>82</v>
      </c>
    </row>
    <row r="5247" spans="15:20" x14ac:dyDescent="0.25">
      <c r="O5247">
        <v>1</v>
      </c>
      <c r="S5247" t="e">
        <v>#DIV/0!</v>
      </c>
      <c r="T5247" t="s">
        <v>82</v>
      </c>
    </row>
    <row r="5248" spans="15:20" x14ac:dyDescent="0.25">
      <c r="O5248">
        <v>1</v>
      </c>
      <c r="S5248" t="e">
        <v>#DIV/0!</v>
      </c>
      <c r="T5248" t="s">
        <v>82</v>
      </c>
    </row>
    <row r="5249" spans="15:20" x14ac:dyDescent="0.25">
      <c r="O5249">
        <v>1</v>
      </c>
      <c r="S5249" t="e">
        <v>#DIV/0!</v>
      </c>
      <c r="T5249" t="s">
        <v>82</v>
      </c>
    </row>
    <row r="5250" spans="15:20" x14ac:dyDescent="0.25">
      <c r="O5250">
        <v>1</v>
      </c>
      <c r="S5250" t="e">
        <v>#DIV/0!</v>
      </c>
      <c r="T5250" t="s">
        <v>82</v>
      </c>
    </row>
    <row r="5251" spans="15:20" x14ac:dyDescent="0.25">
      <c r="O5251">
        <v>1</v>
      </c>
      <c r="S5251" t="e">
        <v>#DIV/0!</v>
      </c>
      <c r="T5251" t="s">
        <v>82</v>
      </c>
    </row>
    <row r="5252" spans="15:20" x14ac:dyDescent="0.25">
      <c r="O5252">
        <v>1</v>
      </c>
      <c r="S5252" t="e">
        <v>#DIV/0!</v>
      </c>
      <c r="T5252" t="s">
        <v>82</v>
      </c>
    </row>
    <row r="5253" spans="15:20" x14ac:dyDescent="0.25">
      <c r="O5253">
        <v>1</v>
      </c>
      <c r="S5253" t="e">
        <v>#DIV/0!</v>
      </c>
      <c r="T5253" t="s">
        <v>82</v>
      </c>
    </row>
    <row r="5254" spans="15:20" x14ac:dyDescent="0.25">
      <c r="O5254">
        <v>1</v>
      </c>
      <c r="S5254" t="e">
        <v>#DIV/0!</v>
      </c>
      <c r="T5254" t="s">
        <v>82</v>
      </c>
    </row>
    <row r="5255" spans="15:20" x14ac:dyDescent="0.25">
      <c r="O5255">
        <v>1</v>
      </c>
      <c r="S5255" t="e">
        <v>#DIV/0!</v>
      </c>
      <c r="T5255" t="s">
        <v>82</v>
      </c>
    </row>
    <row r="5256" spans="15:20" x14ac:dyDescent="0.25">
      <c r="O5256">
        <v>1</v>
      </c>
      <c r="S5256" t="e">
        <v>#DIV/0!</v>
      </c>
      <c r="T5256" t="s">
        <v>82</v>
      </c>
    </row>
    <row r="5257" spans="15:20" x14ac:dyDescent="0.25">
      <c r="O5257">
        <v>1</v>
      </c>
      <c r="S5257" t="e">
        <v>#DIV/0!</v>
      </c>
      <c r="T5257" t="s">
        <v>82</v>
      </c>
    </row>
    <row r="5258" spans="15:20" x14ac:dyDescent="0.25">
      <c r="O5258">
        <v>1</v>
      </c>
      <c r="S5258" t="e">
        <v>#DIV/0!</v>
      </c>
      <c r="T5258" t="s">
        <v>82</v>
      </c>
    </row>
    <row r="5259" spans="15:20" x14ac:dyDescent="0.25">
      <c r="O5259">
        <v>1</v>
      </c>
      <c r="S5259" t="e">
        <v>#DIV/0!</v>
      </c>
      <c r="T5259" t="s">
        <v>82</v>
      </c>
    </row>
    <row r="5260" spans="15:20" x14ac:dyDescent="0.25">
      <c r="O5260">
        <v>1</v>
      </c>
      <c r="S5260" t="e">
        <v>#DIV/0!</v>
      </c>
      <c r="T5260" t="s">
        <v>82</v>
      </c>
    </row>
    <row r="5261" spans="15:20" x14ac:dyDescent="0.25">
      <c r="O5261">
        <v>1</v>
      </c>
      <c r="S5261" t="e">
        <v>#DIV/0!</v>
      </c>
      <c r="T5261" t="s">
        <v>82</v>
      </c>
    </row>
    <row r="5262" spans="15:20" x14ac:dyDescent="0.25">
      <c r="O5262">
        <v>1</v>
      </c>
      <c r="S5262" t="e">
        <v>#DIV/0!</v>
      </c>
      <c r="T5262" t="s">
        <v>82</v>
      </c>
    </row>
    <row r="5263" spans="15:20" x14ac:dyDescent="0.25">
      <c r="O5263">
        <v>1</v>
      </c>
      <c r="S5263" t="e">
        <v>#DIV/0!</v>
      </c>
      <c r="T5263" t="s">
        <v>82</v>
      </c>
    </row>
    <row r="5264" spans="15:20" x14ac:dyDescent="0.25">
      <c r="O5264">
        <v>1</v>
      </c>
      <c r="S5264" t="e">
        <v>#DIV/0!</v>
      </c>
      <c r="T5264" t="s">
        <v>82</v>
      </c>
    </row>
    <row r="5265" spans="15:20" x14ac:dyDescent="0.25">
      <c r="O5265">
        <v>1</v>
      </c>
      <c r="S5265" t="e">
        <v>#DIV/0!</v>
      </c>
      <c r="T5265" t="s">
        <v>82</v>
      </c>
    </row>
    <row r="5266" spans="15:20" x14ac:dyDescent="0.25">
      <c r="O5266">
        <v>1</v>
      </c>
      <c r="S5266" t="e">
        <v>#DIV/0!</v>
      </c>
      <c r="T5266" t="s">
        <v>82</v>
      </c>
    </row>
    <row r="5267" spans="15:20" x14ac:dyDescent="0.25">
      <c r="O5267">
        <v>1</v>
      </c>
      <c r="S5267" t="e">
        <v>#DIV/0!</v>
      </c>
      <c r="T5267" t="s">
        <v>82</v>
      </c>
    </row>
    <row r="5268" spans="15:20" x14ac:dyDescent="0.25">
      <c r="O5268">
        <v>1</v>
      </c>
      <c r="S5268" t="e">
        <v>#DIV/0!</v>
      </c>
      <c r="T5268" t="s">
        <v>82</v>
      </c>
    </row>
    <row r="5269" spans="15:20" x14ac:dyDescent="0.25">
      <c r="O5269">
        <v>1</v>
      </c>
      <c r="S5269" t="e">
        <v>#DIV/0!</v>
      </c>
      <c r="T5269" t="s">
        <v>82</v>
      </c>
    </row>
    <row r="5270" spans="15:20" x14ac:dyDescent="0.25">
      <c r="O5270">
        <v>1</v>
      </c>
      <c r="S5270" t="e">
        <v>#DIV/0!</v>
      </c>
      <c r="T5270" t="s">
        <v>82</v>
      </c>
    </row>
    <row r="5271" spans="15:20" x14ac:dyDescent="0.25">
      <c r="O5271">
        <v>1</v>
      </c>
      <c r="S5271" t="e">
        <v>#DIV/0!</v>
      </c>
      <c r="T5271" t="s">
        <v>82</v>
      </c>
    </row>
    <row r="5272" spans="15:20" x14ac:dyDescent="0.25">
      <c r="O5272">
        <v>1</v>
      </c>
      <c r="S5272" t="e">
        <v>#DIV/0!</v>
      </c>
      <c r="T5272" t="s">
        <v>82</v>
      </c>
    </row>
    <row r="5273" spans="15:20" x14ac:dyDescent="0.25">
      <c r="O5273">
        <v>1</v>
      </c>
      <c r="S5273" t="e">
        <v>#DIV/0!</v>
      </c>
      <c r="T5273" t="s">
        <v>82</v>
      </c>
    </row>
    <row r="5274" spans="15:20" x14ac:dyDescent="0.25">
      <c r="O5274">
        <v>1</v>
      </c>
      <c r="S5274" t="e">
        <v>#DIV/0!</v>
      </c>
      <c r="T5274" t="s">
        <v>82</v>
      </c>
    </row>
    <row r="5275" spans="15:20" x14ac:dyDescent="0.25">
      <c r="O5275">
        <v>1</v>
      </c>
      <c r="S5275" t="e">
        <v>#DIV/0!</v>
      </c>
      <c r="T5275" t="s">
        <v>82</v>
      </c>
    </row>
    <row r="5276" spans="15:20" x14ac:dyDescent="0.25">
      <c r="O5276">
        <v>1</v>
      </c>
      <c r="S5276" t="e">
        <v>#DIV/0!</v>
      </c>
      <c r="T5276" t="s">
        <v>82</v>
      </c>
    </row>
    <row r="5277" spans="15:20" x14ac:dyDescent="0.25">
      <c r="O5277">
        <v>1</v>
      </c>
      <c r="S5277" t="e">
        <v>#DIV/0!</v>
      </c>
      <c r="T5277" t="s">
        <v>82</v>
      </c>
    </row>
    <row r="5278" spans="15:20" x14ac:dyDescent="0.25">
      <c r="O5278">
        <v>1</v>
      </c>
      <c r="S5278" t="e">
        <v>#DIV/0!</v>
      </c>
      <c r="T5278" t="s">
        <v>82</v>
      </c>
    </row>
    <row r="5279" spans="15:20" x14ac:dyDescent="0.25">
      <c r="O5279">
        <v>1</v>
      </c>
      <c r="S5279" t="e">
        <v>#DIV/0!</v>
      </c>
      <c r="T5279" t="s">
        <v>82</v>
      </c>
    </row>
    <row r="5280" spans="15:20" x14ac:dyDescent="0.25">
      <c r="O5280">
        <v>1</v>
      </c>
      <c r="S5280" t="e">
        <v>#DIV/0!</v>
      </c>
      <c r="T5280" t="s">
        <v>82</v>
      </c>
    </row>
    <row r="5281" spans="15:20" x14ac:dyDescent="0.25">
      <c r="O5281">
        <v>1</v>
      </c>
      <c r="S5281" t="e">
        <v>#DIV/0!</v>
      </c>
      <c r="T5281" t="s">
        <v>82</v>
      </c>
    </row>
    <row r="5282" spans="15:20" x14ac:dyDescent="0.25">
      <c r="O5282">
        <v>1</v>
      </c>
      <c r="S5282" t="e">
        <v>#DIV/0!</v>
      </c>
      <c r="T5282" t="s">
        <v>82</v>
      </c>
    </row>
    <row r="5283" spans="15:20" x14ac:dyDescent="0.25">
      <c r="O5283">
        <v>1</v>
      </c>
      <c r="S5283" t="e">
        <v>#DIV/0!</v>
      </c>
      <c r="T5283" t="s">
        <v>82</v>
      </c>
    </row>
    <row r="5284" spans="15:20" x14ac:dyDescent="0.25">
      <c r="O5284">
        <v>1</v>
      </c>
      <c r="S5284" t="e">
        <v>#DIV/0!</v>
      </c>
      <c r="T5284" t="s">
        <v>82</v>
      </c>
    </row>
    <row r="5285" spans="15:20" x14ac:dyDescent="0.25">
      <c r="O5285">
        <v>1</v>
      </c>
      <c r="S5285" t="e">
        <v>#DIV/0!</v>
      </c>
      <c r="T5285" t="s">
        <v>82</v>
      </c>
    </row>
    <row r="5286" spans="15:20" x14ac:dyDescent="0.25">
      <c r="O5286">
        <v>1</v>
      </c>
      <c r="S5286" t="e">
        <v>#DIV/0!</v>
      </c>
      <c r="T5286" t="s">
        <v>82</v>
      </c>
    </row>
    <row r="5287" spans="15:20" x14ac:dyDescent="0.25">
      <c r="O5287">
        <v>1</v>
      </c>
      <c r="S5287" t="e">
        <v>#DIV/0!</v>
      </c>
      <c r="T5287" t="s">
        <v>82</v>
      </c>
    </row>
    <row r="5288" spans="15:20" x14ac:dyDescent="0.25">
      <c r="O5288">
        <v>1</v>
      </c>
      <c r="S5288" t="e">
        <v>#DIV/0!</v>
      </c>
      <c r="T5288" t="s">
        <v>82</v>
      </c>
    </row>
    <row r="5289" spans="15:20" x14ac:dyDescent="0.25">
      <c r="O5289">
        <v>1</v>
      </c>
      <c r="S5289" t="e">
        <v>#DIV/0!</v>
      </c>
      <c r="T5289" t="s">
        <v>82</v>
      </c>
    </row>
    <row r="5290" spans="15:20" x14ac:dyDescent="0.25">
      <c r="O5290">
        <v>1</v>
      </c>
      <c r="S5290" t="e">
        <v>#DIV/0!</v>
      </c>
      <c r="T5290" t="s">
        <v>82</v>
      </c>
    </row>
    <row r="5291" spans="15:20" x14ac:dyDescent="0.25">
      <c r="O5291">
        <v>1</v>
      </c>
      <c r="S5291" t="e">
        <v>#DIV/0!</v>
      </c>
      <c r="T5291" t="s">
        <v>82</v>
      </c>
    </row>
    <row r="5292" spans="15:20" x14ac:dyDescent="0.25">
      <c r="O5292">
        <v>1</v>
      </c>
      <c r="S5292" t="e">
        <v>#DIV/0!</v>
      </c>
      <c r="T5292" t="s">
        <v>82</v>
      </c>
    </row>
    <row r="5293" spans="15:20" x14ac:dyDescent="0.25">
      <c r="O5293">
        <v>1</v>
      </c>
      <c r="S5293" t="e">
        <v>#DIV/0!</v>
      </c>
      <c r="T5293" t="s">
        <v>82</v>
      </c>
    </row>
    <row r="5294" spans="15:20" x14ac:dyDescent="0.25">
      <c r="O5294">
        <v>1</v>
      </c>
      <c r="S5294" t="e">
        <v>#DIV/0!</v>
      </c>
      <c r="T5294" t="s">
        <v>82</v>
      </c>
    </row>
    <row r="5295" spans="15:20" x14ac:dyDescent="0.25">
      <c r="O5295">
        <v>1</v>
      </c>
      <c r="S5295" t="e">
        <v>#DIV/0!</v>
      </c>
      <c r="T5295" t="s">
        <v>82</v>
      </c>
    </row>
    <row r="5296" spans="15:20" x14ac:dyDescent="0.25">
      <c r="O5296">
        <v>1</v>
      </c>
      <c r="S5296" t="e">
        <v>#DIV/0!</v>
      </c>
      <c r="T5296" t="s">
        <v>82</v>
      </c>
    </row>
    <row r="5297" spans="15:20" x14ac:dyDescent="0.25">
      <c r="O5297">
        <v>1</v>
      </c>
      <c r="S5297" t="e">
        <v>#DIV/0!</v>
      </c>
      <c r="T5297" t="s">
        <v>82</v>
      </c>
    </row>
    <row r="5298" spans="15:20" x14ac:dyDescent="0.25">
      <c r="O5298">
        <v>1</v>
      </c>
      <c r="S5298" t="e">
        <v>#DIV/0!</v>
      </c>
      <c r="T5298" t="s">
        <v>82</v>
      </c>
    </row>
    <row r="5299" spans="15:20" x14ac:dyDescent="0.25">
      <c r="O5299">
        <v>1</v>
      </c>
      <c r="S5299" t="e">
        <v>#DIV/0!</v>
      </c>
      <c r="T5299" t="s">
        <v>82</v>
      </c>
    </row>
    <row r="5300" spans="15:20" x14ac:dyDescent="0.25">
      <c r="O5300">
        <v>1</v>
      </c>
      <c r="S5300" t="e">
        <v>#DIV/0!</v>
      </c>
      <c r="T5300" t="s">
        <v>82</v>
      </c>
    </row>
    <row r="5301" spans="15:20" x14ac:dyDescent="0.25">
      <c r="O5301">
        <v>1</v>
      </c>
      <c r="S5301" t="e">
        <v>#DIV/0!</v>
      </c>
      <c r="T5301" t="s">
        <v>82</v>
      </c>
    </row>
    <row r="5302" spans="15:20" x14ac:dyDescent="0.25">
      <c r="O5302">
        <v>1</v>
      </c>
      <c r="S5302" t="e">
        <v>#DIV/0!</v>
      </c>
      <c r="T5302" t="s">
        <v>82</v>
      </c>
    </row>
    <row r="5303" spans="15:20" x14ac:dyDescent="0.25">
      <c r="O5303">
        <v>1</v>
      </c>
      <c r="S5303" t="e">
        <v>#DIV/0!</v>
      </c>
      <c r="T5303" t="s">
        <v>82</v>
      </c>
    </row>
    <row r="5304" spans="15:20" x14ac:dyDescent="0.25">
      <c r="O5304">
        <v>1</v>
      </c>
      <c r="S5304" t="e">
        <v>#DIV/0!</v>
      </c>
      <c r="T5304" t="s">
        <v>82</v>
      </c>
    </row>
    <row r="5305" spans="15:20" x14ac:dyDescent="0.25">
      <c r="O5305">
        <v>1</v>
      </c>
      <c r="S5305" t="e">
        <v>#DIV/0!</v>
      </c>
      <c r="T5305" t="s">
        <v>82</v>
      </c>
    </row>
    <row r="5306" spans="15:20" x14ac:dyDescent="0.25">
      <c r="O5306">
        <v>1</v>
      </c>
      <c r="S5306" t="e">
        <v>#DIV/0!</v>
      </c>
      <c r="T5306" t="s">
        <v>82</v>
      </c>
    </row>
    <row r="5307" spans="15:20" x14ac:dyDescent="0.25">
      <c r="O5307">
        <v>1</v>
      </c>
      <c r="S5307" t="e">
        <v>#DIV/0!</v>
      </c>
      <c r="T5307" t="s">
        <v>82</v>
      </c>
    </row>
    <row r="5308" spans="15:20" x14ac:dyDescent="0.25">
      <c r="O5308">
        <v>1</v>
      </c>
      <c r="S5308" t="e">
        <v>#DIV/0!</v>
      </c>
      <c r="T5308" t="s">
        <v>82</v>
      </c>
    </row>
    <row r="5309" spans="15:20" x14ac:dyDescent="0.25">
      <c r="O5309">
        <v>1</v>
      </c>
      <c r="S5309" t="e">
        <v>#DIV/0!</v>
      </c>
      <c r="T5309" t="s">
        <v>82</v>
      </c>
    </row>
    <row r="5310" spans="15:20" x14ac:dyDescent="0.25">
      <c r="O5310">
        <v>1</v>
      </c>
      <c r="S5310" t="e">
        <v>#DIV/0!</v>
      </c>
      <c r="T5310" t="s">
        <v>82</v>
      </c>
    </row>
    <row r="5311" spans="15:20" x14ac:dyDescent="0.25">
      <c r="O5311">
        <v>1</v>
      </c>
      <c r="S5311" t="e">
        <v>#DIV/0!</v>
      </c>
      <c r="T5311" t="s">
        <v>82</v>
      </c>
    </row>
    <row r="5312" spans="15:20" x14ac:dyDescent="0.25">
      <c r="O5312">
        <v>1</v>
      </c>
      <c r="S5312" t="e">
        <v>#DIV/0!</v>
      </c>
      <c r="T5312" t="s">
        <v>82</v>
      </c>
    </row>
    <row r="5313" spans="15:20" x14ac:dyDescent="0.25">
      <c r="O5313">
        <v>1</v>
      </c>
      <c r="S5313" t="e">
        <v>#DIV/0!</v>
      </c>
      <c r="T5313" t="s">
        <v>82</v>
      </c>
    </row>
    <row r="5314" spans="15:20" x14ac:dyDescent="0.25">
      <c r="O5314">
        <v>1</v>
      </c>
      <c r="S5314" t="e">
        <v>#DIV/0!</v>
      </c>
      <c r="T5314" t="s">
        <v>82</v>
      </c>
    </row>
    <row r="5315" spans="15:20" x14ac:dyDescent="0.25">
      <c r="O5315">
        <v>1</v>
      </c>
      <c r="S5315" t="e">
        <v>#DIV/0!</v>
      </c>
      <c r="T5315" t="s">
        <v>82</v>
      </c>
    </row>
    <row r="5316" spans="15:20" x14ac:dyDescent="0.25">
      <c r="O5316">
        <v>1</v>
      </c>
      <c r="S5316" t="e">
        <v>#DIV/0!</v>
      </c>
      <c r="T5316" t="s">
        <v>82</v>
      </c>
    </row>
    <row r="5317" spans="15:20" x14ac:dyDescent="0.25">
      <c r="O5317">
        <v>1</v>
      </c>
      <c r="S5317" t="e">
        <v>#DIV/0!</v>
      </c>
      <c r="T5317" t="s">
        <v>82</v>
      </c>
    </row>
    <row r="5318" spans="15:20" x14ac:dyDescent="0.25">
      <c r="O5318">
        <v>1</v>
      </c>
      <c r="S5318" t="e">
        <v>#DIV/0!</v>
      </c>
      <c r="T5318" t="s">
        <v>82</v>
      </c>
    </row>
    <row r="5319" spans="15:20" x14ac:dyDescent="0.25">
      <c r="O5319">
        <v>1</v>
      </c>
      <c r="S5319" t="e">
        <v>#DIV/0!</v>
      </c>
      <c r="T5319" t="s">
        <v>82</v>
      </c>
    </row>
    <row r="5320" spans="15:20" x14ac:dyDescent="0.25">
      <c r="O5320">
        <v>1</v>
      </c>
      <c r="S5320" t="e">
        <v>#DIV/0!</v>
      </c>
      <c r="T5320" t="s">
        <v>82</v>
      </c>
    </row>
    <row r="5321" spans="15:20" x14ac:dyDescent="0.25">
      <c r="O5321">
        <v>1</v>
      </c>
      <c r="S5321" t="e">
        <v>#DIV/0!</v>
      </c>
      <c r="T5321" t="s">
        <v>82</v>
      </c>
    </row>
    <row r="5322" spans="15:20" x14ac:dyDescent="0.25">
      <c r="O5322">
        <v>1</v>
      </c>
      <c r="S5322" t="e">
        <v>#DIV/0!</v>
      </c>
      <c r="T5322" t="s">
        <v>82</v>
      </c>
    </row>
    <row r="5323" spans="15:20" x14ac:dyDescent="0.25">
      <c r="O5323">
        <v>1</v>
      </c>
      <c r="S5323" t="e">
        <v>#DIV/0!</v>
      </c>
      <c r="T5323" t="s">
        <v>82</v>
      </c>
    </row>
    <row r="5324" spans="15:20" x14ac:dyDescent="0.25">
      <c r="O5324">
        <v>1</v>
      </c>
      <c r="S5324" t="e">
        <v>#DIV/0!</v>
      </c>
      <c r="T5324" t="s">
        <v>82</v>
      </c>
    </row>
    <row r="5325" spans="15:20" x14ac:dyDescent="0.25">
      <c r="O5325">
        <v>1</v>
      </c>
      <c r="S5325" t="e">
        <v>#DIV/0!</v>
      </c>
      <c r="T5325" t="s">
        <v>82</v>
      </c>
    </row>
    <row r="5326" spans="15:20" x14ac:dyDescent="0.25">
      <c r="O5326">
        <v>1</v>
      </c>
      <c r="S5326" t="e">
        <v>#DIV/0!</v>
      </c>
      <c r="T5326" t="s">
        <v>82</v>
      </c>
    </row>
    <row r="5327" spans="15:20" x14ac:dyDescent="0.25">
      <c r="O5327">
        <v>1</v>
      </c>
      <c r="S5327" t="e">
        <v>#DIV/0!</v>
      </c>
      <c r="T5327" t="s">
        <v>82</v>
      </c>
    </row>
    <row r="5328" spans="15:20" x14ac:dyDescent="0.25">
      <c r="O5328">
        <v>1</v>
      </c>
      <c r="S5328" t="e">
        <v>#DIV/0!</v>
      </c>
      <c r="T5328" t="s">
        <v>82</v>
      </c>
    </row>
    <row r="5329" spans="15:20" x14ac:dyDescent="0.25">
      <c r="O5329">
        <v>1</v>
      </c>
      <c r="S5329" t="e">
        <v>#DIV/0!</v>
      </c>
      <c r="T5329" t="s">
        <v>82</v>
      </c>
    </row>
    <row r="5330" spans="15:20" x14ac:dyDescent="0.25">
      <c r="O5330">
        <v>1</v>
      </c>
      <c r="S5330" t="e">
        <v>#DIV/0!</v>
      </c>
      <c r="T5330" t="s">
        <v>82</v>
      </c>
    </row>
    <row r="5331" spans="15:20" x14ac:dyDescent="0.25">
      <c r="O5331">
        <v>1</v>
      </c>
      <c r="S5331" t="e">
        <v>#DIV/0!</v>
      </c>
      <c r="T5331" t="s">
        <v>82</v>
      </c>
    </row>
    <row r="5332" spans="15:20" x14ac:dyDescent="0.25">
      <c r="O5332">
        <v>1</v>
      </c>
      <c r="S5332" t="e">
        <v>#DIV/0!</v>
      </c>
      <c r="T5332" t="s">
        <v>82</v>
      </c>
    </row>
    <row r="5333" spans="15:20" x14ac:dyDescent="0.25">
      <c r="O5333">
        <v>1</v>
      </c>
      <c r="S5333" t="e">
        <v>#DIV/0!</v>
      </c>
      <c r="T5333" t="s">
        <v>82</v>
      </c>
    </row>
    <row r="5334" spans="15:20" x14ac:dyDescent="0.25">
      <c r="O5334">
        <v>1</v>
      </c>
      <c r="S5334" t="e">
        <v>#DIV/0!</v>
      </c>
      <c r="T5334" t="s">
        <v>82</v>
      </c>
    </row>
    <row r="5335" spans="15:20" x14ac:dyDescent="0.25">
      <c r="O5335">
        <v>1</v>
      </c>
      <c r="S5335" t="e">
        <v>#DIV/0!</v>
      </c>
      <c r="T5335" t="s">
        <v>82</v>
      </c>
    </row>
    <row r="5336" spans="15:20" x14ac:dyDescent="0.25">
      <c r="O5336">
        <v>1</v>
      </c>
      <c r="S5336" t="e">
        <v>#DIV/0!</v>
      </c>
      <c r="T5336" t="s">
        <v>82</v>
      </c>
    </row>
    <row r="5337" spans="15:20" x14ac:dyDescent="0.25">
      <c r="O5337">
        <v>1</v>
      </c>
      <c r="S5337" t="e">
        <v>#DIV/0!</v>
      </c>
      <c r="T5337" t="s">
        <v>82</v>
      </c>
    </row>
    <row r="5338" spans="15:20" x14ac:dyDescent="0.25">
      <c r="O5338">
        <v>1</v>
      </c>
      <c r="S5338" t="e">
        <v>#DIV/0!</v>
      </c>
      <c r="T5338" t="s">
        <v>82</v>
      </c>
    </row>
    <row r="5339" spans="15:20" x14ac:dyDescent="0.25">
      <c r="O5339">
        <v>1</v>
      </c>
      <c r="S5339" t="e">
        <v>#DIV/0!</v>
      </c>
      <c r="T5339" t="s">
        <v>82</v>
      </c>
    </row>
    <row r="5340" spans="15:20" x14ac:dyDescent="0.25">
      <c r="O5340">
        <v>1</v>
      </c>
      <c r="S5340" t="e">
        <v>#DIV/0!</v>
      </c>
      <c r="T5340" t="s">
        <v>82</v>
      </c>
    </row>
    <row r="5341" spans="15:20" x14ac:dyDescent="0.25">
      <c r="O5341">
        <v>1</v>
      </c>
      <c r="S5341" t="e">
        <v>#DIV/0!</v>
      </c>
      <c r="T5341" t="s">
        <v>82</v>
      </c>
    </row>
    <row r="5342" spans="15:20" x14ac:dyDescent="0.25">
      <c r="O5342">
        <v>1</v>
      </c>
      <c r="S5342" t="e">
        <v>#DIV/0!</v>
      </c>
      <c r="T5342" t="s">
        <v>82</v>
      </c>
    </row>
    <row r="5343" spans="15:20" x14ac:dyDescent="0.25">
      <c r="O5343">
        <v>1</v>
      </c>
      <c r="S5343" t="e">
        <v>#DIV/0!</v>
      </c>
      <c r="T5343" t="s">
        <v>82</v>
      </c>
    </row>
    <row r="5344" spans="15:20" x14ac:dyDescent="0.25">
      <c r="O5344">
        <v>1</v>
      </c>
      <c r="S5344" t="e">
        <v>#DIV/0!</v>
      </c>
      <c r="T5344" t="s">
        <v>82</v>
      </c>
    </row>
    <row r="5345" spans="15:20" x14ac:dyDescent="0.25">
      <c r="O5345">
        <v>1</v>
      </c>
      <c r="S5345" t="e">
        <v>#DIV/0!</v>
      </c>
      <c r="T5345" t="s">
        <v>82</v>
      </c>
    </row>
    <row r="5346" spans="15:20" x14ac:dyDescent="0.25">
      <c r="O5346">
        <v>1</v>
      </c>
      <c r="S5346" t="e">
        <v>#DIV/0!</v>
      </c>
      <c r="T5346" t="s">
        <v>82</v>
      </c>
    </row>
    <row r="5347" spans="15:20" x14ac:dyDescent="0.25">
      <c r="O5347">
        <v>1</v>
      </c>
      <c r="S5347" t="e">
        <v>#DIV/0!</v>
      </c>
      <c r="T5347" t="s">
        <v>82</v>
      </c>
    </row>
    <row r="5348" spans="15:20" x14ac:dyDescent="0.25">
      <c r="O5348">
        <v>1</v>
      </c>
      <c r="S5348" t="e">
        <v>#DIV/0!</v>
      </c>
      <c r="T5348" t="s">
        <v>82</v>
      </c>
    </row>
    <row r="5349" spans="15:20" x14ac:dyDescent="0.25">
      <c r="O5349">
        <v>1</v>
      </c>
      <c r="S5349" t="e">
        <v>#DIV/0!</v>
      </c>
      <c r="T5349" t="s">
        <v>82</v>
      </c>
    </row>
    <row r="5350" spans="15:20" x14ac:dyDescent="0.25">
      <c r="O5350">
        <v>1</v>
      </c>
      <c r="S5350" t="e">
        <v>#DIV/0!</v>
      </c>
      <c r="T5350" t="s">
        <v>82</v>
      </c>
    </row>
    <row r="5351" spans="15:20" x14ac:dyDescent="0.25">
      <c r="O5351">
        <v>1</v>
      </c>
      <c r="S5351" t="e">
        <v>#DIV/0!</v>
      </c>
      <c r="T5351" t="s">
        <v>82</v>
      </c>
    </row>
    <row r="5352" spans="15:20" x14ac:dyDescent="0.25">
      <c r="O5352">
        <v>1</v>
      </c>
      <c r="S5352" t="e">
        <v>#DIV/0!</v>
      </c>
      <c r="T5352" t="s">
        <v>82</v>
      </c>
    </row>
    <row r="5353" spans="15:20" x14ac:dyDescent="0.25">
      <c r="O5353">
        <v>1</v>
      </c>
      <c r="S5353" t="e">
        <v>#DIV/0!</v>
      </c>
      <c r="T5353" t="s">
        <v>82</v>
      </c>
    </row>
    <row r="5354" spans="15:20" x14ac:dyDescent="0.25">
      <c r="O5354">
        <v>1</v>
      </c>
      <c r="S5354" t="e">
        <v>#DIV/0!</v>
      </c>
      <c r="T5354" t="s">
        <v>82</v>
      </c>
    </row>
    <row r="5355" spans="15:20" x14ac:dyDescent="0.25">
      <c r="O5355">
        <v>1</v>
      </c>
      <c r="S5355" t="e">
        <v>#DIV/0!</v>
      </c>
      <c r="T5355" t="s">
        <v>82</v>
      </c>
    </row>
    <row r="5356" spans="15:20" x14ac:dyDescent="0.25">
      <c r="O5356">
        <v>1</v>
      </c>
      <c r="S5356" t="e">
        <v>#DIV/0!</v>
      </c>
      <c r="T5356" t="s">
        <v>82</v>
      </c>
    </row>
    <row r="5357" spans="15:20" x14ac:dyDescent="0.25">
      <c r="O5357">
        <v>1</v>
      </c>
      <c r="S5357" t="e">
        <v>#DIV/0!</v>
      </c>
      <c r="T5357" t="s">
        <v>82</v>
      </c>
    </row>
    <row r="5358" spans="15:20" x14ac:dyDescent="0.25">
      <c r="O5358">
        <v>1</v>
      </c>
      <c r="S5358" t="e">
        <v>#DIV/0!</v>
      </c>
      <c r="T5358" t="s">
        <v>82</v>
      </c>
    </row>
    <row r="5359" spans="15:20" x14ac:dyDescent="0.25">
      <c r="O5359">
        <v>1</v>
      </c>
      <c r="S5359" t="e">
        <v>#DIV/0!</v>
      </c>
      <c r="T5359" t="s">
        <v>82</v>
      </c>
    </row>
    <row r="5360" spans="15:20" x14ac:dyDescent="0.25">
      <c r="O5360">
        <v>1</v>
      </c>
      <c r="S5360" t="e">
        <v>#DIV/0!</v>
      </c>
      <c r="T5360" t="s">
        <v>82</v>
      </c>
    </row>
    <row r="5361" spans="15:20" x14ac:dyDescent="0.25">
      <c r="O5361">
        <v>1</v>
      </c>
      <c r="S5361" t="e">
        <v>#DIV/0!</v>
      </c>
      <c r="T5361" t="s">
        <v>82</v>
      </c>
    </row>
    <row r="5362" spans="15:20" x14ac:dyDescent="0.25">
      <c r="O5362">
        <v>1</v>
      </c>
      <c r="S5362" t="e">
        <v>#DIV/0!</v>
      </c>
      <c r="T5362" t="s">
        <v>82</v>
      </c>
    </row>
    <row r="5363" spans="15:20" x14ac:dyDescent="0.25">
      <c r="O5363">
        <v>1</v>
      </c>
      <c r="S5363" t="e">
        <v>#DIV/0!</v>
      </c>
      <c r="T5363" t="s">
        <v>82</v>
      </c>
    </row>
    <row r="5364" spans="15:20" x14ac:dyDescent="0.25">
      <c r="O5364">
        <v>1</v>
      </c>
      <c r="S5364" t="e">
        <v>#DIV/0!</v>
      </c>
      <c r="T5364" t="s">
        <v>82</v>
      </c>
    </row>
    <row r="5365" spans="15:20" x14ac:dyDescent="0.25">
      <c r="O5365">
        <v>1</v>
      </c>
      <c r="S5365" t="e">
        <v>#DIV/0!</v>
      </c>
      <c r="T5365" t="s">
        <v>82</v>
      </c>
    </row>
    <row r="5366" spans="15:20" x14ac:dyDescent="0.25">
      <c r="O5366">
        <v>1</v>
      </c>
      <c r="S5366" t="e">
        <v>#DIV/0!</v>
      </c>
      <c r="T5366" t="s">
        <v>82</v>
      </c>
    </row>
    <row r="5367" spans="15:20" x14ac:dyDescent="0.25">
      <c r="O5367">
        <v>1</v>
      </c>
      <c r="S5367" t="e">
        <v>#DIV/0!</v>
      </c>
      <c r="T5367" t="s">
        <v>82</v>
      </c>
    </row>
    <row r="5368" spans="15:20" x14ac:dyDescent="0.25">
      <c r="O5368">
        <v>1</v>
      </c>
      <c r="S5368" t="e">
        <v>#DIV/0!</v>
      </c>
      <c r="T5368" t="s">
        <v>82</v>
      </c>
    </row>
    <row r="5369" spans="15:20" x14ac:dyDescent="0.25">
      <c r="O5369">
        <v>1</v>
      </c>
      <c r="S5369" t="e">
        <v>#DIV/0!</v>
      </c>
      <c r="T5369" t="s">
        <v>82</v>
      </c>
    </row>
    <row r="5370" spans="15:20" x14ac:dyDescent="0.25">
      <c r="O5370">
        <v>1</v>
      </c>
      <c r="S5370" t="e">
        <v>#DIV/0!</v>
      </c>
      <c r="T5370" t="s">
        <v>82</v>
      </c>
    </row>
    <row r="5371" spans="15:20" x14ac:dyDescent="0.25">
      <c r="O5371">
        <v>1</v>
      </c>
      <c r="S5371" t="e">
        <v>#DIV/0!</v>
      </c>
      <c r="T5371" t="s">
        <v>82</v>
      </c>
    </row>
    <row r="5372" spans="15:20" x14ac:dyDescent="0.25">
      <c r="O5372">
        <v>1</v>
      </c>
      <c r="S5372" t="e">
        <v>#DIV/0!</v>
      </c>
      <c r="T5372" t="s">
        <v>82</v>
      </c>
    </row>
    <row r="5373" spans="15:20" x14ac:dyDescent="0.25">
      <c r="O5373">
        <v>1</v>
      </c>
      <c r="S5373" t="e">
        <v>#DIV/0!</v>
      </c>
      <c r="T5373" t="s">
        <v>82</v>
      </c>
    </row>
    <row r="5374" spans="15:20" x14ac:dyDescent="0.25">
      <c r="O5374">
        <v>1</v>
      </c>
      <c r="S5374" t="e">
        <v>#DIV/0!</v>
      </c>
      <c r="T5374" t="s">
        <v>82</v>
      </c>
    </row>
    <row r="5375" spans="15:20" x14ac:dyDescent="0.25">
      <c r="O5375">
        <v>1</v>
      </c>
      <c r="S5375" t="e">
        <v>#DIV/0!</v>
      </c>
      <c r="T5375" t="s">
        <v>82</v>
      </c>
    </row>
    <row r="5376" spans="15:20" x14ac:dyDescent="0.25">
      <c r="O5376">
        <v>1</v>
      </c>
      <c r="S5376" t="e">
        <v>#DIV/0!</v>
      </c>
      <c r="T5376" t="s">
        <v>82</v>
      </c>
    </row>
    <row r="5377" spans="15:20" x14ac:dyDescent="0.25">
      <c r="O5377">
        <v>1</v>
      </c>
      <c r="S5377" t="e">
        <v>#DIV/0!</v>
      </c>
      <c r="T5377" t="s">
        <v>82</v>
      </c>
    </row>
    <row r="5378" spans="15:20" x14ac:dyDescent="0.25">
      <c r="O5378">
        <v>1</v>
      </c>
      <c r="S5378" t="e">
        <v>#DIV/0!</v>
      </c>
      <c r="T5378" t="s">
        <v>82</v>
      </c>
    </row>
    <row r="5379" spans="15:20" x14ac:dyDescent="0.25">
      <c r="O5379">
        <v>1</v>
      </c>
      <c r="S5379" t="e">
        <v>#DIV/0!</v>
      </c>
      <c r="T5379" t="s">
        <v>82</v>
      </c>
    </row>
    <row r="5380" spans="15:20" x14ac:dyDescent="0.25">
      <c r="O5380">
        <v>1</v>
      </c>
      <c r="S5380" t="e">
        <v>#DIV/0!</v>
      </c>
      <c r="T5380" t="s">
        <v>82</v>
      </c>
    </row>
    <row r="5381" spans="15:20" x14ac:dyDescent="0.25">
      <c r="O5381">
        <v>1</v>
      </c>
      <c r="S5381" t="e">
        <v>#DIV/0!</v>
      </c>
      <c r="T5381" t="s">
        <v>82</v>
      </c>
    </row>
    <row r="5382" spans="15:20" x14ac:dyDescent="0.25">
      <c r="O5382">
        <v>1</v>
      </c>
      <c r="S5382" t="e">
        <v>#DIV/0!</v>
      </c>
      <c r="T5382" t="s">
        <v>82</v>
      </c>
    </row>
    <row r="5383" spans="15:20" x14ac:dyDescent="0.25">
      <c r="O5383">
        <v>1</v>
      </c>
      <c r="S5383" t="e">
        <v>#DIV/0!</v>
      </c>
      <c r="T5383" t="s">
        <v>82</v>
      </c>
    </row>
    <row r="5384" spans="15:20" x14ac:dyDescent="0.25">
      <c r="O5384">
        <v>1</v>
      </c>
      <c r="S5384" t="e">
        <v>#DIV/0!</v>
      </c>
      <c r="T5384" t="s">
        <v>82</v>
      </c>
    </row>
    <row r="5385" spans="15:20" x14ac:dyDescent="0.25">
      <c r="O5385">
        <v>1</v>
      </c>
      <c r="S5385" t="e">
        <v>#DIV/0!</v>
      </c>
      <c r="T5385" t="s">
        <v>82</v>
      </c>
    </row>
    <row r="5386" spans="15:20" x14ac:dyDescent="0.25">
      <c r="O5386">
        <v>1</v>
      </c>
      <c r="S5386" t="e">
        <v>#DIV/0!</v>
      </c>
      <c r="T5386" t="s">
        <v>82</v>
      </c>
    </row>
    <row r="5387" spans="15:20" x14ac:dyDescent="0.25">
      <c r="O5387">
        <v>1</v>
      </c>
      <c r="S5387" t="e">
        <v>#DIV/0!</v>
      </c>
      <c r="T5387" t="s">
        <v>82</v>
      </c>
    </row>
    <row r="5388" spans="15:20" x14ac:dyDescent="0.25">
      <c r="O5388">
        <v>1</v>
      </c>
      <c r="S5388" t="e">
        <v>#DIV/0!</v>
      </c>
      <c r="T5388" t="s">
        <v>82</v>
      </c>
    </row>
    <row r="5389" spans="15:20" x14ac:dyDescent="0.25">
      <c r="O5389">
        <v>1</v>
      </c>
      <c r="S5389" t="e">
        <v>#DIV/0!</v>
      </c>
      <c r="T5389" t="s">
        <v>82</v>
      </c>
    </row>
    <row r="5390" spans="15:20" x14ac:dyDescent="0.25">
      <c r="O5390">
        <v>1</v>
      </c>
      <c r="S5390" t="e">
        <v>#DIV/0!</v>
      </c>
      <c r="T5390" t="s">
        <v>82</v>
      </c>
    </row>
    <row r="5391" spans="15:20" x14ac:dyDescent="0.25">
      <c r="O5391">
        <v>1</v>
      </c>
      <c r="S5391" t="e">
        <v>#DIV/0!</v>
      </c>
      <c r="T5391" t="s">
        <v>82</v>
      </c>
    </row>
    <row r="5392" spans="15:20" x14ac:dyDescent="0.25">
      <c r="O5392">
        <v>1</v>
      </c>
      <c r="S5392" t="e">
        <v>#DIV/0!</v>
      </c>
      <c r="T5392" t="s">
        <v>82</v>
      </c>
    </row>
    <row r="5393" spans="15:20" x14ac:dyDescent="0.25">
      <c r="O5393">
        <v>1</v>
      </c>
      <c r="S5393" t="e">
        <v>#DIV/0!</v>
      </c>
      <c r="T5393" t="s">
        <v>82</v>
      </c>
    </row>
    <row r="5394" spans="15:20" x14ac:dyDescent="0.25">
      <c r="O5394">
        <v>1</v>
      </c>
      <c r="S5394" t="e">
        <v>#DIV/0!</v>
      </c>
      <c r="T5394" t="s">
        <v>82</v>
      </c>
    </row>
    <row r="5395" spans="15:20" x14ac:dyDescent="0.25">
      <c r="O5395">
        <v>1</v>
      </c>
      <c r="S5395" t="e">
        <v>#DIV/0!</v>
      </c>
      <c r="T5395" t="s">
        <v>82</v>
      </c>
    </row>
    <row r="5396" spans="15:20" x14ac:dyDescent="0.25">
      <c r="O5396">
        <v>1</v>
      </c>
      <c r="S5396" t="e">
        <v>#DIV/0!</v>
      </c>
      <c r="T5396" t="s">
        <v>82</v>
      </c>
    </row>
    <row r="5397" spans="15:20" x14ac:dyDescent="0.25">
      <c r="O5397">
        <v>1</v>
      </c>
      <c r="S5397" t="e">
        <v>#DIV/0!</v>
      </c>
      <c r="T5397" t="s">
        <v>82</v>
      </c>
    </row>
    <row r="5398" spans="15:20" x14ac:dyDescent="0.25">
      <c r="O5398">
        <v>1</v>
      </c>
      <c r="S5398" t="e">
        <v>#DIV/0!</v>
      </c>
      <c r="T5398" t="s">
        <v>82</v>
      </c>
    </row>
    <row r="5399" spans="15:20" x14ac:dyDescent="0.25">
      <c r="O5399">
        <v>1</v>
      </c>
      <c r="S5399" t="e">
        <v>#DIV/0!</v>
      </c>
      <c r="T5399" t="s">
        <v>82</v>
      </c>
    </row>
    <row r="5400" spans="15:20" x14ac:dyDescent="0.25">
      <c r="O5400">
        <v>1</v>
      </c>
      <c r="S5400" t="e">
        <v>#DIV/0!</v>
      </c>
      <c r="T5400" t="s">
        <v>82</v>
      </c>
    </row>
    <row r="5401" spans="15:20" x14ac:dyDescent="0.25">
      <c r="O5401">
        <v>1</v>
      </c>
      <c r="S5401" t="e">
        <v>#DIV/0!</v>
      </c>
      <c r="T5401" t="s">
        <v>82</v>
      </c>
    </row>
    <row r="5402" spans="15:20" x14ac:dyDescent="0.25">
      <c r="O5402">
        <v>1</v>
      </c>
      <c r="S5402" t="e">
        <v>#DIV/0!</v>
      </c>
      <c r="T5402" t="s">
        <v>82</v>
      </c>
    </row>
    <row r="5403" spans="15:20" x14ac:dyDescent="0.25">
      <c r="O5403">
        <v>1</v>
      </c>
      <c r="S5403" t="e">
        <v>#DIV/0!</v>
      </c>
      <c r="T5403" t="s">
        <v>82</v>
      </c>
    </row>
    <row r="5404" spans="15:20" x14ac:dyDescent="0.25">
      <c r="O5404">
        <v>1</v>
      </c>
      <c r="S5404" t="e">
        <v>#DIV/0!</v>
      </c>
      <c r="T5404" t="s">
        <v>82</v>
      </c>
    </row>
    <row r="5405" spans="15:20" x14ac:dyDescent="0.25">
      <c r="O5405">
        <v>1</v>
      </c>
      <c r="S5405" t="e">
        <v>#DIV/0!</v>
      </c>
      <c r="T5405" t="s">
        <v>82</v>
      </c>
    </row>
    <row r="5406" spans="15:20" x14ac:dyDescent="0.25">
      <c r="O5406">
        <v>1</v>
      </c>
      <c r="S5406" t="e">
        <v>#DIV/0!</v>
      </c>
      <c r="T5406" t="s">
        <v>82</v>
      </c>
    </row>
    <row r="5407" spans="15:20" x14ac:dyDescent="0.25">
      <c r="O5407">
        <v>1</v>
      </c>
      <c r="S5407" t="e">
        <v>#DIV/0!</v>
      </c>
      <c r="T5407" t="s">
        <v>82</v>
      </c>
    </row>
    <row r="5408" spans="15:20" x14ac:dyDescent="0.25">
      <c r="O5408">
        <v>1</v>
      </c>
      <c r="S5408" t="e">
        <v>#DIV/0!</v>
      </c>
      <c r="T5408" t="s">
        <v>82</v>
      </c>
    </row>
    <row r="5409" spans="15:20" x14ac:dyDescent="0.25">
      <c r="O5409">
        <v>1</v>
      </c>
      <c r="S5409" t="e">
        <v>#DIV/0!</v>
      </c>
      <c r="T5409" t="s">
        <v>82</v>
      </c>
    </row>
    <row r="5410" spans="15:20" x14ac:dyDescent="0.25">
      <c r="O5410">
        <v>1</v>
      </c>
      <c r="S5410" t="e">
        <v>#DIV/0!</v>
      </c>
      <c r="T5410" t="s">
        <v>82</v>
      </c>
    </row>
    <row r="5411" spans="15:20" x14ac:dyDescent="0.25">
      <c r="O5411">
        <v>1</v>
      </c>
      <c r="S5411" t="e">
        <v>#DIV/0!</v>
      </c>
      <c r="T5411" t="s">
        <v>82</v>
      </c>
    </row>
    <row r="5412" spans="15:20" x14ac:dyDescent="0.25">
      <c r="O5412">
        <v>1</v>
      </c>
      <c r="S5412" t="e">
        <v>#DIV/0!</v>
      </c>
      <c r="T5412" t="s">
        <v>82</v>
      </c>
    </row>
    <row r="5413" spans="15:20" x14ac:dyDescent="0.25">
      <c r="O5413">
        <v>1</v>
      </c>
      <c r="S5413" t="e">
        <v>#DIV/0!</v>
      </c>
      <c r="T5413" t="s">
        <v>82</v>
      </c>
    </row>
    <row r="5414" spans="15:20" x14ac:dyDescent="0.25">
      <c r="O5414">
        <v>1</v>
      </c>
      <c r="S5414" t="e">
        <v>#DIV/0!</v>
      </c>
      <c r="T5414" t="s">
        <v>82</v>
      </c>
    </row>
    <row r="5415" spans="15:20" x14ac:dyDescent="0.25">
      <c r="O5415">
        <v>1</v>
      </c>
      <c r="S5415" t="e">
        <v>#DIV/0!</v>
      </c>
      <c r="T5415" t="s">
        <v>82</v>
      </c>
    </row>
    <row r="5416" spans="15:20" x14ac:dyDescent="0.25">
      <c r="O5416">
        <v>1</v>
      </c>
      <c r="S5416" t="e">
        <v>#DIV/0!</v>
      </c>
      <c r="T5416" t="s">
        <v>82</v>
      </c>
    </row>
    <row r="5417" spans="15:20" x14ac:dyDescent="0.25">
      <c r="O5417">
        <v>1</v>
      </c>
      <c r="S5417" t="e">
        <v>#DIV/0!</v>
      </c>
      <c r="T5417" t="s">
        <v>82</v>
      </c>
    </row>
    <row r="5418" spans="15:20" x14ac:dyDescent="0.25">
      <c r="O5418">
        <v>1</v>
      </c>
      <c r="S5418" t="e">
        <v>#DIV/0!</v>
      </c>
      <c r="T5418" t="s">
        <v>82</v>
      </c>
    </row>
    <row r="5419" spans="15:20" x14ac:dyDescent="0.25">
      <c r="O5419">
        <v>1</v>
      </c>
      <c r="S5419" t="e">
        <v>#DIV/0!</v>
      </c>
      <c r="T5419" t="s">
        <v>82</v>
      </c>
    </row>
    <row r="5420" spans="15:20" x14ac:dyDescent="0.25">
      <c r="O5420">
        <v>1</v>
      </c>
      <c r="S5420" t="e">
        <v>#DIV/0!</v>
      </c>
      <c r="T5420" t="s">
        <v>82</v>
      </c>
    </row>
    <row r="5421" spans="15:20" x14ac:dyDescent="0.25">
      <c r="O5421">
        <v>1</v>
      </c>
      <c r="S5421" t="e">
        <v>#DIV/0!</v>
      </c>
      <c r="T5421" t="s">
        <v>82</v>
      </c>
    </row>
    <row r="5422" spans="15:20" x14ac:dyDescent="0.25">
      <c r="O5422">
        <v>1</v>
      </c>
      <c r="S5422" t="e">
        <v>#DIV/0!</v>
      </c>
      <c r="T5422" t="s">
        <v>82</v>
      </c>
    </row>
    <row r="5423" spans="15:20" x14ac:dyDescent="0.25">
      <c r="O5423">
        <v>1</v>
      </c>
      <c r="S5423" t="e">
        <v>#DIV/0!</v>
      </c>
      <c r="T5423" t="s">
        <v>82</v>
      </c>
    </row>
    <row r="5424" spans="15:20" x14ac:dyDescent="0.25">
      <c r="O5424">
        <v>1</v>
      </c>
      <c r="S5424" t="e">
        <v>#DIV/0!</v>
      </c>
      <c r="T5424" t="s">
        <v>82</v>
      </c>
    </row>
    <row r="5425" spans="15:20" x14ac:dyDescent="0.25">
      <c r="O5425">
        <v>1</v>
      </c>
      <c r="S5425" t="e">
        <v>#DIV/0!</v>
      </c>
      <c r="T5425" t="s">
        <v>82</v>
      </c>
    </row>
    <row r="5426" spans="15:20" x14ac:dyDescent="0.25">
      <c r="O5426">
        <v>1</v>
      </c>
      <c r="S5426" t="e">
        <v>#DIV/0!</v>
      </c>
      <c r="T5426" t="s">
        <v>82</v>
      </c>
    </row>
    <row r="5427" spans="15:20" x14ac:dyDescent="0.25">
      <c r="O5427">
        <v>1</v>
      </c>
      <c r="S5427" t="e">
        <v>#DIV/0!</v>
      </c>
      <c r="T5427" t="s">
        <v>82</v>
      </c>
    </row>
    <row r="5428" spans="15:20" x14ac:dyDescent="0.25">
      <c r="O5428">
        <v>1</v>
      </c>
      <c r="S5428" t="e">
        <v>#DIV/0!</v>
      </c>
      <c r="T5428" t="s">
        <v>82</v>
      </c>
    </row>
    <row r="5429" spans="15:20" x14ac:dyDescent="0.25">
      <c r="O5429">
        <v>1</v>
      </c>
      <c r="S5429" t="e">
        <v>#DIV/0!</v>
      </c>
      <c r="T5429" t="s">
        <v>82</v>
      </c>
    </row>
    <row r="5430" spans="15:20" x14ac:dyDescent="0.25">
      <c r="O5430">
        <v>1</v>
      </c>
      <c r="S5430" t="e">
        <v>#DIV/0!</v>
      </c>
      <c r="T5430" t="s">
        <v>82</v>
      </c>
    </row>
    <row r="5431" spans="15:20" x14ac:dyDescent="0.25">
      <c r="O5431">
        <v>1</v>
      </c>
      <c r="S5431" t="e">
        <v>#DIV/0!</v>
      </c>
      <c r="T5431" t="s">
        <v>82</v>
      </c>
    </row>
    <row r="5432" spans="15:20" x14ac:dyDescent="0.25">
      <c r="O5432">
        <v>1</v>
      </c>
      <c r="S5432" t="e">
        <v>#DIV/0!</v>
      </c>
      <c r="T5432" t="s">
        <v>82</v>
      </c>
    </row>
    <row r="5433" spans="15:20" x14ac:dyDescent="0.25">
      <c r="O5433">
        <v>1</v>
      </c>
      <c r="S5433" t="e">
        <v>#DIV/0!</v>
      </c>
      <c r="T5433" t="s">
        <v>82</v>
      </c>
    </row>
    <row r="5434" spans="15:20" x14ac:dyDescent="0.25">
      <c r="O5434">
        <v>1</v>
      </c>
      <c r="S5434" t="e">
        <v>#DIV/0!</v>
      </c>
      <c r="T5434" t="s">
        <v>82</v>
      </c>
    </row>
    <row r="5435" spans="15:20" x14ac:dyDescent="0.25">
      <c r="O5435">
        <v>1</v>
      </c>
      <c r="S5435" t="e">
        <v>#DIV/0!</v>
      </c>
      <c r="T5435" t="s">
        <v>82</v>
      </c>
    </row>
    <row r="5436" spans="15:20" x14ac:dyDescent="0.25">
      <c r="O5436">
        <v>1</v>
      </c>
      <c r="S5436" t="e">
        <v>#DIV/0!</v>
      </c>
      <c r="T5436" t="s">
        <v>82</v>
      </c>
    </row>
    <row r="5437" spans="15:20" x14ac:dyDescent="0.25">
      <c r="O5437">
        <v>1</v>
      </c>
      <c r="S5437" t="e">
        <v>#DIV/0!</v>
      </c>
      <c r="T5437" t="s">
        <v>82</v>
      </c>
    </row>
    <row r="5438" spans="15:20" x14ac:dyDescent="0.25">
      <c r="O5438">
        <v>1</v>
      </c>
      <c r="S5438" t="e">
        <v>#DIV/0!</v>
      </c>
      <c r="T5438" t="s">
        <v>82</v>
      </c>
    </row>
    <row r="5439" spans="15:20" x14ac:dyDescent="0.25">
      <c r="O5439">
        <v>1</v>
      </c>
      <c r="S5439" t="e">
        <v>#DIV/0!</v>
      </c>
      <c r="T5439" t="s">
        <v>82</v>
      </c>
    </row>
    <row r="5440" spans="15:20" x14ac:dyDescent="0.25">
      <c r="O5440">
        <v>1</v>
      </c>
      <c r="S5440" t="e">
        <v>#DIV/0!</v>
      </c>
      <c r="T5440" t="s">
        <v>82</v>
      </c>
    </row>
    <row r="5441" spans="15:20" x14ac:dyDescent="0.25">
      <c r="O5441">
        <v>1</v>
      </c>
      <c r="S5441" t="e">
        <v>#DIV/0!</v>
      </c>
      <c r="T5441" t="s">
        <v>82</v>
      </c>
    </row>
    <row r="5442" spans="15:20" x14ac:dyDescent="0.25">
      <c r="O5442">
        <v>1</v>
      </c>
      <c r="S5442" t="e">
        <v>#DIV/0!</v>
      </c>
      <c r="T5442" t="s">
        <v>82</v>
      </c>
    </row>
    <row r="5443" spans="15:20" x14ac:dyDescent="0.25">
      <c r="O5443">
        <v>1</v>
      </c>
      <c r="S5443" t="e">
        <v>#DIV/0!</v>
      </c>
      <c r="T5443" t="s">
        <v>82</v>
      </c>
    </row>
    <row r="5444" spans="15:20" x14ac:dyDescent="0.25">
      <c r="O5444">
        <v>1</v>
      </c>
      <c r="S5444" t="e">
        <v>#DIV/0!</v>
      </c>
      <c r="T5444" t="s">
        <v>82</v>
      </c>
    </row>
    <row r="5445" spans="15:20" x14ac:dyDescent="0.25">
      <c r="O5445">
        <v>1</v>
      </c>
      <c r="S5445" t="e">
        <v>#DIV/0!</v>
      </c>
      <c r="T5445" t="s">
        <v>82</v>
      </c>
    </row>
    <row r="5446" spans="15:20" x14ac:dyDescent="0.25">
      <c r="O5446">
        <v>1</v>
      </c>
      <c r="S5446" t="e">
        <v>#DIV/0!</v>
      </c>
      <c r="T5446" t="s">
        <v>82</v>
      </c>
    </row>
    <row r="5447" spans="15:20" x14ac:dyDescent="0.25">
      <c r="O5447">
        <v>1</v>
      </c>
      <c r="S5447" t="e">
        <v>#DIV/0!</v>
      </c>
      <c r="T5447" t="s">
        <v>82</v>
      </c>
    </row>
    <row r="5448" spans="15:20" x14ac:dyDescent="0.25">
      <c r="O5448">
        <v>1</v>
      </c>
      <c r="S5448" t="e">
        <v>#DIV/0!</v>
      </c>
      <c r="T5448" t="s">
        <v>82</v>
      </c>
    </row>
    <row r="5449" spans="15:20" x14ac:dyDescent="0.25">
      <c r="O5449">
        <v>1</v>
      </c>
      <c r="S5449" t="e">
        <v>#DIV/0!</v>
      </c>
      <c r="T5449" t="s">
        <v>82</v>
      </c>
    </row>
    <row r="5450" spans="15:20" x14ac:dyDescent="0.25">
      <c r="O5450">
        <v>1</v>
      </c>
      <c r="S5450" t="e">
        <v>#DIV/0!</v>
      </c>
      <c r="T5450" t="s">
        <v>82</v>
      </c>
    </row>
    <row r="5451" spans="15:20" x14ac:dyDescent="0.25">
      <c r="O5451">
        <v>1</v>
      </c>
      <c r="S5451" t="e">
        <v>#DIV/0!</v>
      </c>
      <c r="T5451" t="s">
        <v>82</v>
      </c>
    </row>
    <row r="5452" spans="15:20" x14ac:dyDescent="0.25">
      <c r="O5452">
        <v>1</v>
      </c>
      <c r="S5452" t="e">
        <v>#DIV/0!</v>
      </c>
      <c r="T5452" t="s">
        <v>82</v>
      </c>
    </row>
    <row r="5453" spans="15:20" x14ac:dyDescent="0.25">
      <c r="O5453">
        <v>1</v>
      </c>
      <c r="S5453" t="e">
        <v>#DIV/0!</v>
      </c>
      <c r="T5453" t="s">
        <v>82</v>
      </c>
    </row>
    <row r="5454" spans="15:20" x14ac:dyDescent="0.25">
      <c r="O5454">
        <v>1</v>
      </c>
      <c r="S5454" t="e">
        <v>#DIV/0!</v>
      </c>
      <c r="T5454" t="s">
        <v>82</v>
      </c>
    </row>
    <row r="5455" spans="15:20" x14ac:dyDescent="0.25">
      <c r="O5455">
        <v>1</v>
      </c>
      <c r="S5455" t="e">
        <v>#DIV/0!</v>
      </c>
      <c r="T5455" t="s">
        <v>82</v>
      </c>
    </row>
    <row r="5456" spans="15:20" x14ac:dyDescent="0.25">
      <c r="O5456">
        <v>1</v>
      </c>
      <c r="S5456" t="e">
        <v>#DIV/0!</v>
      </c>
      <c r="T5456" t="s">
        <v>82</v>
      </c>
    </row>
    <row r="5457" spans="15:20" x14ac:dyDescent="0.25">
      <c r="O5457">
        <v>1</v>
      </c>
      <c r="S5457" t="e">
        <v>#DIV/0!</v>
      </c>
      <c r="T5457" t="s">
        <v>82</v>
      </c>
    </row>
    <row r="5458" spans="15:20" x14ac:dyDescent="0.25">
      <c r="O5458">
        <v>1</v>
      </c>
      <c r="S5458" t="e">
        <v>#DIV/0!</v>
      </c>
      <c r="T5458" t="s">
        <v>82</v>
      </c>
    </row>
    <row r="5459" spans="15:20" x14ac:dyDescent="0.25">
      <c r="O5459">
        <v>1</v>
      </c>
      <c r="S5459" t="e">
        <v>#DIV/0!</v>
      </c>
      <c r="T5459" t="s">
        <v>82</v>
      </c>
    </row>
    <row r="5460" spans="15:20" x14ac:dyDescent="0.25">
      <c r="O5460">
        <v>1</v>
      </c>
      <c r="S5460" t="e">
        <v>#DIV/0!</v>
      </c>
      <c r="T5460" t="s">
        <v>82</v>
      </c>
    </row>
    <row r="5461" spans="15:20" x14ac:dyDescent="0.25">
      <c r="O5461">
        <v>1</v>
      </c>
      <c r="S5461" t="e">
        <v>#DIV/0!</v>
      </c>
      <c r="T5461" t="s">
        <v>82</v>
      </c>
    </row>
    <row r="5462" spans="15:20" x14ac:dyDescent="0.25">
      <c r="O5462">
        <v>1</v>
      </c>
      <c r="S5462" t="e">
        <v>#DIV/0!</v>
      </c>
      <c r="T5462" t="s">
        <v>82</v>
      </c>
    </row>
    <row r="5463" spans="15:20" x14ac:dyDescent="0.25">
      <c r="O5463">
        <v>1</v>
      </c>
      <c r="S5463" t="e">
        <v>#DIV/0!</v>
      </c>
      <c r="T5463" t="s">
        <v>82</v>
      </c>
    </row>
    <row r="5464" spans="15:20" x14ac:dyDescent="0.25">
      <c r="O5464">
        <v>1</v>
      </c>
      <c r="S5464" t="e">
        <v>#DIV/0!</v>
      </c>
      <c r="T5464" t="s">
        <v>82</v>
      </c>
    </row>
    <row r="5465" spans="15:20" x14ac:dyDescent="0.25">
      <c r="O5465">
        <v>1</v>
      </c>
      <c r="S5465" t="e">
        <v>#DIV/0!</v>
      </c>
      <c r="T5465" t="s">
        <v>82</v>
      </c>
    </row>
    <row r="5466" spans="15:20" x14ac:dyDescent="0.25">
      <c r="O5466">
        <v>1</v>
      </c>
      <c r="S5466" t="e">
        <v>#DIV/0!</v>
      </c>
      <c r="T5466" t="s">
        <v>82</v>
      </c>
    </row>
    <row r="5467" spans="15:20" x14ac:dyDescent="0.25">
      <c r="O5467">
        <v>1</v>
      </c>
      <c r="S5467" t="e">
        <v>#DIV/0!</v>
      </c>
      <c r="T5467" t="s">
        <v>82</v>
      </c>
    </row>
    <row r="5468" spans="15:20" x14ac:dyDescent="0.25">
      <c r="O5468">
        <v>1</v>
      </c>
      <c r="S5468" t="e">
        <v>#DIV/0!</v>
      </c>
      <c r="T5468" t="s">
        <v>82</v>
      </c>
    </row>
    <row r="5469" spans="15:20" x14ac:dyDescent="0.25">
      <c r="O5469">
        <v>1</v>
      </c>
      <c r="S5469" t="e">
        <v>#DIV/0!</v>
      </c>
      <c r="T5469" t="s">
        <v>82</v>
      </c>
    </row>
    <row r="5470" spans="15:20" x14ac:dyDescent="0.25">
      <c r="O5470">
        <v>1</v>
      </c>
      <c r="S5470" t="e">
        <v>#DIV/0!</v>
      </c>
      <c r="T5470" t="s">
        <v>82</v>
      </c>
    </row>
    <row r="5471" spans="15:20" x14ac:dyDescent="0.25">
      <c r="O5471">
        <v>1</v>
      </c>
      <c r="S5471" t="e">
        <v>#DIV/0!</v>
      </c>
      <c r="T5471" t="s">
        <v>82</v>
      </c>
    </row>
    <row r="5472" spans="15:20" x14ac:dyDescent="0.25">
      <c r="O5472">
        <v>1</v>
      </c>
      <c r="S5472" t="e">
        <v>#DIV/0!</v>
      </c>
      <c r="T5472" t="s">
        <v>82</v>
      </c>
    </row>
    <row r="5473" spans="15:20" x14ac:dyDescent="0.25">
      <c r="O5473">
        <v>1</v>
      </c>
      <c r="S5473" t="e">
        <v>#DIV/0!</v>
      </c>
      <c r="T5473" t="s">
        <v>82</v>
      </c>
    </row>
    <row r="5474" spans="15:20" x14ac:dyDescent="0.25">
      <c r="O5474">
        <v>1</v>
      </c>
      <c r="S5474" t="e">
        <v>#DIV/0!</v>
      </c>
      <c r="T5474" t="s">
        <v>82</v>
      </c>
    </row>
    <row r="5475" spans="15:20" x14ac:dyDescent="0.25">
      <c r="O5475">
        <v>1</v>
      </c>
      <c r="S5475" t="e">
        <v>#DIV/0!</v>
      </c>
      <c r="T5475" t="s">
        <v>82</v>
      </c>
    </row>
    <row r="5476" spans="15:20" x14ac:dyDescent="0.25">
      <c r="O5476">
        <v>1</v>
      </c>
      <c r="S5476" t="e">
        <v>#DIV/0!</v>
      </c>
      <c r="T5476" t="s">
        <v>82</v>
      </c>
    </row>
    <row r="5477" spans="15:20" x14ac:dyDescent="0.25">
      <c r="O5477">
        <v>1</v>
      </c>
      <c r="S5477" t="e">
        <v>#DIV/0!</v>
      </c>
      <c r="T5477" t="s">
        <v>82</v>
      </c>
    </row>
    <row r="5478" spans="15:20" x14ac:dyDescent="0.25">
      <c r="O5478">
        <v>1</v>
      </c>
      <c r="S5478" t="e">
        <v>#DIV/0!</v>
      </c>
      <c r="T5478" t="s">
        <v>82</v>
      </c>
    </row>
    <row r="5479" spans="15:20" x14ac:dyDescent="0.25">
      <c r="O5479">
        <v>1</v>
      </c>
      <c r="S5479" t="e">
        <v>#DIV/0!</v>
      </c>
      <c r="T5479" t="s">
        <v>82</v>
      </c>
    </row>
    <row r="5480" spans="15:20" x14ac:dyDescent="0.25">
      <c r="O5480">
        <v>1</v>
      </c>
      <c r="S5480" t="e">
        <v>#DIV/0!</v>
      </c>
      <c r="T5480" t="s">
        <v>82</v>
      </c>
    </row>
    <row r="5481" spans="15:20" x14ac:dyDescent="0.25">
      <c r="O5481">
        <v>1</v>
      </c>
      <c r="S5481" t="e">
        <v>#DIV/0!</v>
      </c>
      <c r="T5481" t="s">
        <v>82</v>
      </c>
    </row>
    <row r="5482" spans="15:20" x14ac:dyDescent="0.25">
      <c r="O5482">
        <v>1</v>
      </c>
      <c r="S5482" t="e">
        <v>#DIV/0!</v>
      </c>
      <c r="T5482" t="s">
        <v>82</v>
      </c>
    </row>
    <row r="5483" spans="15:20" x14ac:dyDescent="0.25">
      <c r="O5483">
        <v>1</v>
      </c>
      <c r="S5483" t="e">
        <v>#DIV/0!</v>
      </c>
      <c r="T5483" t="s">
        <v>82</v>
      </c>
    </row>
    <row r="5484" spans="15:20" x14ac:dyDescent="0.25">
      <c r="O5484">
        <v>1</v>
      </c>
      <c r="S5484" t="e">
        <v>#DIV/0!</v>
      </c>
      <c r="T5484" t="s">
        <v>82</v>
      </c>
    </row>
    <row r="5485" spans="15:20" x14ac:dyDescent="0.25">
      <c r="O5485">
        <v>1</v>
      </c>
      <c r="S5485" t="e">
        <v>#DIV/0!</v>
      </c>
      <c r="T5485" t="s">
        <v>82</v>
      </c>
    </row>
    <row r="5486" spans="15:20" x14ac:dyDescent="0.25">
      <c r="O5486">
        <v>1</v>
      </c>
      <c r="S5486" t="e">
        <v>#DIV/0!</v>
      </c>
      <c r="T5486" t="s">
        <v>82</v>
      </c>
    </row>
    <row r="5487" spans="15:20" x14ac:dyDescent="0.25">
      <c r="O5487">
        <v>1</v>
      </c>
      <c r="S5487" t="e">
        <v>#DIV/0!</v>
      </c>
      <c r="T5487" t="s">
        <v>82</v>
      </c>
    </row>
    <row r="5488" spans="15:20" x14ac:dyDescent="0.25">
      <c r="O5488">
        <v>1</v>
      </c>
      <c r="S5488" t="e">
        <v>#DIV/0!</v>
      </c>
      <c r="T5488" t="s">
        <v>82</v>
      </c>
    </row>
    <row r="5489" spans="15:20" x14ac:dyDescent="0.25">
      <c r="O5489">
        <v>1</v>
      </c>
      <c r="S5489" t="e">
        <v>#DIV/0!</v>
      </c>
      <c r="T5489" t="s">
        <v>82</v>
      </c>
    </row>
    <row r="5490" spans="15:20" x14ac:dyDescent="0.25">
      <c r="O5490">
        <v>1</v>
      </c>
      <c r="S5490" t="e">
        <v>#DIV/0!</v>
      </c>
      <c r="T5490" t="s">
        <v>82</v>
      </c>
    </row>
    <row r="5491" spans="15:20" x14ac:dyDescent="0.25">
      <c r="O5491">
        <v>1</v>
      </c>
      <c r="S5491" t="e">
        <v>#DIV/0!</v>
      </c>
      <c r="T5491" t="s">
        <v>82</v>
      </c>
    </row>
    <row r="5492" spans="15:20" x14ac:dyDescent="0.25">
      <c r="O5492">
        <v>1</v>
      </c>
      <c r="S5492" t="e">
        <v>#DIV/0!</v>
      </c>
      <c r="T5492" t="s">
        <v>82</v>
      </c>
    </row>
    <row r="5493" spans="15:20" x14ac:dyDescent="0.25">
      <c r="O5493">
        <v>1</v>
      </c>
      <c r="S5493" t="e">
        <v>#DIV/0!</v>
      </c>
      <c r="T5493" t="s">
        <v>82</v>
      </c>
    </row>
    <row r="5494" spans="15:20" x14ac:dyDescent="0.25">
      <c r="O5494">
        <v>1</v>
      </c>
      <c r="S5494" t="e">
        <v>#DIV/0!</v>
      </c>
      <c r="T5494" t="s">
        <v>82</v>
      </c>
    </row>
    <row r="5495" spans="15:20" x14ac:dyDescent="0.25">
      <c r="O5495">
        <v>1</v>
      </c>
      <c r="S5495" t="e">
        <v>#DIV/0!</v>
      </c>
      <c r="T5495" t="s">
        <v>82</v>
      </c>
    </row>
    <row r="5496" spans="15:20" x14ac:dyDescent="0.25">
      <c r="O5496">
        <v>1</v>
      </c>
      <c r="S5496" t="e">
        <v>#DIV/0!</v>
      </c>
      <c r="T5496" t="s">
        <v>82</v>
      </c>
    </row>
    <row r="5497" spans="15:20" x14ac:dyDescent="0.25">
      <c r="O5497">
        <v>1</v>
      </c>
      <c r="S5497" t="e">
        <v>#DIV/0!</v>
      </c>
      <c r="T5497" t="s">
        <v>82</v>
      </c>
    </row>
    <row r="5498" spans="15:20" x14ac:dyDescent="0.25">
      <c r="O5498">
        <v>1</v>
      </c>
      <c r="S5498" t="e">
        <v>#DIV/0!</v>
      </c>
      <c r="T5498" t="s">
        <v>82</v>
      </c>
    </row>
    <row r="5499" spans="15:20" x14ac:dyDescent="0.25">
      <c r="O5499">
        <v>1</v>
      </c>
      <c r="S5499" t="e">
        <v>#DIV/0!</v>
      </c>
      <c r="T5499" t="s">
        <v>82</v>
      </c>
    </row>
    <row r="5500" spans="15:20" x14ac:dyDescent="0.25">
      <c r="O5500">
        <v>1</v>
      </c>
      <c r="S5500" t="e">
        <v>#DIV/0!</v>
      </c>
      <c r="T5500" t="s">
        <v>82</v>
      </c>
    </row>
    <row r="5501" spans="15:20" x14ac:dyDescent="0.25">
      <c r="O5501">
        <v>1</v>
      </c>
      <c r="S5501" t="e">
        <v>#DIV/0!</v>
      </c>
      <c r="T5501" t="s">
        <v>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6FDE-AC82-46E1-83E6-DF816FD0B435}">
  <dimension ref="A3:C20"/>
  <sheetViews>
    <sheetView workbookViewId="0">
      <selection activeCell="A3" sqref="A3"/>
    </sheetView>
  </sheetViews>
  <sheetFormatPr baseColWidth="10" defaultRowHeight="15" x14ac:dyDescent="0.25"/>
  <sheetData>
    <row r="3" spans="1:3" x14ac:dyDescent="0.25">
      <c r="A3" s="17"/>
      <c r="B3" s="18"/>
      <c r="C3" s="19"/>
    </row>
    <row r="4" spans="1:3" x14ac:dyDescent="0.25">
      <c r="A4" s="20"/>
      <c r="B4" s="21"/>
      <c r="C4" s="22"/>
    </row>
    <row r="5" spans="1:3" x14ac:dyDescent="0.25">
      <c r="A5" s="20"/>
      <c r="B5" s="21"/>
      <c r="C5" s="22"/>
    </row>
    <row r="6" spans="1:3" x14ac:dyDescent="0.25">
      <c r="A6" s="20"/>
      <c r="B6" s="21"/>
      <c r="C6" s="22"/>
    </row>
    <row r="7" spans="1:3" x14ac:dyDescent="0.25">
      <c r="A7" s="20"/>
      <c r="B7" s="21"/>
      <c r="C7" s="22"/>
    </row>
    <row r="8" spans="1:3" x14ac:dyDescent="0.25">
      <c r="A8" s="20"/>
      <c r="B8" s="21"/>
      <c r="C8" s="22"/>
    </row>
    <row r="9" spans="1:3" x14ac:dyDescent="0.25">
      <c r="A9" s="20"/>
      <c r="B9" s="21"/>
      <c r="C9" s="22"/>
    </row>
    <row r="10" spans="1:3" x14ac:dyDescent="0.25">
      <c r="A10" s="20"/>
      <c r="B10" s="21"/>
      <c r="C10" s="22"/>
    </row>
    <row r="11" spans="1:3" x14ac:dyDescent="0.25">
      <c r="A11" s="20"/>
      <c r="B11" s="21"/>
      <c r="C11" s="22"/>
    </row>
    <row r="12" spans="1:3" x14ac:dyDescent="0.25">
      <c r="A12" s="20"/>
      <c r="B12" s="21"/>
      <c r="C12" s="22"/>
    </row>
    <row r="13" spans="1:3" x14ac:dyDescent="0.25">
      <c r="A13" s="20"/>
      <c r="B13" s="21"/>
      <c r="C13" s="22"/>
    </row>
    <row r="14" spans="1:3" x14ac:dyDescent="0.25">
      <c r="A14" s="20"/>
      <c r="B14" s="21"/>
      <c r="C14" s="22"/>
    </row>
    <row r="15" spans="1:3" x14ac:dyDescent="0.25">
      <c r="A15" s="20"/>
      <c r="B15" s="21"/>
      <c r="C15" s="22"/>
    </row>
    <row r="16" spans="1:3" x14ac:dyDescent="0.25">
      <c r="A16" s="20"/>
      <c r="B16" s="21"/>
      <c r="C16" s="22"/>
    </row>
    <row r="17" spans="1:3" x14ac:dyDescent="0.25">
      <c r="A17" s="20"/>
      <c r="B17" s="21"/>
      <c r="C17" s="22"/>
    </row>
    <row r="18" spans="1:3" x14ac:dyDescent="0.25">
      <c r="A18" s="20"/>
      <c r="B18" s="21"/>
      <c r="C18" s="22"/>
    </row>
    <row r="19" spans="1:3" x14ac:dyDescent="0.25">
      <c r="A19" s="20"/>
      <c r="B19" s="21"/>
      <c r="C19" s="22"/>
    </row>
    <row r="20" spans="1:3" x14ac:dyDescent="0.25">
      <c r="A20" s="23"/>
      <c r="B20" s="24"/>
      <c r="C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3BC0-2C2D-499C-A54D-AA8908ED2E43}">
  <dimension ref="B3:I45"/>
  <sheetViews>
    <sheetView workbookViewId="0">
      <selection activeCell="J18" sqref="J18"/>
    </sheetView>
  </sheetViews>
  <sheetFormatPr baseColWidth="10" defaultRowHeight="15" x14ac:dyDescent="0.25"/>
  <cols>
    <col min="2" max="2" width="25.42578125" bestFit="1" customWidth="1"/>
    <col min="3" max="4" width="20.7109375" bestFit="1" customWidth="1"/>
    <col min="5" max="5" width="19.28515625" bestFit="1" customWidth="1"/>
    <col min="6" max="6" width="17.85546875" bestFit="1" customWidth="1"/>
    <col min="7" max="8" width="25.5703125" bestFit="1" customWidth="1"/>
    <col min="9" max="10" width="24.5703125" bestFit="1" customWidth="1"/>
    <col min="11" max="14" width="7" bestFit="1" customWidth="1"/>
    <col min="15" max="15" width="6" bestFit="1" customWidth="1"/>
    <col min="16" max="33" width="7" bestFit="1" customWidth="1"/>
    <col min="34" max="34" width="6" bestFit="1" customWidth="1"/>
    <col min="35" max="39" width="7" bestFit="1" customWidth="1"/>
    <col min="40" max="40" width="6" bestFit="1" customWidth="1"/>
    <col min="41" max="41" width="7" bestFit="1" customWidth="1"/>
    <col min="42" max="42" width="6" bestFit="1" customWidth="1"/>
    <col min="43" max="44" width="7" bestFit="1" customWidth="1"/>
    <col min="45" max="46" width="6" bestFit="1" customWidth="1"/>
    <col min="47" max="65" width="7" bestFit="1" customWidth="1"/>
    <col min="66" max="66" width="6" bestFit="1" customWidth="1"/>
    <col min="67" max="90" width="7" bestFit="1" customWidth="1"/>
    <col min="91" max="91" width="6" bestFit="1" customWidth="1"/>
    <col min="92" max="93" width="7" bestFit="1" customWidth="1"/>
    <col min="94" max="94" width="6" bestFit="1" customWidth="1"/>
    <col min="95" max="115" width="7" bestFit="1" customWidth="1"/>
    <col min="116" max="116" width="6" bestFit="1" customWidth="1"/>
    <col min="117" max="130" width="7" bestFit="1" customWidth="1"/>
    <col min="131" max="131" width="6" bestFit="1" customWidth="1"/>
    <col min="132" max="132" width="7" bestFit="1" customWidth="1"/>
    <col min="133" max="133" width="6" bestFit="1" customWidth="1"/>
    <col min="134" max="136" width="7" bestFit="1" customWidth="1"/>
    <col min="137" max="137" width="6" bestFit="1" customWidth="1"/>
    <col min="138" max="141" width="7" bestFit="1" customWidth="1"/>
    <col min="142" max="142" width="6" bestFit="1" customWidth="1"/>
    <col min="143" max="158" width="7" bestFit="1" customWidth="1"/>
    <col min="159" max="159" width="6" bestFit="1" customWidth="1"/>
    <col min="160" max="162" width="7" bestFit="1" customWidth="1"/>
    <col min="163" max="163" width="6" bestFit="1" customWidth="1"/>
    <col min="164" max="168" width="7" bestFit="1" customWidth="1"/>
    <col min="169" max="169" width="6" bestFit="1" customWidth="1"/>
    <col min="170" max="172" width="7" bestFit="1" customWidth="1"/>
    <col min="173" max="173" width="6" bestFit="1" customWidth="1"/>
    <col min="174" max="174" width="7" bestFit="1" customWidth="1"/>
    <col min="175" max="175" width="6" bestFit="1" customWidth="1"/>
    <col min="176" max="189" width="7" bestFit="1" customWidth="1"/>
    <col min="190" max="190" width="6" bestFit="1" customWidth="1"/>
    <col min="191" max="203" width="7" bestFit="1" customWidth="1"/>
    <col min="204" max="204" width="5" bestFit="1" customWidth="1"/>
    <col min="205" max="216" width="7" bestFit="1" customWidth="1"/>
    <col min="217" max="227" width="8" bestFit="1" customWidth="1"/>
    <col min="228" max="228" width="7" bestFit="1" customWidth="1"/>
    <col min="229" max="230" width="8" bestFit="1" customWidth="1"/>
    <col min="231" max="231" width="7" bestFit="1" customWidth="1"/>
    <col min="232" max="233" width="8" bestFit="1" customWidth="1"/>
    <col min="234" max="234" width="7" bestFit="1" customWidth="1"/>
    <col min="235" max="257" width="8" bestFit="1" customWidth="1"/>
    <col min="258" max="258" width="7" bestFit="1" customWidth="1"/>
    <col min="259" max="271" width="8" bestFit="1" customWidth="1"/>
    <col min="272" max="272" width="7" bestFit="1" customWidth="1"/>
    <col min="273" max="276" width="8" bestFit="1" customWidth="1"/>
    <col min="277" max="277" width="7" bestFit="1" customWidth="1"/>
    <col min="278" max="283" width="8" bestFit="1" customWidth="1"/>
    <col min="284" max="284" width="7" bestFit="1" customWidth="1"/>
    <col min="285" max="286" width="8" bestFit="1" customWidth="1"/>
    <col min="287" max="287" width="7" bestFit="1" customWidth="1"/>
    <col min="288" max="290" width="8" bestFit="1" customWidth="1"/>
    <col min="291" max="291" width="7" bestFit="1" customWidth="1"/>
    <col min="292" max="300" width="8" bestFit="1" customWidth="1"/>
    <col min="301" max="301" width="7" bestFit="1" customWidth="1"/>
    <col min="302" max="303" width="8" bestFit="1" customWidth="1"/>
    <col min="304" max="304" width="7" bestFit="1" customWidth="1"/>
    <col min="305" max="323" width="8" bestFit="1" customWidth="1"/>
    <col min="324" max="324" width="7" bestFit="1" customWidth="1"/>
    <col min="325" max="330" width="8" bestFit="1" customWidth="1"/>
    <col min="331" max="331" width="7" bestFit="1" customWidth="1"/>
    <col min="332" max="341" width="8" bestFit="1" customWidth="1"/>
    <col min="342" max="342" width="7" bestFit="1" customWidth="1"/>
    <col min="343" max="344" width="8" bestFit="1" customWidth="1"/>
    <col min="345" max="345" width="7" bestFit="1" customWidth="1"/>
    <col min="346" max="347" width="8" bestFit="1" customWidth="1"/>
    <col min="348" max="348" width="7" bestFit="1" customWidth="1"/>
    <col min="349" max="349" width="8" bestFit="1" customWidth="1"/>
    <col min="350" max="350" width="7" bestFit="1" customWidth="1"/>
    <col min="351" max="356" width="8" bestFit="1" customWidth="1"/>
    <col min="357" max="357" width="7" bestFit="1" customWidth="1"/>
    <col min="358" max="359" width="8" bestFit="1" customWidth="1"/>
    <col min="360" max="360" width="7" bestFit="1" customWidth="1"/>
    <col min="361" max="361" width="8" bestFit="1" customWidth="1"/>
    <col min="362" max="362" width="7" bestFit="1" customWidth="1"/>
    <col min="363" max="369" width="8" bestFit="1" customWidth="1"/>
    <col min="370" max="370" width="7" bestFit="1" customWidth="1"/>
    <col min="371" max="373" width="8" bestFit="1" customWidth="1"/>
    <col min="374" max="374" width="7" bestFit="1" customWidth="1"/>
    <col min="375" max="376" width="8" bestFit="1" customWidth="1"/>
    <col min="377" max="377" width="7" bestFit="1" customWidth="1"/>
    <col min="378" max="387" width="8" bestFit="1" customWidth="1"/>
    <col min="388" max="388" width="7" bestFit="1" customWidth="1"/>
    <col min="389" max="390" width="8" bestFit="1" customWidth="1"/>
    <col min="391" max="391" width="7" bestFit="1" customWidth="1"/>
    <col min="392" max="396" width="8" bestFit="1" customWidth="1"/>
    <col min="397" max="397" width="7" bestFit="1" customWidth="1"/>
    <col min="398" max="417" width="8" bestFit="1" customWidth="1"/>
    <col min="418" max="418" width="7" bestFit="1" customWidth="1"/>
    <col min="419" max="421" width="8" bestFit="1" customWidth="1"/>
    <col min="422" max="423" width="7" bestFit="1" customWidth="1"/>
    <col min="424" max="429" width="8" bestFit="1" customWidth="1"/>
    <col min="430" max="430" width="7" bestFit="1" customWidth="1"/>
    <col min="431" max="441" width="8" bestFit="1" customWidth="1"/>
    <col min="442" max="442" width="7" bestFit="1" customWidth="1"/>
    <col min="443" max="447" width="8" bestFit="1" customWidth="1"/>
    <col min="448" max="448" width="7" bestFit="1" customWidth="1"/>
    <col min="449" max="472" width="8" bestFit="1" customWidth="1"/>
    <col min="473" max="473" width="7" bestFit="1" customWidth="1"/>
    <col min="474" max="477" width="8" bestFit="1" customWidth="1"/>
    <col min="478" max="478" width="7" bestFit="1" customWidth="1"/>
    <col min="479" max="494" width="8" bestFit="1" customWidth="1"/>
    <col min="495" max="495" width="7" bestFit="1" customWidth="1"/>
    <col min="496" max="505" width="8" bestFit="1" customWidth="1"/>
    <col min="506" max="506" width="7" bestFit="1" customWidth="1"/>
    <col min="507" max="525" width="8" bestFit="1" customWidth="1"/>
    <col min="526" max="526" width="7" bestFit="1" customWidth="1"/>
    <col min="527" max="535" width="8" bestFit="1" customWidth="1"/>
    <col min="536" max="536" width="7" bestFit="1" customWidth="1"/>
    <col min="537" max="572" width="8" bestFit="1" customWidth="1"/>
    <col min="573" max="573" width="7" bestFit="1" customWidth="1"/>
    <col min="574" max="575" width="8" bestFit="1" customWidth="1"/>
    <col min="576" max="576" width="7" bestFit="1" customWidth="1"/>
    <col min="577" max="577" width="8" bestFit="1" customWidth="1"/>
    <col min="578" max="578" width="7" bestFit="1" customWidth="1"/>
    <col min="579" max="583" width="8" bestFit="1" customWidth="1"/>
    <col min="584" max="584" width="7" bestFit="1" customWidth="1"/>
    <col min="585" max="586" width="8" bestFit="1" customWidth="1"/>
    <col min="587" max="587" width="7" bestFit="1" customWidth="1"/>
    <col min="588" max="597" width="8" bestFit="1" customWidth="1"/>
    <col min="598" max="599" width="7" bestFit="1" customWidth="1"/>
    <col min="600" max="605" width="8" bestFit="1" customWidth="1"/>
    <col min="606" max="606" width="7" bestFit="1" customWidth="1"/>
    <col min="607" max="630" width="8" bestFit="1" customWidth="1"/>
    <col min="631" max="631" width="5" bestFit="1" customWidth="1"/>
    <col min="632" max="667" width="8" bestFit="1" customWidth="1"/>
    <col min="668" max="668" width="7" bestFit="1" customWidth="1"/>
    <col min="669" max="676" width="8" bestFit="1" customWidth="1"/>
    <col min="677" max="677" width="7" bestFit="1" customWidth="1"/>
    <col min="678" max="678" width="8" bestFit="1" customWidth="1"/>
    <col min="679" max="679" width="7" bestFit="1" customWidth="1"/>
    <col min="680" max="683" width="8" bestFit="1" customWidth="1"/>
    <col min="684" max="684" width="7" bestFit="1" customWidth="1"/>
    <col min="685" max="705" width="8" bestFit="1" customWidth="1"/>
    <col min="706" max="706" width="7" bestFit="1" customWidth="1"/>
    <col min="707" max="725" width="8" bestFit="1" customWidth="1"/>
    <col min="726" max="726" width="7" bestFit="1" customWidth="1"/>
    <col min="727" max="733" width="8" bestFit="1" customWidth="1"/>
    <col min="734" max="734" width="7" bestFit="1" customWidth="1"/>
    <col min="735" max="739" width="8" bestFit="1" customWidth="1"/>
    <col min="740" max="740" width="7" bestFit="1" customWidth="1"/>
    <col min="741" max="743" width="8" bestFit="1" customWidth="1"/>
    <col min="744" max="744" width="7" bestFit="1" customWidth="1"/>
    <col min="745" max="755" width="8" bestFit="1" customWidth="1"/>
    <col min="756" max="757" width="7" bestFit="1" customWidth="1"/>
    <col min="758" max="775" width="8" bestFit="1" customWidth="1"/>
    <col min="776" max="776" width="7" bestFit="1" customWidth="1"/>
    <col min="777" max="777" width="8" bestFit="1" customWidth="1"/>
    <col min="778" max="778" width="7" bestFit="1" customWidth="1"/>
    <col min="779" max="779" width="8" bestFit="1" customWidth="1"/>
    <col min="780" max="780" width="7" bestFit="1" customWidth="1"/>
    <col min="781" max="791" width="8" bestFit="1" customWidth="1"/>
    <col min="792" max="792" width="7" bestFit="1" customWidth="1"/>
    <col min="793" max="796" width="8" bestFit="1" customWidth="1"/>
    <col min="797" max="797" width="5" bestFit="1" customWidth="1"/>
    <col min="798" max="817" width="8" bestFit="1" customWidth="1"/>
    <col min="818" max="818" width="7" bestFit="1" customWidth="1"/>
    <col min="819" max="832" width="8" bestFit="1" customWidth="1"/>
    <col min="833" max="833" width="5" bestFit="1" customWidth="1"/>
    <col min="834" max="840" width="8" bestFit="1" customWidth="1"/>
    <col min="841" max="841" width="7" bestFit="1" customWidth="1"/>
    <col min="842" max="848" width="8" bestFit="1" customWidth="1"/>
    <col min="849" max="849" width="7" bestFit="1" customWidth="1"/>
    <col min="850" max="871" width="8" bestFit="1" customWidth="1"/>
    <col min="872" max="872" width="7" bestFit="1" customWidth="1"/>
    <col min="873" max="903" width="8" bestFit="1" customWidth="1"/>
    <col min="904" max="904" width="7" bestFit="1" customWidth="1"/>
    <col min="905" max="907" width="8" bestFit="1" customWidth="1"/>
    <col min="908" max="908" width="7" bestFit="1" customWidth="1"/>
    <col min="909" max="916" width="8" bestFit="1" customWidth="1"/>
    <col min="917" max="917" width="7" bestFit="1" customWidth="1"/>
    <col min="918" max="920" width="8" bestFit="1" customWidth="1"/>
    <col min="921" max="921" width="7" bestFit="1" customWidth="1"/>
    <col min="922" max="937" width="8" bestFit="1" customWidth="1"/>
    <col min="938" max="938" width="7" bestFit="1" customWidth="1"/>
    <col min="939" max="944" width="8" bestFit="1" customWidth="1"/>
    <col min="945" max="945" width="7" bestFit="1" customWidth="1"/>
    <col min="946" max="952" width="8" bestFit="1" customWidth="1"/>
    <col min="953" max="953" width="7" bestFit="1" customWidth="1"/>
    <col min="954" max="957" width="8" bestFit="1" customWidth="1"/>
    <col min="958" max="958" width="7" bestFit="1" customWidth="1"/>
    <col min="959" max="964" width="8" bestFit="1" customWidth="1"/>
    <col min="965" max="965" width="7" bestFit="1" customWidth="1"/>
    <col min="966" max="966" width="8" bestFit="1" customWidth="1"/>
    <col min="967" max="967" width="7" bestFit="1" customWidth="1"/>
    <col min="968" max="985" width="8" bestFit="1" customWidth="1"/>
    <col min="986" max="986" width="7" bestFit="1" customWidth="1"/>
    <col min="987" max="997" width="8" bestFit="1" customWidth="1"/>
    <col min="998" max="998" width="7" bestFit="1" customWidth="1"/>
    <col min="999" max="999" width="8" bestFit="1" customWidth="1"/>
    <col min="1000" max="1000" width="11.140625" bestFit="1" customWidth="1"/>
    <col min="1001" max="1001" width="25.5703125" bestFit="1" customWidth="1"/>
    <col min="1002" max="1002" width="6" bestFit="1" customWidth="1"/>
    <col min="1003" max="1003" width="7" bestFit="1" customWidth="1"/>
    <col min="1004" max="1004" width="6" bestFit="1" customWidth="1"/>
    <col min="1005" max="1008" width="7" bestFit="1" customWidth="1"/>
    <col min="1009" max="1009" width="6" bestFit="1" customWidth="1"/>
    <col min="1010" max="1027" width="7" bestFit="1" customWidth="1"/>
    <col min="1028" max="1028" width="6" bestFit="1" customWidth="1"/>
    <col min="1029" max="1033" width="7" bestFit="1" customWidth="1"/>
    <col min="1034" max="1034" width="6" bestFit="1" customWidth="1"/>
    <col min="1035" max="1035" width="7" bestFit="1" customWidth="1"/>
    <col min="1036" max="1036" width="6" bestFit="1" customWidth="1"/>
    <col min="1037" max="1038" width="7" bestFit="1" customWidth="1"/>
    <col min="1039" max="1040" width="6" bestFit="1" customWidth="1"/>
    <col min="1041" max="1059" width="7" bestFit="1" customWidth="1"/>
    <col min="1060" max="1060" width="6" bestFit="1" customWidth="1"/>
    <col min="1061" max="1084" width="7" bestFit="1" customWidth="1"/>
    <col min="1085" max="1085" width="6" bestFit="1" customWidth="1"/>
    <col min="1086" max="1087" width="7" bestFit="1" customWidth="1"/>
    <col min="1088" max="1088" width="6" bestFit="1" customWidth="1"/>
    <col min="1089" max="1109" width="7" bestFit="1" customWidth="1"/>
    <col min="1110" max="1110" width="6" bestFit="1" customWidth="1"/>
    <col min="1111" max="1124" width="7" bestFit="1" customWidth="1"/>
    <col min="1125" max="1125" width="6" bestFit="1" customWidth="1"/>
    <col min="1126" max="1126" width="7" bestFit="1" customWidth="1"/>
    <col min="1127" max="1127" width="6" bestFit="1" customWidth="1"/>
    <col min="1128" max="1130" width="7" bestFit="1" customWidth="1"/>
    <col min="1131" max="1131" width="6" bestFit="1" customWidth="1"/>
    <col min="1132" max="1135" width="7" bestFit="1" customWidth="1"/>
    <col min="1136" max="1136" width="6" bestFit="1" customWidth="1"/>
    <col min="1137" max="1152" width="7" bestFit="1" customWidth="1"/>
    <col min="1153" max="1153" width="6" bestFit="1" customWidth="1"/>
    <col min="1154" max="1156" width="7" bestFit="1" customWidth="1"/>
    <col min="1157" max="1157" width="6" bestFit="1" customWidth="1"/>
    <col min="1158" max="1162" width="7" bestFit="1" customWidth="1"/>
    <col min="1163" max="1163" width="6" bestFit="1" customWidth="1"/>
    <col min="1164" max="1166" width="7" bestFit="1" customWidth="1"/>
    <col min="1167" max="1167" width="6" bestFit="1" customWidth="1"/>
    <col min="1168" max="1168" width="7" bestFit="1" customWidth="1"/>
    <col min="1169" max="1169" width="6" bestFit="1" customWidth="1"/>
    <col min="1170" max="1183" width="7" bestFit="1" customWidth="1"/>
    <col min="1184" max="1184" width="6" bestFit="1" customWidth="1"/>
    <col min="1185" max="1197" width="7" bestFit="1" customWidth="1"/>
    <col min="1198" max="1198" width="5" bestFit="1" customWidth="1"/>
    <col min="1199" max="1210" width="7" bestFit="1" customWidth="1"/>
    <col min="1211" max="1221" width="8" bestFit="1" customWidth="1"/>
    <col min="1222" max="1222" width="7" bestFit="1" customWidth="1"/>
    <col min="1223" max="1224" width="8" bestFit="1" customWidth="1"/>
    <col min="1225" max="1225" width="7" bestFit="1" customWidth="1"/>
    <col min="1226" max="1227" width="8" bestFit="1" customWidth="1"/>
    <col min="1228" max="1228" width="7" bestFit="1" customWidth="1"/>
    <col min="1229" max="1251" width="8" bestFit="1" customWidth="1"/>
    <col min="1252" max="1252" width="7" bestFit="1" customWidth="1"/>
    <col min="1253" max="1265" width="8" bestFit="1" customWidth="1"/>
    <col min="1266" max="1266" width="7" bestFit="1" customWidth="1"/>
    <col min="1267" max="1270" width="8" bestFit="1" customWidth="1"/>
    <col min="1271" max="1271" width="7" bestFit="1" customWidth="1"/>
    <col min="1272" max="1277" width="8" bestFit="1" customWidth="1"/>
    <col min="1278" max="1278" width="7" bestFit="1" customWidth="1"/>
    <col min="1279" max="1280" width="8" bestFit="1" customWidth="1"/>
    <col min="1281" max="1281" width="7" bestFit="1" customWidth="1"/>
    <col min="1282" max="1284" width="8" bestFit="1" customWidth="1"/>
    <col min="1285" max="1285" width="7" bestFit="1" customWidth="1"/>
    <col min="1286" max="1294" width="8" bestFit="1" customWidth="1"/>
    <col min="1295" max="1295" width="7" bestFit="1" customWidth="1"/>
    <col min="1296" max="1297" width="8" bestFit="1" customWidth="1"/>
    <col min="1298" max="1298" width="7" bestFit="1" customWidth="1"/>
    <col min="1299" max="1317" width="8" bestFit="1" customWidth="1"/>
    <col min="1318" max="1318" width="7" bestFit="1" customWidth="1"/>
    <col min="1319" max="1324" width="8" bestFit="1" customWidth="1"/>
    <col min="1325" max="1325" width="7" bestFit="1" customWidth="1"/>
    <col min="1326" max="1335" width="8" bestFit="1" customWidth="1"/>
    <col min="1336" max="1336" width="7" bestFit="1" customWidth="1"/>
    <col min="1337" max="1338" width="8" bestFit="1" customWidth="1"/>
    <col min="1339" max="1339" width="7" bestFit="1" customWidth="1"/>
    <col min="1340" max="1341" width="8" bestFit="1" customWidth="1"/>
    <col min="1342" max="1342" width="7" bestFit="1" customWidth="1"/>
    <col min="1343" max="1343" width="8" bestFit="1" customWidth="1"/>
    <col min="1344" max="1344" width="7" bestFit="1" customWidth="1"/>
    <col min="1345" max="1350" width="8" bestFit="1" customWidth="1"/>
    <col min="1351" max="1351" width="7" bestFit="1" customWidth="1"/>
    <col min="1352" max="1353" width="8" bestFit="1" customWidth="1"/>
    <col min="1354" max="1354" width="7" bestFit="1" customWidth="1"/>
    <col min="1355" max="1355" width="8" bestFit="1" customWidth="1"/>
    <col min="1356" max="1356" width="7" bestFit="1" customWidth="1"/>
    <col min="1357" max="1363" width="8" bestFit="1" customWidth="1"/>
    <col min="1364" max="1364" width="7" bestFit="1" customWidth="1"/>
    <col min="1365" max="1367" width="8" bestFit="1" customWidth="1"/>
    <col min="1368" max="1368" width="7" bestFit="1" customWidth="1"/>
    <col min="1369" max="1370" width="8" bestFit="1" customWidth="1"/>
    <col min="1371" max="1371" width="7" bestFit="1" customWidth="1"/>
    <col min="1372" max="1381" width="8" bestFit="1" customWidth="1"/>
    <col min="1382" max="1382" width="7" bestFit="1" customWidth="1"/>
    <col min="1383" max="1384" width="8" bestFit="1" customWidth="1"/>
    <col min="1385" max="1385" width="7" bestFit="1" customWidth="1"/>
    <col min="1386" max="1390" width="8" bestFit="1" customWidth="1"/>
    <col min="1391" max="1391" width="7" bestFit="1" customWidth="1"/>
    <col min="1392" max="1411" width="8" bestFit="1" customWidth="1"/>
    <col min="1412" max="1412" width="7" bestFit="1" customWidth="1"/>
    <col min="1413" max="1415" width="8" bestFit="1" customWidth="1"/>
    <col min="1416" max="1417" width="7" bestFit="1" customWidth="1"/>
    <col min="1418" max="1423" width="8" bestFit="1" customWidth="1"/>
    <col min="1424" max="1424" width="7" bestFit="1" customWidth="1"/>
    <col min="1425" max="1435" width="8" bestFit="1" customWidth="1"/>
    <col min="1436" max="1436" width="7" bestFit="1" customWidth="1"/>
    <col min="1437" max="1441" width="8" bestFit="1" customWidth="1"/>
    <col min="1442" max="1442" width="7" bestFit="1" customWidth="1"/>
    <col min="1443" max="1466" width="8" bestFit="1" customWidth="1"/>
    <col min="1467" max="1467" width="7" bestFit="1" customWidth="1"/>
    <col min="1468" max="1471" width="8" bestFit="1" customWidth="1"/>
    <col min="1472" max="1472" width="7" bestFit="1" customWidth="1"/>
    <col min="1473" max="1488" width="8" bestFit="1" customWidth="1"/>
    <col min="1489" max="1489" width="7" bestFit="1" customWidth="1"/>
    <col min="1490" max="1499" width="8" bestFit="1" customWidth="1"/>
    <col min="1500" max="1500" width="7" bestFit="1" customWidth="1"/>
    <col min="1501" max="1519" width="8" bestFit="1" customWidth="1"/>
    <col min="1520" max="1520" width="7" bestFit="1" customWidth="1"/>
    <col min="1521" max="1529" width="8" bestFit="1" customWidth="1"/>
    <col min="1530" max="1530" width="7" bestFit="1" customWidth="1"/>
    <col min="1531" max="1566" width="8" bestFit="1" customWidth="1"/>
    <col min="1567" max="1567" width="7" bestFit="1" customWidth="1"/>
    <col min="1568" max="1569" width="8" bestFit="1" customWidth="1"/>
    <col min="1570" max="1570" width="7" bestFit="1" customWidth="1"/>
    <col min="1571" max="1571" width="8" bestFit="1" customWidth="1"/>
    <col min="1572" max="1572" width="7" bestFit="1" customWidth="1"/>
    <col min="1573" max="1577" width="8" bestFit="1" customWidth="1"/>
    <col min="1578" max="1578" width="7" bestFit="1" customWidth="1"/>
    <col min="1579" max="1580" width="8" bestFit="1" customWidth="1"/>
    <col min="1581" max="1581" width="7" bestFit="1" customWidth="1"/>
    <col min="1582" max="1591" width="8" bestFit="1" customWidth="1"/>
    <col min="1592" max="1593" width="7" bestFit="1" customWidth="1"/>
    <col min="1594" max="1599" width="8" bestFit="1" customWidth="1"/>
    <col min="1600" max="1600" width="7" bestFit="1" customWidth="1"/>
    <col min="1601" max="1624" width="8" bestFit="1" customWidth="1"/>
    <col min="1625" max="1625" width="5" bestFit="1" customWidth="1"/>
    <col min="1626" max="1661" width="8" bestFit="1" customWidth="1"/>
    <col min="1662" max="1662" width="7" bestFit="1" customWidth="1"/>
    <col min="1663" max="1670" width="8" bestFit="1" customWidth="1"/>
    <col min="1671" max="1671" width="7" bestFit="1" customWidth="1"/>
    <col min="1672" max="1672" width="8" bestFit="1" customWidth="1"/>
    <col min="1673" max="1673" width="7" bestFit="1" customWidth="1"/>
    <col min="1674" max="1677" width="8" bestFit="1" customWidth="1"/>
    <col min="1678" max="1678" width="7" bestFit="1" customWidth="1"/>
    <col min="1679" max="1699" width="8" bestFit="1" customWidth="1"/>
    <col min="1700" max="1700" width="7" bestFit="1" customWidth="1"/>
    <col min="1701" max="1719" width="8" bestFit="1" customWidth="1"/>
    <col min="1720" max="1720" width="7" bestFit="1" customWidth="1"/>
    <col min="1721" max="1727" width="8" bestFit="1" customWidth="1"/>
    <col min="1728" max="1728" width="7" bestFit="1" customWidth="1"/>
    <col min="1729" max="1733" width="8" bestFit="1" customWidth="1"/>
    <col min="1734" max="1734" width="7" bestFit="1" customWidth="1"/>
    <col min="1735" max="1737" width="8" bestFit="1" customWidth="1"/>
    <col min="1738" max="1738" width="7" bestFit="1" customWidth="1"/>
    <col min="1739" max="1749" width="8" bestFit="1" customWidth="1"/>
    <col min="1750" max="1751" width="7" bestFit="1" customWidth="1"/>
    <col min="1752" max="1769" width="8" bestFit="1" customWidth="1"/>
    <col min="1770" max="1770" width="7" bestFit="1" customWidth="1"/>
    <col min="1771" max="1771" width="8" bestFit="1" customWidth="1"/>
    <col min="1772" max="1772" width="7" bestFit="1" customWidth="1"/>
    <col min="1773" max="1773" width="8" bestFit="1" customWidth="1"/>
    <col min="1774" max="1774" width="7" bestFit="1" customWidth="1"/>
    <col min="1775" max="1785" width="8" bestFit="1" customWidth="1"/>
    <col min="1786" max="1786" width="7" bestFit="1" customWidth="1"/>
    <col min="1787" max="1790" width="8" bestFit="1" customWidth="1"/>
    <col min="1791" max="1791" width="5" bestFit="1" customWidth="1"/>
    <col min="1792" max="1811" width="8" bestFit="1" customWidth="1"/>
    <col min="1812" max="1812" width="7" bestFit="1" customWidth="1"/>
    <col min="1813" max="1826" width="8" bestFit="1" customWidth="1"/>
    <col min="1827" max="1827" width="5" bestFit="1" customWidth="1"/>
    <col min="1828" max="1834" width="8" bestFit="1" customWidth="1"/>
    <col min="1835" max="1835" width="7" bestFit="1" customWidth="1"/>
    <col min="1836" max="1842" width="8" bestFit="1" customWidth="1"/>
    <col min="1843" max="1843" width="7" bestFit="1" customWidth="1"/>
    <col min="1844" max="1865" width="8" bestFit="1" customWidth="1"/>
    <col min="1866" max="1866" width="7" bestFit="1" customWidth="1"/>
    <col min="1867" max="1897" width="8" bestFit="1" customWidth="1"/>
    <col min="1898" max="1898" width="7" bestFit="1" customWidth="1"/>
    <col min="1899" max="1901" width="8" bestFit="1" customWidth="1"/>
    <col min="1902" max="1902" width="7" bestFit="1" customWidth="1"/>
    <col min="1903" max="1910" width="8" bestFit="1" customWidth="1"/>
    <col min="1911" max="1911" width="7" bestFit="1" customWidth="1"/>
    <col min="1912" max="1914" width="8" bestFit="1" customWidth="1"/>
    <col min="1915" max="1915" width="7" bestFit="1" customWidth="1"/>
    <col min="1916" max="1931" width="8" bestFit="1" customWidth="1"/>
    <col min="1932" max="1932" width="7" bestFit="1" customWidth="1"/>
    <col min="1933" max="1938" width="8" bestFit="1" customWidth="1"/>
    <col min="1939" max="1939" width="7" bestFit="1" customWidth="1"/>
    <col min="1940" max="1946" width="8" bestFit="1" customWidth="1"/>
    <col min="1947" max="1947" width="7" bestFit="1" customWidth="1"/>
    <col min="1948" max="1951" width="8" bestFit="1" customWidth="1"/>
    <col min="1952" max="1952" width="7" bestFit="1" customWidth="1"/>
    <col min="1953" max="1958" width="8" bestFit="1" customWidth="1"/>
    <col min="1959" max="1959" width="7" bestFit="1" customWidth="1"/>
    <col min="1960" max="1960" width="8" bestFit="1" customWidth="1"/>
    <col min="1961" max="1961" width="7" bestFit="1" customWidth="1"/>
    <col min="1962" max="1979" width="8" bestFit="1" customWidth="1"/>
    <col min="1980" max="1980" width="7" bestFit="1" customWidth="1"/>
    <col min="1981" max="1991" width="8" bestFit="1" customWidth="1"/>
    <col min="1992" max="1992" width="7" bestFit="1" customWidth="1"/>
    <col min="1993" max="1993" width="8" bestFit="1" customWidth="1"/>
    <col min="1994" max="1994" width="11.140625" bestFit="1" customWidth="1"/>
    <col min="1995" max="1995" width="24.28515625" bestFit="1" customWidth="1"/>
    <col min="1996" max="1996" width="30.5703125" bestFit="1" customWidth="1"/>
  </cols>
  <sheetData>
    <row r="3" spans="2:9" x14ac:dyDescent="0.25">
      <c r="B3" s="4" t="s">
        <v>76</v>
      </c>
      <c r="C3" t="s">
        <v>73</v>
      </c>
      <c r="D3" t="s">
        <v>84</v>
      </c>
    </row>
    <row r="4" spans="2:9" x14ac:dyDescent="0.25">
      <c r="B4" s="5" t="s">
        <v>18</v>
      </c>
      <c r="C4" s="1">
        <v>127914.26</v>
      </c>
      <c r="D4" s="1">
        <v>568.98931199157755</v>
      </c>
      <c r="F4" s="4" t="s">
        <v>16</v>
      </c>
      <c r="G4" t="s">
        <v>81</v>
      </c>
    </row>
    <row r="5" spans="2:9" x14ac:dyDescent="0.25">
      <c r="B5" s="5" t="s">
        <v>31</v>
      </c>
      <c r="C5" s="1">
        <v>119287.55999999991</v>
      </c>
      <c r="D5" s="1">
        <v>490.27325164633908</v>
      </c>
    </row>
    <row r="6" spans="2:9" x14ac:dyDescent="0.25">
      <c r="B6" s="5" t="s">
        <v>36</v>
      </c>
      <c r="C6" s="1">
        <v>101998.89</v>
      </c>
      <c r="D6" s="1">
        <v>550.60073665670211</v>
      </c>
      <c r="F6" s="4" t="s">
        <v>76</v>
      </c>
      <c r="G6" t="s">
        <v>74</v>
      </c>
      <c r="H6" t="s">
        <v>79</v>
      </c>
      <c r="I6" t="s">
        <v>75</v>
      </c>
    </row>
    <row r="7" spans="2:9" x14ac:dyDescent="0.25">
      <c r="B7" s="5" t="s">
        <v>43</v>
      </c>
      <c r="C7" s="1">
        <v>111048.45</v>
      </c>
      <c r="D7" s="1">
        <v>518.68075934144042</v>
      </c>
      <c r="F7" s="5" t="s">
        <v>27</v>
      </c>
      <c r="G7" s="1">
        <v>3461.4</v>
      </c>
      <c r="H7" s="1">
        <v>1004.7599999999999</v>
      </c>
      <c r="I7" s="1">
        <v>378683.35999999987</v>
      </c>
    </row>
    <row r="8" spans="2:9" x14ac:dyDescent="0.25">
      <c r="B8" s="5" t="s">
        <v>52</v>
      </c>
      <c r="C8" s="1">
        <v>133816.65000000002</v>
      </c>
      <c r="D8" s="1">
        <v>530.83523105809115</v>
      </c>
      <c r="F8" s="5" t="s">
        <v>40</v>
      </c>
      <c r="G8" s="1">
        <v>2819.9999999999995</v>
      </c>
      <c r="H8" s="1">
        <v>784.16999999999985</v>
      </c>
      <c r="I8" s="1">
        <v>317842.48000000004</v>
      </c>
    </row>
    <row r="9" spans="2:9" x14ac:dyDescent="0.25">
      <c r="B9" s="5" t="s">
        <v>59</v>
      </c>
      <c r="C9" s="1">
        <v>119228.80999999998</v>
      </c>
      <c r="D9" s="1">
        <v>440.99006850535153</v>
      </c>
      <c r="F9" s="5" t="s">
        <v>47</v>
      </c>
      <c r="G9" s="1">
        <v>3655.0999999999985</v>
      </c>
      <c r="H9" s="1">
        <v>1007.4399999999995</v>
      </c>
      <c r="I9" s="1">
        <v>403099.61</v>
      </c>
    </row>
    <row r="10" spans="2:9" x14ac:dyDescent="0.25">
      <c r="B10" s="5" t="s">
        <v>77</v>
      </c>
      <c r="C10" s="1">
        <v>713294.61999999988</v>
      </c>
      <c r="D10" s="1">
        <v>3100.369359199502</v>
      </c>
      <c r="F10" s="5" t="s">
        <v>56</v>
      </c>
      <c r="G10" s="1">
        <v>3293.4</v>
      </c>
      <c r="H10" s="1">
        <v>977.9100000000002</v>
      </c>
      <c r="I10" s="1">
        <v>371840.0399999998</v>
      </c>
    </row>
    <row r="11" spans="2:9" x14ac:dyDescent="0.25">
      <c r="F11" s="5" t="s">
        <v>22</v>
      </c>
      <c r="G11" s="1">
        <v>3506.5000000000023</v>
      </c>
      <c r="H11" s="1">
        <v>984.24000000000012</v>
      </c>
      <c r="I11" s="1">
        <v>388877.05999999965</v>
      </c>
    </row>
    <row r="12" spans="2:9" x14ac:dyDescent="0.25">
      <c r="F12" s="5" t="s">
        <v>34</v>
      </c>
      <c r="G12" s="1">
        <v>3219.4</v>
      </c>
      <c r="H12" s="1">
        <v>941.1</v>
      </c>
      <c r="I12" s="1">
        <v>389498.60000000027</v>
      </c>
    </row>
    <row r="13" spans="2:9" x14ac:dyDescent="0.25">
      <c r="F13" s="5" t="s">
        <v>77</v>
      </c>
      <c r="G13" s="1">
        <v>19955.800000000003</v>
      </c>
      <c r="H13" s="1">
        <v>5699.62</v>
      </c>
      <c r="I13" s="1">
        <v>2249841.1499999994</v>
      </c>
    </row>
    <row r="44" spans="2:9" x14ac:dyDescent="0.25">
      <c r="B44" t="s">
        <v>75</v>
      </c>
      <c r="D44" t="s">
        <v>73</v>
      </c>
      <c r="E44" t="s">
        <v>74</v>
      </c>
      <c r="G44" t="s">
        <v>79</v>
      </c>
      <c r="I44" t="s">
        <v>83</v>
      </c>
    </row>
    <row r="45" spans="2:9" x14ac:dyDescent="0.25">
      <c r="B45" s="26">
        <v>2249841.1500000027</v>
      </c>
      <c r="D45" s="26">
        <v>713294.61999999953</v>
      </c>
      <c r="E45" s="1">
        <v>19955.800000000007</v>
      </c>
      <c r="G45" s="26">
        <v>5699.6199999999981</v>
      </c>
      <c r="I45" s="26">
        <v>425066</v>
      </c>
    </row>
  </sheetData>
  <pageMargins left="0.7" right="0.7" top="0.75" bottom="0.75" header="0.3" footer="0.3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5195-7586-4CF1-97F6-1BFBE3D63A15}">
  <dimension ref="A1:X38"/>
  <sheetViews>
    <sheetView showGridLines="0" showRowColHeaders="0" tabSelected="1" topLeftCell="A2" zoomScaleNormal="100" workbookViewId="0">
      <selection activeCell="P21" sqref="P21"/>
    </sheetView>
  </sheetViews>
  <sheetFormatPr baseColWidth="10" defaultRowHeight="15" x14ac:dyDescent="0.25"/>
  <sheetData>
    <row r="1" spans="1:24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6"/>
      <c r="X1" s="6"/>
    </row>
    <row r="2" spans="1:24" ht="66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6"/>
      <c r="X2" s="6"/>
    </row>
    <row r="3" spans="1:24" ht="66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6"/>
      <c r="X3" s="6"/>
    </row>
    <row r="4" spans="1:24" ht="66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6"/>
      <c r="X4" s="6"/>
    </row>
    <row r="5" spans="1:24" ht="66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6"/>
      <c r="X5" s="6"/>
    </row>
    <row r="6" spans="1:24" ht="66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6"/>
      <c r="X6" s="6"/>
    </row>
    <row r="7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6"/>
      <c r="X7" s="6"/>
    </row>
    <row r="8" spans="1:2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6"/>
      <c r="X8" s="6"/>
    </row>
    <row r="9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6"/>
      <c r="X9" s="6"/>
    </row>
    <row r="10" spans="1:2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6"/>
      <c r="X10" s="6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6"/>
      <c r="X11" s="6"/>
    </row>
    <row r="12" spans="1:2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6"/>
      <c r="X12" s="6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6"/>
      <c r="X13" s="6"/>
    </row>
    <row r="14" spans="1:2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6"/>
      <c r="X14" s="6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6"/>
      <c r="X15" s="6"/>
    </row>
    <row r="16" spans="1:2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6"/>
      <c r="X16" s="6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6"/>
      <c r="X17" s="6"/>
    </row>
    <row r="18" spans="1:2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6"/>
      <c r="X18" s="6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6"/>
      <c r="X19" s="6"/>
    </row>
    <row r="20" spans="1:2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6"/>
      <c r="X20" s="6"/>
    </row>
    <row r="21" spans="1:24" x14ac:dyDescent="0.25">
      <c r="A21" s="9"/>
      <c r="B21" s="6"/>
      <c r="C21" s="6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6"/>
      <c r="X21" s="6"/>
    </row>
    <row r="22" spans="1:24" x14ac:dyDescent="0.25">
      <c r="A22" s="9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9"/>
      <c r="R22" s="9"/>
      <c r="S22" s="9"/>
      <c r="T22" s="9"/>
      <c r="U22" s="9"/>
      <c r="V22" s="9"/>
      <c r="W22" s="6"/>
      <c r="X22" s="6"/>
    </row>
    <row r="23" spans="1:24" x14ac:dyDescent="0.25">
      <c r="A23" s="9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9"/>
      <c r="R23" s="9"/>
      <c r="S23" s="9"/>
      <c r="T23" s="9"/>
      <c r="U23" s="9"/>
      <c r="V23" s="9"/>
      <c r="W23" s="6"/>
      <c r="X23" s="6"/>
    </row>
    <row r="24" spans="1:2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6"/>
      <c r="X24" s="6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6"/>
      <c r="X25" s="6"/>
    </row>
    <row r="26" spans="1:2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6"/>
      <c r="X26" s="6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6"/>
      <c r="X27" s="6"/>
    </row>
    <row r="28" spans="1:2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6"/>
      <c r="X28" s="6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6"/>
      <c r="X29" s="6"/>
    </row>
    <row r="30" spans="1:2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ABC9FD-1072-4312-AF4E-22F1A9B04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</vt:lpstr>
      <vt:lpstr>Hoja2</vt:lpstr>
      <vt:lpstr>Hoja1</vt:lpstr>
      <vt:lpstr>Hoja3</vt:lpstr>
      <vt:lpstr>Hoja4</vt:lpstr>
      <vt:lpstr>Hoja5</vt:lpstr>
      <vt:lpstr>Hoja6</vt:lpstr>
      <vt:lpstr>Tablas 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jajaj</dc:creator>
  <cp:lastModifiedBy>alex jajaj</cp:lastModifiedBy>
  <dcterms:created xsi:type="dcterms:W3CDTF">2025-11-11T18:53:16Z</dcterms:created>
  <dcterms:modified xsi:type="dcterms:W3CDTF">2025-11-14T23:03:16Z</dcterms:modified>
</cp:coreProperties>
</file>